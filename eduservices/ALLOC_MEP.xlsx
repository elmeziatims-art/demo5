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Custom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1000" firstSheet="1" activeTab="1" autoFilterDateGrouping="1"/>
  </bookViews>
  <sheets>
    <sheet name="_TGK_HIDDEN" sheetId="1" state="veryHidden" r:id="rId1"/>
    <sheet name="Allocation" sheetId="2" state="visible" r:id="rId2"/>
    <sheet name="_CALC_ALLOC" sheetId="3" state="hidden" r:id="rId3"/>
  </sheets>
  <definedNames>
    <definedName name="ALLOC_BRAND_CAMP" isReadOnly="false">Allocation!$C$8</definedName>
    <definedName name="ALLOC_CAMP_CLASS" isReadOnly="false">Allocation!$C$9</definedName>
    <definedName name="ALLOC_GRP_BRAND" isReadOnly="false">Allocation!$C$6</definedName>
    <definedName name="ALLOC_GRP_MARQUE" isReadOnly="false">Allocation!$C$7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-#,##0;&quot;–&quot;"/>
    <numFmt numFmtId="165" formatCode="#,##0&quot; €&quot;;\-#,##0&quot; €&quot;;&quot;–&quot;"/>
    <numFmt numFmtId="166" formatCode="0.0%;\-0.0%;&quot;–&quot;"/>
  </numFmts>
  <fonts count="30">
    <font>
      <name val="Aptos Narrow"/>
      <color theme="1"/>
      <sz val="11"/>
      <scheme val="minor"/>
    </font>
    <font>
      <name val="Aptos Narrow"/>
      <b val="1"/>
      <color theme="1"/>
      <sz val="11"/>
      <scheme val="minor"/>
    </font>
    <font>
      <name val="Arial"/>
      <color rgb="FF3B3B3B"/>
      <sz val="11"/>
    </font>
    <font>
      <name val="Arial"/>
      <b val="1"/>
      <color rgb="FF1F3864"/>
      <sz val="11"/>
    </font>
    <font>
      <name val="Arial"/>
      <b val="1"/>
      <color rgb="FF1B5FA6"/>
      <sz val="11"/>
    </font>
    <font>
      <name val="Arial"/>
      <b val="1"/>
      <color rgb="FF2E7D42"/>
      <sz val="11"/>
    </font>
    <font>
      <name val="Arial"/>
      <color rgb="FF2E7D42"/>
      <sz val="11"/>
    </font>
    <font>
      <name val="Aptos Narrow"/>
      <b val="1"/>
      <i val="1"/>
      <color theme="1"/>
      <sz val="11"/>
      <scheme val="minor"/>
    </font>
    <font>
      <name val="Aptos Narrow"/>
      <color theme="0"/>
      <sz val="11"/>
      <scheme val="minor"/>
    </font>
    <font>
      <name val="Arial"/>
      <b val="1"/>
      <color theme="1"/>
      <sz val="11"/>
    </font>
    <font>
      <name val="Arial"/>
      <b val="1"/>
      <color rgb="FF15406E"/>
      <sz val="10"/>
    </font>
    <font>
      <name val="Arial"/>
      <b val="1"/>
      <color rgb="FF333333"/>
      <sz val="10"/>
    </font>
    <font>
      <name val="Arial"/>
      <color rgb="FF555555"/>
      <sz val="10"/>
    </font>
    <font>
      <name val="Arial"/>
      <b val="1"/>
      <color theme="1"/>
      <sz val="10"/>
    </font>
    <font>
      <name val="Arial"/>
      <b val="1"/>
      <color rgb="FF15406E"/>
      <sz val="9"/>
    </font>
    <font>
      <name val="Arial"/>
      <b val="1"/>
      <color rgb="FFB8860B"/>
      <sz val="11"/>
    </font>
    <font>
      <name val="Calibri"/>
      <b val="1"/>
      <color theme="1"/>
      <sz val="16"/>
    </font>
    <font>
      <name val="Arial"/>
      <b val="1"/>
      <color theme="1"/>
      <sz val="18"/>
    </font>
    <font>
      <name val="Arial"/>
      <b val="1"/>
      <color rgb="FF262626"/>
      <sz val="14"/>
    </font>
    <font>
      <name val="Arial"/>
      <b val="1"/>
      <color rgb="FF262626"/>
      <sz val="10.5"/>
    </font>
    <font>
      <name val="Arial"/>
      <b val="1"/>
      <color rgb="FF262626"/>
      <sz val="11"/>
    </font>
    <font>
      <name val="Arial"/>
      <b val="1"/>
      <color rgb="FF262626"/>
      <sz val="8.5"/>
    </font>
    <font>
      <name val="Arial"/>
      <b val="1"/>
      <color rgb="FFFFFFFF"/>
      <sz val="8.5"/>
    </font>
    <font>
      <name val="Arial"/>
      <b val="1"/>
      <color rgb="FF15406E"/>
      <sz val="10"/>
    </font>
    <font>
      <name val="Arial"/>
      <b val="1"/>
      <color rgb="FF1F3864"/>
      <sz val="11"/>
    </font>
    <font>
      <name val="Arial"/>
      <b val="1"/>
      <color rgb="FF2E7D42"/>
      <sz val="11"/>
    </font>
    <font>
      <name val="Arial"/>
      <b val="1"/>
      <color rgb="FF333333"/>
      <sz val="10"/>
    </font>
    <font>
      <name val="Arial"/>
      <b val="1"/>
      <color rgb="FF262626"/>
      <sz val="10"/>
    </font>
    <font>
      <name val="Arial"/>
      <color rgb="FF808080"/>
      <sz val="8"/>
    </font>
    <font>
      <name val="Arial"/>
      <b val="1"/>
      <color rgb="FF262626"/>
      <sz val="8"/>
    </font>
  </fonts>
  <fills count="2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4E6FA"/>
      </patternFill>
    </fill>
    <fill>
      <patternFill patternType="solid">
        <fgColor rgb="FFF7F7F9"/>
      </patternFill>
    </fill>
    <fill>
      <patternFill patternType="solid">
        <fgColor rgb="FFFFFFFF"/>
      </patternFill>
    </fill>
    <fill>
      <patternFill patternType="solid">
        <fgColor rgb="FFDDF2E3"/>
      </patternFill>
    </fill>
    <fill>
      <patternFill patternType="solid">
        <fgColor rgb="FFFBEFD0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FCC66"/>
      </patternFill>
    </fill>
    <fill>
      <patternFill patternType="solid">
        <fgColor rgb="FFE8F0FB"/>
      </patternFill>
    </fill>
    <fill>
      <patternFill patternType="solid">
        <fgColor rgb="FFECEEF1"/>
      </patternFill>
    </fill>
    <fill>
      <patternFill patternType="solid">
        <fgColor rgb="FF007AC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8F1F9"/>
        <bgColor indexed="64"/>
      </patternFill>
    </fill>
    <fill>
      <patternFill patternType="solid">
        <fgColor rgb="FFF7F7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</patternFill>
    </fill>
  </fills>
  <borders count="18">
    <border>
      <left/>
      <right/>
      <top/>
      <bottom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000000"/>
      </bottom>
      <diagonal/>
    </border>
    <border>
      <left/>
      <right/>
      <bottom style="thin">
        <color rgb="FF262626"/>
      </bottom>
      <diagonal/>
    </border>
    <border>
      <left style="thin">
        <color rgb="FFE0E0E0"/>
      </left>
      <right style="thin">
        <color rgb="FFE0E0E0"/>
      </right>
      <bottom style="thin">
        <color rgb="FF262626"/>
      </bottom>
      <diagonal/>
    </border>
    <border>
      <left style="thin">
        <color rgb="FFD9D9D9"/>
      </left>
      <right style="thin">
        <color rgb="FFD9D9D9"/>
      </right>
      <bottom style="thin">
        <color rgb="FF262626"/>
      </bottom>
      <diagonal/>
    </border>
    <border>
      <left style="thin">
        <color rgb="FFE0A800"/>
      </left>
      <right style="thin">
        <color rgb="FFE0A800"/>
      </right>
      <bottom style="thin">
        <color rgb="FF262626"/>
      </bottom>
      <diagonal/>
    </border>
    <border>
      <left style="thin">
        <color rgb="FFE0A800"/>
      </left>
      <right style="thin">
        <color rgb="FFE0A800"/>
      </right>
      <top style="thin">
        <color rgb="FF262626"/>
      </top>
      <bottom style="thin">
        <color rgb="FF262626"/>
      </bottom>
      <diagonal/>
    </border>
    <border>
      <left style="thin">
        <color rgb="FFE0E0E0"/>
      </left>
      <right style="thin">
        <color rgb="FFE0E0E0"/>
      </right>
      <top style="thin">
        <color rgb="FF262626"/>
      </top>
      <bottom style="thin">
        <color rgb="FF262626"/>
      </bottom>
      <diagonal/>
    </border>
    <border>
      <left style="thin">
        <color rgb="FFE0E0E0"/>
      </left>
      <right style="thin">
        <color rgb="FFE0E0E0"/>
      </right>
      <bottom style="thin">
        <color rgb="FFD5D7DA"/>
      </bottom>
      <diagonal/>
    </border>
    <border>
      <left style="thin">
        <color rgb="FFD9D9D9"/>
      </left>
      <right style="thin">
        <color rgb="FFD9D9D9"/>
      </right>
      <bottom style="thin">
        <color rgb="FFD5D7DA"/>
      </bottom>
      <diagonal/>
    </border>
    <border>
      <left style="thin">
        <color rgb="FFE0E0E0"/>
      </left>
      <right style="thin">
        <color rgb="FFE0E0E0"/>
      </right>
      <top style="thin">
        <color rgb="FF262626"/>
      </top>
      <bottom style="double">
        <color rgb="FF262626"/>
      </bottom>
      <diagonal/>
    </border>
    <border>
      <left style="thin">
        <color rgb="FFD9D9D9"/>
      </left>
      <right style="thin">
        <color rgb="FFD9D9D9"/>
      </right>
      <top style="thin">
        <color rgb="FF262626"/>
      </top>
      <bottom style="double">
        <color rgb="FF262626"/>
      </bottom>
      <diagonal/>
    </border>
    <border>
      <top style="thin">
        <color rgb="FF262626"/>
      </top>
      <bottom style="thin">
        <color rgb="FF262626"/>
      </bottom>
    </border>
  </borders>
  <cellStyleXfs count="2">
    <xf numFmtId="0" fontId="0" fillId="0" borderId="1"/>
    <xf numFmtId="43" fontId="0" fillId="0" borderId="1"/>
  </cellStyleXfs>
  <cellXfs count="90">
    <xf numFmtId="0" fontId="0" fillId="0" borderId="1" pivotButton="0" quotePrefix="0" xfId="0"/>
    <xf numFmtId="0" fontId="8" fillId="0" borderId="1" pivotButton="0" quotePrefix="0" xfId="0"/>
    <xf numFmtId="0" fontId="7" fillId="0" borderId="1" pivotButton="0" quotePrefix="1" xfId="0"/>
    <xf numFmtId="0" fontId="1" fillId="0" borderId="1" pivotButton="0" quotePrefix="1" xfId="0"/>
    <xf numFmtId="0" fontId="16" fillId="0" borderId="6" applyAlignment="1" pivotButton="0" quotePrefix="0" xfId="0">
      <alignment horizontal="left" vertical="bottom"/>
    </xf>
    <xf numFmtId="0" fontId="17" fillId="0" borderId="6" applyAlignment="1" pivotButton="0" quotePrefix="0" xfId="0">
      <alignment horizontal="left" vertical="center"/>
    </xf>
    <xf numFmtId="0" fontId="14" fillId="3" borderId="5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0" fontId="14" fillId="11" borderId="5" applyAlignment="1" pivotButton="0" quotePrefix="0" xfId="0">
      <alignment horizontal="center" vertical="center" wrapText="1"/>
    </xf>
    <xf numFmtId="0" fontId="14" fillId="12" borderId="5" applyAlignment="1" pivotButton="0" quotePrefix="0" xfId="0">
      <alignment horizontal="center" vertical="center" wrapText="1"/>
    </xf>
    <xf numFmtId="0" fontId="14" fillId="7" borderId="5" applyAlignment="1" pivotButton="0" quotePrefix="0" xfId="0">
      <alignment horizontal="center" vertical="center" wrapText="1"/>
    </xf>
    <xf numFmtId="0" fontId="15" fillId="0" borderId="1" pivotButton="0" quotePrefix="0" xfId="0"/>
    <xf numFmtId="0" fontId="11" fillId="4" borderId="4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12" fillId="5" borderId="4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10" fillId="6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left" vertical="center"/>
    </xf>
    <xf numFmtId="0" fontId="10" fillId="8" borderId="4" applyAlignment="1" pivotButton="0" quotePrefix="0" xfId="0">
      <alignment horizontal="left" vertical="center"/>
    </xf>
    <xf numFmtId="0" fontId="10" fillId="9" borderId="4" applyAlignment="1" pivotButton="0" quotePrefix="0" xfId="0">
      <alignment horizontal="left" vertical="center"/>
    </xf>
    <xf numFmtId="0" fontId="13" fillId="10" borderId="4" pivotButton="0" quotePrefix="0" xfId="0"/>
    <xf numFmtId="0" fontId="0" fillId="13" borderId="1" pivotButton="0" quotePrefix="0" xfId="0"/>
    <xf numFmtId="0" fontId="1" fillId="13" borderId="1" pivotButton="0" quotePrefix="1" xfId="0"/>
    <xf numFmtId="0" fontId="18" fillId="0" borderId="6" applyAlignment="1" pivotButton="0" quotePrefix="0" xfId="0">
      <alignment horizontal="left" vertical="center"/>
    </xf>
    <xf numFmtId="0" fontId="19" fillId="0" borderId="7" pivotButton="0" quotePrefix="0" xfId="0"/>
    <xf numFmtId="0" fontId="19" fillId="4" borderId="8" applyAlignment="1" pivotButton="0" quotePrefix="0" xfId="0">
      <alignment horizontal="left" vertical="center"/>
    </xf>
    <xf numFmtId="164" fontId="19" fillId="0" borderId="9" applyAlignment="1" pivotButton="0" quotePrefix="0" xfId="0">
      <alignment horizontal="right" vertical="center"/>
    </xf>
    <xf numFmtId="165" fontId="19" fillId="0" borderId="9" applyAlignment="1" pivotButton="0" quotePrefix="0" xfId="0">
      <alignment horizontal="right" vertical="center"/>
    </xf>
    <xf numFmtId="0" fontId="19" fillId="0" borderId="7" applyAlignment="1" pivotButton="0" quotePrefix="0" xfId="0">
      <alignment horizontal="left" vertical="center"/>
    </xf>
    <xf numFmtId="0" fontId="19" fillId="2" borderId="10" applyAlignment="1" pivotButton="0" quotePrefix="0" xfId="0">
      <alignment horizontal="center" vertical="center" wrapText="1"/>
    </xf>
    <xf numFmtId="0" fontId="20" fillId="14" borderId="11" applyAlignment="1" pivotButton="0" quotePrefix="0" xfId="0">
      <alignment horizontal="center" vertical="center" wrapText="1"/>
    </xf>
    <xf numFmtId="0" fontId="19" fillId="14" borderId="11" applyAlignment="1" pivotButton="0" quotePrefix="0" xfId="0">
      <alignment horizontal="center" vertical="center" wrapText="1"/>
    </xf>
    <xf numFmtId="0" fontId="21" fillId="15" borderId="12" applyAlignment="1" pivotButton="0" quotePrefix="0" xfId="0">
      <alignment horizontal="center" vertical="center" wrapText="1"/>
    </xf>
    <xf numFmtId="0" fontId="22" fillId="13" borderId="12" applyAlignment="1" pivotButton="0" quotePrefix="0" xfId="0">
      <alignment horizontal="center" vertical="center" wrapText="1"/>
    </xf>
    <xf numFmtId="0" fontId="23" fillId="16" borderId="13" applyAlignment="1" pivotButton="0" quotePrefix="0" xfId="0">
      <alignment horizontal="left" vertical="center"/>
    </xf>
    <xf numFmtId="164" fontId="24" fillId="16" borderId="14" applyAlignment="1" pivotButton="0" quotePrefix="0" xfId="0">
      <alignment horizontal="right" vertical="center"/>
    </xf>
    <xf numFmtId="165" fontId="24" fillId="16" borderId="14" applyAlignment="1" pivotButton="0" quotePrefix="0" xfId="0">
      <alignment horizontal="right" vertical="center"/>
    </xf>
    <xf numFmtId="165" fontId="25" fillId="16" borderId="14" applyAlignment="1" pivotButton="0" quotePrefix="0" xfId="0">
      <alignment horizontal="right" vertical="center"/>
    </xf>
    <xf numFmtId="166" fontId="24" fillId="16" borderId="14" applyAlignment="1" pivotButton="0" quotePrefix="0" xfId="0">
      <alignment horizontal="right" vertical="center"/>
    </xf>
    <xf numFmtId="0" fontId="26" fillId="17" borderId="13" applyAlignment="1" pivotButton="0" quotePrefix="0" xfId="0">
      <alignment horizontal="left" vertical="center"/>
    </xf>
    <xf numFmtId="164" fontId="24" fillId="17" borderId="14" applyAlignment="1" pivotButton="0" quotePrefix="0" xfId="0">
      <alignment horizontal="right" vertical="center"/>
    </xf>
    <xf numFmtId="165" fontId="24" fillId="17" borderId="14" applyAlignment="1" pivotButton="0" quotePrefix="0" xfId="0">
      <alignment horizontal="right" vertical="center"/>
    </xf>
    <xf numFmtId="165" fontId="25" fillId="17" borderId="14" applyAlignment="1" pivotButton="0" quotePrefix="0" xfId="0">
      <alignment horizontal="right" vertical="center"/>
    </xf>
    <xf numFmtId="166" fontId="24" fillId="17" borderId="14" applyAlignment="1" pivotButton="0" quotePrefix="0" xfId="0">
      <alignment horizontal="right" vertical="center"/>
    </xf>
    <xf numFmtId="0" fontId="12" fillId="18" borderId="13" applyAlignment="1" pivotButton="0" quotePrefix="0" xfId="0">
      <alignment horizontal="left" vertical="center"/>
    </xf>
    <xf numFmtId="164" fontId="2" fillId="18" borderId="14" applyAlignment="1" pivotButton="0" quotePrefix="0" xfId="0">
      <alignment horizontal="right" vertical="center"/>
    </xf>
    <xf numFmtId="165" fontId="2" fillId="18" borderId="14" applyAlignment="1" pivotButton="0" quotePrefix="0" xfId="0">
      <alignment horizontal="right" vertical="center"/>
    </xf>
    <xf numFmtId="165" fontId="3" fillId="18" borderId="14" applyAlignment="1" pivotButton="0" quotePrefix="0" xfId="0">
      <alignment horizontal="right" vertical="center"/>
    </xf>
    <xf numFmtId="165" fontId="6" fillId="18" borderId="14" applyAlignment="1" pivotButton="0" quotePrefix="0" xfId="0">
      <alignment horizontal="right" vertical="center"/>
    </xf>
    <xf numFmtId="166" fontId="2" fillId="18" borderId="14" applyAlignment="1" pivotButton="0" quotePrefix="0" xfId="0">
      <alignment horizontal="right" vertical="center"/>
    </xf>
    <xf numFmtId="0" fontId="27" fillId="15" borderId="15" pivotButton="0" quotePrefix="0" xfId="0"/>
    <xf numFmtId="164" fontId="20" fillId="15" borderId="16" applyAlignment="1" pivotButton="0" quotePrefix="0" xfId="0">
      <alignment horizontal="right" vertical="center"/>
    </xf>
    <xf numFmtId="165" fontId="20" fillId="15" borderId="16" applyAlignment="1" pivotButton="0" quotePrefix="0" xfId="0">
      <alignment horizontal="right" vertical="center"/>
    </xf>
    <xf numFmtId="166" fontId="20" fillId="15" borderId="16" applyAlignment="1" pivotButton="0" quotePrefix="0" xfId="0">
      <alignment horizontal="right" vertical="center"/>
    </xf>
    <xf numFmtId="0" fontId="0" fillId="0" borderId="0" pivotButton="0" quotePrefix="0" xfId="0"/>
    <xf numFmtId="164" fontId="19" fillId="0" borderId="9" applyAlignment="1" pivotButton="0" quotePrefix="0" xfId="0">
      <alignment horizontal="right" vertical="center"/>
    </xf>
    <xf numFmtId="165" fontId="19" fillId="0" borderId="9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9" fillId="19" borderId="17" applyAlignment="1" pivotButton="0" quotePrefix="0" xfId="0">
      <alignment horizontal="left" vertical="center"/>
    </xf>
    <xf numFmtId="164" fontId="24" fillId="16" borderId="14" applyAlignment="1" pivotButton="0" quotePrefix="0" xfId="0">
      <alignment horizontal="right" vertical="center"/>
    </xf>
    <xf numFmtId="165" fontId="24" fillId="16" borderId="14" applyAlignment="1" pivotButton="0" quotePrefix="0" xfId="0">
      <alignment horizontal="right" vertical="center"/>
    </xf>
    <xf numFmtId="165" fontId="25" fillId="16" borderId="14" applyAlignment="1" pivotButton="0" quotePrefix="0" xfId="0">
      <alignment horizontal="right" vertical="center"/>
    </xf>
    <xf numFmtId="166" fontId="24" fillId="16" borderId="14" applyAlignment="1" pivotButton="0" quotePrefix="0" xfId="0">
      <alignment horizontal="right" vertical="center"/>
    </xf>
    <xf numFmtId="0" fontId="28" fillId="0" borderId="0" pivotButton="0" quotePrefix="0" xfId="0"/>
    <xf numFmtId="0" fontId="26" fillId="17" borderId="13" applyAlignment="1" pivotButton="0" quotePrefix="0" xfId="0">
      <alignment horizontal="left" vertical="center" indent="1"/>
    </xf>
    <xf numFmtId="164" fontId="24" fillId="17" borderId="14" applyAlignment="1" pivotButton="0" quotePrefix="0" xfId="0">
      <alignment horizontal="right" vertical="center"/>
    </xf>
    <xf numFmtId="165" fontId="24" fillId="17" borderId="14" applyAlignment="1" pivotButton="0" quotePrefix="0" xfId="0">
      <alignment horizontal="right" vertical="center"/>
    </xf>
    <xf numFmtId="165" fontId="25" fillId="17" borderId="14" applyAlignment="1" pivotButton="0" quotePrefix="0" xfId="0">
      <alignment horizontal="right" vertical="center"/>
    </xf>
    <xf numFmtId="166" fontId="24" fillId="17" borderId="14" applyAlignment="1" pivotButton="0" quotePrefix="0" xfId="0">
      <alignment horizontal="right" vertical="center"/>
    </xf>
    <xf numFmtId="0" fontId="12" fillId="18" borderId="13" applyAlignment="1" pivotButton="0" quotePrefix="0" xfId="0">
      <alignment horizontal="left" vertical="center" indent="2"/>
    </xf>
    <xf numFmtId="164" fontId="2" fillId="18" borderId="14" applyAlignment="1" pivotButton="0" quotePrefix="0" xfId="0">
      <alignment horizontal="right" vertical="center"/>
    </xf>
    <xf numFmtId="165" fontId="2" fillId="18" borderId="14" applyAlignment="1" pivotButton="0" quotePrefix="0" xfId="0">
      <alignment horizontal="right" vertical="center"/>
    </xf>
    <xf numFmtId="165" fontId="3" fillId="18" borderId="14" applyAlignment="1" pivotButton="0" quotePrefix="0" xfId="0">
      <alignment horizontal="right" vertical="center"/>
    </xf>
    <xf numFmtId="165" fontId="6" fillId="18" borderId="14" applyAlignment="1" pivotButton="0" quotePrefix="0" xfId="0">
      <alignment horizontal="right" vertical="center"/>
    </xf>
    <xf numFmtId="166" fontId="2" fillId="18" borderId="14" applyAlignment="1" pivotButton="0" quotePrefix="0" xfId="0">
      <alignment horizontal="right" vertical="center"/>
    </xf>
    <xf numFmtId="0" fontId="27" fillId="15" borderId="15" applyAlignment="1" pivotButton="0" quotePrefix="0" xfId="0">
      <alignment horizontal="left" vertical="center"/>
    </xf>
    <xf numFmtId="164" fontId="20" fillId="15" borderId="16" applyAlignment="1" pivotButton="0" quotePrefix="0" xfId="0">
      <alignment horizontal="right" vertical="center"/>
    </xf>
    <xf numFmtId="165" fontId="20" fillId="15" borderId="16" applyAlignment="1" pivotButton="0" quotePrefix="0" xfId="0">
      <alignment horizontal="right" vertical="center"/>
    </xf>
    <xf numFmtId="166" fontId="20" fillId="15" borderId="16" applyAlignment="1" pivotButton="0" quotePrefix="0" xfId="0">
      <alignment horizontal="right" vertical="center"/>
    </xf>
  </cellXfs>
  <cellStyles count="2">
    <cellStyle name="Normal" xfId="0" builtinId="0"/>
    <cellStyle name="Milliers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184150</colOff>
      <row>0</row>
      <rowOff>69850</rowOff>
    </from>
    <to>
      <col>1</col>
      <colOff>1873463</colOff>
      <row>1</row>
      <rowOff>516687</rowOff>
    </to>
    <pic>
      <nvPicPr>
        <cNvPr id="2" name="Image 1"/>
        <cNvPicPr>
          <a:picLocks noChangeAspect="1"/>
        </cNvPicPr>
      </nvPicPr>
      <blipFill>
        <a:blip r:embed="rId1"/>
        <a:srcRect l="0" t="18675" r="0" b="33829"/>
        <a:stretch>
          <a:fillRect/>
        </a:stretch>
      </blipFill>
      <spPr>
        <a:xfrm>
          <a:off x="184150" y="69850"/>
          <a:ext cx="1900980" cy="690254"/>
        </a:xfrm>
        <a:prstGeom prst="rect">
          <avLst/>
        </a:prstGeom>
        <a:noFill/>
        <a:ln cmpd="sng">
          <a:noFill/>
          <a:prstDash val="solid"/>
        </a:ln>
      </spPr>
    </pic>
    <clientData/>
  </twoCellAnchor>
  <twoCellAnchor editAs="oneCell">
    <from>
      <col>10</col>
      <colOff>896470</colOff>
      <row>0</row>
      <rowOff>74705</rowOff>
    </from>
    <to>
      <col>11</col>
      <colOff>660027</colOff>
      <row>1</row>
      <rowOff>692757</rowOff>
    </to>
    <pic>
      <nvPicPr>
        <cNvPr id="3" name="Picture 16"/>
        <cNvPicPr>
          <a:picLocks noChangeAspect="1"/>
        </cNvPicPr>
      </nvPicPr>
      <blipFill>
        <a:blip r:embed="rId2"/>
        <a:srcRect l="0" t="0" r="0" b="0"/>
        <a:stretch>
          <a:fillRect/>
        </a:stretch>
      </blipFill>
      <spPr>
        <a:xfrm>
          <a:off x="12749803" y="74705"/>
          <a:ext cx="716057" cy="861469"/>
        </a:xfrm>
        <a:prstGeom prst="rect">
          <avLst/>
        </a:prstGeom>
        <a:noFill/>
        <a:ln cmpd="sng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B10"/>
  <sheetViews>
    <sheetView topLeftCell="A1" workbookViewId="0">
      <selection activeCell="A1" sqref="A1"/>
    </sheetView>
  </sheetViews>
  <sheetFormatPr baseColWidth="8" defaultColWidth="9.140625" defaultRowHeight="14.4975" customHeight="1"/>
  <sheetData>
    <row r="10" ht="14.4975" customHeight="1" s="64">
      <c r="A10" s="0" t="inlineStr">
        <is>
          <t>Template09</t>
        </is>
      </c>
      <c r="B10" s="0">
        <f>Allocation!B65537</f>
        <v/>
      </c>
    </row>
  </sheetData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CJ361"/>
  <sheetViews>
    <sheetView showGridLines="0" showRowColHeaders="0" tabSelected="1" topLeftCell="A1" zoomScale="90" workbookViewId="0">
      <selection activeCell="L17" sqref="L17"/>
    </sheetView>
  </sheetViews>
  <sheetFormatPr baseColWidth="8" defaultColWidth="9.140625" defaultRowHeight="14.4975" customHeight="1" outlineLevelRow="2"/>
  <cols>
    <col width="3.140625" customWidth="1" style="64" min="1" max="1"/>
    <col width="48.57421875" customWidth="1" style="64" min="2" max="2"/>
    <col width="20.140625" customWidth="1" style="64" min="3" max="3"/>
    <col width="17.140625" customWidth="1" style="64" min="4" max="4"/>
    <col width="13.57421875" customWidth="1" style="64" min="5" max="5"/>
    <col width="17.8515625" customWidth="1" style="64" min="6" max="6"/>
    <col width="14.140625" customWidth="1" style="64" min="7" max="12"/>
    <col width="11" customWidth="1" style="64" min="13" max="13"/>
    <col hidden="1" width="16" customWidth="1" style="64" min="20" max="20"/>
    <col hidden="1" width="16" customWidth="1" style="64" min="21" max="21"/>
    <col hidden="1" width="16" customWidth="1" style="64" min="22" max="22"/>
    <col hidden="1" width="16" customWidth="1" style="64" min="23" max="23"/>
    <col hidden="1" width="16" customWidth="1" style="64" min="24" max="24"/>
    <col hidden="1" width="16" customWidth="1" style="64" min="25" max="25"/>
    <col hidden="1" width="16" customWidth="1" style="64" min="26" max="26"/>
    <col hidden="1" width="12.7109375" customWidth="1" style="64" min="58" max="58"/>
    <col hidden="1" width="10.00390625" customWidth="1" style="64" min="59" max="60"/>
    <col hidden="1" width="11.57421875" customWidth="1" style="64" min="61" max="61"/>
    <col hidden="1" width="13.8515625" customWidth="1" style="64" min="62" max="62"/>
    <col hidden="1" width="10.00390625" customWidth="1" style="64" min="63" max="63"/>
    <col hidden="1" width="15.00390625" customWidth="1" style="64" min="64" max="64"/>
    <col hidden="1" width="11.8515625" customWidth="1" style="64" min="65" max="65"/>
    <col hidden="1" width="12.140625" customWidth="1" style="64" min="66" max="66"/>
    <col hidden="1" width="10.421875" customWidth="1" style="64" min="67" max="67"/>
    <col hidden="1" width="12.8515625" customWidth="1" style="64" min="68" max="68"/>
    <col hidden="1" width="13.57421875" customWidth="1" style="64" min="69" max="69"/>
    <col hidden="1" width="12.57421875" customWidth="1" style="64" min="70" max="70"/>
    <col hidden="1" width="13.57421875" customWidth="1" style="64" min="71" max="71"/>
    <col hidden="1" width="12.7109375" customWidth="1" style="64" min="72" max="72"/>
    <col hidden="1" width="15.7109375" customWidth="1" style="64" min="73" max="73"/>
    <col hidden="1" width="16.8515625" customWidth="1" style="64" min="74" max="74"/>
    <col hidden="1" width="17.421875" customWidth="1" style="64" min="75" max="75"/>
    <col hidden="1" width="13.7109375" customWidth="1" style="64" min="76" max="76"/>
    <col hidden="1" width="18.00390625" customWidth="1" style="64" min="77" max="77"/>
    <col hidden="1" width="20.140625" customWidth="1" style="64" min="78" max="78"/>
    <col hidden="1" width="17.8515625" customWidth="1" style="64" min="79" max="79"/>
    <col hidden="1" width="21.57421875" customWidth="1" style="64" min="80" max="80"/>
    <col hidden="1" width="11.00390625" customWidth="1" style="64" min="81" max="81"/>
    <col hidden="1" width="13.57421875" customWidth="1" style="64" min="82" max="82"/>
    <col hidden="1" width="13.7109375" customWidth="1" style="64" min="83" max="83"/>
    <col hidden="1" width="13.57421875" customWidth="1" style="64" min="84" max="84"/>
    <col hidden="1" width="12.421875" customWidth="1" style="64" min="85" max="85"/>
    <col hidden="1" width="16.00390625" customWidth="1" style="64" min="86" max="86"/>
    <col hidden="1" width="17.57421875" customWidth="1" style="64" min="87" max="87"/>
    <col hidden="1" width="24.421875" customWidth="1" style="64" min="88" max="88"/>
  </cols>
  <sheetData>
    <row r="1" ht="18.75" customHeight="1" s="64">
      <c r="N1" s="1">
        <f>IF($C$6="Chiffre d'affaires","REV_CA",IF($C$6="Nombre de classes","VOL_CLASS","VOL_EFF"))</f>
        <v/>
      </c>
      <c r="P1" s="1">
        <f>IF($C$12="Optimiste","V02",IF($C$12="Prudent","V03","V01"))</f>
        <v/>
      </c>
      <c r="BF1" s="2" t="inlineStr">
        <is>
          <t>SCENARIO</t>
        </is>
      </c>
      <c r="BG1" s="3" t="inlineStr">
        <is>
          <t>VERSION</t>
        </is>
      </c>
      <c r="BH1" s="3" t="inlineStr">
        <is>
          <t>PERIODE</t>
        </is>
      </c>
      <c r="BI1" s="3" t="inlineStr">
        <is>
          <t>EXERCICE</t>
        </is>
      </c>
      <c r="BJ1" s="3" t="inlineStr">
        <is>
          <t>ENTITY</t>
        </is>
      </c>
      <c r="BK1" s="3" t="inlineStr">
        <is>
          <t>MARQUE</t>
        </is>
      </c>
      <c r="BL1" s="3" t="inlineStr">
        <is>
          <t>PROGRAMME</t>
        </is>
      </c>
      <c r="BM1" s="3" t="inlineStr">
        <is>
          <t>AN_ETUDE</t>
        </is>
      </c>
      <c r="BN1" s="3" t="inlineStr">
        <is>
          <t>MODALITE</t>
        </is>
      </c>
      <c r="BO1" s="3" t="inlineStr">
        <is>
          <t>VOL_EFF</t>
        </is>
      </c>
      <c r="BP1" s="3" t="inlineStr">
        <is>
          <t>VOL_CLASS</t>
        </is>
      </c>
      <c r="BQ1" s="3" t="inlineStr">
        <is>
          <t>CA</t>
        </is>
      </c>
      <c r="BR1" s="3" t="inlineStr">
        <is>
          <t>COST_VAC</t>
        </is>
      </c>
      <c r="BS1" s="3" t="inlineStr">
        <is>
          <t>COST_PERM</t>
        </is>
      </c>
      <c r="BT1" s="3" t="inlineStr">
        <is>
          <t>COST_ODIR</t>
        </is>
      </c>
      <c r="BU1" s="3" t="inlineStr">
        <is>
          <t>COST_STRUCT</t>
        </is>
      </c>
      <c r="BV1" s="3" t="inlineStr">
        <is>
          <t>COST_MARQUE</t>
        </is>
      </c>
      <c r="BW1" s="3" t="inlineStr">
        <is>
          <t>COST_HOLDING</t>
        </is>
      </c>
      <c r="BX1" s="3" t="inlineStr">
        <is>
          <t>COST_SIEGE</t>
        </is>
      </c>
      <c r="BY1" s="3" t="inlineStr">
        <is>
          <t>COST_VARIABLE</t>
        </is>
      </c>
      <c r="BZ1" s="3" t="inlineStr">
        <is>
          <t>COST_STRUCTURE</t>
        </is>
      </c>
      <c r="CA1" s="3" t="inlineStr">
        <is>
          <t>COST_COMPLET</t>
        </is>
      </c>
      <c r="CB1" s="3" t="inlineStr">
        <is>
          <t>MARGE_COMPLETE</t>
        </is>
      </c>
      <c r="CC1" s="3" t="inlineStr">
        <is>
          <t>VOL_NEW</t>
        </is>
      </c>
      <c r="CD1" s="3" t="inlineStr">
        <is>
          <t>POOL_VAC</t>
        </is>
      </c>
      <c r="CE1" s="3" t="inlineStr">
        <is>
          <t>POOL_PERM</t>
        </is>
      </c>
      <c r="CF1" s="3" t="inlineStr">
        <is>
          <t>POOL_ODIR</t>
        </is>
      </c>
      <c r="CG1" s="3" t="inlineStr">
        <is>
          <t>POOL_MKT</t>
        </is>
      </c>
      <c r="CH1" s="3" t="inlineStr">
        <is>
          <t>POOL_STRUCT</t>
        </is>
      </c>
      <c r="CI1" s="3" t="inlineStr">
        <is>
          <t>POOL_HOLDING</t>
        </is>
      </c>
      <c r="CJ1" s="3" t="inlineStr">
        <is>
          <t>POOL_FRAIS_MARQUE</t>
        </is>
      </c>
    </row>
    <row r="2" ht="57.75" customHeight="1" s="64">
      <c r="B2" s="4" t="n"/>
      <c r="C2" s="4" t="n"/>
      <c r="D2" s="33" t="inlineStr">
        <is>
          <t>3 · Allocation &amp; RENTABILITE  —  Coût complet du groupe à la classe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1">
        <f>IF($C$7="Chiffre d'affaires","REV_CA",IF($C$7="Nombre de classes","VOL_CLASS","VOL_EFF"))</f>
        <v/>
      </c>
      <c r="BF2" s="3" t="inlineStr">
        <is>
          <t>2027BUD_V1</t>
        </is>
      </c>
      <c r="BG2" s="3" t="inlineStr">
        <is>
          <t>ACT</t>
        </is>
      </c>
      <c r="BH2" s="3" t="inlineStr">
        <is>
          <t>12</t>
        </is>
      </c>
      <c r="BI2" s="3" t="inlineStr">
        <is>
          <t>2024</t>
        </is>
      </c>
      <c r="BJ2" s="3" t="inlineStr">
        <is>
          <t>IPAC_MTP</t>
        </is>
      </c>
      <c r="BK2" s="3" t="inlineStr">
        <is>
          <t>IPAC</t>
        </is>
      </c>
      <c r="BL2" s="3" t="inlineStr">
        <is>
          <t>BAC_CCE</t>
        </is>
      </c>
      <c r="BM2" s="3" t="inlineStr">
        <is>
          <t>B1</t>
        </is>
      </c>
      <c r="BN2" s="3" t="inlineStr">
        <is>
          <t>ALT</t>
        </is>
      </c>
      <c r="BO2" s="3" t="n">
        <v>36</v>
      </c>
      <c r="BP2" s="3" t="n">
        <v>2</v>
      </c>
      <c r="BQ2" s="3" t="n">
        <v>242640</v>
      </c>
      <c r="BR2" s="3" t="n">
        <v>22035.977964</v>
      </c>
      <c r="BS2" s="3" t="n">
        <v>42519.027481</v>
      </c>
      <c r="BT2" s="3" t="n">
        <v>26165.051467</v>
      </c>
      <c r="BU2" s="3" t="n">
        <v>85770.027563</v>
      </c>
      <c r="BV2" s="3" t="n">
        <v>5796.892014</v>
      </c>
      <c r="BW2" s="3" t="n">
        <v>33312.214272</v>
      </c>
      <c r="BX2" s="3" t="n">
        <v>39109.106286</v>
      </c>
      <c r="BY2" s="3" t="n">
        <v>48201.029431</v>
      </c>
      <c r="BZ2" s="3" t="n">
        <v>167398.16133</v>
      </c>
      <c r="CA2" s="3" t="n">
        <v>215599.190761</v>
      </c>
      <c r="CB2" s="3" t="n">
        <v>27040.809239</v>
      </c>
      <c r="CC2" s="0" t="n">
        <v>36</v>
      </c>
      <c r="CD2" s="0" t="n">
        <v>66108</v>
      </c>
      <c r="CE2" s="0" t="n">
        <v>127557.21</v>
      </c>
      <c r="CF2" s="0" t="n">
        <v>39731</v>
      </c>
      <c r="CG2" s="0" t="n">
        <v>12543</v>
      </c>
      <c r="CH2" s="0" t="n">
        <v>257310.34</v>
      </c>
      <c r="CI2" s="0" t="n">
        <v>2639292</v>
      </c>
      <c r="CJ2" s="0" t="n">
        <v>499926</v>
      </c>
    </row>
    <row r="3" ht="14.4975" customHeight="1" s="64">
      <c r="A3" s="31" t="n"/>
      <c r="B3" s="31" t="n"/>
      <c r="C3" s="31" t="n"/>
      <c r="D3" s="31" t="n"/>
      <c r="E3" s="32" t="n"/>
      <c r="F3" s="32" t="n"/>
      <c r="G3" s="32" t="n"/>
      <c r="H3" s="32" t="n"/>
      <c r="I3" s="32" t="n"/>
      <c r="J3" s="31" t="n"/>
      <c r="K3" s="31" t="n"/>
      <c r="L3" s="31" t="n"/>
      <c r="M3" s="31" t="n"/>
      <c r="N3" s="1">
        <f>IF($C$8="Chiffre d'affaires","REV_CA",IF($C$8="Nombre de classes","VOL_CLASS","VOL_EFF"))</f>
        <v/>
      </c>
      <c r="BF3" s="0" t="inlineStr">
        <is>
          <t>2027BUD_V1</t>
        </is>
      </c>
      <c r="BG3" s="0" t="inlineStr">
        <is>
          <t>ACT</t>
        </is>
      </c>
      <c r="BH3" s="0" t="inlineStr">
        <is>
          <t>12</t>
        </is>
      </c>
      <c r="BI3" s="0" t="inlineStr">
        <is>
          <t>2024</t>
        </is>
      </c>
      <c r="BJ3" s="0" t="inlineStr">
        <is>
          <t>IPAC_MTP</t>
        </is>
      </c>
      <c r="BK3" s="0" t="inlineStr">
        <is>
          <t>IPAC</t>
        </is>
      </c>
      <c r="BL3" s="0" t="inlineStr">
        <is>
          <t>BAC_CCE</t>
        </is>
      </c>
      <c r="BM3" s="0" t="inlineStr">
        <is>
          <t>B2</t>
        </is>
      </c>
      <c r="BN3" s="0" t="inlineStr">
        <is>
          <t>ALT</t>
        </is>
      </c>
      <c r="BO3" s="0" t="n">
        <v>35</v>
      </c>
      <c r="BP3" s="0" t="n">
        <v>2</v>
      </c>
      <c r="BQ3" s="0" t="n">
        <v>232750</v>
      </c>
      <c r="BR3" s="0" t="n">
        <v>22035.977964</v>
      </c>
      <c r="BS3" s="0" t="n">
        <v>42519.027481</v>
      </c>
      <c r="BT3" s="0" t="n">
        <v>13243.653423</v>
      </c>
      <c r="BU3" s="0" t="n">
        <v>85770.027563</v>
      </c>
      <c r="BV3" s="0" t="n">
        <v>5796.892014</v>
      </c>
      <c r="BW3" s="0" t="n">
        <v>33312.214272</v>
      </c>
      <c r="BX3" s="0" t="n">
        <v>39109.106286</v>
      </c>
      <c r="BY3" s="0" t="n">
        <v>35279.631387</v>
      </c>
      <c r="BZ3" s="0" t="n">
        <v>167398.16133</v>
      </c>
      <c r="CA3" s="0" t="n">
        <v>202677.792717</v>
      </c>
      <c r="CB3" s="0" t="n">
        <v>30072.207283</v>
      </c>
      <c r="CC3" s="0" t="n">
        <v>0</v>
      </c>
      <c r="CD3" s="0" t="n">
        <v>66108</v>
      </c>
      <c r="CE3" s="0" t="n">
        <v>127557.21</v>
      </c>
      <c r="CF3" s="0" t="n">
        <v>39731</v>
      </c>
      <c r="CG3" s="0" t="n">
        <v>12543</v>
      </c>
      <c r="CH3" s="0" t="n">
        <v>257310.34</v>
      </c>
      <c r="CI3" s="0" t="n">
        <v>2639292</v>
      </c>
      <c r="CJ3" s="0" t="n">
        <v>499926</v>
      </c>
    </row>
    <row r="4" ht="23.25" customHeight="1" s="64">
      <c r="E4" s="6" t="inlineStr">
        <is>
          <t>Scénario</t>
        </is>
      </c>
      <c r="F4" s="7" t="inlineStr">
        <is>
          <t>Frais de structure campus</t>
        </is>
      </c>
      <c r="G4" s="8" t="inlineStr">
        <is>
          <t>Frais de marque</t>
        </is>
      </c>
      <c r="H4" s="9" t="inlineStr">
        <is>
          <t>Holding</t>
        </is>
      </c>
      <c r="I4" s="10" t="inlineStr">
        <is>
          <t>Total alloué</t>
        </is>
      </c>
      <c r="N4" s="1">
        <f>IF($C$9="Chiffre d'affaires","REV_CA",IF($C$9="Nombre de classes","VOL_CLASS","VOL_EFF"))</f>
        <v/>
      </c>
      <c r="BF4" s="0" t="inlineStr">
        <is>
          <t>2027BUD_V1</t>
        </is>
      </c>
      <c r="BG4" s="0" t="inlineStr">
        <is>
          <t>ACT</t>
        </is>
      </c>
      <c r="BH4" s="0" t="inlineStr">
        <is>
          <t>12</t>
        </is>
      </c>
      <c r="BI4" s="0" t="inlineStr">
        <is>
          <t>2024</t>
        </is>
      </c>
      <c r="BJ4" s="0" t="inlineStr">
        <is>
          <t>IPAC_MTP</t>
        </is>
      </c>
      <c r="BK4" s="0" t="inlineStr">
        <is>
          <t>IPAC</t>
        </is>
      </c>
      <c r="BL4" s="0" t="inlineStr">
        <is>
          <t>BAC_CCE</t>
        </is>
      </c>
      <c r="BM4" s="0" t="inlineStr">
        <is>
          <t>B3</t>
        </is>
      </c>
      <c r="BN4" s="0" t="inlineStr">
        <is>
          <t>ALT</t>
        </is>
      </c>
      <c r="BO4" s="0" t="n">
        <v>34</v>
      </c>
      <c r="BP4" s="0" t="n">
        <v>2</v>
      </c>
      <c r="BQ4" s="0" t="n">
        <v>226100</v>
      </c>
      <c r="BR4" s="0" t="n">
        <v>22035.977964</v>
      </c>
      <c r="BS4" s="0" t="n">
        <v>42519.027481</v>
      </c>
      <c r="BT4" s="0" t="n">
        <v>12865.255379</v>
      </c>
      <c r="BU4" s="0" t="n">
        <v>85770.027563</v>
      </c>
      <c r="BV4" s="0" t="n">
        <v>5796.892014</v>
      </c>
      <c r="BW4" s="0" t="n">
        <v>33312.214272</v>
      </c>
      <c r="BX4" s="0" t="n">
        <v>39109.106286</v>
      </c>
      <c r="BY4" s="0" t="n">
        <v>34901.233343</v>
      </c>
      <c r="BZ4" s="0" t="n">
        <v>167398.16133</v>
      </c>
      <c r="CA4" s="0" t="n">
        <v>202299.394673</v>
      </c>
      <c r="CB4" s="0" t="n">
        <v>23800.605327</v>
      </c>
      <c r="CC4" s="0" t="n">
        <v>0</v>
      </c>
      <c r="CD4" s="0" t="n">
        <v>66108</v>
      </c>
      <c r="CE4" s="0" t="n">
        <v>127557.21</v>
      </c>
      <c r="CF4" s="0" t="n">
        <v>39731</v>
      </c>
      <c r="CG4" s="0" t="n">
        <v>12543</v>
      </c>
      <c r="CH4" s="0" t="n">
        <v>257310.34</v>
      </c>
      <c r="CI4" s="0" t="n">
        <v>2639292</v>
      </c>
      <c r="CJ4" s="0" t="n">
        <v>499926</v>
      </c>
    </row>
    <row r="5" ht="14.4975" customHeight="1" s="64">
      <c r="B5" s="34" t="inlineStr">
        <is>
          <t>Cles d'Allocation (saisie)</t>
        </is>
      </c>
      <c r="C5" s="34" t="n"/>
      <c r="D5" s="34" t="n"/>
      <c r="E5" s="35" t="inlineStr">
        <is>
          <t>Cadrage</t>
        </is>
      </c>
      <c r="F5" s="65" t="n">
        <v>9045300.563606</v>
      </c>
      <c r="G5" s="66" t="n">
        <v>743978.4</v>
      </c>
      <c r="H5" s="66" t="n">
        <v>2975861.58142</v>
      </c>
      <c r="I5" s="66" t="n">
        <v>12765140.545026</v>
      </c>
      <c r="J5" s="34" t="n"/>
      <c r="K5" s="34" t="n"/>
      <c r="L5" s="34" t="n"/>
      <c r="M5" s="34" t="n"/>
      <c r="BF5" s="0" t="inlineStr">
        <is>
          <t>2027BUD_V1</t>
        </is>
      </c>
      <c r="BG5" s="0" t="inlineStr">
        <is>
          <t>ACT</t>
        </is>
      </c>
      <c r="BH5" s="0" t="inlineStr">
        <is>
          <t>12</t>
        </is>
      </c>
      <c r="BI5" s="0" t="inlineStr">
        <is>
          <t>2024</t>
        </is>
      </c>
      <c r="BJ5" s="0" t="inlineStr">
        <is>
          <t>IPAC_NAN</t>
        </is>
      </c>
      <c r="BK5" s="0" t="inlineStr">
        <is>
          <t>IPAC</t>
        </is>
      </c>
      <c r="BL5" s="0" t="inlineStr">
        <is>
          <t>BAC_CCE</t>
        </is>
      </c>
      <c r="BM5" s="0" t="inlineStr">
        <is>
          <t>B1</t>
        </is>
      </c>
      <c r="BN5" s="0" t="inlineStr">
        <is>
          <t>ALT</t>
        </is>
      </c>
      <c r="BO5" s="0" t="n">
        <v>44</v>
      </c>
      <c r="BP5" s="0" t="n">
        <v>2</v>
      </c>
      <c r="BQ5" s="0" t="n">
        <v>311960</v>
      </c>
      <c r="BR5" s="0" t="n">
        <v>22035.977964</v>
      </c>
      <c r="BS5" s="0" t="n">
        <v>51911.148089</v>
      </c>
      <c r="BT5" s="0" t="n">
        <v>34778.0254</v>
      </c>
      <c r="BU5" s="0" t="n">
        <v>120276.533057</v>
      </c>
      <c r="BV5" s="0" t="n">
        <v>7121.889486</v>
      </c>
      <c r="BW5" s="0" t="n">
        <v>40926.397803</v>
      </c>
      <c r="BX5" s="0" t="n">
        <v>48048.287289</v>
      </c>
      <c r="BY5" s="0" t="n">
        <v>56814.003364</v>
      </c>
      <c r="BZ5" s="0" t="n">
        <v>220235.968435</v>
      </c>
      <c r="CA5" s="0" t="n">
        <v>277049.971799</v>
      </c>
      <c r="CB5" s="0" t="n">
        <v>34910.028201</v>
      </c>
      <c r="CC5" s="0" t="n">
        <v>44</v>
      </c>
      <c r="CD5" s="0" t="n">
        <v>66108</v>
      </c>
      <c r="CE5" s="0" t="n">
        <v>155733.6</v>
      </c>
      <c r="CF5" s="0" t="n">
        <v>49240</v>
      </c>
      <c r="CG5" s="0" t="n">
        <v>17983</v>
      </c>
      <c r="CH5" s="0" t="n">
        <v>360829.96</v>
      </c>
      <c r="CI5" s="0" t="n">
        <v>2639292</v>
      </c>
      <c r="CJ5" s="0" t="n">
        <v>499926</v>
      </c>
    </row>
    <row r="6" ht="15.75" customHeight="1" s="64">
      <c r="B6" s="15" t="inlineStr">
        <is>
          <t>Clé d’allocation siège administratif → marque</t>
        </is>
      </c>
      <c r="C6" s="40" t="inlineStr">
        <is>
          <t>Nombre de classes</t>
        </is>
      </c>
      <c r="E6" s="12" t="inlineStr">
        <is>
          <t>Optimiste</t>
        </is>
      </c>
      <c r="F6" s="67" t="n">
        <v>8810446.735693</v>
      </c>
      <c r="G6" s="68" t="n">
        <v>777795.6</v>
      </c>
      <c r="H6" s="68" t="n">
        <v>2894009.992738</v>
      </c>
      <c r="I6" s="68" t="n">
        <v>12482252.328431</v>
      </c>
      <c r="BF6" s="0" t="inlineStr">
        <is>
          <t>2027BUD_V1</t>
        </is>
      </c>
      <c r="BG6" s="0" t="inlineStr">
        <is>
          <t>ACT</t>
        </is>
      </c>
      <c r="BH6" s="0" t="inlineStr">
        <is>
          <t>12</t>
        </is>
      </c>
      <c r="BI6" s="0" t="inlineStr">
        <is>
          <t>2024</t>
        </is>
      </c>
      <c r="BJ6" s="0" t="inlineStr">
        <is>
          <t>IPAC_NAN</t>
        </is>
      </c>
      <c r="BK6" s="0" t="inlineStr">
        <is>
          <t>IPAC</t>
        </is>
      </c>
      <c r="BL6" s="0" t="inlineStr">
        <is>
          <t>BAC_CCE</t>
        </is>
      </c>
      <c r="BM6" s="0" t="inlineStr">
        <is>
          <t>B2</t>
        </is>
      </c>
      <c r="BN6" s="0" t="inlineStr">
        <is>
          <t>ALT</t>
        </is>
      </c>
      <c r="BO6" s="0" t="n">
        <v>43</v>
      </c>
      <c r="BP6" s="0" t="n">
        <v>2</v>
      </c>
      <c r="BQ6" s="0" t="n">
        <v>301000</v>
      </c>
      <c r="BR6" s="0" t="n">
        <v>22035.977964</v>
      </c>
      <c r="BS6" s="0" t="n">
        <v>51911.148089</v>
      </c>
      <c r="BT6" s="0" t="n">
        <v>16413.31692</v>
      </c>
      <c r="BU6" s="0" t="n">
        <v>120276.533057</v>
      </c>
      <c r="BV6" s="0" t="n">
        <v>7121.889486</v>
      </c>
      <c r="BW6" s="0" t="n">
        <v>40926.397803</v>
      </c>
      <c r="BX6" s="0" t="n">
        <v>48048.287289</v>
      </c>
      <c r="BY6" s="0" t="n">
        <v>38449.294884</v>
      </c>
      <c r="BZ6" s="0" t="n">
        <v>220235.968435</v>
      </c>
      <c r="CA6" s="0" t="n">
        <v>258685.263319</v>
      </c>
      <c r="CB6" s="0" t="n">
        <v>42314.736681</v>
      </c>
      <c r="CC6" s="0" t="n">
        <v>0</v>
      </c>
      <c r="CD6" s="0" t="n">
        <v>66108</v>
      </c>
      <c r="CE6" s="0" t="n">
        <v>155733.6</v>
      </c>
      <c r="CF6" s="0" t="n">
        <v>49240</v>
      </c>
      <c r="CG6" s="0" t="n">
        <v>17983</v>
      </c>
      <c r="CH6" s="0" t="n">
        <v>360829.96</v>
      </c>
      <c r="CI6" s="0" t="n">
        <v>2639292</v>
      </c>
      <c r="CJ6" s="0" t="n">
        <v>499926</v>
      </c>
    </row>
    <row r="7" ht="15.75" customHeight="1" s="64">
      <c r="B7" s="15" t="inlineStr">
        <is>
          <t>Clé d’allocation Pub de marque → marque</t>
        </is>
      </c>
      <c r="C7" s="40" t="inlineStr">
        <is>
          <t>Chiffre d'affaires</t>
        </is>
      </c>
      <c r="E7" s="12" t="inlineStr">
        <is>
          <t>Prudent</t>
        </is>
      </c>
      <c r="F7" s="67" t="n">
        <v>9361926.26709</v>
      </c>
      <c r="G7" s="68" t="n">
        <v>642526.8</v>
      </c>
      <c r="H7" s="68" t="n">
        <v>3092074.3479</v>
      </c>
      <c r="I7" s="68" t="n">
        <v>13096527.41499</v>
      </c>
      <c r="BF7" s="0" t="inlineStr">
        <is>
          <t>2027BUD_V1</t>
        </is>
      </c>
      <c r="BG7" s="0" t="inlineStr">
        <is>
          <t>ACT</t>
        </is>
      </c>
      <c r="BH7" s="0" t="inlineStr">
        <is>
          <t>12</t>
        </is>
      </c>
      <c r="BI7" s="0" t="inlineStr">
        <is>
          <t>2024</t>
        </is>
      </c>
      <c r="BJ7" s="0" t="inlineStr">
        <is>
          <t>IPAC_NAN</t>
        </is>
      </c>
      <c r="BK7" s="0" t="inlineStr">
        <is>
          <t>IPAC</t>
        </is>
      </c>
      <c r="BL7" s="0" t="inlineStr">
        <is>
          <t>BAC_CCE</t>
        </is>
      </c>
      <c r="BM7" s="0" t="inlineStr">
        <is>
          <t>B3</t>
        </is>
      </c>
      <c r="BN7" s="0" t="inlineStr">
        <is>
          <t>ALT</t>
        </is>
      </c>
      <c r="BO7" s="0" t="n">
        <v>42</v>
      </c>
      <c r="BP7" s="0" t="n">
        <v>2</v>
      </c>
      <c r="BQ7" s="0" t="n">
        <v>294000</v>
      </c>
      <c r="BR7" s="0" t="n">
        <v>22035.977964</v>
      </c>
      <c r="BS7" s="0" t="n">
        <v>51911.148089</v>
      </c>
      <c r="BT7" s="0" t="n">
        <v>16031.60844</v>
      </c>
      <c r="BU7" s="0" t="n">
        <v>120276.533057</v>
      </c>
      <c r="BV7" s="0" t="n">
        <v>7121.889486</v>
      </c>
      <c r="BW7" s="0" t="n">
        <v>40926.397803</v>
      </c>
      <c r="BX7" s="0" t="n">
        <v>48048.287289</v>
      </c>
      <c r="BY7" s="0" t="n">
        <v>38067.586404</v>
      </c>
      <c r="BZ7" s="0" t="n">
        <v>220235.968435</v>
      </c>
      <c r="CA7" s="0" t="n">
        <v>258303.554839</v>
      </c>
      <c r="CB7" s="0" t="n">
        <v>35696.445161</v>
      </c>
      <c r="CC7" s="0" t="n">
        <v>0</v>
      </c>
      <c r="CD7" s="0" t="n">
        <v>66108</v>
      </c>
      <c r="CE7" s="0" t="n">
        <v>155733.6</v>
      </c>
      <c r="CF7" s="0" t="n">
        <v>49240</v>
      </c>
      <c r="CG7" s="0" t="n">
        <v>17983</v>
      </c>
      <c r="CH7" s="0" t="n">
        <v>360829.96</v>
      </c>
      <c r="CI7" s="0" t="n">
        <v>2639292</v>
      </c>
      <c r="CJ7" s="0" t="n">
        <v>499926</v>
      </c>
    </row>
    <row r="8" ht="15.75" customHeight="1" s="64">
      <c r="B8" s="15" t="inlineStr">
        <is>
          <t>Clé d’allocation Marque → Campus</t>
        </is>
      </c>
      <c r="C8" s="40" t="inlineStr">
        <is>
          <t>Effectif</t>
        </is>
      </c>
      <c r="BF8" s="0" t="inlineStr">
        <is>
          <t>2027BUD_V1</t>
        </is>
      </c>
      <c r="BG8" s="0" t="inlineStr">
        <is>
          <t>ACT</t>
        </is>
      </c>
      <c r="BH8" s="0" t="inlineStr">
        <is>
          <t>12</t>
        </is>
      </c>
      <c r="BI8" s="0" t="inlineStr">
        <is>
          <t>2024</t>
        </is>
      </c>
      <c r="BJ8" s="0" t="inlineStr">
        <is>
          <t>IPAC_REN</t>
        </is>
      </c>
      <c r="BK8" s="0" t="inlineStr">
        <is>
          <t>IPAC</t>
        </is>
      </c>
      <c r="BL8" s="0" t="inlineStr">
        <is>
          <t>BAC_CCE</t>
        </is>
      </c>
      <c r="BM8" s="0" t="inlineStr">
        <is>
          <t>B1</t>
        </is>
      </c>
      <c r="BN8" s="0" t="inlineStr">
        <is>
          <t>ALT</t>
        </is>
      </c>
      <c r="BO8" s="0" t="n">
        <v>36</v>
      </c>
      <c r="BP8" s="0" t="n">
        <v>2</v>
      </c>
      <c r="BQ8" s="0" t="n">
        <v>242640</v>
      </c>
      <c r="BR8" s="0" t="n">
        <v>22035.977964</v>
      </c>
      <c r="BS8" s="0" t="n">
        <v>42541.344125</v>
      </c>
      <c r="BT8" s="0" t="n">
        <v>25963.051467</v>
      </c>
      <c r="BU8" s="0" t="n">
        <v>85815.04085200001</v>
      </c>
      <c r="BV8" s="0" t="n">
        <v>5796.892014</v>
      </c>
      <c r="BW8" s="0" t="n">
        <v>33312.214272</v>
      </c>
      <c r="BX8" s="0" t="n">
        <v>39109.106286</v>
      </c>
      <c r="BY8" s="0" t="n">
        <v>47999.029431</v>
      </c>
      <c r="BZ8" s="0" t="n">
        <v>167465.491263</v>
      </c>
      <c r="CA8" s="0" t="n">
        <v>215464.520694</v>
      </c>
      <c r="CB8" s="0" t="n">
        <v>27175.479306</v>
      </c>
      <c r="CC8" s="0" t="n">
        <v>36</v>
      </c>
      <c r="CD8" s="0" t="n">
        <v>66108</v>
      </c>
      <c r="CE8" s="0" t="n">
        <v>127624.16</v>
      </c>
      <c r="CF8" s="0" t="n">
        <v>39731</v>
      </c>
      <c r="CG8" s="0" t="n">
        <v>12341</v>
      </c>
      <c r="CH8" s="0" t="n">
        <v>257445.38</v>
      </c>
      <c r="CI8" s="0" t="n">
        <v>2639292</v>
      </c>
      <c r="CJ8" s="0" t="n">
        <v>499926</v>
      </c>
    </row>
    <row r="9" ht="15.75" customHeight="1" s="64">
      <c r="B9" s="15" t="inlineStr">
        <is>
          <t>Clé d’allocation Campus → Classe</t>
        </is>
      </c>
      <c r="C9" s="40" t="inlineStr">
        <is>
          <t>Nombre de classes</t>
        </is>
      </c>
      <c r="BF9" s="0" t="inlineStr">
        <is>
          <t>2027BUD_V1</t>
        </is>
      </c>
      <c r="BG9" s="0" t="inlineStr">
        <is>
          <t>ACT</t>
        </is>
      </c>
      <c r="BH9" s="0" t="inlineStr">
        <is>
          <t>12</t>
        </is>
      </c>
      <c r="BI9" s="0" t="inlineStr">
        <is>
          <t>2024</t>
        </is>
      </c>
      <c r="BJ9" s="0" t="inlineStr">
        <is>
          <t>IPAC_REN</t>
        </is>
      </c>
      <c r="BK9" s="0" t="inlineStr">
        <is>
          <t>IPAC</t>
        </is>
      </c>
      <c r="BL9" s="0" t="inlineStr">
        <is>
          <t>BAC_CCE</t>
        </is>
      </c>
      <c r="BM9" s="0" t="inlineStr">
        <is>
          <t>B2</t>
        </is>
      </c>
      <c r="BN9" s="0" t="inlineStr">
        <is>
          <t>ALT</t>
        </is>
      </c>
      <c r="BO9" s="0" t="n">
        <v>35</v>
      </c>
      <c r="BP9" s="0" t="n">
        <v>2</v>
      </c>
      <c r="BQ9" s="0" t="n">
        <v>232750</v>
      </c>
      <c r="BR9" s="0" t="n">
        <v>22035.977964</v>
      </c>
      <c r="BS9" s="0" t="n">
        <v>42541.344125</v>
      </c>
      <c r="BT9" s="0" t="n">
        <v>13243.653423</v>
      </c>
      <c r="BU9" s="0" t="n">
        <v>85815.04085200001</v>
      </c>
      <c r="BV9" s="0" t="n">
        <v>5796.892014</v>
      </c>
      <c r="BW9" s="0" t="n">
        <v>33312.214272</v>
      </c>
      <c r="BX9" s="0" t="n">
        <v>39109.106286</v>
      </c>
      <c r="BY9" s="0" t="n">
        <v>35279.631387</v>
      </c>
      <c r="BZ9" s="0" t="n">
        <v>167465.491263</v>
      </c>
      <c r="CA9" s="0" t="n">
        <v>202745.12265</v>
      </c>
      <c r="CB9" s="0" t="n">
        <v>30004.87735</v>
      </c>
      <c r="CC9" s="0" t="n">
        <v>0</v>
      </c>
      <c r="CD9" s="0" t="n">
        <v>66108</v>
      </c>
      <c r="CE9" s="0" t="n">
        <v>127624.16</v>
      </c>
      <c r="CF9" s="0" t="n">
        <v>39731</v>
      </c>
      <c r="CG9" s="0" t="n">
        <v>12341</v>
      </c>
      <c r="CH9" s="0" t="n">
        <v>257445.38</v>
      </c>
      <c r="CI9" s="0" t="n">
        <v>2639292</v>
      </c>
      <c r="CJ9" s="0" t="n">
        <v>499926</v>
      </c>
    </row>
    <row r="10" ht="14.4975" customHeight="1" s="64">
      <c r="BF10" s="0" t="inlineStr">
        <is>
          <t>2027BUD_V1</t>
        </is>
      </c>
      <c r="BG10" s="0" t="inlineStr">
        <is>
          <t>ACT</t>
        </is>
      </c>
      <c r="BH10" s="0" t="inlineStr">
        <is>
          <t>12</t>
        </is>
      </c>
      <c r="BI10" s="0" t="inlineStr">
        <is>
          <t>2024</t>
        </is>
      </c>
      <c r="BJ10" s="0" t="inlineStr">
        <is>
          <t>IPAC_REN</t>
        </is>
      </c>
      <c r="BK10" s="0" t="inlineStr">
        <is>
          <t>IPAC</t>
        </is>
      </c>
      <c r="BL10" s="0" t="inlineStr">
        <is>
          <t>BAC_CCE</t>
        </is>
      </c>
      <c r="BM10" s="0" t="inlineStr">
        <is>
          <t>B3</t>
        </is>
      </c>
      <c r="BN10" s="0" t="inlineStr">
        <is>
          <t>ALT</t>
        </is>
      </c>
      <c r="BO10" s="0" t="n">
        <v>34</v>
      </c>
      <c r="BP10" s="0" t="n">
        <v>2</v>
      </c>
      <c r="BQ10" s="0" t="n">
        <v>226100</v>
      </c>
      <c r="BR10" s="0" t="n">
        <v>22035.977964</v>
      </c>
      <c r="BS10" s="0" t="n">
        <v>42541.344125</v>
      </c>
      <c r="BT10" s="0" t="n">
        <v>12865.255379</v>
      </c>
      <c r="BU10" s="0" t="n">
        <v>85815.04085200001</v>
      </c>
      <c r="BV10" s="0" t="n">
        <v>5796.892014</v>
      </c>
      <c r="BW10" s="0" t="n">
        <v>33312.214272</v>
      </c>
      <c r="BX10" s="0" t="n">
        <v>39109.106286</v>
      </c>
      <c r="BY10" s="0" t="n">
        <v>34901.233343</v>
      </c>
      <c r="BZ10" s="0" t="n">
        <v>167465.491263</v>
      </c>
      <c r="CA10" s="0" t="n">
        <v>202366.724606</v>
      </c>
      <c r="CB10" s="0" t="n">
        <v>23733.275394</v>
      </c>
      <c r="CC10" s="0" t="n">
        <v>0</v>
      </c>
      <c r="CD10" s="0" t="n">
        <v>66108</v>
      </c>
      <c r="CE10" s="0" t="n">
        <v>127624.16</v>
      </c>
      <c r="CF10" s="0" t="n">
        <v>39731</v>
      </c>
      <c r="CG10" s="0" t="n">
        <v>12341</v>
      </c>
      <c r="CH10" s="0" t="n">
        <v>257445.38</v>
      </c>
      <c r="CI10" s="0" t="n">
        <v>2639292</v>
      </c>
      <c r="CJ10" s="0" t="n">
        <v>499926</v>
      </c>
    </row>
    <row r="11" ht="14.4975" customHeight="1" s="64">
      <c r="BF11" s="0" t="inlineStr">
        <is>
          <t>2027BUD_V1</t>
        </is>
      </c>
      <c r="BG11" s="0" t="inlineStr">
        <is>
          <t>ACT</t>
        </is>
      </c>
      <c r="BH11" s="0" t="inlineStr">
        <is>
          <t>12</t>
        </is>
      </c>
      <c r="BI11" s="0" t="inlineStr">
        <is>
          <t>2024</t>
        </is>
      </c>
      <c r="BJ11" s="0" t="inlineStr">
        <is>
          <t>ISCOM_LIL</t>
        </is>
      </c>
      <c r="BK11" s="0" t="inlineStr">
        <is>
          <t>ISCOM</t>
        </is>
      </c>
      <c r="BL11" s="0" t="inlineStr">
        <is>
          <t>BAC_COM</t>
        </is>
      </c>
      <c r="BM11" s="0" t="inlineStr">
        <is>
          <t>B1</t>
        </is>
      </c>
      <c r="BN11" s="0" t="inlineStr">
        <is>
          <t>INIT</t>
        </is>
      </c>
      <c r="BO11" s="0" t="n">
        <v>44</v>
      </c>
      <c r="BP11" s="0" t="n">
        <v>2</v>
      </c>
      <c r="BQ11" s="0" t="n">
        <v>327360</v>
      </c>
      <c r="BR11" s="0" t="n">
        <v>27545</v>
      </c>
      <c r="BS11" s="0" t="n">
        <v>64855.365</v>
      </c>
      <c r="BT11" s="0" t="n">
        <v>27222.119512</v>
      </c>
      <c r="BU11" s="0" t="n">
        <v>120992.632</v>
      </c>
      <c r="BV11" s="0" t="n">
        <v>8006.119713</v>
      </c>
      <c r="BW11" s="0" t="n">
        <v>41307.198444</v>
      </c>
      <c r="BX11" s="0" t="n">
        <v>49313.318157</v>
      </c>
      <c r="BY11" s="0" t="n">
        <v>54767.119512</v>
      </c>
      <c r="BZ11" s="0" t="n">
        <v>235161.315157</v>
      </c>
      <c r="CA11" s="0" t="n">
        <v>289928.434669</v>
      </c>
      <c r="CB11" s="0" t="n">
        <v>37431.565331</v>
      </c>
      <c r="CC11" s="0" t="n">
        <v>44</v>
      </c>
      <c r="CD11" s="0" t="n">
        <v>110180</v>
      </c>
      <c r="CE11" s="0" t="n">
        <v>259421.46</v>
      </c>
      <c r="CF11" s="0" t="n">
        <v>82858</v>
      </c>
      <c r="CG11" s="0" t="n">
        <v>20843</v>
      </c>
      <c r="CH11" s="0" t="n">
        <v>604963.16</v>
      </c>
      <c r="CI11" s="0" t="n">
        <v>2639292</v>
      </c>
      <c r="CJ11" s="0" t="n">
        <v>499926</v>
      </c>
    </row>
    <row r="12" ht="15.75" customHeight="1" s="64">
      <c r="B12" s="38" t="inlineStr">
        <is>
          <t>Version budget restituée</t>
        </is>
      </c>
      <c r="C12" s="41" t="inlineStr">
        <is>
          <t>Cadrage</t>
        </is>
      </c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BF12" s="0" t="inlineStr">
        <is>
          <t>2027BUD_V1</t>
        </is>
      </c>
      <c r="BG12" s="0" t="inlineStr">
        <is>
          <t>ACT</t>
        </is>
      </c>
      <c r="BH12" s="0" t="inlineStr">
        <is>
          <t>12</t>
        </is>
      </c>
      <c r="BI12" s="0" t="inlineStr">
        <is>
          <t>2024</t>
        </is>
      </c>
      <c r="BJ12" s="0" t="inlineStr">
        <is>
          <t>ISCOM_LIL</t>
        </is>
      </c>
      <c r="BK12" s="0" t="inlineStr">
        <is>
          <t>ISCOM</t>
        </is>
      </c>
      <c r="BL12" s="0" t="inlineStr">
        <is>
          <t>BAC_COM</t>
        </is>
      </c>
      <c r="BM12" s="0" t="inlineStr">
        <is>
          <t>B2</t>
        </is>
      </c>
      <c r="BN12" s="0" t="inlineStr">
        <is>
          <t>ALT</t>
        </is>
      </c>
      <c r="BO12" s="0" t="n">
        <v>43</v>
      </c>
      <c r="BP12" s="0" t="n">
        <v>2</v>
      </c>
      <c r="BQ12" s="0" t="n">
        <v>294980</v>
      </c>
      <c r="BR12" s="0" t="n">
        <v>22036</v>
      </c>
      <c r="BS12" s="0" t="n">
        <v>51884.292</v>
      </c>
      <c r="BT12" s="0" t="n">
        <v>16418.809848</v>
      </c>
      <c r="BU12" s="0" t="n">
        <v>120992.632</v>
      </c>
      <c r="BV12" s="0" t="n">
        <v>8006.119713</v>
      </c>
      <c r="BW12" s="0" t="n">
        <v>41307.198444</v>
      </c>
      <c r="BX12" s="0" t="n">
        <v>49313.318157</v>
      </c>
      <c r="BY12" s="0" t="n">
        <v>38454.809848</v>
      </c>
      <c r="BZ12" s="0" t="n">
        <v>222190.242157</v>
      </c>
      <c r="CA12" s="0" t="n">
        <v>260645.052005</v>
      </c>
      <c r="CB12" s="0" t="n">
        <v>34334.947995</v>
      </c>
      <c r="CC12" s="0" t="n">
        <v>0</v>
      </c>
      <c r="CD12" s="0" t="n">
        <v>110180</v>
      </c>
      <c r="CE12" s="0" t="n">
        <v>259421.46</v>
      </c>
      <c r="CF12" s="0" t="n">
        <v>82858</v>
      </c>
      <c r="CG12" s="0" t="n">
        <v>20843</v>
      </c>
      <c r="CH12" s="0" t="n">
        <v>604963.16</v>
      </c>
      <c r="CI12" s="0" t="n">
        <v>2639292</v>
      </c>
      <c r="CJ12" s="0" t="n">
        <v>499926</v>
      </c>
    </row>
    <row r="13" ht="14.4975" customHeight="1" s="64">
      <c r="BF13" s="0" t="inlineStr">
        <is>
          <t>2027BUD_V1</t>
        </is>
      </c>
      <c r="BG13" s="0" t="inlineStr">
        <is>
          <t>ACT</t>
        </is>
      </c>
      <c r="BH13" s="0" t="inlineStr">
        <is>
          <t>12</t>
        </is>
      </c>
      <c r="BI13" s="0" t="inlineStr">
        <is>
          <t>2024</t>
        </is>
      </c>
      <c r="BJ13" s="0" t="inlineStr">
        <is>
          <t>ISCOM_LIL</t>
        </is>
      </c>
      <c r="BK13" s="0" t="inlineStr">
        <is>
          <t>ISCOM</t>
        </is>
      </c>
      <c r="BL13" s="0" t="inlineStr">
        <is>
          <t>BAC_COM</t>
        </is>
      </c>
      <c r="BM13" s="0" t="inlineStr">
        <is>
          <t>B3</t>
        </is>
      </c>
      <c r="BN13" s="0" t="inlineStr">
        <is>
          <t>ALT</t>
        </is>
      </c>
      <c r="BO13" s="0" t="n">
        <v>42</v>
      </c>
      <c r="BP13" s="0" t="n">
        <v>2</v>
      </c>
      <c r="BQ13" s="0" t="n">
        <v>288120</v>
      </c>
      <c r="BR13" s="0" t="n">
        <v>22036</v>
      </c>
      <c r="BS13" s="0" t="n">
        <v>51884.292</v>
      </c>
      <c r="BT13" s="0" t="n">
        <v>16037.000184</v>
      </c>
      <c r="BU13" s="0" t="n">
        <v>120992.632</v>
      </c>
      <c r="BV13" s="0" t="n">
        <v>8006.119713</v>
      </c>
      <c r="BW13" s="0" t="n">
        <v>41307.198444</v>
      </c>
      <c r="BX13" s="0" t="n">
        <v>49313.318157</v>
      </c>
      <c r="BY13" s="0" t="n">
        <v>38073.000184</v>
      </c>
      <c r="BZ13" s="0" t="n">
        <v>222190.242157</v>
      </c>
      <c r="CA13" s="0" t="n">
        <v>260263.242341</v>
      </c>
      <c r="CB13" s="0" t="n">
        <v>27856.757659</v>
      </c>
      <c r="CC13" s="0" t="n">
        <v>0</v>
      </c>
      <c r="CD13" s="0" t="n">
        <v>110180</v>
      </c>
      <c r="CE13" s="0" t="n">
        <v>259421.46</v>
      </c>
      <c r="CF13" s="0" t="n">
        <v>82858</v>
      </c>
      <c r="CG13" s="0" t="n">
        <v>20843</v>
      </c>
      <c r="CH13" s="0" t="n">
        <v>604963.16</v>
      </c>
      <c r="CI13" s="0" t="n">
        <v>2639292</v>
      </c>
      <c r="CJ13" s="0" t="n">
        <v>499926</v>
      </c>
    </row>
    <row r="14" ht="14.4975" customHeight="1" s="64">
      <c r="B14" s="34" t="inlineStr">
        <is>
          <t>Maille fine — deplie campus/classe avec les [+]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BF14" s="0" t="inlineStr">
        <is>
          <t>2027BUD_V1</t>
        </is>
      </c>
      <c r="BG14" s="0" t="inlineStr">
        <is>
          <t>ACT</t>
        </is>
      </c>
      <c r="BH14" s="0" t="inlineStr">
        <is>
          <t>12</t>
        </is>
      </c>
      <c r="BI14" s="0" t="inlineStr">
        <is>
          <t>2024</t>
        </is>
      </c>
      <c r="BJ14" s="0" t="inlineStr">
        <is>
          <t>ISCOM_LIL</t>
        </is>
      </c>
      <c r="BK14" s="0" t="inlineStr">
        <is>
          <t>ISCOM</t>
        </is>
      </c>
      <c r="BL14" s="0" t="inlineStr">
        <is>
          <t>MAS_COM</t>
        </is>
      </c>
      <c r="BM14" s="0" t="inlineStr">
        <is>
          <t>M1</t>
        </is>
      </c>
      <c r="BN14" s="0" t="inlineStr">
        <is>
          <t>ALT</t>
        </is>
      </c>
      <c r="BO14" s="0" t="n">
        <v>44</v>
      </c>
      <c r="BP14" s="0" t="n">
        <v>2</v>
      </c>
      <c r="BQ14" s="0" t="n">
        <v>327360</v>
      </c>
      <c r="BR14" s="0" t="n">
        <v>19281.5</v>
      </c>
      <c r="BS14" s="0" t="n">
        <v>45398.7555</v>
      </c>
      <c r="BT14" s="0" t="n">
        <v>27222.119512</v>
      </c>
      <c r="BU14" s="0" t="n">
        <v>120992.632</v>
      </c>
      <c r="BV14" s="0" t="n">
        <v>8006.119713</v>
      </c>
      <c r="BW14" s="0" t="n">
        <v>41307.198444</v>
      </c>
      <c r="BX14" s="0" t="n">
        <v>49313.318157</v>
      </c>
      <c r="BY14" s="0" t="n">
        <v>46503.619512</v>
      </c>
      <c r="BZ14" s="0" t="n">
        <v>215704.705657</v>
      </c>
      <c r="CA14" s="0" t="n">
        <v>262208.325169</v>
      </c>
      <c r="CB14" s="0" t="n">
        <v>65151.674831</v>
      </c>
      <c r="CC14" s="0" t="n">
        <v>44</v>
      </c>
      <c r="CD14" s="0" t="n">
        <v>110180</v>
      </c>
      <c r="CE14" s="0" t="n">
        <v>259421.46</v>
      </c>
      <c r="CF14" s="0" t="n">
        <v>82858</v>
      </c>
      <c r="CG14" s="0" t="n">
        <v>20843</v>
      </c>
      <c r="CH14" s="0" t="n">
        <v>604963.16</v>
      </c>
      <c r="CI14" s="0" t="n">
        <v>2639292</v>
      </c>
      <c r="CJ14" s="0" t="n">
        <v>499926</v>
      </c>
    </row>
    <row r="15" ht="6.75" customHeight="1" s="64">
      <c r="BF15" s="0" t="inlineStr">
        <is>
          <t>2027BUD_V1</t>
        </is>
      </c>
      <c r="BG15" s="0" t="inlineStr">
        <is>
          <t>ACT</t>
        </is>
      </c>
      <c r="BH15" s="0" t="inlineStr">
        <is>
          <t>12</t>
        </is>
      </c>
      <c r="BI15" s="0" t="inlineStr">
        <is>
          <t>2024</t>
        </is>
      </c>
      <c r="BJ15" s="0" t="inlineStr">
        <is>
          <t>ISCOM_LIL</t>
        </is>
      </c>
      <c r="BK15" s="0" t="inlineStr">
        <is>
          <t>ISCOM</t>
        </is>
      </c>
      <c r="BL15" s="0" t="inlineStr">
        <is>
          <t>MAS_COM</t>
        </is>
      </c>
      <c r="BM15" s="0" t="inlineStr">
        <is>
          <t>M2</t>
        </is>
      </c>
      <c r="BN15" s="0" t="inlineStr">
        <is>
          <t>ALT</t>
        </is>
      </c>
      <c r="BO15" s="0" t="n">
        <v>44</v>
      </c>
      <c r="BP15" s="0" t="n">
        <v>2</v>
      </c>
      <c r="BQ15" s="0" t="n">
        <v>323400</v>
      </c>
      <c r="BR15" s="0" t="n">
        <v>19281.5</v>
      </c>
      <c r="BS15" s="0" t="n">
        <v>45398.7555</v>
      </c>
      <c r="BT15" s="0" t="n">
        <v>16800.619512</v>
      </c>
      <c r="BU15" s="0" t="n">
        <v>120992.632</v>
      </c>
      <c r="BV15" s="0" t="n">
        <v>8006.119713</v>
      </c>
      <c r="BW15" s="0" t="n">
        <v>41307.198444</v>
      </c>
      <c r="BX15" s="0" t="n">
        <v>49313.318157</v>
      </c>
      <c r="BY15" s="0" t="n">
        <v>36082.119512</v>
      </c>
      <c r="BZ15" s="0" t="n">
        <v>215704.705657</v>
      </c>
      <c r="CA15" s="0" t="n">
        <v>251786.825169</v>
      </c>
      <c r="CB15" s="0" t="n">
        <v>71613.174831</v>
      </c>
      <c r="CC15" s="0" t="n">
        <v>0</v>
      </c>
      <c r="CD15" s="0" t="n">
        <v>110180</v>
      </c>
      <c r="CE15" s="0" t="n">
        <v>259421.46</v>
      </c>
      <c r="CF15" s="0" t="n">
        <v>82858</v>
      </c>
      <c r="CG15" s="0" t="n">
        <v>20843</v>
      </c>
      <c r="CH15" s="0" t="n">
        <v>604963.16</v>
      </c>
      <c r="CI15" s="0" t="n">
        <v>2639292</v>
      </c>
      <c r="CJ15" s="0" t="n">
        <v>499926</v>
      </c>
    </row>
    <row r="16" ht="6.75" customHeight="1" s="64">
      <c r="BF16" s="0" t="inlineStr">
        <is>
          <t>2027BUD_V1</t>
        </is>
      </c>
      <c r="BG16" s="0" t="inlineStr">
        <is>
          <t>ACT</t>
        </is>
      </c>
      <c r="BH16" s="0" t="inlineStr">
        <is>
          <t>12</t>
        </is>
      </c>
      <c r="BI16" s="0" t="inlineStr">
        <is>
          <t>2024</t>
        </is>
      </c>
      <c r="BJ16" s="0" t="inlineStr">
        <is>
          <t>ISCOM_PAR</t>
        </is>
      </c>
      <c r="BK16" s="0" t="inlineStr">
        <is>
          <t>ISCOM</t>
        </is>
      </c>
      <c r="BL16" s="0" t="inlineStr">
        <is>
          <t>BAC_COM</t>
        </is>
      </c>
      <c r="BM16" s="0" t="inlineStr">
        <is>
          <t>B1</t>
        </is>
      </c>
      <c r="BN16" s="0" t="inlineStr">
        <is>
          <t>INIT</t>
        </is>
      </c>
      <c r="BO16" s="0" t="n">
        <v>64</v>
      </c>
      <c r="BP16" s="0" t="n">
        <v>3</v>
      </c>
      <c r="BQ16" s="0" t="n">
        <v>543360</v>
      </c>
      <c r="BR16" s="0" t="n">
        <v>41317.75</v>
      </c>
      <c r="BS16" s="0" t="n">
        <v>110892.2325</v>
      </c>
      <c r="BT16" s="0" t="n">
        <v>49625.730052</v>
      </c>
      <c r="BU16" s="0" t="n">
        <v>202318.324</v>
      </c>
      <c r="BV16" s="0" t="n">
        <v>11584.912545</v>
      </c>
      <c r="BW16" s="0" t="n">
        <v>59771.811886</v>
      </c>
      <c r="BX16" s="0" t="n">
        <v>71356.724431</v>
      </c>
      <c r="BY16" s="0" t="n">
        <v>90943.480052</v>
      </c>
      <c r="BZ16" s="0" t="n">
        <v>384567.280931</v>
      </c>
      <c r="CA16" s="0" t="n">
        <v>475510.760983</v>
      </c>
      <c r="CB16" s="0" t="n">
        <v>67849.239017</v>
      </c>
      <c r="CC16" s="0" t="n">
        <v>64</v>
      </c>
      <c r="CD16" s="0" t="n">
        <v>165271</v>
      </c>
      <c r="CE16" s="0" t="n">
        <v>443568.93</v>
      </c>
      <c r="CF16" s="0" t="n">
        <v>120212</v>
      </c>
      <c r="CG16" s="0" t="n">
        <v>50248</v>
      </c>
      <c r="CH16" s="0" t="n">
        <v>1011591.62</v>
      </c>
      <c r="CI16" s="0" t="n">
        <v>2639292</v>
      </c>
      <c r="CJ16" s="0" t="n">
        <v>499926</v>
      </c>
    </row>
    <row r="17" ht="42" customHeight="1" s="64">
      <c r="B17" s="42" t="inlineStr">
        <is>
          <t>Marque ▸ Campus ▸ Classe</t>
        </is>
      </c>
      <c r="C17" s="42" t="inlineStr">
        <is>
          <t>Effectif</t>
        </is>
      </c>
      <c r="D17" s="42" t="inlineStr">
        <is>
          <t>CA</t>
        </is>
      </c>
      <c r="E17" s="42" t="inlineStr">
        <is>
          <t>VAC</t>
        </is>
      </c>
      <c r="F17" s="42" t="inlineStr">
        <is>
          <t>PERM</t>
        </is>
      </c>
      <c r="G17" s="42" t="inlineStr">
        <is>
          <t>ODIR</t>
        </is>
      </c>
      <c r="H17" s="42" t="inlineStr">
        <is>
          <t>STRUCT</t>
        </is>
      </c>
      <c r="I17" s="42" t="inlineStr">
        <is>
          <t>Frais marque</t>
        </is>
      </c>
      <c r="J17" s="42" t="inlineStr">
        <is>
          <t>Holding</t>
        </is>
      </c>
      <c r="K17" s="42" t="inlineStr">
        <is>
          <t>Cout complet</t>
        </is>
      </c>
      <c r="L17" s="43" t="inlineStr">
        <is>
          <t>Marge complete</t>
        </is>
      </c>
      <c r="M17" s="43" t="inlineStr">
        <is>
          <t>Marge %</t>
        </is>
      </c>
      <c r="T17" s="69" t="inlineStr">
        <is>
          <t>Clé</t>
        </is>
      </c>
      <c r="U17" s="69" t="inlineStr">
        <is>
          <t>Entity</t>
        </is>
      </c>
      <c r="V17" s="69" t="inlineStr">
        <is>
          <t>Marque</t>
        </is>
      </c>
      <c r="W17" s="69" t="inlineStr">
        <is>
          <t>Programme</t>
        </is>
      </c>
      <c r="X17" s="69" t="inlineStr">
        <is>
          <t>Année</t>
        </is>
      </c>
      <c r="Y17" s="69" t="inlineStr">
        <is>
          <t>Modalité</t>
        </is>
      </c>
      <c r="Z17" s="69" t="inlineStr">
        <is>
          <t>Niveau</t>
        </is>
      </c>
      <c r="BF17" s="0" t="inlineStr">
        <is>
          <t>2027BUD_V1</t>
        </is>
      </c>
      <c r="BG17" s="0" t="inlineStr">
        <is>
          <t>ACT</t>
        </is>
      </c>
      <c r="BH17" s="0" t="inlineStr">
        <is>
          <t>12</t>
        </is>
      </c>
      <c r="BI17" s="0" t="inlineStr">
        <is>
          <t>2024</t>
        </is>
      </c>
      <c r="BJ17" s="0" t="inlineStr">
        <is>
          <t>ISCOM_PAR</t>
        </is>
      </c>
      <c r="BK17" s="0" t="inlineStr">
        <is>
          <t>ISCOM</t>
        </is>
      </c>
      <c r="BL17" s="0" t="inlineStr">
        <is>
          <t>BAC_COM</t>
        </is>
      </c>
      <c r="BM17" s="0" t="inlineStr">
        <is>
          <t>B2</t>
        </is>
      </c>
      <c r="BN17" s="0" t="inlineStr">
        <is>
          <t>ALT</t>
        </is>
      </c>
      <c r="BO17" s="0" t="n">
        <v>62</v>
      </c>
      <c r="BP17" s="0" t="n">
        <v>3</v>
      </c>
      <c r="BQ17" s="0" t="n">
        <v>486080</v>
      </c>
      <c r="BR17" s="0" t="n">
        <v>33054.2</v>
      </c>
      <c r="BS17" s="0" t="n">
        <v>88713.78599999999</v>
      </c>
      <c r="BT17" s="0" t="n">
        <v>23736.099824</v>
      </c>
      <c r="BU17" s="0" t="n">
        <v>202318.324</v>
      </c>
      <c r="BV17" s="0" t="n">
        <v>11584.912545</v>
      </c>
      <c r="BW17" s="0" t="n">
        <v>59771.811886</v>
      </c>
      <c r="BX17" s="0" t="n">
        <v>71356.724431</v>
      </c>
      <c r="BY17" s="0" t="n">
        <v>56790.299824</v>
      </c>
      <c r="BZ17" s="0" t="n">
        <v>362388.834431</v>
      </c>
      <c r="CA17" s="0" t="n">
        <v>419179.134255</v>
      </c>
      <c r="CB17" s="0" t="n">
        <v>66900.865745</v>
      </c>
      <c r="CC17" s="0" t="n">
        <v>0</v>
      </c>
      <c r="CD17" s="0" t="n">
        <v>165271</v>
      </c>
      <c r="CE17" s="0" t="n">
        <v>443568.93</v>
      </c>
      <c r="CF17" s="0" t="n">
        <v>120212</v>
      </c>
      <c r="CG17" s="0" t="n">
        <v>50248</v>
      </c>
      <c r="CH17" s="0" t="n">
        <v>1011591.62</v>
      </c>
      <c r="CI17" s="0" t="n">
        <v>2639292</v>
      </c>
      <c r="CJ17" s="0" t="n">
        <v>499926</v>
      </c>
    </row>
    <row r="18" ht="14.4975" customHeight="1" s="64">
      <c r="B18" s="44" t="inlineStr">
        <is>
          <t>MBway</t>
        </is>
      </c>
      <c r="C18" s="70">
        <f>SUMIFS(_CALC_ALLOC!$G$1:$G$349,_CALC_ALLOC!$AS$1:$AS$349,"2027|"&amp;$P$1,_CALC_ALLOC!$C$1:$C$349,$V18)</f>
        <v/>
      </c>
      <c r="D18" s="71">
        <f>SUMIFS(_CALC_ALLOC!$I$1:$I$349,_CALC_ALLOC!$AS$1:$AS$349,"2027|"&amp;$P$1,_CALC_ALLOC!$C$1:$C$349,$V18)</f>
        <v/>
      </c>
      <c r="E18" s="71">
        <f>SUMIFS(_CALC_ALLOC!$AI$1:$AI$349,_CALC_ALLOC!$AS$1:$AS$349,"2027|"&amp;$P$1,_CALC_ALLOC!$C$1:$C$349,$V18)</f>
        <v/>
      </c>
      <c r="F18" s="71">
        <f>SUMIFS(_CALC_ALLOC!$AJ$1:$AJ$349,_CALC_ALLOC!$AS$1:$AS$349,"2027|"&amp;$P$1,_CALC_ALLOC!$C$1:$C$349,$V18)</f>
        <v/>
      </c>
      <c r="G18" s="71">
        <f>SUMIFS(_CALC_ALLOC!$AK$1:$AK$349,_CALC_ALLOC!$AS$1:$AS$349,"2027|"&amp;$P$1,_CALC_ALLOC!$C$1:$C$349,$V18)</f>
        <v/>
      </c>
      <c r="H18" s="71">
        <f>SUMIFS(_CALC_ALLOC!$AL$1:$AL$349,_CALC_ALLOC!$AS$1:$AS$349,"2027|"&amp;$P$1,_CALC_ALLOC!$C$1:$C$349,$V18)</f>
        <v/>
      </c>
      <c r="I18" s="71">
        <f>SUMIFS(_CALC_ALLOC!$AR$1:$AR$349,_CALC_ALLOC!$AS$1:$AS$349,"2027|"&amp;$P$1,_CALC_ALLOC!$C$1:$C$349,$V18)</f>
        <v/>
      </c>
      <c r="J18" s="71">
        <f>SUMIFS(_CALC_ALLOC!$AM$1:$AM$349,_CALC_ALLOC!$AS$1:$AS$349,"2027|"&amp;$P$1,_CALC_ALLOC!$C$1:$C$349,$V18)</f>
        <v/>
      </c>
      <c r="K18" s="71">
        <f>E18+F18+G18+H18+I18+J18</f>
        <v/>
      </c>
      <c r="L18" s="72">
        <f>SUMIFS(_CALC_ALLOC!$AN$1:$AN$349,_CALC_ALLOC!$AS$1:$AS$349,"2027|"&amp;$P$1,_CALC_ALLOC!$C$1:$C$349,$V18)</f>
        <v/>
      </c>
      <c r="M18" s="73">
        <f>IF(D18=0,0,L18/D18)</f>
        <v/>
      </c>
      <c r="T18" s="74" t="inlineStr">
        <is>
          <t>MBWAY</t>
        </is>
      </c>
      <c r="U18" s="74" t="inlineStr"/>
      <c r="V18" s="74" t="inlineStr">
        <is>
          <t>MBWAY</t>
        </is>
      </c>
      <c r="W18" s="74" t="inlineStr"/>
      <c r="X18" s="74" t="inlineStr"/>
      <c r="Y18" s="74" t="inlineStr"/>
      <c r="Z18" s="74" t="n">
        <v>1</v>
      </c>
      <c r="BF18" s="0" t="inlineStr">
        <is>
          <t>2027BUD_V1</t>
        </is>
      </c>
      <c r="BG18" s="0" t="inlineStr">
        <is>
          <t>ACT</t>
        </is>
      </c>
      <c r="BH18" s="0" t="inlineStr">
        <is>
          <t>12</t>
        </is>
      </c>
      <c r="BI18" s="0" t="inlineStr">
        <is>
          <t>2024</t>
        </is>
      </c>
      <c r="BJ18" s="0" t="inlineStr">
        <is>
          <t>ISCOM_PAR</t>
        </is>
      </c>
      <c r="BK18" s="0" t="inlineStr">
        <is>
          <t>ISCOM</t>
        </is>
      </c>
      <c r="BL18" s="0" t="inlineStr">
        <is>
          <t>BAC_COM</t>
        </is>
      </c>
      <c r="BM18" s="0" t="inlineStr">
        <is>
          <t>B3</t>
        </is>
      </c>
      <c r="BN18" s="0" t="inlineStr">
        <is>
          <t>ALT</t>
        </is>
      </c>
      <c r="BO18" s="0" t="n">
        <v>61</v>
      </c>
      <c r="BP18" s="0" t="n">
        <v>3</v>
      </c>
      <c r="BQ18" s="0" t="n">
        <v>478240</v>
      </c>
      <c r="BR18" s="0" t="n">
        <v>33054.2</v>
      </c>
      <c r="BS18" s="0" t="n">
        <v>88713.78599999999</v>
      </c>
      <c r="BT18" s="0" t="n">
        <v>23353.224604</v>
      </c>
      <c r="BU18" s="0" t="n">
        <v>202318.324</v>
      </c>
      <c r="BV18" s="0" t="n">
        <v>11584.912545</v>
      </c>
      <c r="BW18" s="0" t="n">
        <v>59771.811886</v>
      </c>
      <c r="BX18" s="0" t="n">
        <v>71356.724431</v>
      </c>
      <c r="BY18" s="0" t="n">
        <v>56407.424604</v>
      </c>
      <c r="BZ18" s="0" t="n">
        <v>362388.834431</v>
      </c>
      <c r="CA18" s="0" t="n">
        <v>418796.259035</v>
      </c>
      <c r="CB18" s="0" t="n">
        <v>59443.740965</v>
      </c>
      <c r="CC18" s="0" t="n">
        <v>0</v>
      </c>
      <c r="CD18" s="0" t="n">
        <v>165271</v>
      </c>
      <c r="CE18" s="0" t="n">
        <v>443568.93</v>
      </c>
      <c r="CF18" s="0" t="n">
        <v>120212</v>
      </c>
      <c r="CG18" s="0" t="n">
        <v>50248</v>
      </c>
      <c r="CH18" s="0" t="n">
        <v>1011591.62</v>
      </c>
      <c r="CI18" s="0" t="n">
        <v>2639292</v>
      </c>
      <c r="CJ18" s="0" t="n">
        <v>499926</v>
      </c>
    </row>
    <row r="19" outlineLevel="1" collapsed="1" ht="14.4975" customHeight="1" s="64">
      <c r="B19" s="75" t="inlineStr">
        <is>
          <t>Paris</t>
        </is>
      </c>
      <c r="C19" s="76">
        <f>SUMIFS(_CALC_ALLOC!$G$1:$G$349,_CALC_ALLOC!$AS$1:$AS$349,"2027|"&amp;$P$1,_CALC_ALLOC!$B$1:$B$349,$U19)</f>
        <v/>
      </c>
      <c r="D19" s="77">
        <f>SUMIFS(_CALC_ALLOC!$I$1:$I$349,_CALC_ALLOC!$AS$1:$AS$349,"2027|"&amp;$P$1,_CALC_ALLOC!$B$1:$B$349,$U19)</f>
        <v/>
      </c>
      <c r="E19" s="77">
        <f>SUMIFS(_CALC_ALLOC!$AI$1:$AI$349,_CALC_ALLOC!$AS$1:$AS$349,"2027|"&amp;$P$1,_CALC_ALLOC!$B$1:$B$349,$U19)</f>
        <v/>
      </c>
      <c r="F19" s="77">
        <f>SUMIFS(_CALC_ALLOC!$AJ$1:$AJ$349,_CALC_ALLOC!$AS$1:$AS$349,"2027|"&amp;$P$1,_CALC_ALLOC!$B$1:$B$349,$U19)</f>
        <v/>
      </c>
      <c r="G19" s="77">
        <f>SUMIFS(_CALC_ALLOC!$AK$1:$AK$349,_CALC_ALLOC!$AS$1:$AS$349,"2027|"&amp;$P$1,_CALC_ALLOC!$B$1:$B$349,$U19)</f>
        <v/>
      </c>
      <c r="H19" s="77">
        <f>SUMIFS(_CALC_ALLOC!$AL$1:$AL$349,_CALC_ALLOC!$AS$1:$AS$349,"2027|"&amp;$P$1,_CALC_ALLOC!$B$1:$B$349,$U19)</f>
        <v/>
      </c>
      <c r="I19" s="77">
        <f>SUMIFS(_CALC_ALLOC!$AR$1:$AR$349,_CALC_ALLOC!$AS$1:$AS$349,"2027|"&amp;$P$1,_CALC_ALLOC!$B$1:$B$349,$U19)</f>
        <v/>
      </c>
      <c r="J19" s="77">
        <f>SUMIFS(_CALC_ALLOC!$AM$1:$AM$349,_CALC_ALLOC!$AS$1:$AS$349,"2027|"&amp;$P$1,_CALC_ALLOC!$B$1:$B$349,$U19)</f>
        <v/>
      </c>
      <c r="K19" s="77">
        <f>E19+F19+G19+H19+I19+J19</f>
        <v/>
      </c>
      <c r="L19" s="78">
        <f>SUMIFS(_CALC_ALLOC!$AN$1:$AN$349,_CALC_ALLOC!$AS$1:$AS$349,"2027|"&amp;$P$1,_CALC_ALLOC!$B$1:$B$349,$U19)</f>
        <v/>
      </c>
      <c r="M19" s="79">
        <f>IF(D19=0,0,L19/D19)</f>
        <v/>
      </c>
      <c r="T19" s="74" t="inlineStr">
        <is>
          <t>MBWAY_PAR</t>
        </is>
      </c>
      <c r="U19" s="74" t="inlineStr">
        <is>
          <t>MBWAY_PAR</t>
        </is>
      </c>
      <c r="V19" s="74" t="inlineStr">
        <is>
          <t>MBWAY</t>
        </is>
      </c>
      <c r="W19" s="74" t="inlineStr"/>
      <c r="X19" s="74" t="inlineStr"/>
      <c r="Y19" s="74" t="inlineStr"/>
      <c r="Z19" s="74" t="n">
        <v>2</v>
      </c>
      <c r="BF19" s="0" t="inlineStr">
        <is>
          <t>2027BUD_V1</t>
        </is>
      </c>
      <c r="BG19" s="0" t="inlineStr">
        <is>
          <t>ACT</t>
        </is>
      </c>
      <c r="BH19" s="0" t="inlineStr">
        <is>
          <t>12</t>
        </is>
      </c>
      <c r="BI19" s="0" t="inlineStr">
        <is>
          <t>2024</t>
        </is>
      </c>
      <c r="BJ19" s="0" t="inlineStr">
        <is>
          <t>ISCOM_PAR</t>
        </is>
      </c>
      <c r="BK19" s="0" t="inlineStr">
        <is>
          <t>ISCOM</t>
        </is>
      </c>
      <c r="BL19" s="0" t="inlineStr">
        <is>
          <t>MAS_COM</t>
        </is>
      </c>
      <c r="BM19" s="0" t="inlineStr">
        <is>
          <t>M1</t>
        </is>
      </c>
      <c r="BN19" s="0" t="inlineStr">
        <is>
          <t>ALT</t>
        </is>
      </c>
      <c r="BO19" s="0" t="n">
        <v>64</v>
      </c>
      <c r="BP19" s="0" t="n">
        <v>3</v>
      </c>
      <c r="BQ19" s="0" t="n">
        <v>543360</v>
      </c>
      <c r="BR19" s="0" t="n">
        <v>28922.425</v>
      </c>
      <c r="BS19" s="0" t="n">
        <v>77624.56275</v>
      </c>
      <c r="BT19" s="0" t="n">
        <v>49625.730052</v>
      </c>
      <c r="BU19" s="0" t="n">
        <v>202318.324</v>
      </c>
      <c r="BV19" s="0" t="n">
        <v>11584.912545</v>
      </c>
      <c r="BW19" s="0" t="n">
        <v>59771.811886</v>
      </c>
      <c r="BX19" s="0" t="n">
        <v>71356.724431</v>
      </c>
      <c r="BY19" s="0" t="n">
        <v>78548.155052</v>
      </c>
      <c r="BZ19" s="0" t="n">
        <v>351299.611181</v>
      </c>
      <c r="CA19" s="0" t="n">
        <v>429847.766233</v>
      </c>
      <c r="CB19" s="0" t="n">
        <v>113512.233767</v>
      </c>
      <c r="CC19" s="0" t="n">
        <v>64</v>
      </c>
      <c r="CD19" s="0" t="n">
        <v>165271</v>
      </c>
      <c r="CE19" s="0" t="n">
        <v>443568.93</v>
      </c>
      <c r="CF19" s="0" t="n">
        <v>120212</v>
      </c>
      <c r="CG19" s="0" t="n">
        <v>50248</v>
      </c>
      <c r="CH19" s="0" t="n">
        <v>1011591.62</v>
      </c>
      <c r="CI19" s="0" t="n">
        <v>2639292</v>
      </c>
      <c r="CJ19" s="0" t="n">
        <v>499926</v>
      </c>
    </row>
    <row r="20" outlineLevel="2" ht="14.4975" customHeight="1" s="64">
      <c r="B20" s="80" t="inlineStr">
        <is>
          <t>Bachelor Management, 1re année, initial</t>
        </is>
      </c>
      <c r="C20" s="81">
        <f>SUMIFS(_CALC_ALLOC!$G$1:$G$349,_CALC_ALLOC!$AS$1:$AS$349,"2027|"&amp;$P$1,_CALC_ALLOC!$B$1:$B$349,$U20,_CALC_ALLOC!$D$1:$D$349,$W20,_CALC_ALLOC!$E$1:$E$349,$X20,_CALC_ALLOC!$F$1:$F$349,$Y20)</f>
        <v/>
      </c>
      <c r="D20" s="82">
        <f>SUMIFS(_CALC_ALLOC!$I$1:$I$349,_CALC_ALLOC!$AS$1:$AS$349,"2027|"&amp;$P$1,_CALC_ALLOC!$B$1:$B$349,$U20,_CALC_ALLOC!$D$1:$D$349,$W20,_CALC_ALLOC!$E$1:$E$349,$X20,_CALC_ALLOC!$F$1:$F$349,$Y20)</f>
        <v/>
      </c>
      <c r="E20" s="82">
        <f>SUMIFS(_CALC_ALLOC!$AI$1:$AI$349,_CALC_ALLOC!$AS$1:$AS$349,"2027|"&amp;$P$1,_CALC_ALLOC!$B$1:$B$349,$U20,_CALC_ALLOC!$D$1:$D$349,$W20,_CALC_ALLOC!$E$1:$E$349,$X20,_CALC_ALLOC!$F$1:$F$349,$Y20)</f>
        <v/>
      </c>
      <c r="F20" s="82">
        <f>SUMIFS(_CALC_ALLOC!$AJ$1:$AJ$349,_CALC_ALLOC!$AS$1:$AS$349,"2027|"&amp;$P$1,_CALC_ALLOC!$B$1:$B$349,$U20,_CALC_ALLOC!$D$1:$D$349,$W20,_CALC_ALLOC!$E$1:$E$349,$X20,_CALC_ALLOC!$F$1:$F$349,$Y20)</f>
        <v/>
      </c>
      <c r="G20" s="82">
        <f>SUMIFS(_CALC_ALLOC!$AK$1:$AK$349,_CALC_ALLOC!$AS$1:$AS$349,"2027|"&amp;$P$1,_CALC_ALLOC!$B$1:$B$349,$U20,_CALC_ALLOC!$D$1:$D$349,$W20,_CALC_ALLOC!$E$1:$E$349,$X20,_CALC_ALLOC!$F$1:$F$349,$Y20)</f>
        <v/>
      </c>
      <c r="H20" s="82">
        <f>SUMIFS(_CALC_ALLOC!$AL$1:$AL$349,_CALC_ALLOC!$AS$1:$AS$349,"2027|"&amp;$P$1,_CALC_ALLOC!$B$1:$B$349,$U20,_CALC_ALLOC!$D$1:$D$349,$W20,_CALC_ALLOC!$E$1:$E$349,$X20,_CALC_ALLOC!$F$1:$F$349,$Y20)</f>
        <v/>
      </c>
      <c r="I20" s="82">
        <f>SUMIFS(_CALC_ALLOC!$AR$1:$AR$349,_CALC_ALLOC!$AS$1:$AS$349,"2027|"&amp;$P$1,_CALC_ALLOC!$B$1:$B$349,$U20,_CALC_ALLOC!$D$1:$D$349,$W20,_CALC_ALLOC!$E$1:$E$349,$X20,_CALC_ALLOC!$F$1:$F$349,$Y20)</f>
        <v/>
      </c>
      <c r="J20" s="82">
        <f>SUMIFS(_CALC_ALLOC!$AM$1:$AM$349,_CALC_ALLOC!$AS$1:$AS$349,"2027|"&amp;$P$1,_CALC_ALLOC!$B$1:$B$349,$U20,_CALC_ALLOC!$D$1:$D$349,$W20,_CALC_ALLOC!$E$1:$E$349,$X20,_CALC_ALLOC!$F$1:$F$349,$Y20)</f>
        <v/>
      </c>
      <c r="K20" s="83">
        <f>E20+F20+G20+H20+I20+J20</f>
        <v/>
      </c>
      <c r="L20" s="84">
        <f>SUMIFS(_CALC_ALLOC!$AN$1:$AN$349,_CALC_ALLOC!$AS$1:$AS$349,"2027|"&amp;$P$1,_CALC_ALLOC!$B$1:$B$349,$U20,_CALC_ALLOC!$D$1:$D$349,$W20,_CALC_ALLOC!$E$1:$E$349,$X20,_CALC_ALLOC!$F$1:$F$349,$Y20)</f>
        <v/>
      </c>
      <c r="M20" s="85">
        <f>IF(D20=0,0,L20/D20)</f>
        <v/>
      </c>
      <c r="T20" s="74" t="inlineStr">
        <is>
          <t>MBWAY_PAR|BAC_MGT|B1|INIT</t>
        </is>
      </c>
      <c r="U20" s="74" t="inlineStr">
        <is>
          <t>MBWAY_PAR</t>
        </is>
      </c>
      <c r="V20" s="74" t="inlineStr">
        <is>
          <t>MBWAY</t>
        </is>
      </c>
      <c r="W20" s="74" t="inlineStr">
        <is>
          <t>BAC_MGT</t>
        </is>
      </c>
      <c r="X20" s="74" t="inlineStr">
        <is>
          <t>B1</t>
        </is>
      </c>
      <c r="Y20" s="74" t="inlineStr">
        <is>
          <t>INIT</t>
        </is>
      </c>
      <c r="Z20" s="74" t="n">
        <v>3</v>
      </c>
      <c r="BF20" s="0" t="inlineStr">
        <is>
          <t>2027BUD_V1</t>
        </is>
      </c>
      <c r="BG20" s="0" t="inlineStr">
        <is>
          <t>ACT</t>
        </is>
      </c>
      <c r="BH20" s="0" t="inlineStr">
        <is>
          <t>12</t>
        </is>
      </c>
      <c r="BI20" s="0" t="inlineStr">
        <is>
          <t>2024</t>
        </is>
      </c>
      <c r="BJ20" s="0" t="inlineStr">
        <is>
          <t>ISCOM_PAR</t>
        </is>
      </c>
      <c r="BK20" s="0" t="inlineStr">
        <is>
          <t>ISCOM</t>
        </is>
      </c>
      <c r="BL20" s="0" t="inlineStr">
        <is>
          <t>MAS_COM</t>
        </is>
      </c>
      <c r="BM20" s="0" t="inlineStr">
        <is>
          <t>M2</t>
        </is>
      </c>
      <c r="BN20" s="0" t="inlineStr">
        <is>
          <t>ALT</t>
        </is>
      </c>
      <c r="BO20" s="0" t="n">
        <v>63</v>
      </c>
      <c r="BP20" s="0" t="n">
        <v>3</v>
      </c>
      <c r="BQ20" s="0" t="n">
        <v>529200</v>
      </c>
      <c r="BR20" s="0" t="n">
        <v>28922.425</v>
      </c>
      <c r="BS20" s="0" t="n">
        <v>77624.56275</v>
      </c>
      <c r="BT20" s="0" t="n">
        <v>24118.854832</v>
      </c>
      <c r="BU20" s="0" t="n">
        <v>202318.324</v>
      </c>
      <c r="BV20" s="0" t="n">
        <v>11584.912545</v>
      </c>
      <c r="BW20" s="0" t="n">
        <v>59771.811886</v>
      </c>
      <c r="BX20" s="0" t="n">
        <v>71356.724431</v>
      </c>
      <c r="BY20" s="0" t="n">
        <v>53041.279832</v>
      </c>
      <c r="BZ20" s="0" t="n">
        <v>351299.611181</v>
      </c>
      <c r="CA20" s="0" t="n">
        <v>404340.891013</v>
      </c>
      <c r="CB20" s="0" t="n">
        <v>124859.108987</v>
      </c>
      <c r="CC20" s="0" t="n">
        <v>0</v>
      </c>
      <c r="CD20" s="0" t="n">
        <v>165271</v>
      </c>
      <c r="CE20" s="0" t="n">
        <v>443568.93</v>
      </c>
      <c r="CF20" s="0" t="n">
        <v>120212</v>
      </c>
      <c r="CG20" s="0" t="n">
        <v>50248</v>
      </c>
      <c r="CH20" s="0" t="n">
        <v>1011591.62</v>
      </c>
      <c r="CI20" s="0" t="n">
        <v>2639292</v>
      </c>
      <c r="CJ20" s="0" t="n">
        <v>499926</v>
      </c>
    </row>
    <row r="21" outlineLevel="2" ht="14.4975" customHeight="1" s="64">
      <c r="B21" s="80" t="inlineStr">
        <is>
          <t>Bachelor Management, 2e année, alternance</t>
        </is>
      </c>
      <c r="C21" s="81">
        <f>SUMIFS(_CALC_ALLOC!$G$1:$G$349,_CALC_ALLOC!$AS$1:$AS$349,"2027|"&amp;$P$1,_CALC_ALLOC!$B$1:$B$349,$U21,_CALC_ALLOC!$D$1:$D$349,$W21,_CALC_ALLOC!$E$1:$E$349,$X21,_CALC_ALLOC!$F$1:$F$349,$Y21)</f>
        <v/>
      </c>
      <c r="D21" s="82">
        <f>SUMIFS(_CALC_ALLOC!$I$1:$I$349,_CALC_ALLOC!$AS$1:$AS$349,"2027|"&amp;$P$1,_CALC_ALLOC!$B$1:$B$349,$U21,_CALC_ALLOC!$D$1:$D$349,$W21,_CALC_ALLOC!$E$1:$E$349,$X21,_CALC_ALLOC!$F$1:$F$349,$Y21)</f>
        <v/>
      </c>
      <c r="E21" s="82">
        <f>SUMIFS(_CALC_ALLOC!$AI$1:$AI$349,_CALC_ALLOC!$AS$1:$AS$349,"2027|"&amp;$P$1,_CALC_ALLOC!$B$1:$B$349,$U21,_CALC_ALLOC!$D$1:$D$349,$W21,_CALC_ALLOC!$E$1:$E$349,$X21,_CALC_ALLOC!$F$1:$F$349,$Y21)</f>
        <v/>
      </c>
      <c r="F21" s="82">
        <f>SUMIFS(_CALC_ALLOC!$AJ$1:$AJ$349,_CALC_ALLOC!$AS$1:$AS$349,"2027|"&amp;$P$1,_CALC_ALLOC!$B$1:$B$349,$U21,_CALC_ALLOC!$D$1:$D$349,$W21,_CALC_ALLOC!$E$1:$E$349,$X21,_CALC_ALLOC!$F$1:$F$349,$Y21)</f>
        <v/>
      </c>
      <c r="G21" s="82">
        <f>SUMIFS(_CALC_ALLOC!$AK$1:$AK$349,_CALC_ALLOC!$AS$1:$AS$349,"2027|"&amp;$P$1,_CALC_ALLOC!$B$1:$B$349,$U21,_CALC_ALLOC!$D$1:$D$349,$W21,_CALC_ALLOC!$E$1:$E$349,$X21,_CALC_ALLOC!$F$1:$F$349,$Y21)</f>
        <v/>
      </c>
      <c r="H21" s="82">
        <f>SUMIFS(_CALC_ALLOC!$AL$1:$AL$349,_CALC_ALLOC!$AS$1:$AS$349,"2027|"&amp;$P$1,_CALC_ALLOC!$B$1:$B$349,$U21,_CALC_ALLOC!$D$1:$D$349,$W21,_CALC_ALLOC!$E$1:$E$349,$X21,_CALC_ALLOC!$F$1:$F$349,$Y21)</f>
        <v/>
      </c>
      <c r="I21" s="82">
        <f>SUMIFS(_CALC_ALLOC!$AR$1:$AR$349,_CALC_ALLOC!$AS$1:$AS$349,"2027|"&amp;$P$1,_CALC_ALLOC!$B$1:$B$349,$U21,_CALC_ALLOC!$D$1:$D$349,$W21,_CALC_ALLOC!$E$1:$E$349,$X21,_CALC_ALLOC!$F$1:$F$349,$Y21)</f>
        <v/>
      </c>
      <c r="J21" s="82">
        <f>SUMIFS(_CALC_ALLOC!$AM$1:$AM$349,_CALC_ALLOC!$AS$1:$AS$349,"2027|"&amp;$P$1,_CALC_ALLOC!$B$1:$B$349,$U21,_CALC_ALLOC!$D$1:$D$349,$W21,_CALC_ALLOC!$E$1:$E$349,$X21,_CALC_ALLOC!$F$1:$F$349,$Y21)</f>
        <v/>
      </c>
      <c r="K21" s="83">
        <f>E21+F21+G21+H21+I21+J21</f>
        <v/>
      </c>
      <c r="L21" s="84">
        <f>SUMIFS(_CALC_ALLOC!$AN$1:$AN$349,_CALC_ALLOC!$AS$1:$AS$349,"2027|"&amp;$P$1,_CALC_ALLOC!$B$1:$B$349,$U21,_CALC_ALLOC!$D$1:$D$349,$W21,_CALC_ALLOC!$E$1:$E$349,$X21,_CALC_ALLOC!$F$1:$F$349,$Y21)</f>
        <v/>
      </c>
      <c r="M21" s="85">
        <f>IF(D21=0,0,L21/D21)</f>
        <v/>
      </c>
      <c r="T21" s="74" t="inlineStr">
        <is>
          <t>MBWAY_PAR|BAC_MGT|B2|ALT</t>
        </is>
      </c>
      <c r="U21" s="74" t="inlineStr">
        <is>
          <t>MBWAY_PAR</t>
        </is>
      </c>
      <c r="V21" s="74" t="inlineStr">
        <is>
          <t>MBWAY</t>
        </is>
      </c>
      <c r="W21" s="74" t="inlineStr">
        <is>
          <t>BAC_MGT</t>
        </is>
      </c>
      <c r="X21" s="74" t="inlineStr">
        <is>
          <t>B2</t>
        </is>
      </c>
      <c r="Y21" s="74" t="inlineStr">
        <is>
          <t>ALT</t>
        </is>
      </c>
      <c r="Z21" s="74" t="n">
        <v>3</v>
      </c>
      <c r="BF21" s="0" t="inlineStr">
        <is>
          <t>2027BUD_V1</t>
        </is>
      </c>
      <c r="BG21" s="0" t="inlineStr">
        <is>
          <t>ACT</t>
        </is>
      </c>
      <c r="BH21" s="0" t="inlineStr">
        <is>
          <t>12</t>
        </is>
      </c>
      <c r="BI21" s="0" t="inlineStr">
        <is>
          <t>2024</t>
        </is>
      </c>
      <c r="BJ21" s="0" t="inlineStr">
        <is>
          <t>ISCOM_TLS</t>
        </is>
      </c>
      <c r="BK21" s="0" t="inlineStr">
        <is>
          <t>ISCOM</t>
        </is>
      </c>
      <c r="BL21" s="0" t="inlineStr">
        <is>
          <t>BAC_COM</t>
        </is>
      </c>
      <c r="BM21" s="0" t="inlineStr">
        <is>
          <t>B1</t>
        </is>
      </c>
      <c r="BN21" s="0" t="inlineStr">
        <is>
          <t>INIT</t>
        </is>
      </c>
      <c r="BO21" s="0" t="n">
        <v>42</v>
      </c>
      <c r="BP21" s="0" t="n">
        <v>2</v>
      </c>
      <c r="BQ21" s="0" t="n">
        <v>306180</v>
      </c>
      <c r="BR21" s="0" t="n">
        <v>27545</v>
      </c>
      <c r="BS21" s="0" t="n">
        <v>61223.45</v>
      </c>
      <c r="BT21" s="0" t="n">
        <v>25118.694169</v>
      </c>
      <c r="BU21" s="0" t="n">
        <v>110126.314</v>
      </c>
      <c r="BV21" s="0" t="n">
        <v>7600.28844</v>
      </c>
      <c r="BW21" s="0" t="n">
        <v>39213.331061</v>
      </c>
      <c r="BX21" s="0" t="n">
        <v>46813.619501</v>
      </c>
      <c r="BY21" s="0" t="n">
        <v>52663.694169</v>
      </c>
      <c r="BZ21" s="0" t="n">
        <v>218163.383501</v>
      </c>
      <c r="CA21" s="0" t="n">
        <v>270827.07767</v>
      </c>
      <c r="CB21" s="0" t="n">
        <v>35352.92233</v>
      </c>
      <c r="CC21" s="0" t="n">
        <v>42</v>
      </c>
      <c r="CD21" s="0" t="n">
        <v>110180</v>
      </c>
      <c r="CE21" s="0" t="n">
        <v>244893.8</v>
      </c>
      <c r="CF21" s="0" t="n">
        <v>78443</v>
      </c>
      <c r="CG21" s="0" t="n">
        <v>18251</v>
      </c>
      <c r="CH21" s="0" t="n">
        <v>550631.5699999999</v>
      </c>
      <c r="CI21" s="0" t="n">
        <v>2639292</v>
      </c>
      <c r="CJ21" s="0" t="n">
        <v>499926</v>
      </c>
    </row>
    <row r="22" outlineLevel="2" ht="14.4975" customHeight="1" s="64">
      <c r="B22" s="80" t="inlineStr">
        <is>
          <t>Bachelor Management, 3e année, alternance</t>
        </is>
      </c>
      <c r="C22" s="81">
        <f>SUMIFS(_CALC_ALLOC!$G$1:$G$349,_CALC_ALLOC!$AS$1:$AS$349,"2027|"&amp;$P$1,_CALC_ALLOC!$B$1:$B$349,$U22,_CALC_ALLOC!$D$1:$D$349,$W22,_CALC_ALLOC!$E$1:$E$349,$X22,_CALC_ALLOC!$F$1:$F$349,$Y22)</f>
        <v/>
      </c>
      <c r="D22" s="82">
        <f>SUMIFS(_CALC_ALLOC!$I$1:$I$349,_CALC_ALLOC!$AS$1:$AS$349,"2027|"&amp;$P$1,_CALC_ALLOC!$B$1:$B$349,$U22,_CALC_ALLOC!$D$1:$D$349,$W22,_CALC_ALLOC!$E$1:$E$349,$X22,_CALC_ALLOC!$F$1:$F$349,$Y22)</f>
        <v/>
      </c>
      <c r="E22" s="82">
        <f>SUMIFS(_CALC_ALLOC!$AI$1:$AI$349,_CALC_ALLOC!$AS$1:$AS$349,"2027|"&amp;$P$1,_CALC_ALLOC!$B$1:$B$349,$U22,_CALC_ALLOC!$D$1:$D$349,$W22,_CALC_ALLOC!$E$1:$E$349,$X22,_CALC_ALLOC!$F$1:$F$349,$Y22)</f>
        <v/>
      </c>
      <c r="F22" s="82">
        <f>SUMIFS(_CALC_ALLOC!$AJ$1:$AJ$349,_CALC_ALLOC!$AS$1:$AS$349,"2027|"&amp;$P$1,_CALC_ALLOC!$B$1:$B$349,$U22,_CALC_ALLOC!$D$1:$D$349,$W22,_CALC_ALLOC!$E$1:$E$349,$X22,_CALC_ALLOC!$F$1:$F$349,$Y22)</f>
        <v/>
      </c>
      <c r="G22" s="82">
        <f>SUMIFS(_CALC_ALLOC!$AK$1:$AK$349,_CALC_ALLOC!$AS$1:$AS$349,"2027|"&amp;$P$1,_CALC_ALLOC!$B$1:$B$349,$U22,_CALC_ALLOC!$D$1:$D$349,$W22,_CALC_ALLOC!$E$1:$E$349,$X22,_CALC_ALLOC!$F$1:$F$349,$Y22)</f>
        <v/>
      </c>
      <c r="H22" s="82">
        <f>SUMIFS(_CALC_ALLOC!$AL$1:$AL$349,_CALC_ALLOC!$AS$1:$AS$349,"2027|"&amp;$P$1,_CALC_ALLOC!$B$1:$B$349,$U22,_CALC_ALLOC!$D$1:$D$349,$W22,_CALC_ALLOC!$E$1:$E$349,$X22,_CALC_ALLOC!$F$1:$F$349,$Y22)</f>
        <v/>
      </c>
      <c r="I22" s="82">
        <f>SUMIFS(_CALC_ALLOC!$AR$1:$AR$349,_CALC_ALLOC!$AS$1:$AS$349,"2027|"&amp;$P$1,_CALC_ALLOC!$B$1:$B$349,$U22,_CALC_ALLOC!$D$1:$D$349,$W22,_CALC_ALLOC!$E$1:$E$349,$X22,_CALC_ALLOC!$F$1:$F$349,$Y22)</f>
        <v/>
      </c>
      <c r="J22" s="82">
        <f>SUMIFS(_CALC_ALLOC!$AM$1:$AM$349,_CALC_ALLOC!$AS$1:$AS$349,"2027|"&amp;$P$1,_CALC_ALLOC!$B$1:$B$349,$U22,_CALC_ALLOC!$D$1:$D$349,$W22,_CALC_ALLOC!$E$1:$E$349,$X22,_CALC_ALLOC!$F$1:$F$349,$Y22)</f>
        <v/>
      </c>
      <c r="K22" s="83">
        <f>E22+F22+G22+H22+I22+J22</f>
        <v/>
      </c>
      <c r="L22" s="84">
        <f>SUMIFS(_CALC_ALLOC!$AN$1:$AN$349,_CALC_ALLOC!$AS$1:$AS$349,"2027|"&amp;$P$1,_CALC_ALLOC!$B$1:$B$349,$U22,_CALC_ALLOC!$D$1:$D$349,$W22,_CALC_ALLOC!$E$1:$E$349,$X22,_CALC_ALLOC!$F$1:$F$349,$Y22)</f>
        <v/>
      </c>
      <c r="M22" s="85">
        <f>IF(D22=0,0,L22/D22)</f>
        <v/>
      </c>
      <c r="T22" s="74" t="inlineStr">
        <is>
          <t>MBWAY_PAR|BAC_MGT|B3|ALT</t>
        </is>
      </c>
      <c r="U22" s="74" t="inlineStr">
        <is>
          <t>MBWAY_PAR</t>
        </is>
      </c>
      <c r="V22" s="74" t="inlineStr">
        <is>
          <t>MBWAY</t>
        </is>
      </c>
      <c r="W22" s="74" t="inlineStr">
        <is>
          <t>BAC_MGT</t>
        </is>
      </c>
      <c r="X22" s="74" t="inlineStr">
        <is>
          <t>B3</t>
        </is>
      </c>
      <c r="Y22" s="74" t="inlineStr">
        <is>
          <t>ALT</t>
        </is>
      </c>
      <c r="Z22" s="74" t="n">
        <v>3</v>
      </c>
      <c r="BF22" s="0" t="inlineStr">
        <is>
          <t>2027BUD_V1</t>
        </is>
      </c>
      <c r="BG22" s="0" t="inlineStr">
        <is>
          <t>ACT</t>
        </is>
      </c>
      <c r="BH22" s="0" t="inlineStr">
        <is>
          <t>12</t>
        </is>
      </c>
      <c r="BI22" s="0" t="inlineStr">
        <is>
          <t>2024</t>
        </is>
      </c>
      <c r="BJ22" s="0" t="inlineStr">
        <is>
          <t>ISCOM_TLS</t>
        </is>
      </c>
      <c r="BK22" s="0" t="inlineStr">
        <is>
          <t>ISCOM</t>
        </is>
      </c>
      <c r="BL22" s="0" t="inlineStr">
        <is>
          <t>BAC_COM</t>
        </is>
      </c>
      <c r="BM22" s="0" t="inlineStr">
        <is>
          <t>B2</t>
        </is>
      </c>
      <c r="BN22" s="0" t="inlineStr">
        <is>
          <t>ALT</t>
        </is>
      </c>
      <c r="BO22" s="0" t="n">
        <v>41</v>
      </c>
      <c r="BP22" s="0" t="n">
        <v>2</v>
      </c>
      <c r="BQ22" s="0" t="n">
        <v>275520</v>
      </c>
      <c r="BR22" s="0" t="n">
        <v>22036</v>
      </c>
      <c r="BS22" s="0" t="n">
        <v>48978.76</v>
      </c>
      <c r="BT22" s="0" t="n">
        <v>15612.431847</v>
      </c>
      <c r="BU22" s="0" t="n">
        <v>110126.314</v>
      </c>
      <c r="BV22" s="0" t="n">
        <v>7600.28844</v>
      </c>
      <c r="BW22" s="0" t="n">
        <v>39213.331061</v>
      </c>
      <c r="BX22" s="0" t="n">
        <v>46813.619501</v>
      </c>
      <c r="BY22" s="0" t="n">
        <v>37648.431847</v>
      </c>
      <c r="BZ22" s="0" t="n">
        <v>205918.693501</v>
      </c>
      <c r="CA22" s="0" t="n">
        <v>243567.125348</v>
      </c>
      <c r="CB22" s="0" t="n">
        <v>31952.874652</v>
      </c>
      <c r="CC22" s="0" t="n">
        <v>0</v>
      </c>
      <c r="CD22" s="0" t="n">
        <v>110180</v>
      </c>
      <c r="CE22" s="0" t="n">
        <v>244893.8</v>
      </c>
      <c r="CF22" s="0" t="n">
        <v>78443</v>
      </c>
      <c r="CG22" s="0" t="n">
        <v>18251</v>
      </c>
      <c r="CH22" s="0" t="n">
        <v>550631.5699999999</v>
      </c>
      <c r="CI22" s="0" t="n">
        <v>2639292</v>
      </c>
      <c r="CJ22" s="0" t="n">
        <v>499926</v>
      </c>
    </row>
    <row r="23" outlineLevel="2" ht="14.4975" customHeight="1" s="64">
      <c r="B23" s="80" t="inlineStr">
        <is>
          <t>Mastère Management, 1re année, alternance</t>
        </is>
      </c>
      <c r="C23" s="81">
        <f>SUMIFS(_CALC_ALLOC!$G$1:$G$349,_CALC_ALLOC!$AS$1:$AS$349,"2027|"&amp;$P$1,_CALC_ALLOC!$B$1:$B$349,$U23,_CALC_ALLOC!$D$1:$D$349,$W23,_CALC_ALLOC!$E$1:$E$349,$X23,_CALC_ALLOC!$F$1:$F$349,$Y23)</f>
        <v/>
      </c>
      <c r="D23" s="82">
        <f>SUMIFS(_CALC_ALLOC!$I$1:$I$349,_CALC_ALLOC!$AS$1:$AS$349,"2027|"&amp;$P$1,_CALC_ALLOC!$B$1:$B$349,$U23,_CALC_ALLOC!$D$1:$D$349,$W23,_CALC_ALLOC!$E$1:$E$349,$X23,_CALC_ALLOC!$F$1:$F$349,$Y23)</f>
        <v/>
      </c>
      <c r="E23" s="82">
        <f>SUMIFS(_CALC_ALLOC!$AI$1:$AI$349,_CALC_ALLOC!$AS$1:$AS$349,"2027|"&amp;$P$1,_CALC_ALLOC!$B$1:$B$349,$U23,_CALC_ALLOC!$D$1:$D$349,$W23,_CALC_ALLOC!$E$1:$E$349,$X23,_CALC_ALLOC!$F$1:$F$349,$Y23)</f>
        <v/>
      </c>
      <c r="F23" s="82">
        <f>SUMIFS(_CALC_ALLOC!$AJ$1:$AJ$349,_CALC_ALLOC!$AS$1:$AS$349,"2027|"&amp;$P$1,_CALC_ALLOC!$B$1:$B$349,$U23,_CALC_ALLOC!$D$1:$D$349,$W23,_CALC_ALLOC!$E$1:$E$349,$X23,_CALC_ALLOC!$F$1:$F$349,$Y23)</f>
        <v/>
      </c>
      <c r="G23" s="82">
        <f>SUMIFS(_CALC_ALLOC!$AK$1:$AK$349,_CALC_ALLOC!$AS$1:$AS$349,"2027|"&amp;$P$1,_CALC_ALLOC!$B$1:$B$349,$U23,_CALC_ALLOC!$D$1:$D$349,$W23,_CALC_ALLOC!$E$1:$E$349,$X23,_CALC_ALLOC!$F$1:$F$349,$Y23)</f>
        <v/>
      </c>
      <c r="H23" s="82">
        <f>SUMIFS(_CALC_ALLOC!$AL$1:$AL$349,_CALC_ALLOC!$AS$1:$AS$349,"2027|"&amp;$P$1,_CALC_ALLOC!$B$1:$B$349,$U23,_CALC_ALLOC!$D$1:$D$349,$W23,_CALC_ALLOC!$E$1:$E$349,$X23,_CALC_ALLOC!$F$1:$F$349,$Y23)</f>
        <v/>
      </c>
      <c r="I23" s="82">
        <f>SUMIFS(_CALC_ALLOC!$AR$1:$AR$349,_CALC_ALLOC!$AS$1:$AS$349,"2027|"&amp;$P$1,_CALC_ALLOC!$B$1:$B$349,$U23,_CALC_ALLOC!$D$1:$D$349,$W23,_CALC_ALLOC!$E$1:$E$349,$X23,_CALC_ALLOC!$F$1:$F$349,$Y23)</f>
        <v/>
      </c>
      <c r="J23" s="82">
        <f>SUMIFS(_CALC_ALLOC!$AM$1:$AM$349,_CALC_ALLOC!$AS$1:$AS$349,"2027|"&amp;$P$1,_CALC_ALLOC!$B$1:$B$349,$U23,_CALC_ALLOC!$D$1:$D$349,$W23,_CALC_ALLOC!$E$1:$E$349,$X23,_CALC_ALLOC!$F$1:$F$349,$Y23)</f>
        <v/>
      </c>
      <c r="K23" s="83">
        <f>E23+F23+G23+H23+I23+J23</f>
        <v/>
      </c>
      <c r="L23" s="84">
        <f>SUMIFS(_CALC_ALLOC!$AN$1:$AN$349,_CALC_ALLOC!$AS$1:$AS$349,"2027|"&amp;$P$1,_CALC_ALLOC!$B$1:$B$349,$U23,_CALC_ALLOC!$D$1:$D$349,$W23,_CALC_ALLOC!$E$1:$E$349,$X23,_CALC_ALLOC!$F$1:$F$349,$Y23)</f>
        <v/>
      </c>
      <c r="M23" s="85">
        <f>IF(D23=0,0,L23/D23)</f>
        <v/>
      </c>
      <c r="T23" s="74" t="inlineStr">
        <is>
          <t>MBWAY_PAR|MAS_MGT|M1|ALT</t>
        </is>
      </c>
      <c r="U23" s="74" t="inlineStr">
        <is>
          <t>MBWAY_PAR</t>
        </is>
      </c>
      <c r="V23" s="74" t="inlineStr">
        <is>
          <t>MBWAY</t>
        </is>
      </c>
      <c r="W23" s="74" t="inlineStr">
        <is>
          <t>MAS_MGT</t>
        </is>
      </c>
      <c r="X23" s="74" t="inlineStr">
        <is>
          <t>M1</t>
        </is>
      </c>
      <c r="Y23" s="74" t="inlineStr">
        <is>
          <t>ALT</t>
        </is>
      </c>
      <c r="Z23" s="74" t="n">
        <v>3</v>
      </c>
      <c r="BF23" s="0" t="inlineStr">
        <is>
          <t>2027BUD_V1</t>
        </is>
      </c>
      <c r="BG23" s="0" t="inlineStr">
        <is>
          <t>ACT</t>
        </is>
      </c>
      <c r="BH23" s="0" t="inlineStr">
        <is>
          <t>12</t>
        </is>
      </c>
      <c r="BI23" s="0" t="inlineStr">
        <is>
          <t>2024</t>
        </is>
      </c>
      <c r="BJ23" s="0" t="inlineStr">
        <is>
          <t>ISCOM_TLS</t>
        </is>
      </c>
      <c r="BK23" s="0" t="inlineStr">
        <is>
          <t>ISCOM</t>
        </is>
      </c>
      <c r="BL23" s="0" t="inlineStr">
        <is>
          <t>BAC_COM</t>
        </is>
      </c>
      <c r="BM23" s="0" t="inlineStr">
        <is>
          <t>B3</t>
        </is>
      </c>
      <c r="BN23" s="0" t="inlineStr">
        <is>
          <t>ALT</t>
        </is>
      </c>
      <c r="BO23" s="0" t="n">
        <v>40</v>
      </c>
      <c r="BP23" s="0" t="n">
        <v>2</v>
      </c>
      <c r="BQ23" s="0" t="n">
        <v>268800</v>
      </c>
      <c r="BR23" s="0" t="n">
        <v>22036</v>
      </c>
      <c r="BS23" s="0" t="n">
        <v>48978.76</v>
      </c>
      <c r="BT23" s="0" t="n">
        <v>15231.591082</v>
      </c>
      <c r="BU23" s="0" t="n">
        <v>110126.314</v>
      </c>
      <c r="BV23" s="0" t="n">
        <v>7600.28844</v>
      </c>
      <c r="BW23" s="0" t="n">
        <v>39213.331061</v>
      </c>
      <c r="BX23" s="0" t="n">
        <v>46813.619501</v>
      </c>
      <c r="BY23" s="0" t="n">
        <v>37267.591082</v>
      </c>
      <c r="BZ23" s="0" t="n">
        <v>205918.693501</v>
      </c>
      <c r="CA23" s="0" t="n">
        <v>243186.284583</v>
      </c>
      <c r="CB23" s="0" t="n">
        <v>25613.715417</v>
      </c>
      <c r="CC23" s="0" t="n">
        <v>0</v>
      </c>
      <c r="CD23" s="0" t="n">
        <v>110180</v>
      </c>
      <c r="CE23" s="0" t="n">
        <v>244893.8</v>
      </c>
      <c r="CF23" s="0" t="n">
        <v>78443</v>
      </c>
      <c r="CG23" s="0" t="n">
        <v>18251</v>
      </c>
      <c r="CH23" s="0" t="n">
        <v>550631.5699999999</v>
      </c>
      <c r="CI23" s="0" t="n">
        <v>2639292</v>
      </c>
      <c r="CJ23" s="0" t="n">
        <v>499926</v>
      </c>
    </row>
    <row r="24" outlineLevel="2" ht="14.4975" customHeight="1" s="64">
      <c r="B24" s="80" t="inlineStr">
        <is>
          <t>Mastère Management, 2e année, alternance</t>
        </is>
      </c>
      <c r="C24" s="81">
        <f>SUMIFS(_CALC_ALLOC!$G$1:$G$349,_CALC_ALLOC!$AS$1:$AS$349,"2027|"&amp;$P$1,_CALC_ALLOC!$B$1:$B$349,$U24,_CALC_ALLOC!$D$1:$D$349,$W24,_CALC_ALLOC!$E$1:$E$349,$X24,_CALC_ALLOC!$F$1:$F$349,$Y24)</f>
        <v/>
      </c>
      <c r="D24" s="82">
        <f>SUMIFS(_CALC_ALLOC!$I$1:$I$349,_CALC_ALLOC!$AS$1:$AS$349,"2027|"&amp;$P$1,_CALC_ALLOC!$B$1:$B$349,$U24,_CALC_ALLOC!$D$1:$D$349,$W24,_CALC_ALLOC!$E$1:$E$349,$X24,_CALC_ALLOC!$F$1:$F$349,$Y24)</f>
        <v/>
      </c>
      <c r="E24" s="82">
        <f>SUMIFS(_CALC_ALLOC!$AI$1:$AI$349,_CALC_ALLOC!$AS$1:$AS$349,"2027|"&amp;$P$1,_CALC_ALLOC!$B$1:$B$349,$U24,_CALC_ALLOC!$D$1:$D$349,$W24,_CALC_ALLOC!$E$1:$E$349,$X24,_CALC_ALLOC!$F$1:$F$349,$Y24)</f>
        <v/>
      </c>
      <c r="F24" s="82">
        <f>SUMIFS(_CALC_ALLOC!$AJ$1:$AJ$349,_CALC_ALLOC!$AS$1:$AS$349,"2027|"&amp;$P$1,_CALC_ALLOC!$B$1:$B$349,$U24,_CALC_ALLOC!$D$1:$D$349,$W24,_CALC_ALLOC!$E$1:$E$349,$X24,_CALC_ALLOC!$F$1:$F$349,$Y24)</f>
        <v/>
      </c>
      <c r="G24" s="82">
        <f>SUMIFS(_CALC_ALLOC!$AK$1:$AK$349,_CALC_ALLOC!$AS$1:$AS$349,"2027|"&amp;$P$1,_CALC_ALLOC!$B$1:$B$349,$U24,_CALC_ALLOC!$D$1:$D$349,$W24,_CALC_ALLOC!$E$1:$E$349,$X24,_CALC_ALLOC!$F$1:$F$349,$Y24)</f>
        <v/>
      </c>
      <c r="H24" s="82">
        <f>SUMIFS(_CALC_ALLOC!$AL$1:$AL$349,_CALC_ALLOC!$AS$1:$AS$349,"2027|"&amp;$P$1,_CALC_ALLOC!$B$1:$B$349,$U24,_CALC_ALLOC!$D$1:$D$349,$W24,_CALC_ALLOC!$E$1:$E$349,$X24,_CALC_ALLOC!$F$1:$F$349,$Y24)</f>
        <v/>
      </c>
      <c r="I24" s="82">
        <f>SUMIFS(_CALC_ALLOC!$AR$1:$AR$349,_CALC_ALLOC!$AS$1:$AS$349,"2027|"&amp;$P$1,_CALC_ALLOC!$B$1:$B$349,$U24,_CALC_ALLOC!$D$1:$D$349,$W24,_CALC_ALLOC!$E$1:$E$349,$X24,_CALC_ALLOC!$F$1:$F$349,$Y24)</f>
        <v/>
      </c>
      <c r="J24" s="82">
        <f>SUMIFS(_CALC_ALLOC!$AM$1:$AM$349,_CALC_ALLOC!$AS$1:$AS$349,"2027|"&amp;$P$1,_CALC_ALLOC!$B$1:$B$349,$U24,_CALC_ALLOC!$D$1:$D$349,$W24,_CALC_ALLOC!$E$1:$E$349,$X24,_CALC_ALLOC!$F$1:$F$349,$Y24)</f>
        <v/>
      </c>
      <c r="K24" s="83">
        <f>E24+F24+G24+H24+I24+J24</f>
        <v/>
      </c>
      <c r="L24" s="84">
        <f>SUMIFS(_CALC_ALLOC!$AN$1:$AN$349,_CALC_ALLOC!$AS$1:$AS$349,"2027|"&amp;$P$1,_CALC_ALLOC!$B$1:$B$349,$U24,_CALC_ALLOC!$D$1:$D$349,$W24,_CALC_ALLOC!$E$1:$E$349,$X24,_CALC_ALLOC!$F$1:$F$349,$Y24)</f>
        <v/>
      </c>
      <c r="M24" s="85">
        <f>IF(D24=0,0,L24/D24)</f>
        <v/>
      </c>
      <c r="T24" s="74" t="inlineStr">
        <is>
          <t>MBWAY_PAR|MAS_MGT|M2|ALT</t>
        </is>
      </c>
      <c r="U24" s="74" t="inlineStr">
        <is>
          <t>MBWAY_PAR</t>
        </is>
      </c>
      <c r="V24" s="74" t="inlineStr">
        <is>
          <t>MBWAY</t>
        </is>
      </c>
      <c r="W24" s="74" t="inlineStr">
        <is>
          <t>MAS_MGT</t>
        </is>
      </c>
      <c r="X24" s="74" t="inlineStr">
        <is>
          <t>M2</t>
        </is>
      </c>
      <c r="Y24" s="74" t="inlineStr">
        <is>
          <t>ALT</t>
        </is>
      </c>
      <c r="Z24" s="74" t="n">
        <v>3</v>
      </c>
      <c r="BF24" s="0" t="inlineStr">
        <is>
          <t>2027BUD_V1</t>
        </is>
      </c>
      <c r="BG24" s="0" t="inlineStr">
        <is>
          <t>ACT</t>
        </is>
      </c>
      <c r="BH24" s="0" t="inlineStr">
        <is>
          <t>12</t>
        </is>
      </c>
      <c r="BI24" s="0" t="inlineStr">
        <is>
          <t>2024</t>
        </is>
      </c>
      <c r="BJ24" s="0" t="inlineStr">
        <is>
          <t>ISCOM_TLS</t>
        </is>
      </c>
      <c r="BK24" s="0" t="inlineStr">
        <is>
          <t>ISCOM</t>
        </is>
      </c>
      <c r="BL24" s="0" t="inlineStr">
        <is>
          <t>MAS_COM</t>
        </is>
      </c>
      <c r="BM24" s="0" t="inlineStr">
        <is>
          <t>M1</t>
        </is>
      </c>
      <c r="BN24" s="0" t="inlineStr">
        <is>
          <t>ALT</t>
        </is>
      </c>
      <c r="BO24" s="0" t="n">
        <v>42</v>
      </c>
      <c r="BP24" s="0" t="n">
        <v>2</v>
      </c>
      <c r="BQ24" s="0" t="n">
        <v>306180</v>
      </c>
      <c r="BR24" s="0" t="n">
        <v>19281.5</v>
      </c>
      <c r="BS24" s="0" t="n">
        <v>42856.415</v>
      </c>
      <c r="BT24" s="0" t="n">
        <v>25118.694169</v>
      </c>
      <c r="BU24" s="0" t="n">
        <v>110126.314</v>
      </c>
      <c r="BV24" s="0" t="n">
        <v>7600.28844</v>
      </c>
      <c r="BW24" s="0" t="n">
        <v>39213.331061</v>
      </c>
      <c r="BX24" s="0" t="n">
        <v>46813.619501</v>
      </c>
      <c r="BY24" s="0" t="n">
        <v>44400.194169</v>
      </c>
      <c r="BZ24" s="0" t="n">
        <v>199796.348501</v>
      </c>
      <c r="CA24" s="0" t="n">
        <v>244196.54267</v>
      </c>
      <c r="CB24" s="0" t="n">
        <v>61983.45733</v>
      </c>
      <c r="CC24" s="0" t="n">
        <v>42</v>
      </c>
      <c r="CD24" s="0" t="n">
        <v>110180</v>
      </c>
      <c r="CE24" s="0" t="n">
        <v>244893.8</v>
      </c>
      <c r="CF24" s="0" t="n">
        <v>78443</v>
      </c>
      <c r="CG24" s="0" t="n">
        <v>18251</v>
      </c>
      <c r="CH24" s="0" t="n">
        <v>550631.5699999999</v>
      </c>
      <c r="CI24" s="0" t="n">
        <v>2639292</v>
      </c>
      <c r="CJ24" s="0" t="n">
        <v>499926</v>
      </c>
    </row>
    <row r="25" outlineLevel="1" ht="14.4975" customHeight="1" s="64">
      <c r="B25" s="75" t="inlineStr">
        <is>
          <t>Lyon</t>
        </is>
      </c>
      <c r="C25" s="76">
        <f>SUMIFS(_CALC_ALLOC!$G$1:$G$349,_CALC_ALLOC!$AS$1:$AS$349,"2027|"&amp;$P$1,_CALC_ALLOC!$B$1:$B$349,$U25)</f>
        <v/>
      </c>
      <c r="D25" s="77">
        <f>SUMIFS(_CALC_ALLOC!$I$1:$I$349,_CALC_ALLOC!$AS$1:$AS$349,"2027|"&amp;$P$1,_CALC_ALLOC!$B$1:$B$349,$U25)</f>
        <v/>
      </c>
      <c r="E25" s="77">
        <f>SUMIFS(_CALC_ALLOC!$AI$1:$AI$349,_CALC_ALLOC!$AS$1:$AS$349,"2027|"&amp;$P$1,_CALC_ALLOC!$B$1:$B$349,$U25)</f>
        <v/>
      </c>
      <c r="F25" s="77">
        <f>SUMIFS(_CALC_ALLOC!$AJ$1:$AJ$349,_CALC_ALLOC!$AS$1:$AS$349,"2027|"&amp;$P$1,_CALC_ALLOC!$B$1:$B$349,$U25)</f>
        <v/>
      </c>
      <c r="G25" s="77">
        <f>SUMIFS(_CALC_ALLOC!$AK$1:$AK$349,_CALC_ALLOC!$AS$1:$AS$349,"2027|"&amp;$P$1,_CALC_ALLOC!$B$1:$B$349,$U25)</f>
        <v/>
      </c>
      <c r="H25" s="77">
        <f>SUMIFS(_CALC_ALLOC!$AL$1:$AL$349,_CALC_ALLOC!$AS$1:$AS$349,"2027|"&amp;$P$1,_CALC_ALLOC!$B$1:$B$349,$U25)</f>
        <v/>
      </c>
      <c r="I25" s="77">
        <f>SUMIFS(_CALC_ALLOC!$AR$1:$AR$349,_CALC_ALLOC!$AS$1:$AS$349,"2027|"&amp;$P$1,_CALC_ALLOC!$B$1:$B$349,$U25)</f>
        <v/>
      </c>
      <c r="J25" s="77">
        <f>SUMIFS(_CALC_ALLOC!$AM$1:$AM$349,_CALC_ALLOC!$AS$1:$AS$349,"2027|"&amp;$P$1,_CALC_ALLOC!$B$1:$B$349,$U25)</f>
        <v/>
      </c>
      <c r="K25" s="77">
        <f>E25+F25+G25+H25+I25+J25</f>
        <v/>
      </c>
      <c r="L25" s="78">
        <f>SUMIFS(_CALC_ALLOC!$AN$1:$AN$349,_CALC_ALLOC!$AS$1:$AS$349,"2027|"&amp;$P$1,_CALC_ALLOC!$B$1:$B$349,$U25)</f>
        <v/>
      </c>
      <c r="M25" s="79">
        <f>IF(D25=0,0,L25/D25)</f>
        <v/>
      </c>
      <c r="T25" s="74" t="inlineStr">
        <is>
          <t>MBWAY_LYO</t>
        </is>
      </c>
      <c r="U25" s="74" t="inlineStr">
        <is>
          <t>MBWAY_LYO</t>
        </is>
      </c>
      <c r="V25" s="74" t="inlineStr">
        <is>
          <t>MBWAY</t>
        </is>
      </c>
      <c r="W25" s="74" t="inlineStr"/>
      <c r="X25" s="74" t="inlineStr"/>
      <c r="Y25" s="74" t="inlineStr"/>
      <c r="Z25" s="74" t="n">
        <v>2</v>
      </c>
      <c r="BF25" s="0" t="inlineStr">
        <is>
          <t>2027BUD_V1</t>
        </is>
      </c>
      <c r="BG25" s="0" t="inlineStr">
        <is>
          <t>ACT</t>
        </is>
      </c>
      <c r="BH25" s="0" t="inlineStr">
        <is>
          <t>12</t>
        </is>
      </c>
      <c r="BI25" s="0" t="inlineStr">
        <is>
          <t>2024</t>
        </is>
      </c>
      <c r="BJ25" s="0" t="inlineStr">
        <is>
          <t>ISCOM_TLS</t>
        </is>
      </c>
      <c r="BK25" s="0" t="inlineStr">
        <is>
          <t>ISCOM</t>
        </is>
      </c>
      <c r="BL25" s="0" t="inlineStr">
        <is>
          <t>MAS_COM</t>
        </is>
      </c>
      <c r="BM25" s="0" t="inlineStr">
        <is>
          <t>M2</t>
        </is>
      </c>
      <c r="BN25" s="0" t="inlineStr">
        <is>
          <t>ALT</t>
        </is>
      </c>
      <c r="BO25" s="0" t="n">
        <v>41</v>
      </c>
      <c r="BP25" s="0" t="n">
        <v>2</v>
      </c>
      <c r="BQ25" s="0" t="n">
        <v>295200</v>
      </c>
      <c r="BR25" s="0" t="n">
        <v>19281.5</v>
      </c>
      <c r="BS25" s="0" t="n">
        <v>42856.415</v>
      </c>
      <c r="BT25" s="0" t="n">
        <v>15612.431847</v>
      </c>
      <c r="BU25" s="0" t="n">
        <v>110126.314</v>
      </c>
      <c r="BV25" s="0" t="n">
        <v>7600.28844</v>
      </c>
      <c r="BW25" s="0" t="n">
        <v>39213.331061</v>
      </c>
      <c r="BX25" s="0" t="n">
        <v>46813.619501</v>
      </c>
      <c r="BY25" s="0" t="n">
        <v>34893.931847</v>
      </c>
      <c r="BZ25" s="0" t="n">
        <v>199796.348501</v>
      </c>
      <c r="CA25" s="0" t="n">
        <v>234690.280348</v>
      </c>
      <c r="CB25" s="0" t="n">
        <v>60509.719652</v>
      </c>
      <c r="CC25" s="0" t="n">
        <v>0</v>
      </c>
      <c r="CD25" s="0" t="n">
        <v>110180</v>
      </c>
      <c r="CE25" s="0" t="n">
        <v>244893.8</v>
      </c>
      <c r="CF25" s="0" t="n">
        <v>78443</v>
      </c>
      <c r="CG25" s="0" t="n">
        <v>18251</v>
      </c>
      <c r="CH25" s="0" t="n">
        <v>550631.5699999999</v>
      </c>
      <c r="CI25" s="0" t="n">
        <v>2639292</v>
      </c>
      <c r="CJ25" s="0" t="n">
        <v>499926</v>
      </c>
    </row>
    <row r="26" outlineLevel="2" ht="14.4975" customHeight="1" s="64">
      <c r="B26" s="80" t="inlineStr">
        <is>
          <t>Bachelor Management, 1re année, initial</t>
        </is>
      </c>
      <c r="C26" s="81">
        <f>SUMIFS(_CALC_ALLOC!$G$1:$G$349,_CALC_ALLOC!$AS$1:$AS$349,"2027|"&amp;$P$1,_CALC_ALLOC!$B$1:$B$349,$U26,_CALC_ALLOC!$D$1:$D$349,$W26,_CALC_ALLOC!$E$1:$E$349,$X26,_CALC_ALLOC!$F$1:$F$349,$Y26)</f>
        <v/>
      </c>
      <c r="D26" s="82">
        <f>SUMIFS(_CALC_ALLOC!$I$1:$I$349,_CALC_ALLOC!$AS$1:$AS$349,"2027|"&amp;$P$1,_CALC_ALLOC!$B$1:$B$349,$U26,_CALC_ALLOC!$D$1:$D$349,$W26,_CALC_ALLOC!$E$1:$E$349,$X26,_CALC_ALLOC!$F$1:$F$349,$Y26)</f>
        <v/>
      </c>
      <c r="E26" s="82">
        <f>SUMIFS(_CALC_ALLOC!$AI$1:$AI$349,_CALC_ALLOC!$AS$1:$AS$349,"2027|"&amp;$P$1,_CALC_ALLOC!$B$1:$B$349,$U26,_CALC_ALLOC!$D$1:$D$349,$W26,_CALC_ALLOC!$E$1:$E$349,$X26,_CALC_ALLOC!$F$1:$F$349,$Y26)</f>
        <v/>
      </c>
      <c r="F26" s="82">
        <f>SUMIFS(_CALC_ALLOC!$AJ$1:$AJ$349,_CALC_ALLOC!$AS$1:$AS$349,"2027|"&amp;$P$1,_CALC_ALLOC!$B$1:$B$349,$U26,_CALC_ALLOC!$D$1:$D$349,$W26,_CALC_ALLOC!$E$1:$E$349,$X26,_CALC_ALLOC!$F$1:$F$349,$Y26)</f>
        <v/>
      </c>
      <c r="G26" s="82">
        <f>SUMIFS(_CALC_ALLOC!$AK$1:$AK$349,_CALC_ALLOC!$AS$1:$AS$349,"2027|"&amp;$P$1,_CALC_ALLOC!$B$1:$B$349,$U26,_CALC_ALLOC!$D$1:$D$349,$W26,_CALC_ALLOC!$E$1:$E$349,$X26,_CALC_ALLOC!$F$1:$F$349,$Y26)</f>
        <v/>
      </c>
      <c r="H26" s="82">
        <f>SUMIFS(_CALC_ALLOC!$AL$1:$AL$349,_CALC_ALLOC!$AS$1:$AS$349,"2027|"&amp;$P$1,_CALC_ALLOC!$B$1:$B$349,$U26,_CALC_ALLOC!$D$1:$D$349,$W26,_CALC_ALLOC!$E$1:$E$349,$X26,_CALC_ALLOC!$F$1:$F$349,$Y26)</f>
        <v/>
      </c>
      <c r="I26" s="82">
        <f>SUMIFS(_CALC_ALLOC!$AR$1:$AR$349,_CALC_ALLOC!$AS$1:$AS$349,"2027|"&amp;$P$1,_CALC_ALLOC!$B$1:$B$349,$U26,_CALC_ALLOC!$D$1:$D$349,$W26,_CALC_ALLOC!$E$1:$E$349,$X26,_CALC_ALLOC!$F$1:$F$349,$Y26)</f>
        <v/>
      </c>
      <c r="J26" s="82">
        <f>SUMIFS(_CALC_ALLOC!$AM$1:$AM$349,_CALC_ALLOC!$AS$1:$AS$349,"2027|"&amp;$P$1,_CALC_ALLOC!$B$1:$B$349,$U26,_CALC_ALLOC!$D$1:$D$349,$W26,_CALC_ALLOC!$E$1:$E$349,$X26,_CALC_ALLOC!$F$1:$F$349,$Y26)</f>
        <v/>
      </c>
      <c r="K26" s="83">
        <f>E26+F26+G26+H26+I26+J26</f>
        <v/>
      </c>
      <c r="L26" s="84">
        <f>SUMIFS(_CALC_ALLOC!$AN$1:$AN$349,_CALC_ALLOC!$AS$1:$AS$349,"2027|"&amp;$P$1,_CALC_ALLOC!$B$1:$B$349,$U26,_CALC_ALLOC!$D$1:$D$349,$W26,_CALC_ALLOC!$E$1:$E$349,$X26,_CALC_ALLOC!$F$1:$F$349,$Y26)</f>
        <v/>
      </c>
      <c r="M26" s="85">
        <f>IF(D26=0,0,L26/D26)</f>
        <v/>
      </c>
      <c r="T26" s="74" t="inlineStr">
        <is>
          <t>MBWAY_LYO|BAC_MGT|B1|INIT</t>
        </is>
      </c>
      <c r="U26" s="74" t="inlineStr">
        <is>
          <t>MBWAY_LYO</t>
        </is>
      </c>
      <c r="V26" s="74" t="inlineStr">
        <is>
          <t>MBWAY</t>
        </is>
      </c>
      <c r="W26" s="74" t="inlineStr">
        <is>
          <t>BAC_MGT</t>
        </is>
      </c>
      <c r="X26" s="74" t="inlineStr">
        <is>
          <t>B1</t>
        </is>
      </c>
      <c r="Y26" s="74" t="inlineStr">
        <is>
          <t>INIT</t>
        </is>
      </c>
      <c r="Z26" s="74" t="n">
        <v>3</v>
      </c>
      <c r="BF26" s="0" t="inlineStr">
        <is>
          <t>2027BUD_V1</t>
        </is>
      </c>
      <c r="BG26" s="0" t="inlineStr">
        <is>
          <t>ACT</t>
        </is>
      </c>
      <c r="BH26" s="0" t="inlineStr">
        <is>
          <t>12</t>
        </is>
      </c>
      <c r="BI26" s="0" t="inlineStr">
        <is>
          <t>2024</t>
        </is>
      </c>
      <c r="BJ26" s="0" t="inlineStr">
        <is>
          <t>MBWAY_BOR</t>
        </is>
      </c>
      <c r="BK26" s="0" t="inlineStr">
        <is>
          <t>MBWAY</t>
        </is>
      </c>
      <c r="BL26" s="0" t="inlineStr">
        <is>
          <t>BAC_MGT</t>
        </is>
      </c>
      <c r="BM26" s="0" t="inlineStr">
        <is>
          <t>B1</t>
        </is>
      </c>
      <c r="BN26" s="0" t="inlineStr">
        <is>
          <t>INIT</t>
        </is>
      </c>
      <c r="BO26" s="0" t="n">
        <v>45</v>
      </c>
      <c r="BP26" s="0" t="n">
        <v>2</v>
      </c>
      <c r="BQ26" s="0" t="n">
        <v>331425</v>
      </c>
      <c r="BR26" s="0" t="n">
        <v>27545</v>
      </c>
      <c r="BS26" s="0" t="n">
        <v>64185.895</v>
      </c>
      <c r="BT26" s="0" t="n">
        <v>27515.708164</v>
      </c>
      <c r="BU26" s="0" t="n">
        <v>121392.636</v>
      </c>
      <c r="BV26" s="0" t="n">
        <v>8229.004471</v>
      </c>
      <c r="BW26" s="0" t="n">
        <v>42068.69378</v>
      </c>
      <c r="BX26" s="0" t="n">
        <v>50297.698251</v>
      </c>
      <c r="BY26" s="0" t="n">
        <v>55060.708164</v>
      </c>
      <c r="BZ26" s="0" t="n">
        <v>235876.229251</v>
      </c>
      <c r="CA26" s="0" t="n">
        <v>290936.937415</v>
      </c>
      <c r="CB26" s="0" t="n">
        <v>40488.062585</v>
      </c>
      <c r="CC26" s="0" t="n">
        <v>45</v>
      </c>
      <c r="CD26" s="0" t="n">
        <v>110180</v>
      </c>
      <c r="CE26" s="0" t="n">
        <v>256743.58</v>
      </c>
      <c r="CF26" s="0" t="n">
        <v>84556</v>
      </c>
      <c r="CG26" s="0" t="n">
        <v>20597</v>
      </c>
      <c r="CH26" s="0" t="n">
        <v>606963.1800000001</v>
      </c>
      <c r="CI26" s="0" t="n">
        <v>2639292</v>
      </c>
      <c r="CJ26" s="0" t="n">
        <v>499926</v>
      </c>
    </row>
    <row r="27" outlineLevel="2" ht="14.4975" customHeight="1" s="64">
      <c r="B27" s="80" t="inlineStr">
        <is>
          <t>Bachelor Management, 2e année, alternance</t>
        </is>
      </c>
      <c r="C27" s="81">
        <f>SUMIFS(_CALC_ALLOC!$G$1:$G$349,_CALC_ALLOC!$AS$1:$AS$349,"2027|"&amp;$P$1,_CALC_ALLOC!$B$1:$B$349,$U27,_CALC_ALLOC!$D$1:$D$349,$W27,_CALC_ALLOC!$E$1:$E$349,$X27,_CALC_ALLOC!$F$1:$F$349,$Y27)</f>
        <v/>
      </c>
      <c r="D27" s="82">
        <f>SUMIFS(_CALC_ALLOC!$I$1:$I$349,_CALC_ALLOC!$AS$1:$AS$349,"2027|"&amp;$P$1,_CALC_ALLOC!$B$1:$B$349,$U27,_CALC_ALLOC!$D$1:$D$349,$W27,_CALC_ALLOC!$E$1:$E$349,$X27,_CALC_ALLOC!$F$1:$F$349,$Y27)</f>
        <v/>
      </c>
      <c r="E27" s="82">
        <f>SUMIFS(_CALC_ALLOC!$AI$1:$AI$349,_CALC_ALLOC!$AS$1:$AS$349,"2027|"&amp;$P$1,_CALC_ALLOC!$B$1:$B$349,$U27,_CALC_ALLOC!$D$1:$D$349,$W27,_CALC_ALLOC!$E$1:$E$349,$X27,_CALC_ALLOC!$F$1:$F$349,$Y27)</f>
        <v/>
      </c>
      <c r="F27" s="82">
        <f>SUMIFS(_CALC_ALLOC!$AJ$1:$AJ$349,_CALC_ALLOC!$AS$1:$AS$349,"2027|"&amp;$P$1,_CALC_ALLOC!$B$1:$B$349,$U27,_CALC_ALLOC!$D$1:$D$349,$W27,_CALC_ALLOC!$E$1:$E$349,$X27,_CALC_ALLOC!$F$1:$F$349,$Y27)</f>
        <v/>
      </c>
      <c r="G27" s="82">
        <f>SUMIFS(_CALC_ALLOC!$AK$1:$AK$349,_CALC_ALLOC!$AS$1:$AS$349,"2027|"&amp;$P$1,_CALC_ALLOC!$B$1:$B$349,$U27,_CALC_ALLOC!$D$1:$D$349,$W27,_CALC_ALLOC!$E$1:$E$349,$X27,_CALC_ALLOC!$F$1:$F$349,$Y27)</f>
        <v/>
      </c>
      <c r="H27" s="82">
        <f>SUMIFS(_CALC_ALLOC!$AL$1:$AL$349,_CALC_ALLOC!$AS$1:$AS$349,"2027|"&amp;$P$1,_CALC_ALLOC!$B$1:$B$349,$U27,_CALC_ALLOC!$D$1:$D$349,$W27,_CALC_ALLOC!$E$1:$E$349,$X27,_CALC_ALLOC!$F$1:$F$349,$Y27)</f>
        <v/>
      </c>
      <c r="I27" s="82">
        <f>SUMIFS(_CALC_ALLOC!$AR$1:$AR$349,_CALC_ALLOC!$AS$1:$AS$349,"2027|"&amp;$P$1,_CALC_ALLOC!$B$1:$B$349,$U27,_CALC_ALLOC!$D$1:$D$349,$W27,_CALC_ALLOC!$E$1:$E$349,$X27,_CALC_ALLOC!$F$1:$F$349,$Y27)</f>
        <v/>
      </c>
      <c r="J27" s="82">
        <f>SUMIFS(_CALC_ALLOC!$AM$1:$AM$349,_CALC_ALLOC!$AS$1:$AS$349,"2027|"&amp;$P$1,_CALC_ALLOC!$B$1:$B$349,$U27,_CALC_ALLOC!$D$1:$D$349,$W27,_CALC_ALLOC!$E$1:$E$349,$X27,_CALC_ALLOC!$F$1:$F$349,$Y27)</f>
        <v/>
      </c>
      <c r="K27" s="83">
        <f>E27+F27+G27+H27+I27+J27</f>
        <v/>
      </c>
      <c r="L27" s="84">
        <f>SUMIFS(_CALC_ALLOC!$AN$1:$AN$349,_CALC_ALLOC!$AS$1:$AS$349,"2027|"&amp;$P$1,_CALC_ALLOC!$B$1:$B$349,$U27,_CALC_ALLOC!$D$1:$D$349,$W27,_CALC_ALLOC!$E$1:$E$349,$X27,_CALC_ALLOC!$F$1:$F$349,$Y27)</f>
        <v/>
      </c>
      <c r="M27" s="85">
        <f>IF(D27=0,0,L27/D27)</f>
        <v/>
      </c>
      <c r="T27" s="74" t="inlineStr">
        <is>
          <t>MBWAY_LYO|BAC_MGT|B2|ALT</t>
        </is>
      </c>
      <c r="U27" s="74" t="inlineStr">
        <is>
          <t>MBWAY_LYO</t>
        </is>
      </c>
      <c r="V27" s="74" t="inlineStr">
        <is>
          <t>MBWAY</t>
        </is>
      </c>
      <c r="W27" s="74" t="inlineStr">
        <is>
          <t>BAC_MGT</t>
        </is>
      </c>
      <c r="X27" s="74" t="inlineStr">
        <is>
          <t>B2</t>
        </is>
      </c>
      <c r="Y27" s="74" t="inlineStr">
        <is>
          <t>ALT</t>
        </is>
      </c>
      <c r="Z27" s="74" t="n">
        <v>3</v>
      </c>
      <c r="BF27" s="0" t="inlineStr">
        <is>
          <t>2027BUD_V1</t>
        </is>
      </c>
      <c r="BG27" s="0" t="inlineStr">
        <is>
          <t>ACT</t>
        </is>
      </c>
      <c r="BH27" s="0" t="inlineStr">
        <is>
          <t>12</t>
        </is>
      </c>
      <c r="BI27" s="0" t="inlineStr">
        <is>
          <t>2024</t>
        </is>
      </c>
      <c r="BJ27" s="0" t="inlineStr">
        <is>
          <t>MBWAY_BOR</t>
        </is>
      </c>
      <c r="BK27" s="0" t="inlineStr">
        <is>
          <t>MBWAY</t>
        </is>
      </c>
      <c r="BL27" s="0" t="inlineStr">
        <is>
          <t>BAC_MGT</t>
        </is>
      </c>
      <c r="BM27" s="0" t="inlineStr">
        <is>
          <t>B2</t>
        </is>
      </c>
      <c r="BN27" s="0" t="inlineStr">
        <is>
          <t>ALT</t>
        </is>
      </c>
      <c r="BO27" s="0" t="n">
        <v>44</v>
      </c>
      <c r="BP27" s="0" t="n">
        <v>2</v>
      </c>
      <c r="BQ27" s="0" t="n">
        <v>298760</v>
      </c>
      <c r="BR27" s="0" t="n">
        <v>22036</v>
      </c>
      <c r="BS27" s="0" t="n">
        <v>51348.716</v>
      </c>
      <c r="BT27" s="0" t="n">
        <v>16834.67682</v>
      </c>
      <c r="BU27" s="0" t="n">
        <v>121392.636</v>
      </c>
      <c r="BV27" s="0" t="n">
        <v>8229.004471</v>
      </c>
      <c r="BW27" s="0" t="n">
        <v>42068.69378</v>
      </c>
      <c r="BX27" s="0" t="n">
        <v>50297.698251</v>
      </c>
      <c r="BY27" s="0" t="n">
        <v>38870.67682</v>
      </c>
      <c r="BZ27" s="0" t="n">
        <v>223039.050251</v>
      </c>
      <c r="CA27" s="0" t="n">
        <v>261909.727071</v>
      </c>
      <c r="CB27" s="0" t="n">
        <v>36850.272929</v>
      </c>
      <c r="CC27" s="0" t="n">
        <v>0</v>
      </c>
      <c r="CD27" s="0" t="n">
        <v>110180</v>
      </c>
      <c r="CE27" s="0" t="n">
        <v>256743.58</v>
      </c>
      <c r="CF27" s="0" t="n">
        <v>84556</v>
      </c>
      <c r="CG27" s="0" t="n">
        <v>20597</v>
      </c>
      <c r="CH27" s="0" t="n">
        <v>606963.1800000001</v>
      </c>
      <c r="CI27" s="0" t="n">
        <v>2639292</v>
      </c>
      <c r="CJ27" s="0" t="n">
        <v>499926</v>
      </c>
    </row>
    <row r="28" outlineLevel="2" ht="14.4975" customHeight="1" s="64">
      <c r="B28" s="80" t="inlineStr">
        <is>
          <t>Bachelor Management, 3e année, alternance</t>
        </is>
      </c>
      <c r="C28" s="81">
        <f>SUMIFS(_CALC_ALLOC!$G$1:$G$349,_CALC_ALLOC!$AS$1:$AS$349,"2027|"&amp;$P$1,_CALC_ALLOC!$B$1:$B$349,$U28,_CALC_ALLOC!$D$1:$D$349,$W28,_CALC_ALLOC!$E$1:$E$349,$X28,_CALC_ALLOC!$F$1:$F$349,$Y28)</f>
        <v/>
      </c>
      <c r="D28" s="82">
        <f>SUMIFS(_CALC_ALLOC!$I$1:$I$349,_CALC_ALLOC!$AS$1:$AS$349,"2027|"&amp;$P$1,_CALC_ALLOC!$B$1:$B$349,$U28,_CALC_ALLOC!$D$1:$D$349,$W28,_CALC_ALLOC!$E$1:$E$349,$X28,_CALC_ALLOC!$F$1:$F$349,$Y28)</f>
        <v/>
      </c>
      <c r="E28" s="82">
        <f>SUMIFS(_CALC_ALLOC!$AI$1:$AI$349,_CALC_ALLOC!$AS$1:$AS$349,"2027|"&amp;$P$1,_CALC_ALLOC!$B$1:$B$349,$U28,_CALC_ALLOC!$D$1:$D$349,$W28,_CALC_ALLOC!$E$1:$E$349,$X28,_CALC_ALLOC!$F$1:$F$349,$Y28)</f>
        <v/>
      </c>
      <c r="F28" s="82">
        <f>SUMIFS(_CALC_ALLOC!$AJ$1:$AJ$349,_CALC_ALLOC!$AS$1:$AS$349,"2027|"&amp;$P$1,_CALC_ALLOC!$B$1:$B$349,$U28,_CALC_ALLOC!$D$1:$D$349,$W28,_CALC_ALLOC!$E$1:$E$349,$X28,_CALC_ALLOC!$F$1:$F$349,$Y28)</f>
        <v/>
      </c>
      <c r="G28" s="82">
        <f>SUMIFS(_CALC_ALLOC!$AK$1:$AK$349,_CALC_ALLOC!$AS$1:$AS$349,"2027|"&amp;$P$1,_CALC_ALLOC!$B$1:$B$349,$U28,_CALC_ALLOC!$D$1:$D$349,$W28,_CALC_ALLOC!$E$1:$E$349,$X28,_CALC_ALLOC!$F$1:$F$349,$Y28)</f>
        <v/>
      </c>
      <c r="H28" s="82">
        <f>SUMIFS(_CALC_ALLOC!$AL$1:$AL$349,_CALC_ALLOC!$AS$1:$AS$349,"2027|"&amp;$P$1,_CALC_ALLOC!$B$1:$B$349,$U28,_CALC_ALLOC!$D$1:$D$349,$W28,_CALC_ALLOC!$E$1:$E$349,$X28,_CALC_ALLOC!$F$1:$F$349,$Y28)</f>
        <v/>
      </c>
      <c r="I28" s="82">
        <f>SUMIFS(_CALC_ALLOC!$AR$1:$AR$349,_CALC_ALLOC!$AS$1:$AS$349,"2027|"&amp;$P$1,_CALC_ALLOC!$B$1:$B$349,$U28,_CALC_ALLOC!$D$1:$D$349,$W28,_CALC_ALLOC!$E$1:$E$349,$X28,_CALC_ALLOC!$F$1:$F$349,$Y28)</f>
        <v/>
      </c>
      <c r="J28" s="82">
        <f>SUMIFS(_CALC_ALLOC!$AM$1:$AM$349,_CALC_ALLOC!$AS$1:$AS$349,"2027|"&amp;$P$1,_CALC_ALLOC!$B$1:$B$349,$U28,_CALC_ALLOC!$D$1:$D$349,$W28,_CALC_ALLOC!$E$1:$E$349,$X28,_CALC_ALLOC!$F$1:$F$349,$Y28)</f>
        <v/>
      </c>
      <c r="K28" s="83">
        <f>E28+F28+G28+H28+I28+J28</f>
        <v/>
      </c>
      <c r="L28" s="84">
        <f>SUMIFS(_CALC_ALLOC!$AN$1:$AN$349,_CALC_ALLOC!$AS$1:$AS$349,"2027|"&amp;$P$1,_CALC_ALLOC!$B$1:$B$349,$U28,_CALC_ALLOC!$D$1:$D$349,$W28,_CALC_ALLOC!$E$1:$E$349,$X28,_CALC_ALLOC!$F$1:$F$349,$Y28)</f>
        <v/>
      </c>
      <c r="M28" s="85">
        <f>IF(D28=0,0,L28/D28)</f>
        <v/>
      </c>
      <c r="T28" s="74" t="inlineStr">
        <is>
          <t>MBWAY_LYO|BAC_MGT|B3|ALT</t>
        </is>
      </c>
      <c r="U28" s="74" t="inlineStr">
        <is>
          <t>MBWAY_LYO</t>
        </is>
      </c>
      <c r="V28" s="74" t="inlineStr">
        <is>
          <t>MBWAY</t>
        </is>
      </c>
      <c r="W28" s="74" t="inlineStr">
        <is>
          <t>BAC_MGT</t>
        </is>
      </c>
      <c r="X28" s="74" t="inlineStr">
        <is>
          <t>B3</t>
        </is>
      </c>
      <c r="Y28" s="74" t="inlineStr">
        <is>
          <t>ALT</t>
        </is>
      </c>
      <c r="Z28" s="74" t="n">
        <v>3</v>
      </c>
      <c r="BF28" s="0" t="inlineStr">
        <is>
          <t>2027BUD_V1</t>
        </is>
      </c>
      <c r="BG28" s="0" t="inlineStr">
        <is>
          <t>ACT</t>
        </is>
      </c>
      <c r="BH28" s="0" t="inlineStr">
        <is>
          <t>12</t>
        </is>
      </c>
      <c r="BI28" s="0" t="inlineStr">
        <is>
          <t>2024</t>
        </is>
      </c>
      <c r="BJ28" s="0" t="inlineStr">
        <is>
          <t>MBWAY_BOR</t>
        </is>
      </c>
      <c r="BK28" s="0" t="inlineStr">
        <is>
          <t>MBWAY</t>
        </is>
      </c>
      <c r="BL28" s="0" t="inlineStr">
        <is>
          <t>BAC_MGT</t>
        </is>
      </c>
      <c r="BM28" s="0" t="inlineStr">
        <is>
          <t>B3</t>
        </is>
      </c>
      <c r="BN28" s="0" t="inlineStr">
        <is>
          <t>ALT</t>
        </is>
      </c>
      <c r="BO28" s="0" t="n">
        <v>43</v>
      </c>
      <c r="BP28" s="0" t="n">
        <v>2</v>
      </c>
      <c r="BQ28" s="0" t="n">
        <v>291970</v>
      </c>
      <c r="BR28" s="0" t="n">
        <v>22036</v>
      </c>
      <c r="BS28" s="0" t="n">
        <v>51348.716</v>
      </c>
      <c r="BT28" s="0" t="n">
        <v>16452.06092</v>
      </c>
      <c r="BU28" s="0" t="n">
        <v>121392.636</v>
      </c>
      <c r="BV28" s="0" t="n">
        <v>8229.004471</v>
      </c>
      <c r="BW28" s="0" t="n">
        <v>42068.69378</v>
      </c>
      <c r="BX28" s="0" t="n">
        <v>50297.698251</v>
      </c>
      <c r="BY28" s="0" t="n">
        <v>38488.06092</v>
      </c>
      <c r="BZ28" s="0" t="n">
        <v>223039.050251</v>
      </c>
      <c r="CA28" s="0" t="n">
        <v>261527.111171</v>
      </c>
      <c r="CB28" s="0" t="n">
        <v>30442.888829</v>
      </c>
      <c r="CC28" s="0" t="n">
        <v>0</v>
      </c>
      <c r="CD28" s="0" t="n">
        <v>110180</v>
      </c>
      <c r="CE28" s="0" t="n">
        <v>256743.58</v>
      </c>
      <c r="CF28" s="0" t="n">
        <v>84556</v>
      </c>
      <c r="CG28" s="0" t="n">
        <v>20597</v>
      </c>
      <c r="CH28" s="0" t="n">
        <v>606963.1800000001</v>
      </c>
      <c r="CI28" s="0" t="n">
        <v>2639292</v>
      </c>
      <c r="CJ28" s="0" t="n">
        <v>499926</v>
      </c>
    </row>
    <row r="29" outlineLevel="2" ht="14.4975" customHeight="1" s="64">
      <c r="B29" s="80" t="inlineStr">
        <is>
          <t>Mastère Management, 1re année, alternance</t>
        </is>
      </c>
      <c r="C29" s="81">
        <f>SUMIFS(_CALC_ALLOC!$G$1:$G$349,_CALC_ALLOC!$AS$1:$AS$349,"2027|"&amp;$P$1,_CALC_ALLOC!$B$1:$B$349,$U29,_CALC_ALLOC!$D$1:$D$349,$W29,_CALC_ALLOC!$E$1:$E$349,$X29,_CALC_ALLOC!$F$1:$F$349,$Y29)</f>
        <v/>
      </c>
      <c r="D29" s="82">
        <f>SUMIFS(_CALC_ALLOC!$I$1:$I$349,_CALC_ALLOC!$AS$1:$AS$349,"2027|"&amp;$P$1,_CALC_ALLOC!$B$1:$B$349,$U29,_CALC_ALLOC!$D$1:$D$349,$W29,_CALC_ALLOC!$E$1:$E$349,$X29,_CALC_ALLOC!$F$1:$F$349,$Y29)</f>
        <v/>
      </c>
      <c r="E29" s="82">
        <f>SUMIFS(_CALC_ALLOC!$AI$1:$AI$349,_CALC_ALLOC!$AS$1:$AS$349,"2027|"&amp;$P$1,_CALC_ALLOC!$B$1:$B$349,$U29,_CALC_ALLOC!$D$1:$D$349,$W29,_CALC_ALLOC!$E$1:$E$349,$X29,_CALC_ALLOC!$F$1:$F$349,$Y29)</f>
        <v/>
      </c>
      <c r="F29" s="82">
        <f>SUMIFS(_CALC_ALLOC!$AJ$1:$AJ$349,_CALC_ALLOC!$AS$1:$AS$349,"2027|"&amp;$P$1,_CALC_ALLOC!$B$1:$B$349,$U29,_CALC_ALLOC!$D$1:$D$349,$W29,_CALC_ALLOC!$E$1:$E$349,$X29,_CALC_ALLOC!$F$1:$F$349,$Y29)</f>
        <v/>
      </c>
      <c r="G29" s="82">
        <f>SUMIFS(_CALC_ALLOC!$AK$1:$AK$349,_CALC_ALLOC!$AS$1:$AS$349,"2027|"&amp;$P$1,_CALC_ALLOC!$B$1:$B$349,$U29,_CALC_ALLOC!$D$1:$D$349,$W29,_CALC_ALLOC!$E$1:$E$349,$X29,_CALC_ALLOC!$F$1:$F$349,$Y29)</f>
        <v/>
      </c>
      <c r="H29" s="82">
        <f>SUMIFS(_CALC_ALLOC!$AL$1:$AL$349,_CALC_ALLOC!$AS$1:$AS$349,"2027|"&amp;$P$1,_CALC_ALLOC!$B$1:$B$349,$U29,_CALC_ALLOC!$D$1:$D$349,$W29,_CALC_ALLOC!$E$1:$E$349,$X29,_CALC_ALLOC!$F$1:$F$349,$Y29)</f>
        <v/>
      </c>
      <c r="I29" s="82">
        <f>SUMIFS(_CALC_ALLOC!$AR$1:$AR$349,_CALC_ALLOC!$AS$1:$AS$349,"2027|"&amp;$P$1,_CALC_ALLOC!$B$1:$B$349,$U29,_CALC_ALLOC!$D$1:$D$349,$W29,_CALC_ALLOC!$E$1:$E$349,$X29,_CALC_ALLOC!$F$1:$F$349,$Y29)</f>
        <v/>
      </c>
      <c r="J29" s="82">
        <f>SUMIFS(_CALC_ALLOC!$AM$1:$AM$349,_CALC_ALLOC!$AS$1:$AS$349,"2027|"&amp;$P$1,_CALC_ALLOC!$B$1:$B$349,$U29,_CALC_ALLOC!$D$1:$D$349,$W29,_CALC_ALLOC!$E$1:$E$349,$X29,_CALC_ALLOC!$F$1:$F$349,$Y29)</f>
        <v/>
      </c>
      <c r="K29" s="83">
        <f>E29+F29+G29+H29+I29+J29</f>
        <v/>
      </c>
      <c r="L29" s="84">
        <f>SUMIFS(_CALC_ALLOC!$AN$1:$AN$349,_CALC_ALLOC!$AS$1:$AS$349,"2027|"&amp;$P$1,_CALC_ALLOC!$B$1:$B$349,$U29,_CALC_ALLOC!$D$1:$D$349,$W29,_CALC_ALLOC!$E$1:$E$349,$X29,_CALC_ALLOC!$F$1:$F$349,$Y29)</f>
        <v/>
      </c>
      <c r="M29" s="85">
        <f>IF(D29=0,0,L29/D29)</f>
        <v/>
      </c>
      <c r="T29" s="74" t="inlineStr">
        <is>
          <t>MBWAY_LYO|MAS_MGT|M1|ALT</t>
        </is>
      </c>
      <c r="U29" s="74" t="inlineStr">
        <is>
          <t>MBWAY_LYO</t>
        </is>
      </c>
      <c r="V29" s="74" t="inlineStr">
        <is>
          <t>MBWAY</t>
        </is>
      </c>
      <c r="W29" s="74" t="inlineStr">
        <is>
          <t>MAS_MGT</t>
        </is>
      </c>
      <c r="X29" s="74" t="inlineStr">
        <is>
          <t>M1</t>
        </is>
      </c>
      <c r="Y29" s="74" t="inlineStr">
        <is>
          <t>ALT</t>
        </is>
      </c>
      <c r="Z29" s="74" t="n">
        <v>3</v>
      </c>
      <c r="BF29" s="0" t="inlineStr">
        <is>
          <t>2027BUD_V1</t>
        </is>
      </c>
      <c r="BG29" s="0" t="inlineStr">
        <is>
          <t>ACT</t>
        </is>
      </c>
      <c r="BH29" s="0" t="inlineStr">
        <is>
          <t>12</t>
        </is>
      </c>
      <c r="BI29" s="0" t="inlineStr">
        <is>
          <t>2024</t>
        </is>
      </c>
      <c r="BJ29" s="0" t="inlineStr">
        <is>
          <t>MBWAY_BOR</t>
        </is>
      </c>
      <c r="BK29" s="0" t="inlineStr">
        <is>
          <t>MBWAY</t>
        </is>
      </c>
      <c r="BL29" s="0" t="inlineStr">
        <is>
          <t>MAS_MGT</t>
        </is>
      </c>
      <c r="BM29" s="0" t="inlineStr">
        <is>
          <t>M1</t>
        </is>
      </c>
      <c r="BN29" s="0" t="inlineStr">
        <is>
          <t>ALT</t>
        </is>
      </c>
      <c r="BO29" s="0" t="n">
        <v>45</v>
      </c>
      <c r="BP29" s="0" t="n">
        <v>2</v>
      </c>
      <c r="BQ29" s="0" t="n">
        <v>331425</v>
      </c>
      <c r="BR29" s="0" t="n">
        <v>19281.5</v>
      </c>
      <c r="BS29" s="0" t="n">
        <v>44930.1265</v>
      </c>
      <c r="BT29" s="0" t="n">
        <v>27515.708164</v>
      </c>
      <c r="BU29" s="0" t="n">
        <v>121392.636</v>
      </c>
      <c r="BV29" s="0" t="n">
        <v>8229.004471</v>
      </c>
      <c r="BW29" s="0" t="n">
        <v>42068.69378</v>
      </c>
      <c r="BX29" s="0" t="n">
        <v>50297.698251</v>
      </c>
      <c r="BY29" s="0" t="n">
        <v>46797.208164</v>
      </c>
      <c r="BZ29" s="0" t="n">
        <v>216620.460751</v>
      </c>
      <c r="CA29" s="0" t="n">
        <v>263417.668915</v>
      </c>
      <c r="CB29" s="0" t="n">
        <v>68007.331085</v>
      </c>
      <c r="CC29" s="0" t="n">
        <v>45</v>
      </c>
      <c r="CD29" s="0" t="n">
        <v>110180</v>
      </c>
      <c r="CE29" s="0" t="n">
        <v>256743.58</v>
      </c>
      <c r="CF29" s="0" t="n">
        <v>84556</v>
      </c>
      <c r="CG29" s="0" t="n">
        <v>20597</v>
      </c>
      <c r="CH29" s="0" t="n">
        <v>606963.1800000001</v>
      </c>
      <c r="CI29" s="0" t="n">
        <v>2639292</v>
      </c>
      <c r="CJ29" s="0" t="n">
        <v>499926</v>
      </c>
    </row>
    <row r="30" outlineLevel="2" ht="14.4975" customHeight="1" s="64">
      <c r="B30" s="80" t="inlineStr">
        <is>
          <t>Mastère Management, 2e année, alternance</t>
        </is>
      </c>
      <c r="C30" s="81">
        <f>SUMIFS(_CALC_ALLOC!$G$1:$G$349,_CALC_ALLOC!$AS$1:$AS$349,"2027|"&amp;$P$1,_CALC_ALLOC!$B$1:$B$349,$U30,_CALC_ALLOC!$D$1:$D$349,$W30,_CALC_ALLOC!$E$1:$E$349,$X30,_CALC_ALLOC!$F$1:$F$349,$Y30)</f>
        <v/>
      </c>
      <c r="D30" s="82">
        <f>SUMIFS(_CALC_ALLOC!$I$1:$I$349,_CALC_ALLOC!$AS$1:$AS$349,"2027|"&amp;$P$1,_CALC_ALLOC!$B$1:$B$349,$U30,_CALC_ALLOC!$D$1:$D$349,$W30,_CALC_ALLOC!$E$1:$E$349,$X30,_CALC_ALLOC!$F$1:$F$349,$Y30)</f>
        <v/>
      </c>
      <c r="E30" s="82">
        <f>SUMIFS(_CALC_ALLOC!$AI$1:$AI$349,_CALC_ALLOC!$AS$1:$AS$349,"2027|"&amp;$P$1,_CALC_ALLOC!$B$1:$B$349,$U30,_CALC_ALLOC!$D$1:$D$349,$W30,_CALC_ALLOC!$E$1:$E$349,$X30,_CALC_ALLOC!$F$1:$F$349,$Y30)</f>
        <v/>
      </c>
      <c r="F30" s="82">
        <f>SUMIFS(_CALC_ALLOC!$AJ$1:$AJ$349,_CALC_ALLOC!$AS$1:$AS$349,"2027|"&amp;$P$1,_CALC_ALLOC!$B$1:$B$349,$U30,_CALC_ALLOC!$D$1:$D$349,$W30,_CALC_ALLOC!$E$1:$E$349,$X30,_CALC_ALLOC!$F$1:$F$349,$Y30)</f>
        <v/>
      </c>
      <c r="G30" s="82">
        <f>SUMIFS(_CALC_ALLOC!$AK$1:$AK$349,_CALC_ALLOC!$AS$1:$AS$349,"2027|"&amp;$P$1,_CALC_ALLOC!$B$1:$B$349,$U30,_CALC_ALLOC!$D$1:$D$349,$W30,_CALC_ALLOC!$E$1:$E$349,$X30,_CALC_ALLOC!$F$1:$F$349,$Y30)</f>
        <v/>
      </c>
      <c r="H30" s="82">
        <f>SUMIFS(_CALC_ALLOC!$AL$1:$AL$349,_CALC_ALLOC!$AS$1:$AS$349,"2027|"&amp;$P$1,_CALC_ALLOC!$B$1:$B$349,$U30,_CALC_ALLOC!$D$1:$D$349,$W30,_CALC_ALLOC!$E$1:$E$349,$X30,_CALC_ALLOC!$F$1:$F$349,$Y30)</f>
        <v/>
      </c>
      <c r="I30" s="82">
        <f>SUMIFS(_CALC_ALLOC!$AR$1:$AR$349,_CALC_ALLOC!$AS$1:$AS$349,"2027|"&amp;$P$1,_CALC_ALLOC!$B$1:$B$349,$U30,_CALC_ALLOC!$D$1:$D$349,$W30,_CALC_ALLOC!$E$1:$E$349,$X30,_CALC_ALLOC!$F$1:$F$349,$Y30)</f>
        <v/>
      </c>
      <c r="J30" s="82">
        <f>SUMIFS(_CALC_ALLOC!$AM$1:$AM$349,_CALC_ALLOC!$AS$1:$AS$349,"2027|"&amp;$P$1,_CALC_ALLOC!$B$1:$B$349,$U30,_CALC_ALLOC!$D$1:$D$349,$W30,_CALC_ALLOC!$E$1:$E$349,$X30,_CALC_ALLOC!$F$1:$F$349,$Y30)</f>
        <v/>
      </c>
      <c r="K30" s="83">
        <f>E30+F30+G30+H30+I30+J30</f>
        <v/>
      </c>
      <c r="L30" s="84">
        <f>SUMIFS(_CALC_ALLOC!$AN$1:$AN$349,_CALC_ALLOC!$AS$1:$AS$349,"2027|"&amp;$P$1,_CALC_ALLOC!$B$1:$B$349,$U30,_CALC_ALLOC!$D$1:$D$349,$W30,_CALC_ALLOC!$E$1:$E$349,$X30,_CALC_ALLOC!$F$1:$F$349,$Y30)</f>
        <v/>
      </c>
      <c r="M30" s="85">
        <f>IF(D30=0,0,L30/D30)</f>
        <v/>
      </c>
      <c r="T30" s="74" t="inlineStr">
        <is>
          <t>MBWAY_LYO|MAS_MGT|M2|ALT</t>
        </is>
      </c>
      <c r="U30" s="74" t="inlineStr">
        <is>
          <t>MBWAY_LYO</t>
        </is>
      </c>
      <c r="V30" s="74" t="inlineStr">
        <is>
          <t>MBWAY</t>
        </is>
      </c>
      <c r="W30" s="74" t="inlineStr">
        <is>
          <t>MAS_MGT</t>
        </is>
      </c>
      <c r="X30" s="74" t="inlineStr">
        <is>
          <t>M2</t>
        </is>
      </c>
      <c r="Y30" s="74" t="inlineStr">
        <is>
          <t>ALT</t>
        </is>
      </c>
      <c r="Z30" s="74" t="n">
        <v>3</v>
      </c>
      <c r="BF30" s="0" t="inlineStr">
        <is>
          <t>2027BUD_V1</t>
        </is>
      </c>
      <c r="BG30" s="0" t="inlineStr">
        <is>
          <t>ACT</t>
        </is>
      </c>
      <c r="BH30" s="0" t="inlineStr">
        <is>
          <t>12</t>
        </is>
      </c>
      <c r="BI30" s="0" t="inlineStr">
        <is>
          <t>2024</t>
        </is>
      </c>
      <c r="BJ30" s="0" t="inlineStr">
        <is>
          <t>MBWAY_BOR</t>
        </is>
      </c>
      <c r="BK30" s="0" t="inlineStr">
        <is>
          <t>MBWAY</t>
        </is>
      </c>
      <c r="BL30" s="0" t="inlineStr">
        <is>
          <t>MAS_MGT</t>
        </is>
      </c>
      <c r="BM30" s="0" t="inlineStr">
        <is>
          <t>M2</t>
        </is>
      </c>
      <c r="BN30" s="0" t="inlineStr">
        <is>
          <t>ALT</t>
        </is>
      </c>
      <c r="BO30" s="0" t="n">
        <v>44</v>
      </c>
      <c r="BP30" s="0" t="n">
        <v>2</v>
      </c>
      <c r="BQ30" s="0" t="n">
        <v>320100</v>
      </c>
      <c r="BR30" s="0" t="n">
        <v>19281.5</v>
      </c>
      <c r="BS30" s="0" t="n">
        <v>44930.1265</v>
      </c>
      <c r="BT30" s="0" t="n">
        <v>16834.67682</v>
      </c>
      <c r="BU30" s="0" t="n">
        <v>121392.636</v>
      </c>
      <c r="BV30" s="0" t="n">
        <v>8229.004471</v>
      </c>
      <c r="BW30" s="0" t="n">
        <v>42068.69378</v>
      </c>
      <c r="BX30" s="0" t="n">
        <v>50297.698251</v>
      </c>
      <c r="BY30" s="0" t="n">
        <v>36116.17682</v>
      </c>
      <c r="BZ30" s="0" t="n">
        <v>216620.460751</v>
      </c>
      <c r="CA30" s="0" t="n">
        <v>252736.637571</v>
      </c>
      <c r="CB30" s="0" t="n">
        <v>67363.362429</v>
      </c>
      <c r="CC30" s="0" t="n">
        <v>0</v>
      </c>
      <c r="CD30" s="0" t="n">
        <v>110180</v>
      </c>
      <c r="CE30" s="0" t="n">
        <v>256743.58</v>
      </c>
      <c r="CF30" s="0" t="n">
        <v>84556</v>
      </c>
      <c r="CG30" s="0" t="n">
        <v>20597</v>
      </c>
      <c r="CH30" s="0" t="n">
        <v>606963.1800000001</v>
      </c>
      <c r="CI30" s="0" t="n">
        <v>2639292</v>
      </c>
      <c r="CJ30" s="0" t="n">
        <v>499926</v>
      </c>
    </row>
    <row r="31" outlineLevel="1" ht="14.4975" customHeight="1" s="64">
      <c r="B31" s="75" t="inlineStr">
        <is>
          <t>Nantes</t>
        </is>
      </c>
      <c r="C31" s="76">
        <f>SUMIFS(_CALC_ALLOC!$G$1:$G$349,_CALC_ALLOC!$AS$1:$AS$349,"2027|"&amp;$P$1,_CALC_ALLOC!$B$1:$B$349,$U31)</f>
        <v/>
      </c>
      <c r="D31" s="77">
        <f>SUMIFS(_CALC_ALLOC!$I$1:$I$349,_CALC_ALLOC!$AS$1:$AS$349,"2027|"&amp;$P$1,_CALC_ALLOC!$B$1:$B$349,$U31)</f>
        <v/>
      </c>
      <c r="E31" s="77">
        <f>SUMIFS(_CALC_ALLOC!$AI$1:$AI$349,_CALC_ALLOC!$AS$1:$AS$349,"2027|"&amp;$P$1,_CALC_ALLOC!$B$1:$B$349,$U31)</f>
        <v/>
      </c>
      <c r="F31" s="77">
        <f>SUMIFS(_CALC_ALLOC!$AJ$1:$AJ$349,_CALC_ALLOC!$AS$1:$AS$349,"2027|"&amp;$P$1,_CALC_ALLOC!$B$1:$B$349,$U31)</f>
        <v/>
      </c>
      <c r="G31" s="77">
        <f>SUMIFS(_CALC_ALLOC!$AK$1:$AK$349,_CALC_ALLOC!$AS$1:$AS$349,"2027|"&amp;$P$1,_CALC_ALLOC!$B$1:$B$349,$U31)</f>
        <v/>
      </c>
      <c r="H31" s="77">
        <f>SUMIFS(_CALC_ALLOC!$AL$1:$AL$349,_CALC_ALLOC!$AS$1:$AS$349,"2027|"&amp;$P$1,_CALC_ALLOC!$B$1:$B$349,$U31)</f>
        <v/>
      </c>
      <c r="I31" s="77">
        <f>SUMIFS(_CALC_ALLOC!$AR$1:$AR$349,_CALC_ALLOC!$AS$1:$AS$349,"2027|"&amp;$P$1,_CALC_ALLOC!$B$1:$B$349,$U31)</f>
        <v/>
      </c>
      <c r="J31" s="77">
        <f>SUMIFS(_CALC_ALLOC!$AM$1:$AM$349,_CALC_ALLOC!$AS$1:$AS$349,"2027|"&amp;$P$1,_CALC_ALLOC!$B$1:$B$349,$U31)</f>
        <v/>
      </c>
      <c r="K31" s="77">
        <f>E31+F31+G31+H31+I31+J31</f>
        <v/>
      </c>
      <c r="L31" s="78">
        <f>SUMIFS(_CALC_ALLOC!$AN$1:$AN$349,_CALC_ALLOC!$AS$1:$AS$349,"2027|"&amp;$P$1,_CALC_ALLOC!$B$1:$B$349,$U31)</f>
        <v/>
      </c>
      <c r="M31" s="79">
        <f>IF(D31=0,0,L31/D31)</f>
        <v/>
      </c>
      <c r="T31" s="74" t="inlineStr">
        <is>
          <t>MBWAY_NAN</t>
        </is>
      </c>
      <c r="U31" s="74" t="inlineStr">
        <is>
          <t>MBWAY_NAN</t>
        </is>
      </c>
      <c r="V31" s="74" t="inlineStr">
        <is>
          <t>MBWAY</t>
        </is>
      </c>
      <c r="W31" s="74" t="inlineStr"/>
      <c r="X31" s="74" t="inlineStr"/>
      <c r="Y31" s="74" t="inlineStr"/>
      <c r="Z31" s="74" t="n">
        <v>2</v>
      </c>
      <c r="BF31" s="0" t="inlineStr">
        <is>
          <t>2027BUD_V1</t>
        </is>
      </c>
      <c r="BG31" s="0" t="inlineStr">
        <is>
          <t>ACT</t>
        </is>
      </c>
      <c r="BH31" s="0" t="inlineStr">
        <is>
          <t>12</t>
        </is>
      </c>
      <c r="BI31" s="0" t="inlineStr">
        <is>
          <t>2024</t>
        </is>
      </c>
      <c r="BJ31" s="0" t="inlineStr">
        <is>
          <t>MBWAY_LYO</t>
        </is>
      </c>
      <c r="BK31" s="0" t="inlineStr">
        <is>
          <t>MBWAY</t>
        </is>
      </c>
      <c r="BL31" s="0" t="inlineStr">
        <is>
          <t>BAC_MGT</t>
        </is>
      </c>
      <c r="BM31" s="0" t="inlineStr">
        <is>
          <t>B1</t>
        </is>
      </c>
      <c r="BN31" s="0" t="inlineStr">
        <is>
          <t>INIT</t>
        </is>
      </c>
      <c r="BO31" s="0" t="n">
        <v>59</v>
      </c>
      <c r="BP31" s="0" t="n">
        <v>3</v>
      </c>
      <c r="BQ31" s="0" t="n">
        <v>469935</v>
      </c>
      <c r="BR31" s="0" t="n">
        <v>41317.711335</v>
      </c>
      <c r="BS31" s="0" t="n">
        <v>106414.007129</v>
      </c>
      <c r="BT31" s="0" t="n">
        <v>39727.8238</v>
      </c>
      <c r="BU31" s="0" t="n">
        <v>201383.224001</v>
      </c>
      <c r="BV31" s="0" t="n">
        <v>12416.529116</v>
      </c>
      <c r="BW31" s="0" t="n">
        <v>63476.349179</v>
      </c>
      <c r="BX31" s="0" t="n">
        <v>75892.878295</v>
      </c>
      <c r="BY31" s="0" t="n">
        <v>81045.535135</v>
      </c>
      <c r="BZ31" s="0" t="n">
        <v>383690.109425</v>
      </c>
      <c r="CA31" s="0" t="n">
        <v>464735.64456</v>
      </c>
      <c r="CB31" s="0" t="n">
        <v>5199.35544</v>
      </c>
      <c r="CC31" s="0" t="n">
        <v>59</v>
      </c>
      <c r="CD31" s="0" t="n">
        <v>143235</v>
      </c>
      <c r="CE31" s="0" t="n">
        <v>368902.58</v>
      </c>
      <c r="CF31" s="0" t="n">
        <v>110025</v>
      </c>
      <c r="CG31" s="0" t="n">
        <v>34532</v>
      </c>
      <c r="CH31" s="0" t="n">
        <v>872661.51</v>
      </c>
      <c r="CI31" s="0" t="n">
        <v>2639292</v>
      </c>
      <c r="CJ31" s="0" t="n">
        <v>499926</v>
      </c>
    </row>
    <row r="32" outlineLevel="2" ht="14.4975" customHeight="1" s="64">
      <c r="B32" s="80" t="inlineStr">
        <is>
          <t>Bachelor Management, 1re année, initial</t>
        </is>
      </c>
      <c r="C32" s="81">
        <f>SUMIFS(_CALC_ALLOC!$G$1:$G$349,_CALC_ALLOC!$AS$1:$AS$349,"2027|"&amp;$P$1,_CALC_ALLOC!$B$1:$B$349,$U32,_CALC_ALLOC!$D$1:$D$349,$W32,_CALC_ALLOC!$E$1:$E$349,$X32,_CALC_ALLOC!$F$1:$F$349,$Y32)</f>
        <v/>
      </c>
      <c r="D32" s="82">
        <f>SUMIFS(_CALC_ALLOC!$I$1:$I$349,_CALC_ALLOC!$AS$1:$AS$349,"2027|"&amp;$P$1,_CALC_ALLOC!$B$1:$B$349,$U32,_CALC_ALLOC!$D$1:$D$349,$W32,_CALC_ALLOC!$E$1:$E$349,$X32,_CALC_ALLOC!$F$1:$F$349,$Y32)</f>
        <v/>
      </c>
      <c r="E32" s="82">
        <f>SUMIFS(_CALC_ALLOC!$AI$1:$AI$349,_CALC_ALLOC!$AS$1:$AS$349,"2027|"&amp;$P$1,_CALC_ALLOC!$B$1:$B$349,$U32,_CALC_ALLOC!$D$1:$D$349,$W32,_CALC_ALLOC!$E$1:$E$349,$X32,_CALC_ALLOC!$F$1:$F$349,$Y32)</f>
        <v/>
      </c>
      <c r="F32" s="82">
        <f>SUMIFS(_CALC_ALLOC!$AJ$1:$AJ$349,_CALC_ALLOC!$AS$1:$AS$349,"2027|"&amp;$P$1,_CALC_ALLOC!$B$1:$B$349,$U32,_CALC_ALLOC!$D$1:$D$349,$W32,_CALC_ALLOC!$E$1:$E$349,$X32,_CALC_ALLOC!$F$1:$F$349,$Y32)</f>
        <v/>
      </c>
      <c r="G32" s="82">
        <f>SUMIFS(_CALC_ALLOC!$AK$1:$AK$349,_CALC_ALLOC!$AS$1:$AS$349,"2027|"&amp;$P$1,_CALC_ALLOC!$B$1:$B$349,$U32,_CALC_ALLOC!$D$1:$D$349,$W32,_CALC_ALLOC!$E$1:$E$349,$X32,_CALC_ALLOC!$F$1:$F$349,$Y32)</f>
        <v/>
      </c>
      <c r="H32" s="82">
        <f>SUMIFS(_CALC_ALLOC!$AL$1:$AL$349,_CALC_ALLOC!$AS$1:$AS$349,"2027|"&amp;$P$1,_CALC_ALLOC!$B$1:$B$349,$U32,_CALC_ALLOC!$D$1:$D$349,$W32,_CALC_ALLOC!$E$1:$E$349,$X32,_CALC_ALLOC!$F$1:$F$349,$Y32)</f>
        <v/>
      </c>
      <c r="I32" s="82">
        <f>SUMIFS(_CALC_ALLOC!$AR$1:$AR$349,_CALC_ALLOC!$AS$1:$AS$349,"2027|"&amp;$P$1,_CALC_ALLOC!$B$1:$B$349,$U32,_CALC_ALLOC!$D$1:$D$349,$W32,_CALC_ALLOC!$E$1:$E$349,$X32,_CALC_ALLOC!$F$1:$F$349,$Y32)</f>
        <v/>
      </c>
      <c r="J32" s="82">
        <f>SUMIFS(_CALC_ALLOC!$AM$1:$AM$349,_CALC_ALLOC!$AS$1:$AS$349,"2027|"&amp;$P$1,_CALC_ALLOC!$B$1:$B$349,$U32,_CALC_ALLOC!$D$1:$D$349,$W32,_CALC_ALLOC!$E$1:$E$349,$X32,_CALC_ALLOC!$F$1:$F$349,$Y32)</f>
        <v/>
      </c>
      <c r="K32" s="83">
        <f>E32+F32+G32+H32+I32+J32</f>
        <v/>
      </c>
      <c r="L32" s="84">
        <f>SUMIFS(_CALC_ALLOC!$AN$1:$AN$349,_CALC_ALLOC!$AS$1:$AS$349,"2027|"&amp;$P$1,_CALC_ALLOC!$B$1:$B$349,$U32,_CALC_ALLOC!$D$1:$D$349,$W32,_CALC_ALLOC!$E$1:$E$349,$X32,_CALC_ALLOC!$F$1:$F$349,$Y32)</f>
        <v/>
      </c>
      <c r="M32" s="85">
        <f>IF(D32=0,0,L32/D32)</f>
        <v/>
      </c>
      <c r="T32" s="74" t="inlineStr">
        <is>
          <t>MBWAY_NAN|BAC_MGT|B1|INIT</t>
        </is>
      </c>
      <c r="U32" s="74" t="inlineStr">
        <is>
          <t>MBWAY_NAN</t>
        </is>
      </c>
      <c r="V32" s="74" t="inlineStr">
        <is>
          <t>MBWAY</t>
        </is>
      </c>
      <c r="W32" s="74" t="inlineStr">
        <is>
          <t>BAC_MGT</t>
        </is>
      </c>
      <c r="X32" s="74" t="inlineStr">
        <is>
          <t>B1</t>
        </is>
      </c>
      <c r="Y32" s="74" t="inlineStr">
        <is>
          <t>INIT</t>
        </is>
      </c>
      <c r="Z32" s="74" t="n">
        <v>3</v>
      </c>
      <c r="BF32" s="0" t="inlineStr">
        <is>
          <t>2027BUD_V1</t>
        </is>
      </c>
      <c r="BG32" s="0" t="inlineStr">
        <is>
          <t>ACT</t>
        </is>
      </c>
      <c r="BH32" s="0" t="inlineStr">
        <is>
          <t>12</t>
        </is>
      </c>
      <c r="BI32" s="0" t="inlineStr">
        <is>
          <t>2024</t>
        </is>
      </c>
      <c r="BJ32" s="0" t="inlineStr">
        <is>
          <t>MBWAY_LYO</t>
        </is>
      </c>
      <c r="BK32" s="0" t="inlineStr">
        <is>
          <t>MBWAY</t>
        </is>
      </c>
      <c r="BL32" s="0" t="inlineStr">
        <is>
          <t>BAC_MGT</t>
        </is>
      </c>
      <c r="BM32" s="0" t="inlineStr">
        <is>
          <t>B2</t>
        </is>
      </c>
      <c r="BN32" s="0" t="inlineStr">
        <is>
          <t>ALT</t>
        </is>
      </c>
      <c r="BO32" s="0" t="n">
        <v>57</v>
      </c>
      <c r="BP32" s="0" t="n">
        <v>2</v>
      </c>
      <c r="BQ32" s="0" t="n">
        <v>418950</v>
      </c>
      <c r="BR32" s="0" t="n">
        <v>22036.13181</v>
      </c>
      <c r="BS32" s="0" t="n">
        <v>56754.186323</v>
      </c>
      <c r="BT32" s="0" t="n">
        <v>21700.340775</v>
      </c>
      <c r="BU32" s="0" t="n">
        <v>134255.482667</v>
      </c>
      <c r="BV32" s="0" t="n">
        <v>8277.686077</v>
      </c>
      <c r="BW32" s="0" t="n">
        <v>42317.566119</v>
      </c>
      <c r="BX32" s="0" t="n">
        <v>50595.252196</v>
      </c>
      <c r="BY32" s="0" t="n">
        <v>43736.472585</v>
      </c>
      <c r="BZ32" s="0" t="n">
        <v>241604.921186</v>
      </c>
      <c r="CA32" s="0" t="n">
        <v>285341.393771</v>
      </c>
      <c r="CB32" s="0" t="n">
        <v>133608.606229</v>
      </c>
      <c r="CC32" s="0" t="n">
        <v>0</v>
      </c>
      <c r="CD32" s="0" t="n">
        <v>143235</v>
      </c>
      <c r="CE32" s="0" t="n">
        <v>368902.58</v>
      </c>
      <c r="CF32" s="0" t="n">
        <v>110025</v>
      </c>
      <c r="CG32" s="0" t="n">
        <v>34532</v>
      </c>
      <c r="CH32" s="0" t="n">
        <v>872661.51</v>
      </c>
      <c r="CI32" s="0" t="n">
        <v>2639292</v>
      </c>
      <c r="CJ32" s="0" t="n">
        <v>499926</v>
      </c>
    </row>
    <row r="33" outlineLevel="2" ht="14.4975" customHeight="1" s="64">
      <c r="B33" s="80" t="inlineStr">
        <is>
          <t>Bachelor Management, 2e année, alternance</t>
        </is>
      </c>
      <c r="C33" s="81">
        <f>SUMIFS(_CALC_ALLOC!$G$1:$G$349,_CALC_ALLOC!$AS$1:$AS$349,"2027|"&amp;$P$1,_CALC_ALLOC!$B$1:$B$349,$U33,_CALC_ALLOC!$D$1:$D$349,$W33,_CALC_ALLOC!$E$1:$E$349,$X33,_CALC_ALLOC!$F$1:$F$349,$Y33)</f>
        <v/>
      </c>
      <c r="D33" s="82">
        <f>SUMIFS(_CALC_ALLOC!$I$1:$I$349,_CALC_ALLOC!$AS$1:$AS$349,"2027|"&amp;$P$1,_CALC_ALLOC!$B$1:$B$349,$U33,_CALC_ALLOC!$D$1:$D$349,$W33,_CALC_ALLOC!$E$1:$E$349,$X33,_CALC_ALLOC!$F$1:$F$349,$Y33)</f>
        <v/>
      </c>
      <c r="E33" s="82">
        <f>SUMIFS(_CALC_ALLOC!$AI$1:$AI$349,_CALC_ALLOC!$AS$1:$AS$349,"2027|"&amp;$P$1,_CALC_ALLOC!$B$1:$B$349,$U33,_CALC_ALLOC!$D$1:$D$349,$W33,_CALC_ALLOC!$E$1:$E$349,$X33,_CALC_ALLOC!$F$1:$F$349,$Y33)</f>
        <v/>
      </c>
      <c r="F33" s="82">
        <f>SUMIFS(_CALC_ALLOC!$AJ$1:$AJ$349,_CALC_ALLOC!$AS$1:$AS$349,"2027|"&amp;$P$1,_CALC_ALLOC!$B$1:$B$349,$U33,_CALC_ALLOC!$D$1:$D$349,$W33,_CALC_ALLOC!$E$1:$E$349,$X33,_CALC_ALLOC!$F$1:$F$349,$Y33)</f>
        <v/>
      </c>
      <c r="G33" s="82">
        <f>SUMIFS(_CALC_ALLOC!$AK$1:$AK$349,_CALC_ALLOC!$AS$1:$AS$349,"2027|"&amp;$P$1,_CALC_ALLOC!$B$1:$B$349,$U33,_CALC_ALLOC!$D$1:$D$349,$W33,_CALC_ALLOC!$E$1:$E$349,$X33,_CALC_ALLOC!$F$1:$F$349,$Y33)</f>
        <v/>
      </c>
      <c r="H33" s="82">
        <f>SUMIFS(_CALC_ALLOC!$AL$1:$AL$349,_CALC_ALLOC!$AS$1:$AS$349,"2027|"&amp;$P$1,_CALC_ALLOC!$B$1:$B$349,$U33,_CALC_ALLOC!$D$1:$D$349,$W33,_CALC_ALLOC!$E$1:$E$349,$X33,_CALC_ALLOC!$F$1:$F$349,$Y33)</f>
        <v/>
      </c>
      <c r="I33" s="82">
        <f>SUMIFS(_CALC_ALLOC!$AR$1:$AR$349,_CALC_ALLOC!$AS$1:$AS$349,"2027|"&amp;$P$1,_CALC_ALLOC!$B$1:$B$349,$U33,_CALC_ALLOC!$D$1:$D$349,$W33,_CALC_ALLOC!$E$1:$E$349,$X33,_CALC_ALLOC!$F$1:$F$349,$Y33)</f>
        <v/>
      </c>
      <c r="J33" s="82">
        <f>SUMIFS(_CALC_ALLOC!$AM$1:$AM$349,_CALC_ALLOC!$AS$1:$AS$349,"2027|"&amp;$P$1,_CALC_ALLOC!$B$1:$B$349,$U33,_CALC_ALLOC!$D$1:$D$349,$W33,_CALC_ALLOC!$E$1:$E$349,$X33,_CALC_ALLOC!$F$1:$F$349,$Y33)</f>
        <v/>
      </c>
      <c r="K33" s="83">
        <f>E33+F33+G33+H33+I33+J33</f>
        <v/>
      </c>
      <c r="L33" s="84">
        <f>SUMIFS(_CALC_ALLOC!$AN$1:$AN$349,_CALC_ALLOC!$AS$1:$AS$349,"2027|"&amp;$P$1,_CALC_ALLOC!$B$1:$B$349,$U33,_CALC_ALLOC!$D$1:$D$349,$W33,_CALC_ALLOC!$E$1:$E$349,$X33,_CALC_ALLOC!$F$1:$F$349,$Y33)</f>
        <v/>
      </c>
      <c r="M33" s="85">
        <f>IF(D33=0,0,L33/D33)</f>
        <v/>
      </c>
      <c r="T33" s="74" t="inlineStr">
        <is>
          <t>MBWAY_NAN|BAC_MGT|B2|ALT</t>
        </is>
      </c>
      <c r="U33" s="74" t="inlineStr">
        <is>
          <t>MBWAY_NAN</t>
        </is>
      </c>
      <c r="V33" s="74" t="inlineStr">
        <is>
          <t>MBWAY</t>
        </is>
      </c>
      <c r="W33" s="74" t="inlineStr">
        <is>
          <t>BAC_MGT</t>
        </is>
      </c>
      <c r="X33" s="74" t="inlineStr">
        <is>
          <t>B2</t>
        </is>
      </c>
      <c r="Y33" s="74" t="inlineStr">
        <is>
          <t>ALT</t>
        </is>
      </c>
      <c r="Z33" s="74" t="n">
        <v>3</v>
      </c>
      <c r="BF33" s="0" t="inlineStr">
        <is>
          <t>2027BUD_V1</t>
        </is>
      </c>
      <c r="BG33" s="0" t="inlineStr">
        <is>
          <t>ACT</t>
        </is>
      </c>
      <c r="BH33" s="0" t="inlineStr">
        <is>
          <t>12</t>
        </is>
      </c>
      <c r="BI33" s="0" t="inlineStr">
        <is>
          <t>2024</t>
        </is>
      </c>
      <c r="BJ33" s="0" t="inlineStr">
        <is>
          <t>MBWAY_LYO</t>
        </is>
      </c>
      <c r="BK33" s="0" t="inlineStr">
        <is>
          <t>MBWAY</t>
        </is>
      </c>
      <c r="BL33" s="0" t="inlineStr">
        <is>
          <t>BAC_MGT</t>
        </is>
      </c>
      <c r="BM33" s="0" t="inlineStr">
        <is>
          <t>B3</t>
        </is>
      </c>
      <c r="BN33" s="0" t="inlineStr">
        <is>
          <t>ALT</t>
        </is>
      </c>
      <c r="BO33" s="0" t="n">
        <v>56</v>
      </c>
      <c r="BP33" s="0" t="n">
        <v>2</v>
      </c>
      <c r="BQ33" s="0" t="n">
        <v>411600</v>
      </c>
      <c r="BR33" s="0" t="n">
        <v>22036.13181</v>
      </c>
      <c r="BS33" s="0" t="n">
        <v>56754.186323</v>
      </c>
      <c r="BT33" s="0" t="n">
        <v>21319.654275</v>
      </c>
      <c r="BU33" s="0" t="n">
        <v>134255.482667</v>
      </c>
      <c r="BV33" s="0" t="n">
        <v>8277.686077</v>
      </c>
      <c r="BW33" s="0" t="n">
        <v>42317.566119</v>
      </c>
      <c r="BX33" s="0" t="n">
        <v>50595.252196</v>
      </c>
      <c r="BY33" s="0" t="n">
        <v>43355.786085</v>
      </c>
      <c r="BZ33" s="0" t="n">
        <v>241604.921186</v>
      </c>
      <c r="CA33" s="0" t="n">
        <v>284960.707271</v>
      </c>
      <c r="CB33" s="0" t="n">
        <v>126639.292729</v>
      </c>
      <c r="CC33" s="0" t="n">
        <v>0</v>
      </c>
      <c r="CD33" s="0" t="n">
        <v>143235</v>
      </c>
      <c r="CE33" s="0" t="n">
        <v>368902.58</v>
      </c>
      <c r="CF33" s="0" t="n">
        <v>110025</v>
      </c>
      <c r="CG33" s="0" t="n">
        <v>34532</v>
      </c>
      <c r="CH33" s="0" t="n">
        <v>872661.51</v>
      </c>
      <c r="CI33" s="0" t="n">
        <v>2639292</v>
      </c>
      <c r="CJ33" s="0" t="n">
        <v>499926</v>
      </c>
    </row>
    <row r="34" outlineLevel="2" ht="14.4975" customHeight="1" s="64">
      <c r="B34" s="80" t="inlineStr">
        <is>
          <t>Bachelor Management, 3e année, alternance</t>
        </is>
      </c>
      <c r="C34" s="81">
        <f>SUMIFS(_CALC_ALLOC!$G$1:$G$349,_CALC_ALLOC!$AS$1:$AS$349,"2027|"&amp;$P$1,_CALC_ALLOC!$B$1:$B$349,$U34,_CALC_ALLOC!$D$1:$D$349,$W34,_CALC_ALLOC!$E$1:$E$349,$X34,_CALC_ALLOC!$F$1:$F$349,$Y34)</f>
        <v/>
      </c>
      <c r="D34" s="82">
        <f>SUMIFS(_CALC_ALLOC!$I$1:$I$349,_CALC_ALLOC!$AS$1:$AS$349,"2027|"&amp;$P$1,_CALC_ALLOC!$B$1:$B$349,$U34,_CALC_ALLOC!$D$1:$D$349,$W34,_CALC_ALLOC!$E$1:$E$349,$X34,_CALC_ALLOC!$F$1:$F$349,$Y34)</f>
        <v/>
      </c>
      <c r="E34" s="82">
        <f>SUMIFS(_CALC_ALLOC!$AI$1:$AI$349,_CALC_ALLOC!$AS$1:$AS$349,"2027|"&amp;$P$1,_CALC_ALLOC!$B$1:$B$349,$U34,_CALC_ALLOC!$D$1:$D$349,$W34,_CALC_ALLOC!$E$1:$E$349,$X34,_CALC_ALLOC!$F$1:$F$349,$Y34)</f>
        <v/>
      </c>
      <c r="F34" s="82">
        <f>SUMIFS(_CALC_ALLOC!$AJ$1:$AJ$349,_CALC_ALLOC!$AS$1:$AS$349,"2027|"&amp;$P$1,_CALC_ALLOC!$B$1:$B$349,$U34,_CALC_ALLOC!$D$1:$D$349,$W34,_CALC_ALLOC!$E$1:$E$349,$X34,_CALC_ALLOC!$F$1:$F$349,$Y34)</f>
        <v/>
      </c>
      <c r="G34" s="82">
        <f>SUMIFS(_CALC_ALLOC!$AK$1:$AK$349,_CALC_ALLOC!$AS$1:$AS$349,"2027|"&amp;$P$1,_CALC_ALLOC!$B$1:$B$349,$U34,_CALC_ALLOC!$D$1:$D$349,$W34,_CALC_ALLOC!$E$1:$E$349,$X34,_CALC_ALLOC!$F$1:$F$349,$Y34)</f>
        <v/>
      </c>
      <c r="H34" s="82">
        <f>SUMIFS(_CALC_ALLOC!$AL$1:$AL$349,_CALC_ALLOC!$AS$1:$AS$349,"2027|"&amp;$P$1,_CALC_ALLOC!$B$1:$B$349,$U34,_CALC_ALLOC!$D$1:$D$349,$W34,_CALC_ALLOC!$E$1:$E$349,$X34,_CALC_ALLOC!$F$1:$F$349,$Y34)</f>
        <v/>
      </c>
      <c r="I34" s="82">
        <f>SUMIFS(_CALC_ALLOC!$AR$1:$AR$349,_CALC_ALLOC!$AS$1:$AS$349,"2027|"&amp;$P$1,_CALC_ALLOC!$B$1:$B$349,$U34,_CALC_ALLOC!$D$1:$D$349,$W34,_CALC_ALLOC!$E$1:$E$349,$X34,_CALC_ALLOC!$F$1:$F$349,$Y34)</f>
        <v/>
      </c>
      <c r="J34" s="82">
        <f>SUMIFS(_CALC_ALLOC!$AM$1:$AM$349,_CALC_ALLOC!$AS$1:$AS$349,"2027|"&amp;$P$1,_CALC_ALLOC!$B$1:$B$349,$U34,_CALC_ALLOC!$D$1:$D$349,$W34,_CALC_ALLOC!$E$1:$E$349,$X34,_CALC_ALLOC!$F$1:$F$349,$Y34)</f>
        <v/>
      </c>
      <c r="K34" s="83">
        <f>E34+F34+G34+H34+I34+J34</f>
        <v/>
      </c>
      <c r="L34" s="84">
        <f>SUMIFS(_CALC_ALLOC!$AN$1:$AN$349,_CALC_ALLOC!$AS$1:$AS$349,"2027|"&amp;$P$1,_CALC_ALLOC!$B$1:$B$349,$U34,_CALC_ALLOC!$D$1:$D$349,$W34,_CALC_ALLOC!$E$1:$E$349,$X34,_CALC_ALLOC!$F$1:$F$349,$Y34)</f>
        <v/>
      </c>
      <c r="M34" s="85">
        <f>IF(D34=0,0,L34/D34)</f>
        <v/>
      </c>
      <c r="T34" s="74" t="inlineStr">
        <is>
          <t>MBWAY_NAN|BAC_MGT|B3|ALT</t>
        </is>
      </c>
      <c r="U34" s="74" t="inlineStr">
        <is>
          <t>MBWAY_NAN</t>
        </is>
      </c>
      <c r="V34" s="74" t="inlineStr">
        <is>
          <t>MBWAY</t>
        </is>
      </c>
      <c r="W34" s="74" t="inlineStr">
        <is>
          <t>BAC_MGT</t>
        </is>
      </c>
      <c r="X34" s="74" t="inlineStr">
        <is>
          <t>B3</t>
        </is>
      </c>
      <c r="Y34" s="74" t="inlineStr">
        <is>
          <t>ALT</t>
        </is>
      </c>
      <c r="Z34" s="74" t="n">
        <v>3</v>
      </c>
      <c r="BF34" s="0" t="inlineStr">
        <is>
          <t>2027BUD_V1</t>
        </is>
      </c>
      <c r="BG34" s="0" t="inlineStr">
        <is>
          <t>ACT</t>
        </is>
      </c>
      <c r="BH34" s="0" t="inlineStr">
        <is>
          <t>12</t>
        </is>
      </c>
      <c r="BI34" s="0" t="inlineStr">
        <is>
          <t>2024</t>
        </is>
      </c>
      <c r="BJ34" s="0" t="inlineStr">
        <is>
          <t>MBWAY_LYO</t>
        </is>
      </c>
      <c r="BK34" s="0" t="inlineStr">
        <is>
          <t>MBWAY</t>
        </is>
      </c>
      <c r="BL34" s="0" t="inlineStr">
        <is>
          <t>MAS_MGT</t>
        </is>
      </c>
      <c r="BM34" s="0" t="inlineStr">
        <is>
          <t>M1</t>
        </is>
      </c>
      <c r="BN34" s="0" t="inlineStr">
        <is>
          <t>ALT</t>
        </is>
      </c>
      <c r="BO34" s="0" t="n">
        <v>59</v>
      </c>
      <c r="BP34" s="0" t="n">
        <v>3</v>
      </c>
      <c r="BQ34" s="0" t="n">
        <v>469935</v>
      </c>
      <c r="BR34" s="0" t="n">
        <v>28922.440905</v>
      </c>
      <c r="BS34" s="0" t="n">
        <v>74489.91566100001</v>
      </c>
      <c r="BT34" s="0" t="n">
        <v>39727.8238</v>
      </c>
      <c r="BU34" s="0" t="n">
        <v>201383.224001</v>
      </c>
      <c r="BV34" s="0" t="n">
        <v>12416.529116</v>
      </c>
      <c r="BW34" s="0" t="n">
        <v>63476.349179</v>
      </c>
      <c r="BX34" s="0" t="n">
        <v>75892.878295</v>
      </c>
      <c r="BY34" s="0" t="n">
        <v>68650.26470499999</v>
      </c>
      <c r="BZ34" s="0" t="n">
        <v>351766.017957</v>
      </c>
      <c r="CA34" s="0" t="n">
        <v>420416.282662</v>
      </c>
      <c r="CB34" s="0" t="n">
        <v>49518.717338</v>
      </c>
      <c r="CC34" s="0" t="n">
        <v>59</v>
      </c>
      <c r="CD34" s="0" t="n">
        <v>143235</v>
      </c>
      <c r="CE34" s="0" t="n">
        <v>368902.58</v>
      </c>
      <c r="CF34" s="0" t="n">
        <v>110025</v>
      </c>
      <c r="CG34" s="0" t="n">
        <v>34532</v>
      </c>
      <c r="CH34" s="0" t="n">
        <v>872661.51</v>
      </c>
      <c r="CI34" s="0" t="n">
        <v>2639292</v>
      </c>
      <c r="CJ34" s="0" t="n">
        <v>499926</v>
      </c>
    </row>
    <row r="35" outlineLevel="2" ht="14.4975" customHeight="1" s="64">
      <c r="B35" s="80" t="inlineStr">
        <is>
          <t>Mastère Management, 1re année, alternance</t>
        </is>
      </c>
      <c r="C35" s="81">
        <f>SUMIFS(_CALC_ALLOC!$G$1:$G$349,_CALC_ALLOC!$AS$1:$AS$349,"2027|"&amp;$P$1,_CALC_ALLOC!$B$1:$B$349,$U35,_CALC_ALLOC!$D$1:$D$349,$W35,_CALC_ALLOC!$E$1:$E$349,$X35,_CALC_ALLOC!$F$1:$F$349,$Y35)</f>
        <v/>
      </c>
      <c r="D35" s="82">
        <f>SUMIFS(_CALC_ALLOC!$I$1:$I$349,_CALC_ALLOC!$AS$1:$AS$349,"2027|"&amp;$P$1,_CALC_ALLOC!$B$1:$B$349,$U35,_CALC_ALLOC!$D$1:$D$349,$W35,_CALC_ALLOC!$E$1:$E$349,$X35,_CALC_ALLOC!$F$1:$F$349,$Y35)</f>
        <v/>
      </c>
      <c r="E35" s="82">
        <f>SUMIFS(_CALC_ALLOC!$AI$1:$AI$349,_CALC_ALLOC!$AS$1:$AS$349,"2027|"&amp;$P$1,_CALC_ALLOC!$B$1:$B$349,$U35,_CALC_ALLOC!$D$1:$D$349,$W35,_CALC_ALLOC!$E$1:$E$349,$X35,_CALC_ALLOC!$F$1:$F$349,$Y35)</f>
        <v/>
      </c>
      <c r="F35" s="82">
        <f>SUMIFS(_CALC_ALLOC!$AJ$1:$AJ$349,_CALC_ALLOC!$AS$1:$AS$349,"2027|"&amp;$P$1,_CALC_ALLOC!$B$1:$B$349,$U35,_CALC_ALLOC!$D$1:$D$349,$W35,_CALC_ALLOC!$E$1:$E$349,$X35,_CALC_ALLOC!$F$1:$F$349,$Y35)</f>
        <v/>
      </c>
      <c r="G35" s="82">
        <f>SUMIFS(_CALC_ALLOC!$AK$1:$AK$349,_CALC_ALLOC!$AS$1:$AS$349,"2027|"&amp;$P$1,_CALC_ALLOC!$B$1:$B$349,$U35,_CALC_ALLOC!$D$1:$D$349,$W35,_CALC_ALLOC!$E$1:$E$349,$X35,_CALC_ALLOC!$F$1:$F$349,$Y35)</f>
        <v/>
      </c>
      <c r="H35" s="82">
        <f>SUMIFS(_CALC_ALLOC!$AL$1:$AL$349,_CALC_ALLOC!$AS$1:$AS$349,"2027|"&amp;$P$1,_CALC_ALLOC!$B$1:$B$349,$U35,_CALC_ALLOC!$D$1:$D$349,$W35,_CALC_ALLOC!$E$1:$E$349,$X35,_CALC_ALLOC!$F$1:$F$349,$Y35)</f>
        <v/>
      </c>
      <c r="I35" s="82">
        <f>SUMIFS(_CALC_ALLOC!$AR$1:$AR$349,_CALC_ALLOC!$AS$1:$AS$349,"2027|"&amp;$P$1,_CALC_ALLOC!$B$1:$B$349,$U35,_CALC_ALLOC!$D$1:$D$349,$W35,_CALC_ALLOC!$E$1:$E$349,$X35,_CALC_ALLOC!$F$1:$F$349,$Y35)</f>
        <v/>
      </c>
      <c r="J35" s="82">
        <f>SUMIFS(_CALC_ALLOC!$AM$1:$AM$349,_CALC_ALLOC!$AS$1:$AS$349,"2027|"&amp;$P$1,_CALC_ALLOC!$B$1:$B$349,$U35,_CALC_ALLOC!$D$1:$D$349,$W35,_CALC_ALLOC!$E$1:$E$349,$X35,_CALC_ALLOC!$F$1:$F$349,$Y35)</f>
        <v/>
      </c>
      <c r="K35" s="83">
        <f>E35+F35+G35+H35+I35+J35</f>
        <v/>
      </c>
      <c r="L35" s="84">
        <f>SUMIFS(_CALC_ALLOC!$AN$1:$AN$349,_CALC_ALLOC!$AS$1:$AS$349,"2027|"&amp;$P$1,_CALC_ALLOC!$B$1:$B$349,$U35,_CALC_ALLOC!$D$1:$D$349,$W35,_CALC_ALLOC!$E$1:$E$349,$X35,_CALC_ALLOC!$F$1:$F$349,$Y35)</f>
        <v/>
      </c>
      <c r="M35" s="85">
        <f>IF(D35=0,0,L35/D35)</f>
        <v/>
      </c>
      <c r="T35" s="74" t="inlineStr">
        <is>
          <t>MBWAY_NAN|MAS_MGT|M1|ALT</t>
        </is>
      </c>
      <c r="U35" s="74" t="inlineStr">
        <is>
          <t>MBWAY_NAN</t>
        </is>
      </c>
      <c r="V35" s="74" t="inlineStr">
        <is>
          <t>MBWAY</t>
        </is>
      </c>
      <c r="W35" s="74" t="inlineStr">
        <is>
          <t>MAS_MGT</t>
        </is>
      </c>
      <c r="X35" s="74" t="inlineStr">
        <is>
          <t>M1</t>
        </is>
      </c>
      <c r="Y35" s="74" t="inlineStr">
        <is>
          <t>ALT</t>
        </is>
      </c>
      <c r="Z35" s="74" t="n">
        <v>3</v>
      </c>
      <c r="BF35" s="0" t="inlineStr">
        <is>
          <t>2027BUD_V1</t>
        </is>
      </c>
      <c r="BG35" s="0" t="inlineStr">
        <is>
          <t>ACT</t>
        </is>
      </c>
      <c r="BH35" s="0" t="inlineStr">
        <is>
          <t>12</t>
        </is>
      </c>
      <c r="BI35" s="0" t="inlineStr">
        <is>
          <t>2024</t>
        </is>
      </c>
      <c r="BJ35" s="0" t="inlineStr">
        <is>
          <t>MBWAY_LYO</t>
        </is>
      </c>
      <c r="BK35" s="0" t="inlineStr">
        <is>
          <t>MBWAY</t>
        </is>
      </c>
      <c r="BL35" s="0" t="inlineStr">
        <is>
          <t>MAS_MGT</t>
        </is>
      </c>
      <c r="BM35" s="0" t="inlineStr">
        <is>
          <t>M2</t>
        </is>
      </c>
      <c r="BN35" s="0" t="inlineStr">
        <is>
          <t>ALT</t>
        </is>
      </c>
      <c r="BO35" s="0" t="n">
        <v>58</v>
      </c>
      <c r="BP35" s="0" t="n">
        <v>3</v>
      </c>
      <c r="BQ35" s="0" t="n">
        <v>456750</v>
      </c>
      <c r="BR35" s="0" t="n">
        <v>28922.440905</v>
      </c>
      <c r="BS35" s="0" t="n">
        <v>74489.91566100001</v>
      </c>
      <c r="BT35" s="0" t="n">
        <v>22081.1373</v>
      </c>
      <c r="BU35" s="0" t="n">
        <v>201383.224001</v>
      </c>
      <c r="BV35" s="0" t="n">
        <v>12416.529116</v>
      </c>
      <c r="BW35" s="0" t="n">
        <v>63476.349179</v>
      </c>
      <c r="BX35" s="0" t="n">
        <v>75892.878295</v>
      </c>
      <c r="BY35" s="0" t="n">
        <v>51003.578205</v>
      </c>
      <c r="BZ35" s="0" t="n">
        <v>351766.017957</v>
      </c>
      <c r="CA35" s="0" t="n">
        <v>402769.596162</v>
      </c>
      <c r="CB35" s="0" t="n">
        <v>53980.403838</v>
      </c>
      <c r="CC35" s="0" t="n">
        <v>0</v>
      </c>
      <c r="CD35" s="0" t="n">
        <v>143235</v>
      </c>
      <c r="CE35" s="0" t="n">
        <v>368902.58</v>
      </c>
      <c r="CF35" s="0" t="n">
        <v>110025</v>
      </c>
      <c r="CG35" s="0" t="n">
        <v>34532</v>
      </c>
      <c r="CH35" s="0" t="n">
        <v>872661.51</v>
      </c>
      <c r="CI35" s="0" t="n">
        <v>2639292</v>
      </c>
      <c r="CJ35" s="0" t="n">
        <v>499926</v>
      </c>
    </row>
    <row r="36" outlineLevel="2" ht="14.4975" customHeight="1" s="64">
      <c r="B36" s="80" t="inlineStr">
        <is>
          <t>Mastère Management, 2e année, alternance</t>
        </is>
      </c>
      <c r="C36" s="81">
        <f>SUMIFS(_CALC_ALLOC!$G$1:$G$349,_CALC_ALLOC!$AS$1:$AS$349,"2027|"&amp;$P$1,_CALC_ALLOC!$B$1:$B$349,$U36,_CALC_ALLOC!$D$1:$D$349,$W36,_CALC_ALLOC!$E$1:$E$349,$X36,_CALC_ALLOC!$F$1:$F$349,$Y36)</f>
        <v/>
      </c>
      <c r="D36" s="82">
        <f>SUMIFS(_CALC_ALLOC!$I$1:$I$349,_CALC_ALLOC!$AS$1:$AS$349,"2027|"&amp;$P$1,_CALC_ALLOC!$B$1:$B$349,$U36,_CALC_ALLOC!$D$1:$D$349,$W36,_CALC_ALLOC!$E$1:$E$349,$X36,_CALC_ALLOC!$F$1:$F$349,$Y36)</f>
        <v/>
      </c>
      <c r="E36" s="82">
        <f>SUMIFS(_CALC_ALLOC!$AI$1:$AI$349,_CALC_ALLOC!$AS$1:$AS$349,"2027|"&amp;$P$1,_CALC_ALLOC!$B$1:$B$349,$U36,_CALC_ALLOC!$D$1:$D$349,$W36,_CALC_ALLOC!$E$1:$E$349,$X36,_CALC_ALLOC!$F$1:$F$349,$Y36)</f>
        <v/>
      </c>
      <c r="F36" s="82">
        <f>SUMIFS(_CALC_ALLOC!$AJ$1:$AJ$349,_CALC_ALLOC!$AS$1:$AS$349,"2027|"&amp;$P$1,_CALC_ALLOC!$B$1:$B$349,$U36,_CALC_ALLOC!$D$1:$D$349,$W36,_CALC_ALLOC!$E$1:$E$349,$X36,_CALC_ALLOC!$F$1:$F$349,$Y36)</f>
        <v/>
      </c>
      <c r="G36" s="82">
        <f>SUMIFS(_CALC_ALLOC!$AK$1:$AK$349,_CALC_ALLOC!$AS$1:$AS$349,"2027|"&amp;$P$1,_CALC_ALLOC!$B$1:$B$349,$U36,_CALC_ALLOC!$D$1:$D$349,$W36,_CALC_ALLOC!$E$1:$E$349,$X36,_CALC_ALLOC!$F$1:$F$349,$Y36)</f>
        <v/>
      </c>
      <c r="H36" s="82">
        <f>SUMIFS(_CALC_ALLOC!$AL$1:$AL$349,_CALC_ALLOC!$AS$1:$AS$349,"2027|"&amp;$P$1,_CALC_ALLOC!$B$1:$B$349,$U36,_CALC_ALLOC!$D$1:$D$349,$W36,_CALC_ALLOC!$E$1:$E$349,$X36,_CALC_ALLOC!$F$1:$F$349,$Y36)</f>
        <v/>
      </c>
      <c r="I36" s="82">
        <f>SUMIFS(_CALC_ALLOC!$AR$1:$AR$349,_CALC_ALLOC!$AS$1:$AS$349,"2027|"&amp;$P$1,_CALC_ALLOC!$B$1:$B$349,$U36,_CALC_ALLOC!$D$1:$D$349,$W36,_CALC_ALLOC!$E$1:$E$349,$X36,_CALC_ALLOC!$F$1:$F$349,$Y36)</f>
        <v/>
      </c>
      <c r="J36" s="82">
        <f>SUMIFS(_CALC_ALLOC!$AM$1:$AM$349,_CALC_ALLOC!$AS$1:$AS$349,"2027|"&amp;$P$1,_CALC_ALLOC!$B$1:$B$349,$U36,_CALC_ALLOC!$D$1:$D$349,$W36,_CALC_ALLOC!$E$1:$E$349,$X36,_CALC_ALLOC!$F$1:$F$349,$Y36)</f>
        <v/>
      </c>
      <c r="K36" s="83">
        <f>E36+F36+G36+H36+I36+J36</f>
        <v/>
      </c>
      <c r="L36" s="84">
        <f>SUMIFS(_CALC_ALLOC!$AN$1:$AN$349,_CALC_ALLOC!$AS$1:$AS$349,"2027|"&amp;$P$1,_CALC_ALLOC!$B$1:$B$349,$U36,_CALC_ALLOC!$D$1:$D$349,$W36,_CALC_ALLOC!$E$1:$E$349,$X36,_CALC_ALLOC!$F$1:$F$349,$Y36)</f>
        <v/>
      </c>
      <c r="M36" s="85">
        <f>IF(D36=0,0,L36/D36)</f>
        <v/>
      </c>
      <c r="T36" s="74" t="inlineStr">
        <is>
          <t>MBWAY_NAN|MAS_MGT|M2|ALT</t>
        </is>
      </c>
      <c r="U36" s="74" t="inlineStr">
        <is>
          <t>MBWAY_NAN</t>
        </is>
      </c>
      <c r="V36" s="74" t="inlineStr">
        <is>
          <t>MBWAY</t>
        </is>
      </c>
      <c r="W36" s="74" t="inlineStr">
        <is>
          <t>MAS_MGT</t>
        </is>
      </c>
      <c r="X36" s="74" t="inlineStr">
        <is>
          <t>M2</t>
        </is>
      </c>
      <c r="Y36" s="74" t="inlineStr">
        <is>
          <t>ALT</t>
        </is>
      </c>
      <c r="Z36" s="74" t="n">
        <v>3</v>
      </c>
      <c r="BF36" s="0" t="inlineStr">
        <is>
          <t>2027BUD_V1</t>
        </is>
      </c>
      <c r="BG36" s="0" t="inlineStr">
        <is>
          <t>ACT</t>
        </is>
      </c>
      <c r="BH36" s="0" t="inlineStr">
        <is>
          <t>12</t>
        </is>
      </c>
      <c r="BI36" s="0" t="inlineStr">
        <is>
          <t>2024</t>
        </is>
      </c>
      <c r="BJ36" s="0" t="inlineStr">
        <is>
          <t>MBWAY_NAN</t>
        </is>
      </c>
      <c r="BK36" s="0" t="inlineStr">
        <is>
          <t>MBWAY</t>
        </is>
      </c>
      <c r="BL36" s="0" t="inlineStr">
        <is>
          <t>BAC_MGT</t>
        </is>
      </c>
      <c r="BM36" s="0" t="inlineStr">
        <is>
          <t>B1</t>
        </is>
      </c>
      <c r="BN36" s="0" t="inlineStr">
        <is>
          <t>INIT</t>
        </is>
      </c>
      <c r="BO36" s="0" t="n">
        <v>53</v>
      </c>
      <c r="BP36" s="0" t="n">
        <v>2</v>
      </c>
      <c r="BQ36" s="0" t="n">
        <v>402270</v>
      </c>
      <c r="BR36" s="0" t="n">
        <v>28130.93724</v>
      </c>
      <c r="BS36" s="0" t="n">
        <v>67425.875306</v>
      </c>
      <c r="BT36" s="0" t="n">
        <v>33226.02673</v>
      </c>
      <c r="BU36" s="0" t="n">
        <v>123506.229306</v>
      </c>
      <c r="BV36" s="0" t="n">
        <v>8129.66045</v>
      </c>
      <c r="BW36" s="0" t="n">
        <v>41560.822724</v>
      </c>
      <c r="BX36" s="0" t="n">
        <v>49690.483174</v>
      </c>
      <c r="BY36" s="0" t="n">
        <v>61356.96397</v>
      </c>
      <c r="BZ36" s="0" t="n">
        <v>240622.587786</v>
      </c>
      <c r="CA36" s="0" t="n">
        <v>301979.551756</v>
      </c>
      <c r="CB36" s="0" t="n">
        <v>100290.448244</v>
      </c>
      <c r="CC36" s="0" t="n">
        <v>53</v>
      </c>
      <c r="CD36" s="0" t="n">
        <v>132216</v>
      </c>
      <c r="CE36" s="0" t="n">
        <v>316903.04</v>
      </c>
      <c r="CF36" s="0" t="n">
        <v>99837</v>
      </c>
      <c r="CG36" s="0" t="n">
        <v>26060</v>
      </c>
      <c r="CH36" s="0" t="n">
        <v>741040.34</v>
      </c>
      <c r="CI36" s="0" t="n">
        <v>2639292</v>
      </c>
      <c r="CJ36" s="0" t="n">
        <v>499926</v>
      </c>
    </row>
    <row r="37" outlineLevel="1" ht="14.4975" customHeight="1" s="64">
      <c r="B37" s="75" t="inlineStr">
        <is>
          <t>Bordeaux</t>
        </is>
      </c>
      <c r="C37" s="76">
        <f>SUMIFS(_CALC_ALLOC!$G$1:$G$349,_CALC_ALLOC!$AS$1:$AS$349,"2027|"&amp;$P$1,_CALC_ALLOC!$B$1:$B$349,$U37)</f>
        <v/>
      </c>
      <c r="D37" s="77">
        <f>SUMIFS(_CALC_ALLOC!$I$1:$I$349,_CALC_ALLOC!$AS$1:$AS$349,"2027|"&amp;$P$1,_CALC_ALLOC!$B$1:$B$349,$U37)</f>
        <v/>
      </c>
      <c r="E37" s="77">
        <f>SUMIFS(_CALC_ALLOC!$AI$1:$AI$349,_CALC_ALLOC!$AS$1:$AS$349,"2027|"&amp;$P$1,_CALC_ALLOC!$B$1:$B$349,$U37)</f>
        <v/>
      </c>
      <c r="F37" s="77">
        <f>SUMIFS(_CALC_ALLOC!$AJ$1:$AJ$349,_CALC_ALLOC!$AS$1:$AS$349,"2027|"&amp;$P$1,_CALC_ALLOC!$B$1:$B$349,$U37)</f>
        <v/>
      </c>
      <c r="G37" s="77">
        <f>SUMIFS(_CALC_ALLOC!$AK$1:$AK$349,_CALC_ALLOC!$AS$1:$AS$349,"2027|"&amp;$P$1,_CALC_ALLOC!$B$1:$B$349,$U37)</f>
        <v/>
      </c>
      <c r="H37" s="77">
        <f>SUMIFS(_CALC_ALLOC!$AL$1:$AL$349,_CALC_ALLOC!$AS$1:$AS$349,"2027|"&amp;$P$1,_CALC_ALLOC!$B$1:$B$349,$U37)</f>
        <v/>
      </c>
      <c r="I37" s="77">
        <f>SUMIFS(_CALC_ALLOC!$AR$1:$AR$349,_CALC_ALLOC!$AS$1:$AS$349,"2027|"&amp;$P$1,_CALC_ALLOC!$B$1:$B$349,$U37)</f>
        <v/>
      </c>
      <c r="J37" s="77">
        <f>SUMIFS(_CALC_ALLOC!$AM$1:$AM$349,_CALC_ALLOC!$AS$1:$AS$349,"2027|"&amp;$P$1,_CALC_ALLOC!$B$1:$B$349,$U37)</f>
        <v/>
      </c>
      <c r="K37" s="77">
        <f>E37+F37+G37+H37+I37+J37</f>
        <v/>
      </c>
      <c r="L37" s="78">
        <f>SUMIFS(_CALC_ALLOC!$AN$1:$AN$349,_CALC_ALLOC!$AS$1:$AS$349,"2027|"&amp;$P$1,_CALC_ALLOC!$B$1:$B$349,$U37)</f>
        <v/>
      </c>
      <c r="M37" s="79">
        <f>IF(D37=0,0,L37/D37)</f>
        <v/>
      </c>
      <c r="T37" s="74" t="inlineStr">
        <is>
          <t>MBWAY_BOR</t>
        </is>
      </c>
      <c r="U37" s="74" t="inlineStr">
        <is>
          <t>MBWAY_BOR</t>
        </is>
      </c>
      <c r="V37" s="74" t="inlineStr">
        <is>
          <t>MBWAY</t>
        </is>
      </c>
      <c r="W37" s="74" t="inlineStr"/>
      <c r="X37" s="74" t="inlineStr"/>
      <c r="Y37" s="74" t="inlineStr"/>
      <c r="Z37" s="74" t="n">
        <v>2</v>
      </c>
      <c r="BF37" s="0" t="inlineStr">
        <is>
          <t>2027BUD_V1</t>
        </is>
      </c>
      <c r="BG37" s="0" t="inlineStr">
        <is>
          <t>ACT</t>
        </is>
      </c>
      <c r="BH37" s="0" t="inlineStr">
        <is>
          <t>12</t>
        </is>
      </c>
      <c r="BI37" s="0" t="inlineStr">
        <is>
          <t>2024</t>
        </is>
      </c>
      <c r="BJ37" s="0" t="inlineStr">
        <is>
          <t>MBWAY_NAN</t>
        </is>
      </c>
      <c r="BK37" s="0" t="inlineStr">
        <is>
          <t>MBWAY</t>
        </is>
      </c>
      <c r="BL37" s="0" t="inlineStr">
        <is>
          <t>BAC_MGT</t>
        </is>
      </c>
      <c r="BM37" s="0" t="inlineStr">
        <is>
          <t>B2</t>
        </is>
      </c>
      <c r="BN37" s="0" t="inlineStr">
        <is>
          <t>ALT</t>
        </is>
      </c>
      <c r="BO37" s="0" t="n">
        <v>52</v>
      </c>
      <c r="BP37" s="0" t="n">
        <v>2</v>
      </c>
      <c r="BQ37" s="0" t="n">
        <v>364000</v>
      </c>
      <c r="BR37" s="0" t="n">
        <v>22504.749792</v>
      </c>
      <c r="BS37" s="0" t="n">
        <v>53940.700244</v>
      </c>
      <c r="BT37" s="0" t="n">
        <v>19814.948901</v>
      </c>
      <c r="BU37" s="0" t="n">
        <v>123506.229306</v>
      </c>
      <c r="BV37" s="0" t="n">
        <v>8129.66045</v>
      </c>
      <c r="BW37" s="0" t="n">
        <v>41560.822724</v>
      </c>
      <c r="BX37" s="0" t="n">
        <v>49690.483174</v>
      </c>
      <c r="BY37" s="0" t="n">
        <v>42319.698693</v>
      </c>
      <c r="BZ37" s="0" t="n">
        <v>227137.412724</v>
      </c>
      <c r="CA37" s="0" t="n">
        <v>269457.111417</v>
      </c>
      <c r="CB37" s="0" t="n">
        <v>94542.88858300001</v>
      </c>
      <c r="CC37" s="0" t="n">
        <v>0</v>
      </c>
      <c r="CD37" s="0" t="n">
        <v>132216</v>
      </c>
      <c r="CE37" s="0" t="n">
        <v>316903.04</v>
      </c>
      <c r="CF37" s="0" t="n">
        <v>99837</v>
      </c>
      <c r="CG37" s="0" t="n">
        <v>26060</v>
      </c>
      <c r="CH37" s="0" t="n">
        <v>741040.34</v>
      </c>
      <c r="CI37" s="0" t="n">
        <v>2639292</v>
      </c>
      <c r="CJ37" s="0" t="n">
        <v>499926</v>
      </c>
    </row>
    <row r="38" outlineLevel="2" ht="14.4975" customHeight="1" s="64">
      <c r="B38" s="80" t="inlineStr">
        <is>
          <t>Bachelor Management, 1re année, initial</t>
        </is>
      </c>
      <c r="C38" s="81">
        <f>SUMIFS(_CALC_ALLOC!$G$1:$G$349,_CALC_ALLOC!$AS$1:$AS$349,"2027|"&amp;$P$1,_CALC_ALLOC!$B$1:$B$349,$U38,_CALC_ALLOC!$D$1:$D$349,$W38,_CALC_ALLOC!$E$1:$E$349,$X38,_CALC_ALLOC!$F$1:$F$349,$Y38)</f>
        <v/>
      </c>
      <c r="D38" s="82">
        <f>SUMIFS(_CALC_ALLOC!$I$1:$I$349,_CALC_ALLOC!$AS$1:$AS$349,"2027|"&amp;$P$1,_CALC_ALLOC!$B$1:$B$349,$U38,_CALC_ALLOC!$D$1:$D$349,$W38,_CALC_ALLOC!$E$1:$E$349,$X38,_CALC_ALLOC!$F$1:$F$349,$Y38)</f>
        <v/>
      </c>
      <c r="E38" s="82">
        <f>SUMIFS(_CALC_ALLOC!$AI$1:$AI$349,_CALC_ALLOC!$AS$1:$AS$349,"2027|"&amp;$P$1,_CALC_ALLOC!$B$1:$B$349,$U38,_CALC_ALLOC!$D$1:$D$349,$W38,_CALC_ALLOC!$E$1:$E$349,$X38,_CALC_ALLOC!$F$1:$F$349,$Y38)</f>
        <v/>
      </c>
      <c r="F38" s="82">
        <f>SUMIFS(_CALC_ALLOC!$AJ$1:$AJ$349,_CALC_ALLOC!$AS$1:$AS$349,"2027|"&amp;$P$1,_CALC_ALLOC!$B$1:$B$349,$U38,_CALC_ALLOC!$D$1:$D$349,$W38,_CALC_ALLOC!$E$1:$E$349,$X38,_CALC_ALLOC!$F$1:$F$349,$Y38)</f>
        <v/>
      </c>
      <c r="G38" s="82">
        <f>SUMIFS(_CALC_ALLOC!$AK$1:$AK$349,_CALC_ALLOC!$AS$1:$AS$349,"2027|"&amp;$P$1,_CALC_ALLOC!$B$1:$B$349,$U38,_CALC_ALLOC!$D$1:$D$349,$W38,_CALC_ALLOC!$E$1:$E$349,$X38,_CALC_ALLOC!$F$1:$F$349,$Y38)</f>
        <v/>
      </c>
      <c r="H38" s="82">
        <f>SUMIFS(_CALC_ALLOC!$AL$1:$AL$349,_CALC_ALLOC!$AS$1:$AS$349,"2027|"&amp;$P$1,_CALC_ALLOC!$B$1:$B$349,$U38,_CALC_ALLOC!$D$1:$D$349,$W38,_CALC_ALLOC!$E$1:$E$349,$X38,_CALC_ALLOC!$F$1:$F$349,$Y38)</f>
        <v/>
      </c>
      <c r="I38" s="82">
        <f>SUMIFS(_CALC_ALLOC!$AR$1:$AR$349,_CALC_ALLOC!$AS$1:$AS$349,"2027|"&amp;$P$1,_CALC_ALLOC!$B$1:$B$349,$U38,_CALC_ALLOC!$D$1:$D$349,$W38,_CALC_ALLOC!$E$1:$E$349,$X38,_CALC_ALLOC!$F$1:$F$349,$Y38)</f>
        <v/>
      </c>
      <c r="J38" s="82">
        <f>SUMIFS(_CALC_ALLOC!$AM$1:$AM$349,_CALC_ALLOC!$AS$1:$AS$349,"2027|"&amp;$P$1,_CALC_ALLOC!$B$1:$B$349,$U38,_CALC_ALLOC!$D$1:$D$349,$W38,_CALC_ALLOC!$E$1:$E$349,$X38,_CALC_ALLOC!$F$1:$F$349,$Y38)</f>
        <v/>
      </c>
      <c r="K38" s="83">
        <f>E38+F38+G38+H38+I38+J38</f>
        <v/>
      </c>
      <c r="L38" s="84">
        <f>SUMIFS(_CALC_ALLOC!$AN$1:$AN$349,_CALC_ALLOC!$AS$1:$AS$349,"2027|"&amp;$P$1,_CALC_ALLOC!$B$1:$B$349,$U38,_CALC_ALLOC!$D$1:$D$349,$W38,_CALC_ALLOC!$E$1:$E$349,$X38,_CALC_ALLOC!$F$1:$F$349,$Y38)</f>
        <v/>
      </c>
      <c r="M38" s="85">
        <f>IF(D38=0,0,L38/D38)</f>
        <v/>
      </c>
      <c r="T38" s="74" t="inlineStr">
        <is>
          <t>MBWAY_BOR|BAC_MGT|B1|INIT</t>
        </is>
      </c>
      <c r="U38" s="74" t="inlineStr">
        <is>
          <t>MBWAY_BOR</t>
        </is>
      </c>
      <c r="V38" s="74" t="inlineStr">
        <is>
          <t>MBWAY</t>
        </is>
      </c>
      <c r="W38" s="74" t="inlineStr">
        <is>
          <t>BAC_MGT</t>
        </is>
      </c>
      <c r="X38" s="74" t="inlineStr">
        <is>
          <t>B1</t>
        </is>
      </c>
      <c r="Y38" s="74" t="inlineStr">
        <is>
          <t>INIT</t>
        </is>
      </c>
      <c r="Z38" s="74" t="n">
        <v>3</v>
      </c>
      <c r="BF38" s="0" t="inlineStr">
        <is>
          <t>2027BUD_V1</t>
        </is>
      </c>
      <c r="BG38" s="0" t="inlineStr">
        <is>
          <t>ACT</t>
        </is>
      </c>
      <c r="BH38" s="0" t="inlineStr">
        <is>
          <t>12</t>
        </is>
      </c>
      <c r="BI38" s="0" t="inlineStr">
        <is>
          <t>2024</t>
        </is>
      </c>
      <c r="BJ38" s="0" t="inlineStr">
        <is>
          <t>MBWAY_NAN</t>
        </is>
      </c>
      <c r="BK38" s="0" t="inlineStr">
        <is>
          <t>MBWAY</t>
        </is>
      </c>
      <c r="BL38" s="0" t="inlineStr">
        <is>
          <t>BAC_MGT</t>
        </is>
      </c>
      <c r="BM38" s="0" t="inlineStr">
        <is>
          <t>B3</t>
        </is>
      </c>
      <c r="BN38" s="0" t="inlineStr">
        <is>
          <t>ALT</t>
        </is>
      </c>
      <c r="BO38" s="0" t="n">
        <v>51</v>
      </c>
      <c r="BP38" s="0" t="n">
        <v>2</v>
      </c>
      <c r="BQ38" s="0" t="n">
        <v>357000</v>
      </c>
      <c r="BR38" s="0" t="n">
        <v>22504.749792</v>
      </c>
      <c r="BS38" s="0" t="n">
        <v>53940.700244</v>
      </c>
      <c r="BT38" s="0" t="n">
        <v>19433.871072</v>
      </c>
      <c r="BU38" s="0" t="n">
        <v>123506.229306</v>
      </c>
      <c r="BV38" s="0" t="n">
        <v>8129.66045</v>
      </c>
      <c r="BW38" s="0" t="n">
        <v>41560.822724</v>
      </c>
      <c r="BX38" s="0" t="n">
        <v>49690.483174</v>
      </c>
      <c r="BY38" s="0" t="n">
        <v>41938.620864</v>
      </c>
      <c r="BZ38" s="0" t="n">
        <v>227137.412724</v>
      </c>
      <c r="CA38" s="0" t="n">
        <v>269076.033588</v>
      </c>
      <c r="CB38" s="0" t="n">
        <v>87923.96641199999</v>
      </c>
      <c r="CC38" s="0" t="n">
        <v>0</v>
      </c>
      <c r="CD38" s="0" t="n">
        <v>132216</v>
      </c>
      <c r="CE38" s="0" t="n">
        <v>316903.04</v>
      </c>
      <c r="CF38" s="0" t="n">
        <v>99837</v>
      </c>
      <c r="CG38" s="0" t="n">
        <v>26060</v>
      </c>
      <c r="CH38" s="0" t="n">
        <v>741040.34</v>
      </c>
      <c r="CI38" s="0" t="n">
        <v>2639292</v>
      </c>
      <c r="CJ38" s="0" t="n">
        <v>499926</v>
      </c>
    </row>
    <row r="39" outlineLevel="2" ht="14.4975" customHeight="1" s="64">
      <c r="B39" s="80" t="inlineStr">
        <is>
          <t>Bachelor Management, 2e année, alternance</t>
        </is>
      </c>
      <c r="C39" s="81">
        <f>SUMIFS(_CALC_ALLOC!$G$1:$G$349,_CALC_ALLOC!$AS$1:$AS$349,"2027|"&amp;$P$1,_CALC_ALLOC!$B$1:$B$349,$U39,_CALC_ALLOC!$D$1:$D$349,$W39,_CALC_ALLOC!$E$1:$E$349,$X39,_CALC_ALLOC!$F$1:$F$349,$Y39)</f>
        <v/>
      </c>
      <c r="D39" s="82">
        <f>SUMIFS(_CALC_ALLOC!$I$1:$I$349,_CALC_ALLOC!$AS$1:$AS$349,"2027|"&amp;$P$1,_CALC_ALLOC!$B$1:$B$349,$U39,_CALC_ALLOC!$D$1:$D$349,$W39,_CALC_ALLOC!$E$1:$E$349,$X39,_CALC_ALLOC!$F$1:$F$349,$Y39)</f>
        <v/>
      </c>
      <c r="E39" s="82">
        <f>SUMIFS(_CALC_ALLOC!$AI$1:$AI$349,_CALC_ALLOC!$AS$1:$AS$349,"2027|"&amp;$P$1,_CALC_ALLOC!$B$1:$B$349,$U39,_CALC_ALLOC!$D$1:$D$349,$W39,_CALC_ALLOC!$E$1:$E$349,$X39,_CALC_ALLOC!$F$1:$F$349,$Y39)</f>
        <v/>
      </c>
      <c r="F39" s="82">
        <f>SUMIFS(_CALC_ALLOC!$AJ$1:$AJ$349,_CALC_ALLOC!$AS$1:$AS$349,"2027|"&amp;$P$1,_CALC_ALLOC!$B$1:$B$349,$U39,_CALC_ALLOC!$D$1:$D$349,$W39,_CALC_ALLOC!$E$1:$E$349,$X39,_CALC_ALLOC!$F$1:$F$349,$Y39)</f>
        <v/>
      </c>
      <c r="G39" s="82">
        <f>SUMIFS(_CALC_ALLOC!$AK$1:$AK$349,_CALC_ALLOC!$AS$1:$AS$349,"2027|"&amp;$P$1,_CALC_ALLOC!$B$1:$B$349,$U39,_CALC_ALLOC!$D$1:$D$349,$W39,_CALC_ALLOC!$E$1:$E$349,$X39,_CALC_ALLOC!$F$1:$F$349,$Y39)</f>
        <v/>
      </c>
      <c r="H39" s="82">
        <f>SUMIFS(_CALC_ALLOC!$AL$1:$AL$349,_CALC_ALLOC!$AS$1:$AS$349,"2027|"&amp;$P$1,_CALC_ALLOC!$B$1:$B$349,$U39,_CALC_ALLOC!$D$1:$D$349,$W39,_CALC_ALLOC!$E$1:$E$349,$X39,_CALC_ALLOC!$F$1:$F$349,$Y39)</f>
        <v/>
      </c>
      <c r="I39" s="82">
        <f>SUMIFS(_CALC_ALLOC!$AR$1:$AR$349,_CALC_ALLOC!$AS$1:$AS$349,"2027|"&amp;$P$1,_CALC_ALLOC!$B$1:$B$349,$U39,_CALC_ALLOC!$D$1:$D$349,$W39,_CALC_ALLOC!$E$1:$E$349,$X39,_CALC_ALLOC!$F$1:$F$349,$Y39)</f>
        <v/>
      </c>
      <c r="J39" s="82">
        <f>SUMIFS(_CALC_ALLOC!$AM$1:$AM$349,_CALC_ALLOC!$AS$1:$AS$349,"2027|"&amp;$P$1,_CALC_ALLOC!$B$1:$B$349,$U39,_CALC_ALLOC!$D$1:$D$349,$W39,_CALC_ALLOC!$E$1:$E$349,$X39,_CALC_ALLOC!$F$1:$F$349,$Y39)</f>
        <v/>
      </c>
      <c r="K39" s="83">
        <f>E39+F39+G39+H39+I39+J39</f>
        <v/>
      </c>
      <c r="L39" s="84">
        <f>SUMIFS(_CALC_ALLOC!$AN$1:$AN$349,_CALC_ALLOC!$AS$1:$AS$349,"2027|"&amp;$P$1,_CALC_ALLOC!$B$1:$B$349,$U39,_CALC_ALLOC!$D$1:$D$349,$W39,_CALC_ALLOC!$E$1:$E$349,$X39,_CALC_ALLOC!$F$1:$F$349,$Y39)</f>
        <v/>
      </c>
      <c r="M39" s="85">
        <f>IF(D39=0,0,L39/D39)</f>
        <v/>
      </c>
      <c r="T39" s="74" t="inlineStr">
        <is>
          <t>MBWAY_BOR|BAC_MGT|B2|ALT</t>
        </is>
      </c>
      <c r="U39" s="74" t="inlineStr">
        <is>
          <t>MBWAY_BOR</t>
        </is>
      </c>
      <c r="V39" s="74" t="inlineStr">
        <is>
          <t>MBWAY</t>
        </is>
      </c>
      <c r="W39" s="74" t="inlineStr">
        <is>
          <t>BAC_MGT</t>
        </is>
      </c>
      <c r="X39" s="74" t="inlineStr">
        <is>
          <t>B2</t>
        </is>
      </c>
      <c r="Y39" s="74" t="inlineStr">
        <is>
          <t>ALT</t>
        </is>
      </c>
      <c r="Z39" s="74" t="n">
        <v>3</v>
      </c>
      <c r="BF39" s="0" t="inlineStr">
        <is>
          <t>2027BUD_V1</t>
        </is>
      </c>
      <c r="BG39" s="0" t="inlineStr">
        <is>
          <t>ACT</t>
        </is>
      </c>
      <c r="BH39" s="0" t="inlineStr">
        <is>
          <t>12</t>
        </is>
      </c>
      <c r="BI39" s="0" t="inlineStr">
        <is>
          <t>2024</t>
        </is>
      </c>
      <c r="BJ39" s="0" t="inlineStr">
        <is>
          <t>MBWAY_NAN</t>
        </is>
      </c>
      <c r="BK39" s="0" t="inlineStr">
        <is>
          <t>MBWAY</t>
        </is>
      </c>
      <c r="BL39" s="0" t="inlineStr">
        <is>
          <t>MAS_MGT</t>
        </is>
      </c>
      <c r="BM39" s="0" t="inlineStr">
        <is>
          <t>M1</t>
        </is>
      </c>
      <c r="BN39" s="0" t="inlineStr">
        <is>
          <t>ALT</t>
        </is>
      </c>
      <c r="BO39" s="0" t="n">
        <v>53</v>
      </c>
      <c r="BP39" s="0" t="n">
        <v>3</v>
      </c>
      <c r="BQ39" s="0" t="n">
        <v>402270</v>
      </c>
      <c r="BR39" s="0" t="n">
        <v>29537.583264</v>
      </c>
      <c r="BS39" s="0" t="n">
        <v>70797.40674799999</v>
      </c>
      <c r="BT39" s="0" t="n">
        <v>33226.02673</v>
      </c>
      <c r="BU39" s="0" t="n">
        <v>185260.085</v>
      </c>
      <c r="BV39" s="0" t="n">
        <v>12194.539453</v>
      </c>
      <c r="BW39" s="0" t="n">
        <v>62341.483452</v>
      </c>
      <c r="BX39" s="0" t="n">
        <v>74536.02290500001</v>
      </c>
      <c r="BY39" s="0" t="n">
        <v>62763.609994</v>
      </c>
      <c r="BZ39" s="0" t="n">
        <v>330593.514653</v>
      </c>
      <c r="CA39" s="0" t="n">
        <v>393357.124647</v>
      </c>
      <c r="CB39" s="0" t="n">
        <v>8912.875352999999</v>
      </c>
      <c r="CC39" s="0" t="n">
        <v>53</v>
      </c>
      <c r="CD39" s="0" t="n">
        <v>132216</v>
      </c>
      <c r="CE39" s="0" t="n">
        <v>316903.04</v>
      </c>
      <c r="CF39" s="0" t="n">
        <v>99837</v>
      </c>
      <c r="CG39" s="0" t="n">
        <v>26060</v>
      </c>
      <c r="CH39" s="0" t="n">
        <v>741040.34</v>
      </c>
      <c r="CI39" s="0" t="n">
        <v>2639292</v>
      </c>
      <c r="CJ39" s="0" t="n">
        <v>499926</v>
      </c>
    </row>
    <row r="40" outlineLevel="2" ht="14.4975" customHeight="1" s="64">
      <c r="B40" s="80" t="inlineStr">
        <is>
          <t>Bachelor Management, 3e année, alternance</t>
        </is>
      </c>
      <c r="C40" s="81">
        <f>SUMIFS(_CALC_ALLOC!$G$1:$G$349,_CALC_ALLOC!$AS$1:$AS$349,"2027|"&amp;$P$1,_CALC_ALLOC!$B$1:$B$349,$U40,_CALC_ALLOC!$D$1:$D$349,$W40,_CALC_ALLOC!$E$1:$E$349,$X40,_CALC_ALLOC!$F$1:$F$349,$Y40)</f>
        <v/>
      </c>
      <c r="D40" s="82">
        <f>SUMIFS(_CALC_ALLOC!$I$1:$I$349,_CALC_ALLOC!$AS$1:$AS$349,"2027|"&amp;$P$1,_CALC_ALLOC!$B$1:$B$349,$U40,_CALC_ALLOC!$D$1:$D$349,$W40,_CALC_ALLOC!$E$1:$E$349,$X40,_CALC_ALLOC!$F$1:$F$349,$Y40)</f>
        <v/>
      </c>
      <c r="E40" s="82">
        <f>SUMIFS(_CALC_ALLOC!$AI$1:$AI$349,_CALC_ALLOC!$AS$1:$AS$349,"2027|"&amp;$P$1,_CALC_ALLOC!$B$1:$B$349,$U40,_CALC_ALLOC!$D$1:$D$349,$W40,_CALC_ALLOC!$E$1:$E$349,$X40,_CALC_ALLOC!$F$1:$F$349,$Y40)</f>
        <v/>
      </c>
      <c r="F40" s="82">
        <f>SUMIFS(_CALC_ALLOC!$AJ$1:$AJ$349,_CALC_ALLOC!$AS$1:$AS$349,"2027|"&amp;$P$1,_CALC_ALLOC!$B$1:$B$349,$U40,_CALC_ALLOC!$D$1:$D$349,$W40,_CALC_ALLOC!$E$1:$E$349,$X40,_CALC_ALLOC!$F$1:$F$349,$Y40)</f>
        <v/>
      </c>
      <c r="G40" s="82">
        <f>SUMIFS(_CALC_ALLOC!$AK$1:$AK$349,_CALC_ALLOC!$AS$1:$AS$349,"2027|"&amp;$P$1,_CALC_ALLOC!$B$1:$B$349,$U40,_CALC_ALLOC!$D$1:$D$349,$W40,_CALC_ALLOC!$E$1:$E$349,$X40,_CALC_ALLOC!$F$1:$F$349,$Y40)</f>
        <v/>
      </c>
      <c r="H40" s="82">
        <f>SUMIFS(_CALC_ALLOC!$AL$1:$AL$349,_CALC_ALLOC!$AS$1:$AS$349,"2027|"&amp;$P$1,_CALC_ALLOC!$B$1:$B$349,$U40,_CALC_ALLOC!$D$1:$D$349,$W40,_CALC_ALLOC!$E$1:$E$349,$X40,_CALC_ALLOC!$F$1:$F$349,$Y40)</f>
        <v/>
      </c>
      <c r="I40" s="82">
        <f>SUMIFS(_CALC_ALLOC!$AR$1:$AR$349,_CALC_ALLOC!$AS$1:$AS$349,"2027|"&amp;$P$1,_CALC_ALLOC!$B$1:$B$349,$U40,_CALC_ALLOC!$D$1:$D$349,$W40,_CALC_ALLOC!$E$1:$E$349,$X40,_CALC_ALLOC!$F$1:$F$349,$Y40)</f>
        <v/>
      </c>
      <c r="J40" s="82">
        <f>SUMIFS(_CALC_ALLOC!$AM$1:$AM$349,_CALC_ALLOC!$AS$1:$AS$349,"2027|"&amp;$P$1,_CALC_ALLOC!$B$1:$B$349,$U40,_CALC_ALLOC!$D$1:$D$349,$W40,_CALC_ALLOC!$E$1:$E$349,$X40,_CALC_ALLOC!$F$1:$F$349,$Y40)</f>
        <v/>
      </c>
      <c r="K40" s="83">
        <f>E40+F40+G40+H40+I40+J40</f>
        <v/>
      </c>
      <c r="L40" s="84">
        <f>SUMIFS(_CALC_ALLOC!$AN$1:$AN$349,_CALC_ALLOC!$AS$1:$AS$349,"2027|"&amp;$P$1,_CALC_ALLOC!$B$1:$B$349,$U40,_CALC_ALLOC!$D$1:$D$349,$W40,_CALC_ALLOC!$E$1:$E$349,$X40,_CALC_ALLOC!$F$1:$F$349,$Y40)</f>
        <v/>
      </c>
      <c r="M40" s="85">
        <f>IF(D40=0,0,L40/D40)</f>
        <v/>
      </c>
      <c r="T40" s="74" t="inlineStr">
        <is>
          <t>MBWAY_BOR|BAC_MGT|B3|ALT</t>
        </is>
      </c>
      <c r="U40" s="74" t="inlineStr">
        <is>
          <t>MBWAY_BOR</t>
        </is>
      </c>
      <c r="V40" s="74" t="inlineStr">
        <is>
          <t>MBWAY</t>
        </is>
      </c>
      <c r="W40" s="74" t="inlineStr">
        <is>
          <t>BAC_MGT</t>
        </is>
      </c>
      <c r="X40" s="74" t="inlineStr">
        <is>
          <t>B3</t>
        </is>
      </c>
      <c r="Y40" s="74" t="inlineStr">
        <is>
          <t>ALT</t>
        </is>
      </c>
      <c r="Z40" s="74" t="n">
        <v>3</v>
      </c>
      <c r="BF40" s="0" t="inlineStr">
        <is>
          <t>2027BUD_V1</t>
        </is>
      </c>
      <c r="BG40" s="0" t="inlineStr">
        <is>
          <t>ACT</t>
        </is>
      </c>
      <c r="BH40" s="0" t="inlineStr">
        <is>
          <t>12</t>
        </is>
      </c>
      <c r="BI40" s="0" t="inlineStr">
        <is>
          <t>2024</t>
        </is>
      </c>
      <c r="BJ40" s="0" t="inlineStr">
        <is>
          <t>MBWAY_NAN</t>
        </is>
      </c>
      <c r="BK40" s="0" t="inlineStr">
        <is>
          <t>MBWAY</t>
        </is>
      </c>
      <c r="BL40" s="0" t="inlineStr">
        <is>
          <t>MAS_MGT</t>
        </is>
      </c>
      <c r="BM40" s="0" t="inlineStr">
        <is>
          <t>M2</t>
        </is>
      </c>
      <c r="BN40" s="0" t="inlineStr">
        <is>
          <t>ALT</t>
        </is>
      </c>
      <c r="BO40" s="0" t="n">
        <v>53</v>
      </c>
      <c r="BP40" s="0" t="n">
        <v>3</v>
      </c>
      <c r="BQ40" s="0" t="n">
        <v>397500</v>
      </c>
      <c r="BR40" s="0" t="n">
        <v>29537.583264</v>
      </c>
      <c r="BS40" s="0" t="n">
        <v>70797.40674799999</v>
      </c>
      <c r="BT40" s="0" t="n">
        <v>20196.02673</v>
      </c>
      <c r="BU40" s="0" t="n">
        <v>185260.085</v>
      </c>
      <c r="BV40" s="0" t="n">
        <v>12194.539453</v>
      </c>
      <c r="BW40" s="0" t="n">
        <v>62341.483452</v>
      </c>
      <c r="BX40" s="0" t="n">
        <v>74536.02290500001</v>
      </c>
      <c r="BY40" s="0" t="n">
        <v>49733.609994</v>
      </c>
      <c r="BZ40" s="0" t="n">
        <v>330593.514653</v>
      </c>
      <c r="CA40" s="0" t="n">
        <v>380327.124647</v>
      </c>
      <c r="CB40" s="0" t="n">
        <v>17172.875353</v>
      </c>
      <c r="CC40" s="0" t="n">
        <v>0</v>
      </c>
      <c r="CD40" s="0" t="n">
        <v>132216</v>
      </c>
      <c r="CE40" s="0" t="n">
        <v>316903.04</v>
      </c>
      <c r="CF40" s="0" t="n">
        <v>99837</v>
      </c>
      <c r="CG40" s="0" t="n">
        <v>26060</v>
      </c>
      <c r="CH40" s="0" t="n">
        <v>741040.34</v>
      </c>
      <c r="CI40" s="0" t="n">
        <v>2639292</v>
      </c>
      <c r="CJ40" s="0" t="n">
        <v>499926</v>
      </c>
    </row>
    <row r="41" outlineLevel="2" ht="14.4975" customHeight="1" s="64">
      <c r="B41" s="80" t="inlineStr">
        <is>
          <t>Mastère Management, 1re année, alternance</t>
        </is>
      </c>
      <c r="C41" s="81">
        <f>SUMIFS(_CALC_ALLOC!$G$1:$G$349,_CALC_ALLOC!$AS$1:$AS$349,"2027|"&amp;$P$1,_CALC_ALLOC!$B$1:$B$349,$U41,_CALC_ALLOC!$D$1:$D$349,$W41,_CALC_ALLOC!$E$1:$E$349,$X41,_CALC_ALLOC!$F$1:$F$349,$Y41)</f>
        <v/>
      </c>
      <c r="D41" s="82">
        <f>SUMIFS(_CALC_ALLOC!$I$1:$I$349,_CALC_ALLOC!$AS$1:$AS$349,"2027|"&amp;$P$1,_CALC_ALLOC!$B$1:$B$349,$U41,_CALC_ALLOC!$D$1:$D$349,$W41,_CALC_ALLOC!$E$1:$E$349,$X41,_CALC_ALLOC!$F$1:$F$349,$Y41)</f>
        <v/>
      </c>
      <c r="E41" s="82">
        <f>SUMIFS(_CALC_ALLOC!$AI$1:$AI$349,_CALC_ALLOC!$AS$1:$AS$349,"2027|"&amp;$P$1,_CALC_ALLOC!$B$1:$B$349,$U41,_CALC_ALLOC!$D$1:$D$349,$W41,_CALC_ALLOC!$E$1:$E$349,$X41,_CALC_ALLOC!$F$1:$F$349,$Y41)</f>
        <v/>
      </c>
      <c r="F41" s="82">
        <f>SUMIFS(_CALC_ALLOC!$AJ$1:$AJ$349,_CALC_ALLOC!$AS$1:$AS$349,"2027|"&amp;$P$1,_CALC_ALLOC!$B$1:$B$349,$U41,_CALC_ALLOC!$D$1:$D$349,$W41,_CALC_ALLOC!$E$1:$E$349,$X41,_CALC_ALLOC!$F$1:$F$349,$Y41)</f>
        <v/>
      </c>
      <c r="G41" s="82">
        <f>SUMIFS(_CALC_ALLOC!$AK$1:$AK$349,_CALC_ALLOC!$AS$1:$AS$349,"2027|"&amp;$P$1,_CALC_ALLOC!$B$1:$B$349,$U41,_CALC_ALLOC!$D$1:$D$349,$W41,_CALC_ALLOC!$E$1:$E$349,$X41,_CALC_ALLOC!$F$1:$F$349,$Y41)</f>
        <v/>
      </c>
      <c r="H41" s="82">
        <f>SUMIFS(_CALC_ALLOC!$AL$1:$AL$349,_CALC_ALLOC!$AS$1:$AS$349,"2027|"&amp;$P$1,_CALC_ALLOC!$B$1:$B$349,$U41,_CALC_ALLOC!$D$1:$D$349,$W41,_CALC_ALLOC!$E$1:$E$349,$X41,_CALC_ALLOC!$F$1:$F$349,$Y41)</f>
        <v/>
      </c>
      <c r="I41" s="82">
        <f>SUMIFS(_CALC_ALLOC!$AR$1:$AR$349,_CALC_ALLOC!$AS$1:$AS$349,"2027|"&amp;$P$1,_CALC_ALLOC!$B$1:$B$349,$U41,_CALC_ALLOC!$D$1:$D$349,$W41,_CALC_ALLOC!$E$1:$E$349,$X41,_CALC_ALLOC!$F$1:$F$349,$Y41)</f>
        <v/>
      </c>
      <c r="J41" s="82">
        <f>SUMIFS(_CALC_ALLOC!$AM$1:$AM$349,_CALC_ALLOC!$AS$1:$AS$349,"2027|"&amp;$P$1,_CALC_ALLOC!$B$1:$B$349,$U41,_CALC_ALLOC!$D$1:$D$349,$W41,_CALC_ALLOC!$E$1:$E$349,$X41,_CALC_ALLOC!$F$1:$F$349,$Y41)</f>
        <v/>
      </c>
      <c r="K41" s="83">
        <f>E41+F41+G41+H41+I41+J41</f>
        <v/>
      </c>
      <c r="L41" s="84">
        <f>SUMIFS(_CALC_ALLOC!$AN$1:$AN$349,_CALC_ALLOC!$AS$1:$AS$349,"2027|"&amp;$P$1,_CALC_ALLOC!$B$1:$B$349,$U41,_CALC_ALLOC!$D$1:$D$349,$W41,_CALC_ALLOC!$E$1:$E$349,$X41,_CALC_ALLOC!$F$1:$F$349,$Y41)</f>
        <v/>
      </c>
      <c r="M41" s="85">
        <f>IF(D41=0,0,L41/D41)</f>
        <v/>
      </c>
      <c r="T41" s="74" t="inlineStr">
        <is>
          <t>MBWAY_BOR|MAS_MGT|M1|ALT</t>
        </is>
      </c>
      <c r="U41" s="74" t="inlineStr">
        <is>
          <t>MBWAY_BOR</t>
        </is>
      </c>
      <c r="V41" s="74" t="inlineStr">
        <is>
          <t>MBWAY</t>
        </is>
      </c>
      <c r="W41" s="74" t="inlineStr">
        <is>
          <t>MAS_MGT</t>
        </is>
      </c>
      <c r="X41" s="74" t="inlineStr">
        <is>
          <t>M1</t>
        </is>
      </c>
      <c r="Y41" s="74" t="inlineStr">
        <is>
          <t>ALT</t>
        </is>
      </c>
      <c r="Z41" s="74" t="n">
        <v>3</v>
      </c>
      <c r="BF41" s="0" t="inlineStr">
        <is>
          <t>2027BUD_V1</t>
        </is>
      </c>
      <c r="BG41" s="0" t="inlineStr">
        <is>
          <t>ACT</t>
        </is>
      </c>
      <c r="BH41" s="0" t="inlineStr">
        <is>
          <t>12</t>
        </is>
      </c>
      <c r="BI41" s="0" t="inlineStr">
        <is>
          <t>2024</t>
        </is>
      </c>
      <c r="BJ41" s="0" t="inlineStr">
        <is>
          <t>MBWAY_PAR</t>
        </is>
      </c>
      <c r="BK41" s="0" t="inlineStr">
        <is>
          <t>MBWAY</t>
        </is>
      </c>
      <c r="BL41" s="0" t="inlineStr">
        <is>
          <t>BAC_MGT</t>
        </is>
      </c>
      <c r="BM41" s="0" t="inlineStr">
        <is>
          <t>B1</t>
        </is>
      </c>
      <c r="BN41" s="0" t="inlineStr">
        <is>
          <t>INIT</t>
        </is>
      </c>
      <c r="BO41" s="0" t="n">
        <v>69</v>
      </c>
      <c r="BP41" s="0" t="n">
        <v>3</v>
      </c>
      <c r="BQ41" s="0" t="n">
        <v>585810</v>
      </c>
      <c r="BR41" s="0" t="n">
        <v>41317.75</v>
      </c>
      <c r="BS41" s="0" t="n">
        <v>115398.44</v>
      </c>
      <c r="BT41" s="0" t="n">
        <v>54544.50652</v>
      </c>
      <c r="BU41" s="0" t="n">
        <v>221608.662</v>
      </c>
      <c r="BV41" s="0" t="n">
        <v>12659.990953</v>
      </c>
      <c r="BW41" s="0" t="n">
        <v>64720.98594</v>
      </c>
      <c r="BX41" s="0" t="n">
        <v>77380.976893</v>
      </c>
      <c r="BY41" s="0" t="n">
        <v>95862.25652</v>
      </c>
      <c r="BZ41" s="0" t="n">
        <v>414388.078893</v>
      </c>
      <c r="CA41" s="0" t="n">
        <v>510250.335413</v>
      </c>
      <c r="CB41" s="0" t="n">
        <v>75559.66458700001</v>
      </c>
      <c r="CC41" s="0" t="n">
        <v>69</v>
      </c>
      <c r="CD41" s="0" t="n">
        <v>165271</v>
      </c>
      <c r="CE41" s="0" t="n">
        <v>461593.76</v>
      </c>
      <c r="CF41" s="0" t="n">
        <v>129720</v>
      </c>
      <c r="CG41" s="0" t="n">
        <v>56438</v>
      </c>
      <c r="CH41" s="0" t="n">
        <v>1108043.31</v>
      </c>
      <c r="CI41" s="0" t="n">
        <v>2639292</v>
      </c>
      <c r="CJ41" s="0" t="n">
        <v>499926</v>
      </c>
    </row>
    <row r="42" outlineLevel="2" ht="14.4975" customHeight="1" s="64">
      <c r="B42" s="80" t="inlineStr">
        <is>
          <t>Mastère Management, 2e année, alternance</t>
        </is>
      </c>
      <c r="C42" s="81">
        <f>SUMIFS(_CALC_ALLOC!$G$1:$G$349,_CALC_ALLOC!$AS$1:$AS$349,"2027|"&amp;$P$1,_CALC_ALLOC!$B$1:$B$349,$U42,_CALC_ALLOC!$D$1:$D$349,$W42,_CALC_ALLOC!$E$1:$E$349,$X42,_CALC_ALLOC!$F$1:$F$349,$Y42)</f>
        <v/>
      </c>
      <c r="D42" s="82">
        <f>SUMIFS(_CALC_ALLOC!$I$1:$I$349,_CALC_ALLOC!$AS$1:$AS$349,"2027|"&amp;$P$1,_CALC_ALLOC!$B$1:$B$349,$U42,_CALC_ALLOC!$D$1:$D$349,$W42,_CALC_ALLOC!$E$1:$E$349,$X42,_CALC_ALLOC!$F$1:$F$349,$Y42)</f>
        <v/>
      </c>
      <c r="E42" s="82">
        <f>SUMIFS(_CALC_ALLOC!$AI$1:$AI$349,_CALC_ALLOC!$AS$1:$AS$349,"2027|"&amp;$P$1,_CALC_ALLOC!$B$1:$B$349,$U42,_CALC_ALLOC!$D$1:$D$349,$W42,_CALC_ALLOC!$E$1:$E$349,$X42,_CALC_ALLOC!$F$1:$F$349,$Y42)</f>
        <v/>
      </c>
      <c r="F42" s="82">
        <f>SUMIFS(_CALC_ALLOC!$AJ$1:$AJ$349,_CALC_ALLOC!$AS$1:$AS$349,"2027|"&amp;$P$1,_CALC_ALLOC!$B$1:$B$349,$U42,_CALC_ALLOC!$D$1:$D$349,$W42,_CALC_ALLOC!$E$1:$E$349,$X42,_CALC_ALLOC!$F$1:$F$349,$Y42)</f>
        <v/>
      </c>
      <c r="G42" s="82">
        <f>SUMIFS(_CALC_ALLOC!$AK$1:$AK$349,_CALC_ALLOC!$AS$1:$AS$349,"2027|"&amp;$P$1,_CALC_ALLOC!$B$1:$B$349,$U42,_CALC_ALLOC!$D$1:$D$349,$W42,_CALC_ALLOC!$E$1:$E$349,$X42,_CALC_ALLOC!$F$1:$F$349,$Y42)</f>
        <v/>
      </c>
      <c r="H42" s="82">
        <f>SUMIFS(_CALC_ALLOC!$AL$1:$AL$349,_CALC_ALLOC!$AS$1:$AS$349,"2027|"&amp;$P$1,_CALC_ALLOC!$B$1:$B$349,$U42,_CALC_ALLOC!$D$1:$D$349,$W42,_CALC_ALLOC!$E$1:$E$349,$X42,_CALC_ALLOC!$F$1:$F$349,$Y42)</f>
        <v/>
      </c>
      <c r="I42" s="82">
        <f>SUMIFS(_CALC_ALLOC!$AR$1:$AR$349,_CALC_ALLOC!$AS$1:$AS$349,"2027|"&amp;$P$1,_CALC_ALLOC!$B$1:$B$349,$U42,_CALC_ALLOC!$D$1:$D$349,$W42,_CALC_ALLOC!$E$1:$E$349,$X42,_CALC_ALLOC!$F$1:$F$349,$Y42)</f>
        <v/>
      </c>
      <c r="J42" s="82">
        <f>SUMIFS(_CALC_ALLOC!$AM$1:$AM$349,_CALC_ALLOC!$AS$1:$AS$349,"2027|"&amp;$P$1,_CALC_ALLOC!$B$1:$B$349,$U42,_CALC_ALLOC!$D$1:$D$349,$W42,_CALC_ALLOC!$E$1:$E$349,$X42,_CALC_ALLOC!$F$1:$F$349,$Y42)</f>
        <v/>
      </c>
      <c r="K42" s="83">
        <f>E42+F42+G42+H42+I42+J42</f>
        <v/>
      </c>
      <c r="L42" s="84">
        <f>SUMIFS(_CALC_ALLOC!$AN$1:$AN$349,_CALC_ALLOC!$AS$1:$AS$349,"2027|"&amp;$P$1,_CALC_ALLOC!$B$1:$B$349,$U42,_CALC_ALLOC!$D$1:$D$349,$W42,_CALC_ALLOC!$E$1:$E$349,$X42,_CALC_ALLOC!$F$1:$F$349,$Y42)</f>
        <v/>
      </c>
      <c r="M42" s="85">
        <f>IF(D42=0,0,L42/D42)</f>
        <v/>
      </c>
      <c r="T42" s="74" t="inlineStr">
        <is>
          <t>MBWAY_BOR|MAS_MGT|M2|ALT</t>
        </is>
      </c>
      <c r="U42" s="74" t="inlineStr">
        <is>
          <t>MBWAY_BOR</t>
        </is>
      </c>
      <c r="V42" s="74" t="inlineStr">
        <is>
          <t>MBWAY</t>
        </is>
      </c>
      <c r="W42" s="74" t="inlineStr">
        <is>
          <t>MAS_MGT</t>
        </is>
      </c>
      <c r="X42" s="74" t="inlineStr">
        <is>
          <t>M2</t>
        </is>
      </c>
      <c r="Y42" s="74" t="inlineStr">
        <is>
          <t>ALT</t>
        </is>
      </c>
      <c r="Z42" s="74" t="n">
        <v>3</v>
      </c>
      <c r="BF42" s="0" t="inlineStr">
        <is>
          <t>2027BUD_V1</t>
        </is>
      </c>
      <c r="BG42" s="0" t="inlineStr">
        <is>
          <t>ACT</t>
        </is>
      </c>
      <c r="BH42" s="0" t="inlineStr">
        <is>
          <t>12</t>
        </is>
      </c>
      <c r="BI42" s="0" t="inlineStr">
        <is>
          <t>2024</t>
        </is>
      </c>
      <c r="BJ42" s="0" t="inlineStr">
        <is>
          <t>MBWAY_PAR</t>
        </is>
      </c>
      <c r="BK42" s="0" t="inlineStr">
        <is>
          <t>MBWAY</t>
        </is>
      </c>
      <c r="BL42" s="0" t="inlineStr">
        <is>
          <t>BAC_MGT</t>
        </is>
      </c>
      <c r="BM42" s="0" t="inlineStr">
        <is>
          <t>B2</t>
        </is>
      </c>
      <c r="BN42" s="0" t="inlineStr">
        <is>
          <t>ALT</t>
        </is>
      </c>
      <c r="BO42" s="0" t="n">
        <v>68</v>
      </c>
      <c r="BP42" s="0" t="n">
        <v>3</v>
      </c>
      <c r="BQ42" s="0" t="n">
        <v>533120</v>
      </c>
      <c r="BR42" s="0" t="n">
        <v>33054.2</v>
      </c>
      <c r="BS42" s="0" t="n">
        <v>92318.75199999999</v>
      </c>
      <c r="BT42" s="0" t="n">
        <v>25944</v>
      </c>
      <c r="BU42" s="0" t="n">
        <v>221608.662</v>
      </c>
      <c r="BV42" s="0" t="n">
        <v>12659.990953</v>
      </c>
      <c r="BW42" s="0" t="n">
        <v>64720.98594</v>
      </c>
      <c r="BX42" s="0" t="n">
        <v>77380.976893</v>
      </c>
      <c r="BY42" s="0" t="n">
        <v>58998.2</v>
      </c>
      <c r="BZ42" s="0" t="n">
        <v>391308.390893</v>
      </c>
      <c r="CA42" s="0" t="n">
        <v>450306.590893</v>
      </c>
      <c r="CB42" s="0" t="n">
        <v>82813.409107</v>
      </c>
      <c r="CC42" s="0" t="n">
        <v>0</v>
      </c>
      <c r="CD42" s="0" t="n">
        <v>165271</v>
      </c>
      <c r="CE42" s="0" t="n">
        <v>461593.76</v>
      </c>
      <c r="CF42" s="0" t="n">
        <v>129720</v>
      </c>
      <c r="CG42" s="0" t="n">
        <v>56438</v>
      </c>
      <c r="CH42" s="0" t="n">
        <v>1108043.31</v>
      </c>
      <c r="CI42" s="0" t="n">
        <v>2639292</v>
      </c>
      <c r="CJ42" s="0" t="n">
        <v>499926</v>
      </c>
    </row>
    <row r="43" ht="14.4975" customHeight="1" s="64">
      <c r="B43" s="44" t="inlineStr">
        <is>
          <t>ISCOM</t>
        </is>
      </c>
      <c r="C43" s="70">
        <f>SUMIFS(_CALC_ALLOC!$G$1:$G$349,_CALC_ALLOC!$AS$1:$AS$349,"2027|"&amp;$P$1,_CALC_ALLOC!$C$1:$C$349,$V43)</f>
        <v/>
      </c>
      <c r="D43" s="71">
        <f>SUMIFS(_CALC_ALLOC!$I$1:$I$349,_CALC_ALLOC!$AS$1:$AS$349,"2027|"&amp;$P$1,_CALC_ALLOC!$C$1:$C$349,$V43)</f>
        <v/>
      </c>
      <c r="E43" s="71">
        <f>SUMIFS(_CALC_ALLOC!$AI$1:$AI$349,_CALC_ALLOC!$AS$1:$AS$349,"2027|"&amp;$P$1,_CALC_ALLOC!$C$1:$C$349,$V43)</f>
        <v/>
      </c>
      <c r="F43" s="71">
        <f>SUMIFS(_CALC_ALLOC!$AJ$1:$AJ$349,_CALC_ALLOC!$AS$1:$AS$349,"2027|"&amp;$P$1,_CALC_ALLOC!$C$1:$C$349,$V43)</f>
        <v/>
      </c>
      <c r="G43" s="71">
        <f>SUMIFS(_CALC_ALLOC!$AK$1:$AK$349,_CALC_ALLOC!$AS$1:$AS$349,"2027|"&amp;$P$1,_CALC_ALLOC!$C$1:$C$349,$V43)</f>
        <v/>
      </c>
      <c r="H43" s="71">
        <f>SUMIFS(_CALC_ALLOC!$AL$1:$AL$349,_CALC_ALLOC!$AS$1:$AS$349,"2027|"&amp;$P$1,_CALC_ALLOC!$C$1:$C$349,$V43)</f>
        <v/>
      </c>
      <c r="I43" s="71">
        <f>SUMIFS(_CALC_ALLOC!$AR$1:$AR$349,_CALC_ALLOC!$AS$1:$AS$349,"2027|"&amp;$P$1,_CALC_ALLOC!$C$1:$C$349,$V43)</f>
        <v/>
      </c>
      <c r="J43" s="71">
        <f>SUMIFS(_CALC_ALLOC!$AM$1:$AM$349,_CALC_ALLOC!$AS$1:$AS$349,"2027|"&amp;$P$1,_CALC_ALLOC!$C$1:$C$349,$V43)</f>
        <v/>
      </c>
      <c r="K43" s="71">
        <f>E43+F43+G43+H43+I43+J43</f>
        <v/>
      </c>
      <c r="L43" s="72">
        <f>SUMIFS(_CALC_ALLOC!$AN$1:$AN$349,_CALC_ALLOC!$AS$1:$AS$349,"2027|"&amp;$P$1,_CALC_ALLOC!$C$1:$C$349,$V43)</f>
        <v/>
      </c>
      <c r="M43" s="73">
        <f>IF(D43=0,0,L43/D43)</f>
        <v/>
      </c>
      <c r="T43" s="74" t="inlineStr">
        <is>
          <t>ISCOM</t>
        </is>
      </c>
      <c r="U43" s="74" t="inlineStr"/>
      <c r="V43" s="74" t="inlineStr">
        <is>
          <t>ISCOM</t>
        </is>
      </c>
      <c r="W43" s="74" t="inlineStr"/>
      <c r="X43" s="74" t="inlineStr"/>
      <c r="Y43" s="74" t="inlineStr"/>
      <c r="Z43" s="74" t="n">
        <v>1</v>
      </c>
      <c r="BF43" s="0" t="inlineStr">
        <is>
          <t>2027BUD_V1</t>
        </is>
      </c>
      <c r="BG43" s="0" t="inlineStr">
        <is>
          <t>ACT</t>
        </is>
      </c>
      <c r="BH43" s="0" t="inlineStr">
        <is>
          <t>12</t>
        </is>
      </c>
      <c r="BI43" s="0" t="inlineStr">
        <is>
          <t>2024</t>
        </is>
      </c>
      <c r="BJ43" s="0" t="inlineStr">
        <is>
          <t>MBWAY_PAR</t>
        </is>
      </c>
      <c r="BK43" s="0" t="inlineStr">
        <is>
          <t>MBWAY</t>
        </is>
      </c>
      <c r="BL43" s="0" t="inlineStr">
        <is>
          <t>BAC_MGT</t>
        </is>
      </c>
      <c r="BM43" s="0" t="inlineStr">
        <is>
          <t>B3</t>
        </is>
      </c>
      <c r="BN43" s="0" t="inlineStr">
        <is>
          <t>ALT</t>
        </is>
      </c>
      <c r="BO43" s="0" t="n">
        <v>66</v>
      </c>
      <c r="BP43" s="0" t="n">
        <v>3</v>
      </c>
      <c r="BQ43" s="0" t="n">
        <v>517440</v>
      </c>
      <c r="BR43" s="0" t="n">
        <v>33054.2</v>
      </c>
      <c r="BS43" s="0" t="n">
        <v>92318.75199999999</v>
      </c>
      <c r="BT43" s="0" t="n">
        <v>25180.85724</v>
      </c>
      <c r="BU43" s="0" t="n">
        <v>221608.662</v>
      </c>
      <c r="BV43" s="0" t="n">
        <v>12659.990953</v>
      </c>
      <c r="BW43" s="0" t="n">
        <v>64720.98594</v>
      </c>
      <c r="BX43" s="0" t="n">
        <v>77380.976893</v>
      </c>
      <c r="BY43" s="0" t="n">
        <v>58235.05724</v>
      </c>
      <c r="BZ43" s="0" t="n">
        <v>391308.390893</v>
      </c>
      <c r="CA43" s="0" t="n">
        <v>449543.448133</v>
      </c>
      <c r="CB43" s="0" t="n">
        <v>67896.551867</v>
      </c>
      <c r="CC43" s="0" t="n">
        <v>0</v>
      </c>
      <c r="CD43" s="0" t="n">
        <v>165271</v>
      </c>
      <c r="CE43" s="0" t="n">
        <v>461593.76</v>
      </c>
      <c r="CF43" s="0" t="n">
        <v>129720</v>
      </c>
      <c r="CG43" s="0" t="n">
        <v>56438</v>
      </c>
      <c r="CH43" s="0" t="n">
        <v>1108043.31</v>
      </c>
      <c r="CI43" s="0" t="n">
        <v>2639292</v>
      </c>
      <c r="CJ43" s="0" t="n">
        <v>499926</v>
      </c>
    </row>
    <row r="44" outlineLevel="1" collapsed="1" ht="14.4975" customHeight="1" s="64">
      <c r="B44" s="75" t="inlineStr">
        <is>
          <t>Paris</t>
        </is>
      </c>
      <c r="C44" s="76">
        <f>SUMIFS(_CALC_ALLOC!$G$1:$G$349,_CALC_ALLOC!$AS$1:$AS$349,"2027|"&amp;$P$1,_CALC_ALLOC!$B$1:$B$349,$U44)</f>
        <v/>
      </c>
      <c r="D44" s="77">
        <f>SUMIFS(_CALC_ALLOC!$I$1:$I$349,_CALC_ALLOC!$AS$1:$AS$349,"2027|"&amp;$P$1,_CALC_ALLOC!$B$1:$B$349,$U44)</f>
        <v/>
      </c>
      <c r="E44" s="77">
        <f>SUMIFS(_CALC_ALLOC!$AI$1:$AI$349,_CALC_ALLOC!$AS$1:$AS$349,"2027|"&amp;$P$1,_CALC_ALLOC!$B$1:$B$349,$U44)</f>
        <v/>
      </c>
      <c r="F44" s="77">
        <f>SUMIFS(_CALC_ALLOC!$AJ$1:$AJ$349,_CALC_ALLOC!$AS$1:$AS$349,"2027|"&amp;$P$1,_CALC_ALLOC!$B$1:$B$349,$U44)</f>
        <v/>
      </c>
      <c r="G44" s="77">
        <f>SUMIFS(_CALC_ALLOC!$AK$1:$AK$349,_CALC_ALLOC!$AS$1:$AS$349,"2027|"&amp;$P$1,_CALC_ALLOC!$B$1:$B$349,$U44)</f>
        <v/>
      </c>
      <c r="H44" s="77">
        <f>SUMIFS(_CALC_ALLOC!$AL$1:$AL$349,_CALC_ALLOC!$AS$1:$AS$349,"2027|"&amp;$P$1,_CALC_ALLOC!$B$1:$B$349,$U44)</f>
        <v/>
      </c>
      <c r="I44" s="77">
        <f>SUMIFS(_CALC_ALLOC!$AR$1:$AR$349,_CALC_ALLOC!$AS$1:$AS$349,"2027|"&amp;$P$1,_CALC_ALLOC!$B$1:$B$349,$U44)</f>
        <v/>
      </c>
      <c r="J44" s="77">
        <f>SUMIFS(_CALC_ALLOC!$AM$1:$AM$349,_CALC_ALLOC!$AS$1:$AS$349,"2027|"&amp;$P$1,_CALC_ALLOC!$B$1:$B$349,$U44)</f>
        <v/>
      </c>
      <c r="K44" s="77">
        <f>E44+F44+G44+H44+I44+J44</f>
        <v/>
      </c>
      <c r="L44" s="78">
        <f>SUMIFS(_CALC_ALLOC!$AN$1:$AN$349,_CALC_ALLOC!$AS$1:$AS$349,"2027|"&amp;$P$1,_CALC_ALLOC!$B$1:$B$349,$U44)</f>
        <v/>
      </c>
      <c r="M44" s="79">
        <f>IF(D44=0,0,L44/D44)</f>
        <v/>
      </c>
      <c r="T44" s="74" t="inlineStr">
        <is>
          <t>ISCOM_PAR</t>
        </is>
      </c>
      <c r="U44" s="74" t="inlineStr">
        <is>
          <t>ISCOM_PAR</t>
        </is>
      </c>
      <c r="V44" s="74" t="inlineStr">
        <is>
          <t>ISCOM</t>
        </is>
      </c>
      <c r="W44" s="74" t="inlineStr"/>
      <c r="X44" s="74" t="inlineStr"/>
      <c r="Y44" s="74" t="inlineStr"/>
      <c r="Z44" s="74" t="n">
        <v>2</v>
      </c>
      <c r="BF44" s="0" t="inlineStr">
        <is>
          <t>2027BUD_V1</t>
        </is>
      </c>
      <c r="BG44" s="0" t="inlineStr">
        <is>
          <t>ACT</t>
        </is>
      </c>
      <c r="BH44" s="0" t="inlineStr">
        <is>
          <t>12</t>
        </is>
      </c>
      <c r="BI44" s="0" t="inlineStr">
        <is>
          <t>2024</t>
        </is>
      </c>
      <c r="BJ44" s="0" t="inlineStr">
        <is>
          <t>MBWAY_PAR</t>
        </is>
      </c>
      <c r="BK44" s="0" t="inlineStr">
        <is>
          <t>MBWAY</t>
        </is>
      </c>
      <c r="BL44" s="0" t="inlineStr">
        <is>
          <t>MAS_MGT</t>
        </is>
      </c>
      <c r="BM44" s="0" t="inlineStr">
        <is>
          <t>M1</t>
        </is>
      </c>
      <c r="BN44" s="0" t="inlineStr">
        <is>
          <t>ALT</t>
        </is>
      </c>
      <c r="BO44" s="0" t="n">
        <v>69</v>
      </c>
      <c r="BP44" s="0" t="n">
        <v>3</v>
      </c>
      <c r="BQ44" s="0" t="n">
        <v>585810</v>
      </c>
      <c r="BR44" s="0" t="n">
        <v>28922.425</v>
      </c>
      <c r="BS44" s="0" t="n">
        <v>80778.908</v>
      </c>
      <c r="BT44" s="0" t="n">
        <v>54544.50652</v>
      </c>
      <c r="BU44" s="0" t="n">
        <v>221608.662</v>
      </c>
      <c r="BV44" s="0" t="n">
        <v>12659.990953</v>
      </c>
      <c r="BW44" s="0" t="n">
        <v>64720.98594</v>
      </c>
      <c r="BX44" s="0" t="n">
        <v>77380.976893</v>
      </c>
      <c r="BY44" s="0" t="n">
        <v>83466.93152</v>
      </c>
      <c r="BZ44" s="0" t="n">
        <v>379768.546893</v>
      </c>
      <c r="CA44" s="0" t="n">
        <v>463235.478413</v>
      </c>
      <c r="CB44" s="0" t="n">
        <v>122574.521587</v>
      </c>
      <c r="CC44" s="0" t="n">
        <v>69</v>
      </c>
      <c r="CD44" s="0" t="n">
        <v>165271</v>
      </c>
      <c r="CE44" s="0" t="n">
        <v>461593.76</v>
      </c>
      <c r="CF44" s="0" t="n">
        <v>129720</v>
      </c>
      <c r="CG44" s="0" t="n">
        <v>56438</v>
      </c>
      <c r="CH44" s="0" t="n">
        <v>1108043.31</v>
      </c>
      <c r="CI44" s="0" t="n">
        <v>2639292</v>
      </c>
      <c r="CJ44" s="0" t="n">
        <v>499926</v>
      </c>
    </row>
    <row r="45" outlineLevel="2" ht="14.4975" customHeight="1" s="64">
      <c r="B45" s="80" t="inlineStr">
        <is>
          <t>Bachelor Communication, 1re année, initial</t>
        </is>
      </c>
      <c r="C45" s="81">
        <f>SUMIFS(_CALC_ALLOC!$G$1:$G$349,_CALC_ALLOC!$AS$1:$AS$349,"2027|"&amp;$P$1,_CALC_ALLOC!$B$1:$B$349,$U45,_CALC_ALLOC!$D$1:$D$349,$W45,_CALC_ALLOC!$E$1:$E$349,$X45,_CALC_ALLOC!$F$1:$F$349,$Y45)</f>
        <v/>
      </c>
      <c r="D45" s="82">
        <f>SUMIFS(_CALC_ALLOC!$I$1:$I$349,_CALC_ALLOC!$AS$1:$AS$349,"2027|"&amp;$P$1,_CALC_ALLOC!$B$1:$B$349,$U45,_CALC_ALLOC!$D$1:$D$349,$W45,_CALC_ALLOC!$E$1:$E$349,$X45,_CALC_ALLOC!$F$1:$F$349,$Y45)</f>
        <v/>
      </c>
      <c r="E45" s="82">
        <f>SUMIFS(_CALC_ALLOC!$AI$1:$AI$349,_CALC_ALLOC!$AS$1:$AS$349,"2027|"&amp;$P$1,_CALC_ALLOC!$B$1:$B$349,$U45,_CALC_ALLOC!$D$1:$D$349,$W45,_CALC_ALLOC!$E$1:$E$349,$X45,_CALC_ALLOC!$F$1:$F$349,$Y45)</f>
        <v/>
      </c>
      <c r="F45" s="82">
        <f>SUMIFS(_CALC_ALLOC!$AJ$1:$AJ$349,_CALC_ALLOC!$AS$1:$AS$349,"2027|"&amp;$P$1,_CALC_ALLOC!$B$1:$B$349,$U45,_CALC_ALLOC!$D$1:$D$349,$W45,_CALC_ALLOC!$E$1:$E$349,$X45,_CALC_ALLOC!$F$1:$F$349,$Y45)</f>
        <v/>
      </c>
      <c r="G45" s="82">
        <f>SUMIFS(_CALC_ALLOC!$AK$1:$AK$349,_CALC_ALLOC!$AS$1:$AS$349,"2027|"&amp;$P$1,_CALC_ALLOC!$B$1:$B$349,$U45,_CALC_ALLOC!$D$1:$D$349,$W45,_CALC_ALLOC!$E$1:$E$349,$X45,_CALC_ALLOC!$F$1:$F$349,$Y45)</f>
        <v/>
      </c>
      <c r="H45" s="82">
        <f>SUMIFS(_CALC_ALLOC!$AL$1:$AL$349,_CALC_ALLOC!$AS$1:$AS$349,"2027|"&amp;$P$1,_CALC_ALLOC!$B$1:$B$349,$U45,_CALC_ALLOC!$D$1:$D$349,$W45,_CALC_ALLOC!$E$1:$E$349,$X45,_CALC_ALLOC!$F$1:$F$349,$Y45)</f>
        <v/>
      </c>
      <c r="I45" s="82">
        <f>SUMIFS(_CALC_ALLOC!$AR$1:$AR$349,_CALC_ALLOC!$AS$1:$AS$349,"2027|"&amp;$P$1,_CALC_ALLOC!$B$1:$B$349,$U45,_CALC_ALLOC!$D$1:$D$349,$W45,_CALC_ALLOC!$E$1:$E$349,$X45,_CALC_ALLOC!$F$1:$F$349,$Y45)</f>
        <v/>
      </c>
      <c r="J45" s="82">
        <f>SUMIFS(_CALC_ALLOC!$AM$1:$AM$349,_CALC_ALLOC!$AS$1:$AS$349,"2027|"&amp;$P$1,_CALC_ALLOC!$B$1:$B$349,$U45,_CALC_ALLOC!$D$1:$D$349,$W45,_CALC_ALLOC!$E$1:$E$349,$X45,_CALC_ALLOC!$F$1:$F$349,$Y45)</f>
        <v/>
      </c>
      <c r="K45" s="83">
        <f>E45+F45+G45+H45+I45+J45</f>
        <v/>
      </c>
      <c r="L45" s="84">
        <f>SUMIFS(_CALC_ALLOC!$AN$1:$AN$349,_CALC_ALLOC!$AS$1:$AS$349,"2027|"&amp;$P$1,_CALC_ALLOC!$B$1:$B$349,$U45,_CALC_ALLOC!$D$1:$D$349,$W45,_CALC_ALLOC!$E$1:$E$349,$X45,_CALC_ALLOC!$F$1:$F$349,$Y45)</f>
        <v/>
      </c>
      <c r="M45" s="85">
        <f>IF(D45=0,0,L45/D45)</f>
        <v/>
      </c>
      <c r="T45" s="74" t="inlineStr">
        <is>
          <t>ISCOM_PAR|BAC_COM|B1|INIT</t>
        </is>
      </c>
      <c r="U45" s="74" t="inlineStr">
        <is>
          <t>ISCOM_PAR</t>
        </is>
      </c>
      <c r="V45" s="74" t="inlineStr">
        <is>
          <t>ISCOM</t>
        </is>
      </c>
      <c r="W45" s="74" t="inlineStr">
        <is>
          <t>BAC_COM</t>
        </is>
      </c>
      <c r="X45" s="74" t="inlineStr">
        <is>
          <t>B1</t>
        </is>
      </c>
      <c r="Y45" s="74" t="inlineStr">
        <is>
          <t>INIT</t>
        </is>
      </c>
      <c r="Z45" s="74" t="n">
        <v>3</v>
      </c>
      <c r="BF45" s="0" t="inlineStr">
        <is>
          <t>2027BUD_V1</t>
        </is>
      </c>
      <c r="BG45" s="0" t="inlineStr">
        <is>
          <t>ACT</t>
        </is>
      </c>
      <c r="BH45" s="0" t="inlineStr">
        <is>
          <t>12</t>
        </is>
      </c>
      <c r="BI45" s="0" t="inlineStr">
        <is>
          <t>2024</t>
        </is>
      </c>
      <c r="BJ45" s="0" t="inlineStr">
        <is>
          <t>MBWAY_PAR</t>
        </is>
      </c>
      <c r="BK45" s="0" t="inlineStr">
        <is>
          <t>MBWAY</t>
        </is>
      </c>
      <c r="BL45" s="0" t="inlineStr">
        <is>
          <t>MAS_MGT</t>
        </is>
      </c>
      <c r="BM45" s="0" t="inlineStr">
        <is>
          <t>M2</t>
        </is>
      </c>
      <c r="BN45" s="0" t="inlineStr">
        <is>
          <t>ALT</t>
        </is>
      </c>
      <c r="BO45" s="0" t="n">
        <v>68</v>
      </c>
      <c r="BP45" s="0" t="n">
        <v>3</v>
      </c>
      <c r="BQ45" s="0" t="n">
        <v>571200</v>
      </c>
      <c r="BR45" s="0" t="n">
        <v>28922.425</v>
      </c>
      <c r="BS45" s="0" t="n">
        <v>80778.908</v>
      </c>
      <c r="BT45" s="0" t="n">
        <v>25944</v>
      </c>
      <c r="BU45" s="0" t="n">
        <v>221608.662</v>
      </c>
      <c r="BV45" s="0" t="n">
        <v>12659.990953</v>
      </c>
      <c r="BW45" s="0" t="n">
        <v>64720.98594</v>
      </c>
      <c r="BX45" s="0" t="n">
        <v>77380.976893</v>
      </c>
      <c r="BY45" s="0" t="n">
        <v>54866.425</v>
      </c>
      <c r="BZ45" s="0" t="n">
        <v>379768.546893</v>
      </c>
      <c r="CA45" s="0" t="n">
        <v>434634.971893</v>
      </c>
      <c r="CB45" s="0" t="n">
        <v>136565.028107</v>
      </c>
      <c r="CC45" s="0" t="n">
        <v>0</v>
      </c>
      <c r="CD45" s="0" t="n">
        <v>165271</v>
      </c>
      <c r="CE45" s="0" t="n">
        <v>461593.76</v>
      </c>
      <c r="CF45" s="0" t="n">
        <v>129720</v>
      </c>
      <c r="CG45" s="0" t="n">
        <v>56438</v>
      </c>
      <c r="CH45" s="0" t="n">
        <v>1108043.31</v>
      </c>
      <c r="CI45" s="0" t="n">
        <v>2639292</v>
      </c>
      <c r="CJ45" s="0" t="n">
        <v>499926</v>
      </c>
    </row>
    <row r="46" outlineLevel="2" ht="14.4975" customHeight="1" s="64">
      <c r="B46" s="80" t="inlineStr">
        <is>
          <t>Bachelor Communication, 2e année, alternance</t>
        </is>
      </c>
      <c r="C46" s="81">
        <f>SUMIFS(_CALC_ALLOC!$G$1:$G$349,_CALC_ALLOC!$AS$1:$AS$349,"2027|"&amp;$P$1,_CALC_ALLOC!$B$1:$B$349,$U46,_CALC_ALLOC!$D$1:$D$349,$W46,_CALC_ALLOC!$E$1:$E$349,$X46,_CALC_ALLOC!$F$1:$F$349,$Y46)</f>
        <v/>
      </c>
      <c r="D46" s="82">
        <f>SUMIFS(_CALC_ALLOC!$I$1:$I$349,_CALC_ALLOC!$AS$1:$AS$349,"2027|"&amp;$P$1,_CALC_ALLOC!$B$1:$B$349,$U46,_CALC_ALLOC!$D$1:$D$349,$W46,_CALC_ALLOC!$E$1:$E$349,$X46,_CALC_ALLOC!$F$1:$F$349,$Y46)</f>
        <v/>
      </c>
      <c r="E46" s="82">
        <f>SUMIFS(_CALC_ALLOC!$AI$1:$AI$349,_CALC_ALLOC!$AS$1:$AS$349,"2027|"&amp;$P$1,_CALC_ALLOC!$B$1:$B$349,$U46,_CALC_ALLOC!$D$1:$D$349,$W46,_CALC_ALLOC!$E$1:$E$349,$X46,_CALC_ALLOC!$F$1:$F$349,$Y46)</f>
        <v/>
      </c>
      <c r="F46" s="82">
        <f>SUMIFS(_CALC_ALLOC!$AJ$1:$AJ$349,_CALC_ALLOC!$AS$1:$AS$349,"2027|"&amp;$P$1,_CALC_ALLOC!$B$1:$B$349,$U46,_CALC_ALLOC!$D$1:$D$349,$W46,_CALC_ALLOC!$E$1:$E$349,$X46,_CALC_ALLOC!$F$1:$F$349,$Y46)</f>
        <v/>
      </c>
      <c r="G46" s="82">
        <f>SUMIFS(_CALC_ALLOC!$AK$1:$AK$349,_CALC_ALLOC!$AS$1:$AS$349,"2027|"&amp;$P$1,_CALC_ALLOC!$B$1:$B$349,$U46,_CALC_ALLOC!$D$1:$D$349,$W46,_CALC_ALLOC!$E$1:$E$349,$X46,_CALC_ALLOC!$F$1:$F$349,$Y46)</f>
        <v/>
      </c>
      <c r="H46" s="82">
        <f>SUMIFS(_CALC_ALLOC!$AL$1:$AL$349,_CALC_ALLOC!$AS$1:$AS$349,"2027|"&amp;$P$1,_CALC_ALLOC!$B$1:$B$349,$U46,_CALC_ALLOC!$D$1:$D$349,$W46,_CALC_ALLOC!$E$1:$E$349,$X46,_CALC_ALLOC!$F$1:$F$349,$Y46)</f>
        <v/>
      </c>
      <c r="I46" s="82">
        <f>SUMIFS(_CALC_ALLOC!$AR$1:$AR$349,_CALC_ALLOC!$AS$1:$AS$349,"2027|"&amp;$P$1,_CALC_ALLOC!$B$1:$B$349,$U46,_CALC_ALLOC!$D$1:$D$349,$W46,_CALC_ALLOC!$E$1:$E$349,$X46,_CALC_ALLOC!$F$1:$F$349,$Y46)</f>
        <v/>
      </c>
      <c r="J46" s="82">
        <f>SUMIFS(_CALC_ALLOC!$AM$1:$AM$349,_CALC_ALLOC!$AS$1:$AS$349,"2027|"&amp;$P$1,_CALC_ALLOC!$B$1:$B$349,$U46,_CALC_ALLOC!$D$1:$D$349,$W46,_CALC_ALLOC!$E$1:$E$349,$X46,_CALC_ALLOC!$F$1:$F$349,$Y46)</f>
        <v/>
      </c>
      <c r="K46" s="83">
        <f>E46+F46+G46+H46+I46+J46</f>
        <v/>
      </c>
      <c r="L46" s="84">
        <f>SUMIFS(_CALC_ALLOC!$AN$1:$AN$349,_CALC_ALLOC!$AS$1:$AS$349,"2027|"&amp;$P$1,_CALC_ALLOC!$B$1:$B$349,$U46,_CALC_ALLOC!$D$1:$D$349,$W46,_CALC_ALLOC!$E$1:$E$349,$X46,_CALC_ALLOC!$F$1:$F$349,$Y46)</f>
        <v/>
      </c>
      <c r="M46" s="85">
        <f>IF(D46=0,0,L46/D46)</f>
        <v/>
      </c>
      <c r="T46" s="74" t="inlineStr">
        <is>
          <t>ISCOM_PAR|BAC_COM|B2|ALT</t>
        </is>
      </c>
      <c r="U46" s="74" t="inlineStr">
        <is>
          <t>ISCOM_PAR</t>
        </is>
      </c>
      <c r="V46" s="74" t="inlineStr">
        <is>
          <t>ISCOM</t>
        </is>
      </c>
      <c r="W46" s="74" t="inlineStr">
        <is>
          <t>BAC_COM</t>
        </is>
      </c>
      <c r="X46" s="74" t="inlineStr">
        <is>
          <t>B2</t>
        </is>
      </c>
      <c r="Y46" s="74" t="inlineStr">
        <is>
          <t>ALT</t>
        </is>
      </c>
      <c r="Z46" s="74" t="n">
        <v>3</v>
      </c>
      <c r="BF46" s="0" t="inlineStr">
        <is>
          <t>2027BUD_V1</t>
        </is>
      </c>
      <c r="BG46" s="0" t="inlineStr">
        <is>
          <t>ACT</t>
        </is>
      </c>
      <c r="BH46" s="0" t="inlineStr">
        <is>
          <t>12</t>
        </is>
      </c>
      <c r="BI46" s="0" t="inlineStr">
        <is>
          <t>2024</t>
        </is>
      </c>
      <c r="BJ46" s="0" t="inlineStr">
        <is>
          <t>PIGIER_BOR</t>
        </is>
      </c>
      <c r="BK46" s="0" t="inlineStr">
        <is>
          <t>PIGIER</t>
        </is>
      </c>
      <c r="BL46" s="0" t="inlineStr">
        <is>
          <t>BTS_GES</t>
        </is>
      </c>
      <c r="BM46" s="0" t="inlineStr">
        <is>
          <t>BTS1</t>
        </is>
      </c>
      <c r="BN46" s="0" t="inlineStr">
        <is>
          <t>ALT</t>
        </is>
      </c>
      <c r="BO46" s="0" t="n">
        <v>32</v>
      </c>
      <c r="BP46" s="0" t="n">
        <v>2</v>
      </c>
      <c r="BQ46" s="0" t="n">
        <v>189120</v>
      </c>
      <c r="BR46" s="0" t="n">
        <v>21725.556832</v>
      </c>
      <c r="BS46" s="0" t="n">
        <v>40999.742067</v>
      </c>
      <c r="BT46" s="0" t="n">
        <v>18968.77216</v>
      </c>
      <c r="BU46" s="0" t="n">
        <v>63370.352</v>
      </c>
      <c r="BV46" s="0" t="n">
        <v>5105.897169</v>
      </c>
      <c r="BW46" s="0" t="n">
        <v>29695.450103</v>
      </c>
      <c r="BX46" s="0" t="n">
        <v>34801.347272</v>
      </c>
      <c r="BY46" s="0" t="n">
        <v>40694.328992</v>
      </c>
      <c r="BZ46" s="0" t="n">
        <v>139171.441339</v>
      </c>
      <c r="CA46" s="0" t="n">
        <v>179865.770331</v>
      </c>
      <c r="CB46" s="0" t="n">
        <v>9254.229669</v>
      </c>
      <c r="CC46" s="0" t="n">
        <v>32</v>
      </c>
      <c r="CD46" s="0" t="n">
        <v>88144</v>
      </c>
      <c r="CE46" s="0" t="n">
        <v>166342.4</v>
      </c>
      <c r="CF46" s="0" t="n">
        <v>48220</v>
      </c>
      <c r="CG46" s="0" t="n">
        <v>18155</v>
      </c>
      <c r="CH46" s="0" t="n">
        <v>316851.76</v>
      </c>
      <c r="CI46" s="0" t="n">
        <v>2639292</v>
      </c>
      <c r="CJ46" s="0" t="n">
        <v>499926</v>
      </c>
    </row>
    <row r="47" outlineLevel="2" ht="14.4975" customHeight="1" s="64">
      <c r="B47" s="80" t="inlineStr">
        <is>
          <t>Bachelor Communication, 3e année, alternance</t>
        </is>
      </c>
      <c r="C47" s="81">
        <f>SUMIFS(_CALC_ALLOC!$G$1:$G$349,_CALC_ALLOC!$AS$1:$AS$349,"2027|"&amp;$P$1,_CALC_ALLOC!$B$1:$B$349,$U47,_CALC_ALLOC!$D$1:$D$349,$W47,_CALC_ALLOC!$E$1:$E$349,$X47,_CALC_ALLOC!$F$1:$F$349,$Y47)</f>
        <v/>
      </c>
      <c r="D47" s="82">
        <f>SUMIFS(_CALC_ALLOC!$I$1:$I$349,_CALC_ALLOC!$AS$1:$AS$349,"2027|"&amp;$P$1,_CALC_ALLOC!$B$1:$B$349,$U47,_CALC_ALLOC!$D$1:$D$349,$W47,_CALC_ALLOC!$E$1:$E$349,$X47,_CALC_ALLOC!$F$1:$F$349,$Y47)</f>
        <v/>
      </c>
      <c r="E47" s="82">
        <f>SUMIFS(_CALC_ALLOC!$AI$1:$AI$349,_CALC_ALLOC!$AS$1:$AS$349,"2027|"&amp;$P$1,_CALC_ALLOC!$B$1:$B$349,$U47,_CALC_ALLOC!$D$1:$D$349,$W47,_CALC_ALLOC!$E$1:$E$349,$X47,_CALC_ALLOC!$F$1:$F$349,$Y47)</f>
        <v/>
      </c>
      <c r="F47" s="82">
        <f>SUMIFS(_CALC_ALLOC!$AJ$1:$AJ$349,_CALC_ALLOC!$AS$1:$AS$349,"2027|"&amp;$P$1,_CALC_ALLOC!$B$1:$B$349,$U47,_CALC_ALLOC!$D$1:$D$349,$W47,_CALC_ALLOC!$E$1:$E$349,$X47,_CALC_ALLOC!$F$1:$F$349,$Y47)</f>
        <v/>
      </c>
      <c r="G47" s="82">
        <f>SUMIFS(_CALC_ALLOC!$AK$1:$AK$349,_CALC_ALLOC!$AS$1:$AS$349,"2027|"&amp;$P$1,_CALC_ALLOC!$B$1:$B$349,$U47,_CALC_ALLOC!$D$1:$D$349,$W47,_CALC_ALLOC!$E$1:$E$349,$X47,_CALC_ALLOC!$F$1:$F$349,$Y47)</f>
        <v/>
      </c>
      <c r="H47" s="82">
        <f>SUMIFS(_CALC_ALLOC!$AL$1:$AL$349,_CALC_ALLOC!$AS$1:$AS$349,"2027|"&amp;$P$1,_CALC_ALLOC!$B$1:$B$349,$U47,_CALC_ALLOC!$D$1:$D$349,$W47,_CALC_ALLOC!$E$1:$E$349,$X47,_CALC_ALLOC!$F$1:$F$349,$Y47)</f>
        <v/>
      </c>
      <c r="I47" s="82">
        <f>SUMIFS(_CALC_ALLOC!$AR$1:$AR$349,_CALC_ALLOC!$AS$1:$AS$349,"2027|"&amp;$P$1,_CALC_ALLOC!$B$1:$B$349,$U47,_CALC_ALLOC!$D$1:$D$349,$W47,_CALC_ALLOC!$E$1:$E$349,$X47,_CALC_ALLOC!$F$1:$F$349,$Y47)</f>
        <v/>
      </c>
      <c r="J47" s="82">
        <f>SUMIFS(_CALC_ALLOC!$AM$1:$AM$349,_CALC_ALLOC!$AS$1:$AS$349,"2027|"&amp;$P$1,_CALC_ALLOC!$B$1:$B$349,$U47,_CALC_ALLOC!$D$1:$D$349,$W47,_CALC_ALLOC!$E$1:$E$349,$X47,_CALC_ALLOC!$F$1:$F$349,$Y47)</f>
        <v/>
      </c>
      <c r="K47" s="83">
        <f>E47+F47+G47+H47+I47+J47</f>
        <v/>
      </c>
      <c r="L47" s="84">
        <f>SUMIFS(_CALC_ALLOC!$AN$1:$AN$349,_CALC_ALLOC!$AS$1:$AS$349,"2027|"&amp;$P$1,_CALC_ALLOC!$B$1:$B$349,$U47,_CALC_ALLOC!$D$1:$D$349,$W47,_CALC_ALLOC!$E$1:$E$349,$X47,_CALC_ALLOC!$F$1:$F$349,$Y47)</f>
        <v/>
      </c>
      <c r="M47" s="85">
        <f>IF(D47=0,0,L47/D47)</f>
        <v/>
      </c>
      <c r="T47" s="74" t="inlineStr">
        <is>
          <t>ISCOM_PAR|BAC_COM|B3|ALT</t>
        </is>
      </c>
      <c r="U47" s="74" t="inlineStr">
        <is>
          <t>ISCOM_PAR</t>
        </is>
      </c>
      <c r="V47" s="74" t="inlineStr">
        <is>
          <t>ISCOM</t>
        </is>
      </c>
      <c r="W47" s="74" t="inlineStr">
        <is>
          <t>BAC_COM</t>
        </is>
      </c>
      <c r="X47" s="74" t="inlineStr">
        <is>
          <t>B3</t>
        </is>
      </c>
      <c r="Y47" s="74" t="inlineStr">
        <is>
          <t>ALT</t>
        </is>
      </c>
      <c r="Z47" s="74" t="n">
        <v>3</v>
      </c>
      <c r="BF47" s="0" t="inlineStr">
        <is>
          <t>2027BUD_V1</t>
        </is>
      </c>
      <c r="BG47" s="0" t="inlineStr">
        <is>
          <t>ACT</t>
        </is>
      </c>
      <c r="BH47" s="0" t="inlineStr">
        <is>
          <t>12</t>
        </is>
      </c>
      <c r="BI47" s="0" t="inlineStr">
        <is>
          <t>2024</t>
        </is>
      </c>
      <c r="BJ47" s="0" t="inlineStr">
        <is>
          <t>PIGIER_BOR</t>
        </is>
      </c>
      <c r="BK47" s="0" t="inlineStr">
        <is>
          <t>PIGIER</t>
        </is>
      </c>
      <c r="BL47" s="0" t="inlineStr">
        <is>
          <t>BTS_GES</t>
        </is>
      </c>
      <c r="BM47" s="0" t="inlineStr">
        <is>
          <t>BTS2</t>
        </is>
      </c>
      <c r="BN47" s="0" t="inlineStr">
        <is>
          <t>ALT</t>
        </is>
      </c>
      <c r="BO47" s="0" t="n">
        <v>31</v>
      </c>
      <c r="BP47" s="0" t="n">
        <v>2</v>
      </c>
      <c r="BQ47" s="0" t="n">
        <v>180420</v>
      </c>
      <c r="BR47" s="0" t="n">
        <v>21725.556832</v>
      </c>
      <c r="BS47" s="0" t="n">
        <v>40999.742067</v>
      </c>
      <c r="BT47" s="0" t="n">
        <v>9582.133739999999</v>
      </c>
      <c r="BU47" s="0" t="n">
        <v>63370.352</v>
      </c>
      <c r="BV47" s="0" t="n">
        <v>5105.897169</v>
      </c>
      <c r="BW47" s="0" t="n">
        <v>29695.450103</v>
      </c>
      <c r="BX47" s="0" t="n">
        <v>34801.347272</v>
      </c>
      <c r="BY47" s="0" t="n">
        <v>31307.690572</v>
      </c>
      <c r="BZ47" s="0" t="n">
        <v>139171.441339</v>
      </c>
      <c r="CA47" s="0" t="n">
        <v>170479.131911</v>
      </c>
      <c r="CB47" s="0" t="n">
        <v>9940.868089</v>
      </c>
      <c r="CC47" s="0" t="n">
        <v>0</v>
      </c>
      <c r="CD47" s="0" t="n">
        <v>88144</v>
      </c>
      <c r="CE47" s="0" t="n">
        <v>166342.4</v>
      </c>
      <c r="CF47" s="0" t="n">
        <v>48220</v>
      </c>
      <c r="CG47" s="0" t="n">
        <v>18155</v>
      </c>
      <c r="CH47" s="0" t="n">
        <v>316851.76</v>
      </c>
      <c r="CI47" s="0" t="n">
        <v>2639292</v>
      </c>
      <c r="CJ47" s="0" t="n">
        <v>499926</v>
      </c>
    </row>
    <row r="48" outlineLevel="2" ht="14.4975" customHeight="1" s="64">
      <c r="B48" s="80" t="inlineStr">
        <is>
          <t>Mastère Communication, 1re année, alternance</t>
        </is>
      </c>
      <c r="C48" s="81">
        <f>SUMIFS(_CALC_ALLOC!$G$1:$G$349,_CALC_ALLOC!$AS$1:$AS$349,"2027|"&amp;$P$1,_CALC_ALLOC!$B$1:$B$349,$U48,_CALC_ALLOC!$D$1:$D$349,$W48,_CALC_ALLOC!$E$1:$E$349,$X48,_CALC_ALLOC!$F$1:$F$349,$Y48)</f>
        <v/>
      </c>
      <c r="D48" s="82">
        <f>SUMIFS(_CALC_ALLOC!$I$1:$I$349,_CALC_ALLOC!$AS$1:$AS$349,"2027|"&amp;$P$1,_CALC_ALLOC!$B$1:$B$349,$U48,_CALC_ALLOC!$D$1:$D$349,$W48,_CALC_ALLOC!$E$1:$E$349,$X48,_CALC_ALLOC!$F$1:$F$349,$Y48)</f>
        <v/>
      </c>
      <c r="E48" s="82">
        <f>SUMIFS(_CALC_ALLOC!$AI$1:$AI$349,_CALC_ALLOC!$AS$1:$AS$349,"2027|"&amp;$P$1,_CALC_ALLOC!$B$1:$B$349,$U48,_CALC_ALLOC!$D$1:$D$349,$W48,_CALC_ALLOC!$E$1:$E$349,$X48,_CALC_ALLOC!$F$1:$F$349,$Y48)</f>
        <v/>
      </c>
      <c r="F48" s="82">
        <f>SUMIFS(_CALC_ALLOC!$AJ$1:$AJ$349,_CALC_ALLOC!$AS$1:$AS$349,"2027|"&amp;$P$1,_CALC_ALLOC!$B$1:$B$349,$U48,_CALC_ALLOC!$D$1:$D$349,$W48,_CALC_ALLOC!$E$1:$E$349,$X48,_CALC_ALLOC!$F$1:$F$349,$Y48)</f>
        <v/>
      </c>
      <c r="G48" s="82">
        <f>SUMIFS(_CALC_ALLOC!$AK$1:$AK$349,_CALC_ALLOC!$AS$1:$AS$349,"2027|"&amp;$P$1,_CALC_ALLOC!$B$1:$B$349,$U48,_CALC_ALLOC!$D$1:$D$349,$W48,_CALC_ALLOC!$E$1:$E$349,$X48,_CALC_ALLOC!$F$1:$F$349,$Y48)</f>
        <v/>
      </c>
      <c r="H48" s="82">
        <f>SUMIFS(_CALC_ALLOC!$AL$1:$AL$349,_CALC_ALLOC!$AS$1:$AS$349,"2027|"&amp;$P$1,_CALC_ALLOC!$B$1:$B$349,$U48,_CALC_ALLOC!$D$1:$D$349,$W48,_CALC_ALLOC!$E$1:$E$349,$X48,_CALC_ALLOC!$F$1:$F$349,$Y48)</f>
        <v/>
      </c>
      <c r="I48" s="82">
        <f>SUMIFS(_CALC_ALLOC!$AR$1:$AR$349,_CALC_ALLOC!$AS$1:$AS$349,"2027|"&amp;$P$1,_CALC_ALLOC!$B$1:$B$349,$U48,_CALC_ALLOC!$D$1:$D$349,$W48,_CALC_ALLOC!$E$1:$E$349,$X48,_CALC_ALLOC!$F$1:$F$349,$Y48)</f>
        <v/>
      </c>
      <c r="J48" s="82">
        <f>SUMIFS(_CALC_ALLOC!$AM$1:$AM$349,_CALC_ALLOC!$AS$1:$AS$349,"2027|"&amp;$P$1,_CALC_ALLOC!$B$1:$B$349,$U48,_CALC_ALLOC!$D$1:$D$349,$W48,_CALC_ALLOC!$E$1:$E$349,$X48,_CALC_ALLOC!$F$1:$F$349,$Y48)</f>
        <v/>
      </c>
      <c r="K48" s="83">
        <f>E48+F48+G48+H48+I48+J48</f>
        <v/>
      </c>
      <c r="L48" s="84">
        <f>SUMIFS(_CALC_ALLOC!$AN$1:$AN$349,_CALC_ALLOC!$AS$1:$AS$349,"2027|"&amp;$P$1,_CALC_ALLOC!$B$1:$B$349,$U48,_CALC_ALLOC!$D$1:$D$349,$W48,_CALC_ALLOC!$E$1:$E$349,$X48,_CALC_ALLOC!$F$1:$F$349,$Y48)</f>
        <v/>
      </c>
      <c r="M48" s="85">
        <f>IF(D48=0,0,L48/D48)</f>
        <v/>
      </c>
      <c r="T48" s="74" t="inlineStr">
        <is>
          <t>ISCOM_PAR|MAS_COM|M1|ALT</t>
        </is>
      </c>
      <c r="U48" s="74" t="inlineStr">
        <is>
          <t>ISCOM_PAR</t>
        </is>
      </c>
      <c r="V48" s="74" t="inlineStr">
        <is>
          <t>ISCOM</t>
        </is>
      </c>
      <c r="W48" s="74" t="inlineStr">
        <is>
          <t>MAS_COM</t>
        </is>
      </c>
      <c r="X48" s="74" t="inlineStr">
        <is>
          <t>M1</t>
        </is>
      </c>
      <c r="Y48" s="74" t="inlineStr">
        <is>
          <t>ALT</t>
        </is>
      </c>
      <c r="Z48" s="74" t="n">
        <v>3</v>
      </c>
      <c r="BF48" s="0" t="inlineStr">
        <is>
          <t>2027BUD_V1</t>
        </is>
      </c>
      <c r="BG48" s="0" t="inlineStr">
        <is>
          <t>ACT</t>
        </is>
      </c>
      <c r="BH48" s="0" t="inlineStr">
        <is>
          <t>12</t>
        </is>
      </c>
      <c r="BI48" s="0" t="inlineStr">
        <is>
          <t>2024</t>
        </is>
      </c>
      <c r="BJ48" s="0" t="inlineStr">
        <is>
          <t>PIGIER_BOR</t>
        </is>
      </c>
      <c r="BK48" s="0" t="inlineStr">
        <is>
          <t>PIGIER</t>
        </is>
      </c>
      <c r="BL48" s="0" t="inlineStr">
        <is>
          <t>BAC_RH</t>
        </is>
      </c>
      <c r="BM48" s="0" t="inlineStr">
        <is>
          <t>B1</t>
        </is>
      </c>
      <c r="BN48" s="0" t="inlineStr">
        <is>
          <t>ALT</t>
        </is>
      </c>
      <c r="BO48" s="0" t="n">
        <v>32</v>
      </c>
      <c r="BP48" s="0" t="n">
        <v>2</v>
      </c>
      <c r="BQ48" s="0" t="n">
        <v>220160</v>
      </c>
      <c r="BR48" s="0" t="n">
        <v>14897.570016</v>
      </c>
      <c r="BS48" s="0" t="n">
        <v>28114.194394</v>
      </c>
      <c r="BT48" s="0" t="n">
        <v>18968.77216</v>
      </c>
      <c r="BU48" s="0" t="n">
        <v>63370.352</v>
      </c>
      <c r="BV48" s="0" t="n">
        <v>5105.897169</v>
      </c>
      <c r="BW48" s="0" t="n">
        <v>29695.450103</v>
      </c>
      <c r="BX48" s="0" t="n">
        <v>34801.347272</v>
      </c>
      <c r="BY48" s="0" t="n">
        <v>33866.342176</v>
      </c>
      <c r="BZ48" s="0" t="n">
        <v>126285.893666</v>
      </c>
      <c r="CA48" s="0" t="n">
        <v>160152.235842</v>
      </c>
      <c r="CB48" s="0" t="n">
        <v>60007.764158</v>
      </c>
      <c r="CC48" s="0" t="n">
        <v>32</v>
      </c>
      <c r="CD48" s="0" t="n">
        <v>88144</v>
      </c>
      <c r="CE48" s="0" t="n">
        <v>166342.4</v>
      </c>
      <c r="CF48" s="0" t="n">
        <v>48220</v>
      </c>
      <c r="CG48" s="0" t="n">
        <v>18155</v>
      </c>
      <c r="CH48" s="0" t="n">
        <v>316851.76</v>
      </c>
      <c r="CI48" s="0" t="n">
        <v>2639292</v>
      </c>
      <c r="CJ48" s="0" t="n">
        <v>499926</v>
      </c>
    </row>
    <row r="49" outlineLevel="2" ht="14.4975" customHeight="1" s="64">
      <c r="B49" s="80" t="inlineStr">
        <is>
          <t>Mastère Communication, 2e année, alternance</t>
        </is>
      </c>
      <c r="C49" s="81">
        <f>SUMIFS(_CALC_ALLOC!$G$1:$G$349,_CALC_ALLOC!$AS$1:$AS$349,"2027|"&amp;$P$1,_CALC_ALLOC!$B$1:$B$349,$U49,_CALC_ALLOC!$D$1:$D$349,$W49,_CALC_ALLOC!$E$1:$E$349,$X49,_CALC_ALLOC!$F$1:$F$349,$Y49)</f>
        <v/>
      </c>
      <c r="D49" s="82">
        <f>SUMIFS(_CALC_ALLOC!$I$1:$I$349,_CALC_ALLOC!$AS$1:$AS$349,"2027|"&amp;$P$1,_CALC_ALLOC!$B$1:$B$349,$U49,_CALC_ALLOC!$D$1:$D$349,$W49,_CALC_ALLOC!$E$1:$E$349,$X49,_CALC_ALLOC!$F$1:$F$349,$Y49)</f>
        <v/>
      </c>
      <c r="E49" s="82">
        <f>SUMIFS(_CALC_ALLOC!$AI$1:$AI$349,_CALC_ALLOC!$AS$1:$AS$349,"2027|"&amp;$P$1,_CALC_ALLOC!$B$1:$B$349,$U49,_CALC_ALLOC!$D$1:$D$349,$W49,_CALC_ALLOC!$E$1:$E$349,$X49,_CALC_ALLOC!$F$1:$F$349,$Y49)</f>
        <v/>
      </c>
      <c r="F49" s="82">
        <f>SUMIFS(_CALC_ALLOC!$AJ$1:$AJ$349,_CALC_ALLOC!$AS$1:$AS$349,"2027|"&amp;$P$1,_CALC_ALLOC!$B$1:$B$349,$U49,_CALC_ALLOC!$D$1:$D$349,$W49,_CALC_ALLOC!$E$1:$E$349,$X49,_CALC_ALLOC!$F$1:$F$349,$Y49)</f>
        <v/>
      </c>
      <c r="G49" s="82">
        <f>SUMIFS(_CALC_ALLOC!$AK$1:$AK$349,_CALC_ALLOC!$AS$1:$AS$349,"2027|"&amp;$P$1,_CALC_ALLOC!$B$1:$B$349,$U49,_CALC_ALLOC!$D$1:$D$349,$W49,_CALC_ALLOC!$E$1:$E$349,$X49,_CALC_ALLOC!$F$1:$F$349,$Y49)</f>
        <v/>
      </c>
      <c r="H49" s="82">
        <f>SUMIFS(_CALC_ALLOC!$AL$1:$AL$349,_CALC_ALLOC!$AS$1:$AS$349,"2027|"&amp;$P$1,_CALC_ALLOC!$B$1:$B$349,$U49,_CALC_ALLOC!$D$1:$D$349,$W49,_CALC_ALLOC!$E$1:$E$349,$X49,_CALC_ALLOC!$F$1:$F$349,$Y49)</f>
        <v/>
      </c>
      <c r="I49" s="82">
        <f>SUMIFS(_CALC_ALLOC!$AR$1:$AR$349,_CALC_ALLOC!$AS$1:$AS$349,"2027|"&amp;$P$1,_CALC_ALLOC!$B$1:$B$349,$U49,_CALC_ALLOC!$D$1:$D$349,$W49,_CALC_ALLOC!$E$1:$E$349,$X49,_CALC_ALLOC!$F$1:$F$349,$Y49)</f>
        <v/>
      </c>
      <c r="J49" s="82">
        <f>SUMIFS(_CALC_ALLOC!$AM$1:$AM$349,_CALC_ALLOC!$AS$1:$AS$349,"2027|"&amp;$P$1,_CALC_ALLOC!$B$1:$B$349,$U49,_CALC_ALLOC!$D$1:$D$349,$W49,_CALC_ALLOC!$E$1:$E$349,$X49,_CALC_ALLOC!$F$1:$F$349,$Y49)</f>
        <v/>
      </c>
      <c r="K49" s="83">
        <f>E49+F49+G49+H49+I49+J49</f>
        <v/>
      </c>
      <c r="L49" s="84">
        <f>SUMIFS(_CALC_ALLOC!$AN$1:$AN$349,_CALC_ALLOC!$AS$1:$AS$349,"2027|"&amp;$P$1,_CALC_ALLOC!$B$1:$B$349,$U49,_CALC_ALLOC!$D$1:$D$349,$W49,_CALC_ALLOC!$E$1:$E$349,$X49,_CALC_ALLOC!$F$1:$F$349,$Y49)</f>
        <v/>
      </c>
      <c r="M49" s="85">
        <f>IF(D49=0,0,L49/D49)</f>
        <v/>
      </c>
      <c r="T49" s="74" t="inlineStr">
        <is>
          <t>ISCOM_PAR|MAS_COM|M2|ALT</t>
        </is>
      </c>
      <c r="U49" s="74" t="inlineStr">
        <is>
          <t>ISCOM_PAR</t>
        </is>
      </c>
      <c r="V49" s="74" t="inlineStr">
        <is>
          <t>ISCOM</t>
        </is>
      </c>
      <c r="W49" s="74" t="inlineStr">
        <is>
          <t>MAS_COM</t>
        </is>
      </c>
      <c r="X49" s="74" t="inlineStr">
        <is>
          <t>M2</t>
        </is>
      </c>
      <c r="Y49" s="74" t="inlineStr">
        <is>
          <t>ALT</t>
        </is>
      </c>
      <c r="Z49" s="74" t="n">
        <v>3</v>
      </c>
      <c r="BF49" s="0" t="inlineStr">
        <is>
          <t>2027BUD_V1</t>
        </is>
      </c>
      <c r="BG49" s="0" t="inlineStr">
        <is>
          <t>ACT</t>
        </is>
      </c>
      <c r="BH49" s="0" t="inlineStr">
        <is>
          <t>12</t>
        </is>
      </c>
      <c r="BI49" s="0" t="inlineStr">
        <is>
          <t>2024</t>
        </is>
      </c>
      <c r="BJ49" s="0" t="inlineStr">
        <is>
          <t>PIGIER_BOR</t>
        </is>
      </c>
      <c r="BK49" s="0" t="inlineStr">
        <is>
          <t>PIGIER</t>
        </is>
      </c>
      <c r="BL49" s="0" t="inlineStr">
        <is>
          <t>BAC_RH</t>
        </is>
      </c>
      <c r="BM49" s="0" t="inlineStr">
        <is>
          <t>B2</t>
        </is>
      </c>
      <c r="BN49" s="0" t="inlineStr">
        <is>
          <t>ALT</t>
        </is>
      </c>
      <c r="BO49" s="0" t="n">
        <v>31</v>
      </c>
      <c r="BP49" s="0" t="n">
        <v>2</v>
      </c>
      <c r="BQ49" s="0" t="n">
        <v>210490</v>
      </c>
      <c r="BR49" s="0" t="n">
        <v>14897.570016</v>
      </c>
      <c r="BS49" s="0" t="n">
        <v>28114.194394</v>
      </c>
      <c r="BT49" s="0" t="n">
        <v>9582.133739999999</v>
      </c>
      <c r="BU49" s="0" t="n">
        <v>63370.352</v>
      </c>
      <c r="BV49" s="0" t="n">
        <v>5105.897169</v>
      </c>
      <c r="BW49" s="0" t="n">
        <v>29695.450103</v>
      </c>
      <c r="BX49" s="0" t="n">
        <v>34801.347272</v>
      </c>
      <c r="BY49" s="0" t="n">
        <v>24479.703756</v>
      </c>
      <c r="BZ49" s="0" t="n">
        <v>126285.893666</v>
      </c>
      <c r="CA49" s="0" t="n">
        <v>150765.597422</v>
      </c>
      <c r="CB49" s="0" t="n">
        <v>59724.402578</v>
      </c>
      <c r="CC49" s="0" t="n">
        <v>0</v>
      </c>
      <c r="CD49" s="0" t="n">
        <v>88144</v>
      </c>
      <c r="CE49" s="0" t="n">
        <v>166342.4</v>
      </c>
      <c r="CF49" s="0" t="n">
        <v>48220</v>
      </c>
      <c r="CG49" s="0" t="n">
        <v>18155</v>
      </c>
      <c r="CH49" s="0" t="n">
        <v>316851.76</v>
      </c>
      <c r="CI49" s="0" t="n">
        <v>2639292</v>
      </c>
      <c r="CJ49" s="0" t="n">
        <v>499926</v>
      </c>
    </row>
    <row r="50" outlineLevel="1" ht="14.4975" customHeight="1" s="64">
      <c r="B50" s="75" t="inlineStr">
        <is>
          <t>Lille</t>
        </is>
      </c>
      <c r="C50" s="76">
        <f>SUMIFS(_CALC_ALLOC!$G$1:$G$349,_CALC_ALLOC!$AS$1:$AS$349,"2027|"&amp;$P$1,_CALC_ALLOC!$B$1:$B$349,$U50)</f>
        <v/>
      </c>
      <c r="D50" s="77">
        <f>SUMIFS(_CALC_ALLOC!$I$1:$I$349,_CALC_ALLOC!$AS$1:$AS$349,"2027|"&amp;$P$1,_CALC_ALLOC!$B$1:$B$349,$U50)</f>
        <v/>
      </c>
      <c r="E50" s="77">
        <f>SUMIFS(_CALC_ALLOC!$AI$1:$AI$349,_CALC_ALLOC!$AS$1:$AS$349,"2027|"&amp;$P$1,_CALC_ALLOC!$B$1:$B$349,$U50)</f>
        <v/>
      </c>
      <c r="F50" s="77">
        <f>SUMIFS(_CALC_ALLOC!$AJ$1:$AJ$349,_CALC_ALLOC!$AS$1:$AS$349,"2027|"&amp;$P$1,_CALC_ALLOC!$B$1:$B$349,$U50)</f>
        <v/>
      </c>
      <c r="G50" s="77">
        <f>SUMIFS(_CALC_ALLOC!$AK$1:$AK$349,_CALC_ALLOC!$AS$1:$AS$349,"2027|"&amp;$P$1,_CALC_ALLOC!$B$1:$B$349,$U50)</f>
        <v/>
      </c>
      <c r="H50" s="77">
        <f>SUMIFS(_CALC_ALLOC!$AL$1:$AL$349,_CALC_ALLOC!$AS$1:$AS$349,"2027|"&amp;$P$1,_CALC_ALLOC!$B$1:$B$349,$U50)</f>
        <v/>
      </c>
      <c r="I50" s="77">
        <f>SUMIFS(_CALC_ALLOC!$AR$1:$AR$349,_CALC_ALLOC!$AS$1:$AS$349,"2027|"&amp;$P$1,_CALC_ALLOC!$B$1:$B$349,$U50)</f>
        <v/>
      </c>
      <c r="J50" s="77">
        <f>SUMIFS(_CALC_ALLOC!$AM$1:$AM$349,_CALC_ALLOC!$AS$1:$AS$349,"2027|"&amp;$P$1,_CALC_ALLOC!$B$1:$B$349,$U50)</f>
        <v/>
      </c>
      <c r="K50" s="77">
        <f>E50+F50+G50+H50+I50+J50</f>
        <v/>
      </c>
      <c r="L50" s="78">
        <f>SUMIFS(_CALC_ALLOC!$AN$1:$AN$349,_CALC_ALLOC!$AS$1:$AS$349,"2027|"&amp;$P$1,_CALC_ALLOC!$B$1:$B$349,$U50)</f>
        <v/>
      </c>
      <c r="M50" s="79">
        <f>IF(D50=0,0,L50/D50)</f>
        <v/>
      </c>
      <c r="T50" s="74" t="inlineStr">
        <is>
          <t>ISCOM_LIL</t>
        </is>
      </c>
      <c r="U50" s="74" t="inlineStr">
        <is>
          <t>ISCOM_LIL</t>
        </is>
      </c>
      <c r="V50" s="74" t="inlineStr">
        <is>
          <t>ISCOM</t>
        </is>
      </c>
      <c r="W50" s="74" t="inlineStr"/>
      <c r="X50" s="74" t="inlineStr"/>
      <c r="Y50" s="74" t="inlineStr"/>
      <c r="Z50" s="74" t="n">
        <v>2</v>
      </c>
      <c r="BF50" s="0" t="inlineStr">
        <is>
          <t>2027BUD_V1</t>
        </is>
      </c>
      <c r="BG50" s="0" t="inlineStr">
        <is>
          <t>ACT</t>
        </is>
      </c>
      <c r="BH50" s="0" t="inlineStr">
        <is>
          <t>12</t>
        </is>
      </c>
      <c r="BI50" s="0" t="inlineStr">
        <is>
          <t>2024</t>
        </is>
      </c>
      <c r="BJ50" s="0" t="inlineStr">
        <is>
          <t>PIGIER_BOR</t>
        </is>
      </c>
      <c r="BK50" s="0" t="inlineStr">
        <is>
          <t>PIGIER</t>
        </is>
      </c>
      <c r="BL50" s="0" t="inlineStr">
        <is>
          <t>BAC_RH</t>
        </is>
      </c>
      <c r="BM50" s="0" t="inlineStr">
        <is>
          <t>B3</t>
        </is>
      </c>
      <c r="BN50" s="0" t="inlineStr">
        <is>
          <t>ALT</t>
        </is>
      </c>
      <c r="BO50" s="0" t="n">
        <v>30</v>
      </c>
      <c r="BP50" s="0" t="n">
        <v>2</v>
      </c>
      <c r="BQ50" s="0" t="n">
        <v>203700</v>
      </c>
      <c r="BR50" s="0" t="n">
        <v>14897.570016</v>
      </c>
      <c r="BS50" s="0" t="n">
        <v>28114.194394</v>
      </c>
      <c r="BT50" s="0" t="n">
        <v>9273.043540000001</v>
      </c>
      <c r="BU50" s="0" t="n">
        <v>63370.352</v>
      </c>
      <c r="BV50" s="0" t="n">
        <v>5105.897169</v>
      </c>
      <c r="BW50" s="0" t="n">
        <v>29695.450103</v>
      </c>
      <c r="BX50" s="0" t="n">
        <v>34801.347272</v>
      </c>
      <c r="BY50" s="0" t="n">
        <v>24170.613556</v>
      </c>
      <c r="BZ50" s="0" t="n">
        <v>126285.893666</v>
      </c>
      <c r="CA50" s="0" t="n">
        <v>150456.507222</v>
      </c>
      <c r="CB50" s="0" t="n">
        <v>53243.492778</v>
      </c>
      <c r="CC50" s="0" t="n">
        <v>0</v>
      </c>
      <c r="CD50" s="0" t="n">
        <v>88144</v>
      </c>
      <c r="CE50" s="0" t="n">
        <v>166342.4</v>
      </c>
      <c r="CF50" s="0" t="n">
        <v>48220</v>
      </c>
      <c r="CG50" s="0" t="n">
        <v>18155</v>
      </c>
      <c r="CH50" s="0" t="n">
        <v>316851.76</v>
      </c>
      <c r="CI50" s="0" t="n">
        <v>2639292</v>
      </c>
      <c r="CJ50" s="0" t="n">
        <v>499926</v>
      </c>
    </row>
    <row r="51" outlineLevel="2" ht="14.4975" customHeight="1" s="64">
      <c r="B51" s="80" t="inlineStr">
        <is>
          <t>Bachelor Communication, 1re année, initial</t>
        </is>
      </c>
      <c r="C51" s="81">
        <f>SUMIFS(_CALC_ALLOC!$G$1:$G$349,_CALC_ALLOC!$AS$1:$AS$349,"2027|"&amp;$P$1,_CALC_ALLOC!$B$1:$B$349,$U51,_CALC_ALLOC!$D$1:$D$349,$W51,_CALC_ALLOC!$E$1:$E$349,$X51,_CALC_ALLOC!$F$1:$F$349,$Y51)</f>
        <v/>
      </c>
      <c r="D51" s="82">
        <f>SUMIFS(_CALC_ALLOC!$I$1:$I$349,_CALC_ALLOC!$AS$1:$AS$349,"2027|"&amp;$P$1,_CALC_ALLOC!$B$1:$B$349,$U51,_CALC_ALLOC!$D$1:$D$349,$W51,_CALC_ALLOC!$E$1:$E$349,$X51,_CALC_ALLOC!$F$1:$F$349,$Y51)</f>
        <v/>
      </c>
      <c r="E51" s="82">
        <f>SUMIFS(_CALC_ALLOC!$AI$1:$AI$349,_CALC_ALLOC!$AS$1:$AS$349,"2027|"&amp;$P$1,_CALC_ALLOC!$B$1:$B$349,$U51,_CALC_ALLOC!$D$1:$D$349,$W51,_CALC_ALLOC!$E$1:$E$349,$X51,_CALC_ALLOC!$F$1:$F$349,$Y51)</f>
        <v/>
      </c>
      <c r="F51" s="82">
        <f>SUMIFS(_CALC_ALLOC!$AJ$1:$AJ$349,_CALC_ALLOC!$AS$1:$AS$349,"2027|"&amp;$P$1,_CALC_ALLOC!$B$1:$B$349,$U51,_CALC_ALLOC!$D$1:$D$349,$W51,_CALC_ALLOC!$E$1:$E$349,$X51,_CALC_ALLOC!$F$1:$F$349,$Y51)</f>
        <v/>
      </c>
      <c r="G51" s="82">
        <f>SUMIFS(_CALC_ALLOC!$AK$1:$AK$349,_CALC_ALLOC!$AS$1:$AS$349,"2027|"&amp;$P$1,_CALC_ALLOC!$B$1:$B$349,$U51,_CALC_ALLOC!$D$1:$D$349,$W51,_CALC_ALLOC!$E$1:$E$349,$X51,_CALC_ALLOC!$F$1:$F$349,$Y51)</f>
        <v/>
      </c>
      <c r="H51" s="82">
        <f>SUMIFS(_CALC_ALLOC!$AL$1:$AL$349,_CALC_ALLOC!$AS$1:$AS$349,"2027|"&amp;$P$1,_CALC_ALLOC!$B$1:$B$349,$U51,_CALC_ALLOC!$D$1:$D$349,$W51,_CALC_ALLOC!$E$1:$E$349,$X51,_CALC_ALLOC!$F$1:$F$349,$Y51)</f>
        <v/>
      </c>
      <c r="I51" s="82">
        <f>SUMIFS(_CALC_ALLOC!$AR$1:$AR$349,_CALC_ALLOC!$AS$1:$AS$349,"2027|"&amp;$P$1,_CALC_ALLOC!$B$1:$B$349,$U51,_CALC_ALLOC!$D$1:$D$349,$W51,_CALC_ALLOC!$E$1:$E$349,$X51,_CALC_ALLOC!$F$1:$F$349,$Y51)</f>
        <v/>
      </c>
      <c r="J51" s="82">
        <f>SUMIFS(_CALC_ALLOC!$AM$1:$AM$349,_CALC_ALLOC!$AS$1:$AS$349,"2027|"&amp;$P$1,_CALC_ALLOC!$B$1:$B$349,$U51,_CALC_ALLOC!$D$1:$D$349,$W51,_CALC_ALLOC!$E$1:$E$349,$X51,_CALC_ALLOC!$F$1:$F$349,$Y51)</f>
        <v/>
      </c>
      <c r="K51" s="83">
        <f>E51+F51+G51+H51+I51+J51</f>
        <v/>
      </c>
      <c r="L51" s="84">
        <f>SUMIFS(_CALC_ALLOC!$AN$1:$AN$349,_CALC_ALLOC!$AS$1:$AS$349,"2027|"&amp;$P$1,_CALC_ALLOC!$B$1:$B$349,$U51,_CALC_ALLOC!$D$1:$D$349,$W51,_CALC_ALLOC!$E$1:$E$349,$X51,_CALC_ALLOC!$F$1:$F$349,$Y51)</f>
        <v/>
      </c>
      <c r="M51" s="85">
        <f>IF(D51=0,0,L51/D51)</f>
        <v/>
      </c>
      <c r="T51" s="74" t="inlineStr">
        <is>
          <t>ISCOM_LIL|BAC_COM|B1|INIT</t>
        </is>
      </c>
      <c r="U51" s="74" t="inlineStr">
        <is>
          <t>ISCOM_LIL</t>
        </is>
      </c>
      <c r="V51" s="74" t="inlineStr">
        <is>
          <t>ISCOM</t>
        </is>
      </c>
      <c r="W51" s="74" t="inlineStr">
        <is>
          <t>BAC_COM</t>
        </is>
      </c>
      <c r="X51" s="74" t="inlineStr">
        <is>
          <t>B1</t>
        </is>
      </c>
      <c r="Y51" s="74" t="inlineStr">
        <is>
          <t>INIT</t>
        </is>
      </c>
      <c r="Z51" s="74" t="n">
        <v>3</v>
      </c>
      <c r="BF51" s="0" t="inlineStr">
        <is>
          <t>2027BUD_V1</t>
        </is>
      </c>
      <c r="BG51" s="0" t="inlineStr">
        <is>
          <t>ACT</t>
        </is>
      </c>
      <c r="BH51" s="0" t="inlineStr">
        <is>
          <t>12</t>
        </is>
      </c>
      <c r="BI51" s="0" t="inlineStr">
        <is>
          <t>2024</t>
        </is>
      </c>
      <c r="BJ51" s="0" t="inlineStr">
        <is>
          <t>PIGIER_LYO</t>
        </is>
      </c>
      <c r="BK51" s="0" t="inlineStr">
        <is>
          <t>PIGIER</t>
        </is>
      </c>
      <c r="BL51" s="0" t="inlineStr">
        <is>
          <t>BAC_RH</t>
        </is>
      </c>
      <c r="BM51" s="0" t="inlineStr">
        <is>
          <t>B3</t>
        </is>
      </c>
      <c r="BN51" s="0" t="inlineStr">
        <is>
          <t>ALT</t>
        </is>
      </c>
      <c r="BO51" s="0" t="n">
        <v>39</v>
      </c>
      <c r="BP51" s="0" t="n">
        <v>2</v>
      </c>
      <c r="BQ51" s="0" t="n">
        <v>286650</v>
      </c>
      <c r="BR51" s="0" t="n">
        <v>14897.570016</v>
      </c>
      <c r="BS51" s="0" t="n">
        <v>37284.457977</v>
      </c>
      <c r="BT51" s="0" t="n">
        <v>11991.768316</v>
      </c>
      <c r="BU51" s="0" t="n">
        <v>98210.43399999999</v>
      </c>
      <c r="BV51" s="0" t="n">
        <v>6578.761559</v>
      </c>
      <c r="BW51" s="0" t="n">
        <v>38261.500214</v>
      </c>
      <c r="BX51" s="0" t="n">
        <v>44840.261773</v>
      </c>
      <c r="BY51" s="0" t="n">
        <v>26889.338332</v>
      </c>
      <c r="BZ51" s="0" t="n">
        <v>180335.15375</v>
      </c>
      <c r="CA51" s="0" t="n">
        <v>207224.492082</v>
      </c>
      <c r="CB51" s="0" t="n">
        <v>79425.507918</v>
      </c>
      <c r="CC51" s="0" t="n">
        <v>0</v>
      </c>
      <c r="CD51" s="0" t="n">
        <v>88144</v>
      </c>
      <c r="CE51" s="0" t="n">
        <v>220599.82</v>
      </c>
      <c r="CF51" s="0" t="n">
        <v>61804</v>
      </c>
      <c r="CG51" s="0" t="n">
        <v>30258</v>
      </c>
      <c r="CH51" s="0" t="n">
        <v>491052.17</v>
      </c>
      <c r="CI51" s="0" t="n">
        <v>2639292</v>
      </c>
      <c r="CJ51" s="0" t="n">
        <v>499926</v>
      </c>
    </row>
    <row r="52" outlineLevel="2" ht="14.4975" customHeight="1" s="64">
      <c r="B52" s="80" t="inlineStr">
        <is>
          <t>Bachelor Communication, 2e année, alternance</t>
        </is>
      </c>
      <c r="C52" s="81">
        <f>SUMIFS(_CALC_ALLOC!$G$1:$G$349,_CALC_ALLOC!$AS$1:$AS$349,"2027|"&amp;$P$1,_CALC_ALLOC!$B$1:$B$349,$U52,_CALC_ALLOC!$D$1:$D$349,$W52,_CALC_ALLOC!$E$1:$E$349,$X52,_CALC_ALLOC!$F$1:$F$349,$Y52)</f>
        <v/>
      </c>
      <c r="D52" s="82">
        <f>SUMIFS(_CALC_ALLOC!$I$1:$I$349,_CALC_ALLOC!$AS$1:$AS$349,"2027|"&amp;$P$1,_CALC_ALLOC!$B$1:$B$349,$U52,_CALC_ALLOC!$D$1:$D$349,$W52,_CALC_ALLOC!$E$1:$E$349,$X52,_CALC_ALLOC!$F$1:$F$349,$Y52)</f>
        <v/>
      </c>
      <c r="E52" s="82">
        <f>SUMIFS(_CALC_ALLOC!$AI$1:$AI$349,_CALC_ALLOC!$AS$1:$AS$349,"2027|"&amp;$P$1,_CALC_ALLOC!$B$1:$B$349,$U52,_CALC_ALLOC!$D$1:$D$349,$W52,_CALC_ALLOC!$E$1:$E$349,$X52,_CALC_ALLOC!$F$1:$F$349,$Y52)</f>
        <v/>
      </c>
      <c r="F52" s="82">
        <f>SUMIFS(_CALC_ALLOC!$AJ$1:$AJ$349,_CALC_ALLOC!$AS$1:$AS$349,"2027|"&amp;$P$1,_CALC_ALLOC!$B$1:$B$349,$U52,_CALC_ALLOC!$D$1:$D$349,$W52,_CALC_ALLOC!$E$1:$E$349,$X52,_CALC_ALLOC!$F$1:$F$349,$Y52)</f>
        <v/>
      </c>
      <c r="G52" s="82">
        <f>SUMIFS(_CALC_ALLOC!$AK$1:$AK$349,_CALC_ALLOC!$AS$1:$AS$349,"2027|"&amp;$P$1,_CALC_ALLOC!$B$1:$B$349,$U52,_CALC_ALLOC!$D$1:$D$349,$W52,_CALC_ALLOC!$E$1:$E$349,$X52,_CALC_ALLOC!$F$1:$F$349,$Y52)</f>
        <v/>
      </c>
      <c r="H52" s="82">
        <f>SUMIFS(_CALC_ALLOC!$AL$1:$AL$349,_CALC_ALLOC!$AS$1:$AS$349,"2027|"&amp;$P$1,_CALC_ALLOC!$B$1:$B$349,$U52,_CALC_ALLOC!$D$1:$D$349,$W52,_CALC_ALLOC!$E$1:$E$349,$X52,_CALC_ALLOC!$F$1:$F$349,$Y52)</f>
        <v/>
      </c>
      <c r="I52" s="82">
        <f>SUMIFS(_CALC_ALLOC!$AR$1:$AR$349,_CALC_ALLOC!$AS$1:$AS$349,"2027|"&amp;$P$1,_CALC_ALLOC!$B$1:$B$349,$U52,_CALC_ALLOC!$D$1:$D$349,$W52,_CALC_ALLOC!$E$1:$E$349,$X52,_CALC_ALLOC!$F$1:$F$349,$Y52)</f>
        <v/>
      </c>
      <c r="J52" s="82">
        <f>SUMIFS(_CALC_ALLOC!$AM$1:$AM$349,_CALC_ALLOC!$AS$1:$AS$349,"2027|"&amp;$P$1,_CALC_ALLOC!$B$1:$B$349,$U52,_CALC_ALLOC!$D$1:$D$349,$W52,_CALC_ALLOC!$E$1:$E$349,$X52,_CALC_ALLOC!$F$1:$F$349,$Y52)</f>
        <v/>
      </c>
      <c r="K52" s="83">
        <f>E52+F52+G52+H52+I52+J52</f>
        <v/>
      </c>
      <c r="L52" s="84">
        <f>SUMIFS(_CALC_ALLOC!$AN$1:$AN$349,_CALC_ALLOC!$AS$1:$AS$349,"2027|"&amp;$P$1,_CALC_ALLOC!$B$1:$B$349,$U52,_CALC_ALLOC!$D$1:$D$349,$W52,_CALC_ALLOC!$E$1:$E$349,$X52,_CALC_ALLOC!$F$1:$F$349,$Y52)</f>
        <v/>
      </c>
      <c r="M52" s="85">
        <f>IF(D52=0,0,L52/D52)</f>
        <v/>
      </c>
      <c r="T52" s="74" t="inlineStr">
        <is>
          <t>ISCOM_LIL|BAC_COM|B2|ALT</t>
        </is>
      </c>
      <c r="U52" s="74" t="inlineStr">
        <is>
          <t>ISCOM_LIL</t>
        </is>
      </c>
      <c r="V52" s="74" t="inlineStr">
        <is>
          <t>ISCOM</t>
        </is>
      </c>
      <c r="W52" s="74" t="inlineStr">
        <is>
          <t>BAC_COM</t>
        </is>
      </c>
      <c r="X52" s="74" t="inlineStr">
        <is>
          <t>B2</t>
        </is>
      </c>
      <c r="Y52" s="74" t="inlineStr">
        <is>
          <t>ALT</t>
        </is>
      </c>
      <c r="Z52" s="74" t="n">
        <v>3</v>
      </c>
      <c r="BF52" s="0" t="inlineStr">
        <is>
          <t>2027BUD_V1</t>
        </is>
      </c>
      <c r="BG52" s="0" t="inlineStr">
        <is>
          <t>ACT</t>
        </is>
      </c>
      <c r="BH52" s="0" t="inlineStr">
        <is>
          <t>12</t>
        </is>
      </c>
      <c r="BI52" s="0" t="inlineStr">
        <is>
          <t>2024</t>
        </is>
      </c>
      <c r="BJ52" s="0" t="inlineStr">
        <is>
          <t>PIGIER_LYO</t>
        </is>
      </c>
      <c r="BK52" s="0" t="inlineStr">
        <is>
          <t>PIGIER</t>
        </is>
      </c>
      <c r="BL52" s="0" t="inlineStr">
        <is>
          <t>BTS_GES</t>
        </is>
      </c>
      <c r="BM52" s="0" t="inlineStr">
        <is>
          <t>BTS1</t>
        </is>
      </c>
      <c r="BN52" s="0" t="inlineStr">
        <is>
          <t>ALT</t>
        </is>
      </c>
      <c r="BO52" s="0" t="n">
        <v>41</v>
      </c>
      <c r="BP52" s="0" t="n">
        <v>2</v>
      </c>
      <c r="BQ52" s="0" t="n">
        <v>261990</v>
      </c>
      <c r="BR52" s="0" t="n">
        <v>21725.556832</v>
      </c>
      <c r="BS52" s="0" t="n">
        <v>54373.002434</v>
      </c>
      <c r="BT52" s="0" t="n">
        <v>27735.77992</v>
      </c>
      <c r="BU52" s="0" t="n">
        <v>98210.43399999999</v>
      </c>
      <c r="BV52" s="0" t="n">
        <v>6578.761559</v>
      </c>
      <c r="BW52" s="0" t="n">
        <v>38261.500214</v>
      </c>
      <c r="BX52" s="0" t="n">
        <v>44840.261773</v>
      </c>
      <c r="BY52" s="0" t="n">
        <v>49461.336752</v>
      </c>
      <c r="BZ52" s="0" t="n">
        <v>197423.698207</v>
      </c>
      <c r="CA52" s="0" t="n">
        <v>246885.034959</v>
      </c>
      <c r="CB52" s="0" t="n">
        <v>15104.965041</v>
      </c>
      <c r="CC52" s="0" t="n">
        <v>41</v>
      </c>
      <c r="CD52" s="0" t="n">
        <v>88144</v>
      </c>
      <c r="CE52" s="0" t="n">
        <v>220599.82</v>
      </c>
      <c r="CF52" s="0" t="n">
        <v>61804</v>
      </c>
      <c r="CG52" s="0" t="n">
        <v>30258</v>
      </c>
      <c r="CH52" s="0" t="n">
        <v>491052.17</v>
      </c>
      <c r="CI52" s="0" t="n">
        <v>2639292</v>
      </c>
      <c r="CJ52" s="0" t="n">
        <v>499926</v>
      </c>
    </row>
    <row r="53" outlineLevel="2" ht="14.4975" customHeight="1" s="64">
      <c r="B53" s="80" t="inlineStr">
        <is>
          <t>Bachelor Communication, 3e année, alternance</t>
        </is>
      </c>
      <c r="C53" s="81">
        <f>SUMIFS(_CALC_ALLOC!$G$1:$G$349,_CALC_ALLOC!$AS$1:$AS$349,"2027|"&amp;$P$1,_CALC_ALLOC!$B$1:$B$349,$U53,_CALC_ALLOC!$D$1:$D$349,$W53,_CALC_ALLOC!$E$1:$E$349,$X53,_CALC_ALLOC!$F$1:$F$349,$Y53)</f>
        <v/>
      </c>
      <c r="D53" s="82">
        <f>SUMIFS(_CALC_ALLOC!$I$1:$I$349,_CALC_ALLOC!$AS$1:$AS$349,"2027|"&amp;$P$1,_CALC_ALLOC!$B$1:$B$349,$U53,_CALC_ALLOC!$D$1:$D$349,$W53,_CALC_ALLOC!$E$1:$E$349,$X53,_CALC_ALLOC!$F$1:$F$349,$Y53)</f>
        <v/>
      </c>
      <c r="E53" s="82">
        <f>SUMIFS(_CALC_ALLOC!$AI$1:$AI$349,_CALC_ALLOC!$AS$1:$AS$349,"2027|"&amp;$P$1,_CALC_ALLOC!$B$1:$B$349,$U53,_CALC_ALLOC!$D$1:$D$349,$W53,_CALC_ALLOC!$E$1:$E$349,$X53,_CALC_ALLOC!$F$1:$F$349,$Y53)</f>
        <v/>
      </c>
      <c r="F53" s="82">
        <f>SUMIFS(_CALC_ALLOC!$AJ$1:$AJ$349,_CALC_ALLOC!$AS$1:$AS$349,"2027|"&amp;$P$1,_CALC_ALLOC!$B$1:$B$349,$U53,_CALC_ALLOC!$D$1:$D$349,$W53,_CALC_ALLOC!$E$1:$E$349,$X53,_CALC_ALLOC!$F$1:$F$349,$Y53)</f>
        <v/>
      </c>
      <c r="G53" s="82">
        <f>SUMIFS(_CALC_ALLOC!$AK$1:$AK$349,_CALC_ALLOC!$AS$1:$AS$349,"2027|"&amp;$P$1,_CALC_ALLOC!$B$1:$B$349,$U53,_CALC_ALLOC!$D$1:$D$349,$W53,_CALC_ALLOC!$E$1:$E$349,$X53,_CALC_ALLOC!$F$1:$F$349,$Y53)</f>
        <v/>
      </c>
      <c r="H53" s="82">
        <f>SUMIFS(_CALC_ALLOC!$AL$1:$AL$349,_CALC_ALLOC!$AS$1:$AS$349,"2027|"&amp;$P$1,_CALC_ALLOC!$B$1:$B$349,$U53,_CALC_ALLOC!$D$1:$D$349,$W53,_CALC_ALLOC!$E$1:$E$349,$X53,_CALC_ALLOC!$F$1:$F$349,$Y53)</f>
        <v/>
      </c>
      <c r="I53" s="82">
        <f>SUMIFS(_CALC_ALLOC!$AR$1:$AR$349,_CALC_ALLOC!$AS$1:$AS$349,"2027|"&amp;$P$1,_CALC_ALLOC!$B$1:$B$349,$U53,_CALC_ALLOC!$D$1:$D$349,$W53,_CALC_ALLOC!$E$1:$E$349,$X53,_CALC_ALLOC!$F$1:$F$349,$Y53)</f>
        <v/>
      </c>
      <c r="J53" s="82">
        <f>SUMIFS(_CALC_ALLOC!$AM$1:$AM$349,_CALC_ALLOC!$AS$1:$AS$349,"2027|"&amp;$P$1,_CALC_ALLOC!$B$1:$B$349,$U53,_CALC_ALLOC!$D$1:$D$349,$W53,_CALC_ALLOC!$E$1:$E$349,$X53,_CALC_ALLOC!$F$1:$F$349,$Y53)</f>
        <v/>
      </c>
      <c r="K53" s="83">
        <f>E53+F53+G53+H53+I53+J53</f>
        <v/>
      </c>
      <c r="L53" s="84">
        <f>SUMIFS(_CALC_ALLOC!$AN$1:$AN$349,_CALC_ALLOC!$AS$1:$AS$349,"2027|"&amp;$P$1,_CALC_ALLOC!$B$1:$B$349,$U53,_CALC_ALLOC!$D$1:$D$349,$W53,_CALC_ALLOC!$E$1:$E$349,$X53,_CALC_ALLOC!$F$1:$F$349,$Y53)</f>
        <v/>
      </c>
      <c r="M53" s="85">
        <f>IF(D53=0,0,L53/D53)</f>
        <v/>
      </c>
      <c r="T53" s="74" t="inlineStr">
        <is>
          <t>ISCOM_LIL|BAC_COM|B3|ALT</t>
        </is>
      </c>
      <c r="U53" s="74" t="inlineStr">
        <is>
          <t>ISCOM_LIL</t>
        </is>
      </c>
      <c r="V53" s="74" t="inlineStr">
        <is>
          <t>ISCOM</t>
        </is>
      </c>
      <c r="W53" s="74" t="inlineStr">
        <is>
          <t>BAC_COM</t>
        </is>
      </c>
      <c r="X53" s="74" t="inlineStr">
        <is>
          <t>B3</t>
        </is>
      </c>
      <c r="Y53" s="74" t="inlineStr">
        <is>
          <t>ALT</t>
        </is>
      </c>
      <c r="Z53" s="74" t="n">
        <v>3</v>
      </c>
      <c r="BF53" s="0" t="inlineStr">
        <is>
          <t>2027BUD_V1</t>
        </is>
      </c>
      <c r="BG53" s="0" t="inlineStr">
        <is>
          <t>ACT</t>
        </is>
      </c>
      <c r="BH53" s="0" t="inlineStr">
        <is>
          <t>12</t>
        </is>
      </c>
      <c r="BI53" s="0" t="inlineStr">
        <is>
          <t>2024</t>
        </is>
      </c>
      <c r="BJ53" s="0" t="inlineStr">
        <is>
          <t>PIGIER_LYO</t>
        </is>
      </c>
      <c r="BK53" s="0" t="inlineStr">
        <is>
          <t>PIGIER</t>
        </is>
      </c>
      <c r="BL53" s="0" t="inlineStr">
        <is>
          <t>BTS_GES</t>
        </is>
      </c>
      <c r="BM53" s="0" t="inlineStr">
        <is>
          <t>BTS2</t>
        </is>
      </c>
      <c r="BN53" s="0" t="inlineStr">
        <is>
          <t>ALT</t>
        </is>
      </c>
      <c r="BO53" s="0" t="n">
        <v>40</v>
      </c>
      <c r="BP53" s="0" t="n">
        <v>2</v>
      </c>
      <c r="BQ53" s="0" t="n">
        <v>252000</v>
      </c>
      <c r="BR53" s="0" t="n">
        <v>21725.556832</v>
      </c>
      <c r="BS53" s="0" t="n">
        <v>54373.002434</v>
      </c>
      <c r="BT53" s="0" t="n">
        <v>12299.243216</v>
      </c>
      <c r="BU53" s="0" t="n">
        <v>98210.43399999999</v>
      </c>
      <c r="BV53" s="0" t="n">
        <v>6578.761559</v>
      </c>
      <c r="BW53" s="0" t="n">
        <v>38261.500214</v>
      </c>
      <c r="BX53" s="0" t="n">
        <v>44840.261773</v>
      </c>
      <c r="BY53" s="0" t="n">
        <v>34024.800048</v>
      </c>
      <c r="BZ53" s="0" t="n">
        <v>197423.698207</v>
      </c>
      <c r="CA53" s="0" t="n">
        <v>231448.498255</v>
      </c>
      <c r="CB53" s="0" t="n">
        <v>20551.501745</v>
      </c>
      <c r="CC53" s="0" t="n">
        <v>0</v>
      </c>
      <c r="CD53" s="0" t="n">
        <v>88144</v>
      </c>
      <c r="CE53" s="0" t="n">
        <v>220599.82</v>
      </c>
      <c r="CF53" s="0" t="n">
        <v>61804</v>
      </c>
      <c r="CG53" s="0" t="n">
        <v>30258</v>
      </c>
      <c r="CH53" s="0" t="n">
        <v>491052.17</v>
      </c>
      <c r="CI53" s="0" t="n">
        <v>2639292</v>
      </c>
      <c r="CJ53" s="0" t="n">
        <v>499926</v>
      </c>
    </row>
    <row r="54" outlineLevel="2" ht="14.4975" customHeight="1" s="64">
      <c r="B54" s="80" t="inlineStr">
        <is>
          <t>Mastère Communication, 1re année, alternance</t>
        </is>
      </c>
      <c r="C54" s="81">
        <f>SUMIFS(_CALC_ALLOC!$G$1:$G$349,_CALC_ALLOC!$AS$1:$AS$349,"2027|"&amp;$P$1,_CALC_ALLOC!$B$1:$B$349,$U54,_CALC_ALLOC!$D$1:$D$349,$W54,_CALC_ALLOC!$E$1:$E$349,$X54,_CALC_ALLOC!$F$1:$F$349,$Y54)</f>
        <v/>
      </c>
      <c r="D54" s="82">
        <f>SUMIFS(_CALC_ALLOC!$I$1:$I$349,_CALC_ALLOC!$AS$1:$AS$349,"2027|"&amp;$P$1,_CALC_ALLOC!$B$1:$B$349,$U54,_CALC_ALLOC!$D$1:$D$349,$W54,_CALC_ALLOC!$E$1:$E$349,$X54,_CALC_ALLOC!$F$1:$F$349,$Y54)</f>
        <v/>
      </c>
      <c r="E54" s="82">
        <f>SUMIFS(_CALC_ALLOC!$AI$1:$AI$349,_CALC_ALLOC!$AS$1:$AS$349,"2027|"&amp;$P$1,_CALC_ALLOC!$B$1:$B$349,$U54,_CALC_ALLOC!$D$1:$D$349,$W54,_CALC_ALLOC!$E$1:$E$349,$X54,_CALC_ALLOC!$F$1:$F$349,$Y54)</f>
        <v/>
      </c>
      <c r="F54" s="82">
        <f>SUMIFS(_CALC_ALLOC!$AJ$1:$AJ$349,_CALC_ALLOC!$AS$1:$AS$349,"2027|"&amp;$P$1,_CALC_ALLOC!$B$1:$B$349,$U54,_CALC_ALLOC!$D$1:$D$349,$W54,_CALC_ALLOC!$E$1:$E$349,$X54,_CALC_ALLOC!$F$1:$F$349,$Y54)</f>
        <v/>
      </c>
      <c r="G54" s="82">
        <f>SUMIFS(_CALC_ALLOC!$AK$1:$AK$349,_CALC_ALLOC!$AS$1:$AS$349,"2027|"&amp;$P$1,_CALC_ALLOC!$B$1:$B$349,$U54,_CALC_ALLOC!$D$1:$D$349,$W54,_CALC_ALLOC!$E$1:$E$349,$X54,_CALC_ALLOC!$F$1:$F$349,$Y54)</f>
        <v/>
      </c>
      <c r="H54" s="82">
        <f>SUMIFS(_CALC_ALLOC!$AL$1:$AL$349,_CALC_ALLOC!$AS$1:$AS$349,"2027|"&amp;$P$1,_CALC_ALLOC!$B$1:$B$349,$U54,_CALC_ALLOC!$D$1:$D$349,$W54,_CALC_ALLOC!$E$1:$E$349,$X54,_CALC_ALLOC!$F$1:$F$349,$Y54)</f>
        <v/>
      </c>
      <c r="I54" s="82">
        <f>SUMIFS(_CALC_ALLOC!$AR$1:$AR$349,_CALC_ALLOC!$AS$1:$AS$349,"2027|"&amp;$P$1,_CALC_ALLOC!$B$1:$B$349,$U54,_CALC_ALLOC!$D$1:$D$349,$W54,_CALC_ALLOC!$E$1:$E$349,$X54,_CALC_ALLOC!$F$1:$F$349,$Y54)</f>
        <v/>
      </c>
      <c r="J54" s="82">
        <f>SUMIFS(_CALC_ALLOC!$AM$1:$AM$349,_CALC_ALLOC!$AS$1:$AS$349,"2027|"&amp;$P$1,_CALC_ALLOC!$B$1:$B$349,$U54,_CALC_ALLOC!$D$1:$D$349,$W54,_CALC_ALLOC!$E$1:$E$349,$X54,_CALC_ALLOC!$F$1:$F$349,$Y54)</f>
        <v/>
      </c>
      <c r="K54" s="83">
        <f>E54+F54+G54+H54+I54+J54</f>
        <v/>
      </c>
      <c r="L54" s="84">
        <f>SUMIFS(_CALC_ALLOC!$AN$1:$AN$349,_CALC_ALLOC!$AS$1:$AS$349,"2027|"&amp;$P$1,_CALC_ALLOC!$B$1:$B$349,$U54,_CALC_ALLOC!$D$1:$D$349,$W54,_CALC_ALLOC!$E$1:$E$349,$X54,_CALC_ALLOC!$F$1:$F$349,$Y54)</f>
        <v/>
      </c>
      <c r="M54" s="85">
        <f>IF(D54=0,0,L54/D54)</f>
        <v/>
      </c>
      <c r="T54" s="74" t="inlineStr">
        <is>
          <t>ISCOM_LIL|MAS_COM|M1|ALT</t>
        </is>
      </c>
      <c r="U54" s="74" t="inlineStr">
        <is>
          <t>ISCOM_LIL</t>
        </is>
      </c>
      <c r="V54" s="74" t="inlineStr">
        <is>
          <t>ISCOM</t>
        </is>
      </c>
      <c r="W54" s="74" t="inlineStr">
        <is>
          <t>MAS_COM</t>
        </is>
      </c>
      <c r="X54" s="74" t="inlineStr">
        <is>
          <t>M1</t>
        </is>
      </c>
      <c r="Y54" s="74" t="inlineStr">
        <is>
          <t>ALT</t>
        </is>
      </c>
      <c r="Z54" s="74" t="n">
        <v>3</v>
      </c>
      <c r="BF54" s="0" t="inlineStr">
        <is>
          <t>2027BUD_V1</t>
        </is>
      </c>
      <c r="BG54" s="0" t="inlineStr">
        <is>
          <t>ACT</t>
        </is>
      </c>
      <c r="BH54" s="0" t="inlineStr">
        <is>
          <t>12</t>
        </is>
      </c>
      <c r="BI54" s="0" t="inlineStr">
        <is>
          <t>2024</t>
        </is>
      </c>
      <c r="BJ54" s="0" t="inlineStr">
        <is>
          <t>PIGIER_LYO</t>
        </is>
      </c>
      <c r="BK54" s="0" t="inlineStr">
        <is>
          <t>PIGIER</t>
        </is>
      </c>
      <c r="BL54" s="0" t="inlineStr">
        <is>
          <t>BAC_RH</t>
        </is>
      </c>
      <c r="BM54" s="0" t="inlineStr">
        <is>
          <t>B1</t>
        </is>
      </c>
      <c r="BN54" s="0" t="inlineStr">
        <is>
          <t>ALT</t>
        </is>
      </c>
      <c r="BO54" s="0" t="n">
        <v>41</v>
      </c>
      <c r="BP54" s="0" t="n">
        <v>2</v>
      </c>
      <c r="BQ54" s="0" t="n">
        <v>305040</v>
      </c>
      <c r="BR54" s="0" t="n">
        <v>14897.570016</v>
      </c>
      <c r="BS54" s="0" t="n">
        <v>37284.457977</v>
      </c>
      <c r="BT54" s="0" t="n">
        <v>27735.77992</v>
      </c>
      <c r="BU54" s="0" t="n">
        <v>98210.43399999999</v>
      </c>
      <c r="BV54" s="0" t="n">
        <v>6578.761559</v>
      </c>
      <c r="BW54" s="0" t="n">
        <v>38261.500214</v>
      </c>
      <c r="BX54" s="0" t="n">
        <v>44840.261773</v>
      </c>
      <c r="BY54" s="0" t="n">
        <v>42633.349936</v>
      </c>
      <c r="BZ54" s="0" t="n">
        <v>180335.15375</v>
      </c>
      <c r="CA54" s="0" t="n">
        <v>222968.503686</v>
      </c>
      <c r="CB54" s="0" t="n">
        <v>82071.496314</v>
      </c>
      <c r="CC54" s="0" t="n">
        <v>41</v>
      </c>
      <c r="CD54" s="0" t="n">
        <v>88144</v>
      </c>
      <c r="CE54" s="0" t="n">
        <v>220599.82</v>
      </c>
      <c r="CF54" s="0" t="n">
        <v>61804</v>
      </c>
      <c r="CG54" s="0" t="n">
        <v>30258</v>
      </c>
      <c r="CH54" s="0" t="n">
        <v>491052.17</v>
      </c>
      <c r="CI54" s="0" t="n">
        <v>2639292</v>
      </c>
      <c r="CJ54" s="0" t="n">
        <v>499926</v>
      </c>
    </row>
    <row r="55" outlineLevel="2" ht="14.4975" customHeight="1" s="64">
      <c r="B55" s="80" t="inlineStr">
        <is>
          <t>Mastère Communication, 2e année, alternance</t>
        </is>
      </c>
      <c r="C55" s="81">
        <f>SUMIFS(_CALC_ALLOC!$G$1:$G$349,_CALC_ALLOC!$AS$1:$AS$349,"2027|"&amp;$P$1,_CALC_ALLOC!$B$1:$B$349,$U55,_CALC_ALLOC!$D$1:$D$349,$W55,_CALC_ALLOC!$E$1:$E$349,$X55,_CALC_ALLOC!$F$1:$F$349,$Y55)</f>
        <v/>
      </c>
      <c r="D55" s="82">
        <f>SUMIFS(_CALC_ALLOC!$I$1:$I$349,_CALC_ALLOC!$AS$1:$AS$349,"2027|"&amp;$P$1,_CALC_ALLOC!$B$1:$B$349,$U55,_CALC_ALLOC!$D$1:$D$349,$W55,_CALC_ALLOC!$E$1:$E$349,$X55,_CALC_ALLOC!$F$1:$F$349,$Y55)</f>
        <v/>
      </c>
      <c r="E55" s="82">
        <f>SUMIFS(_CALC_ALLOC!$AI$1:$AI$349,_CALC_ALLOC!$AS$1:$AS$349,"2027|"&amp;$P$1,_CALC_ALLOC!$B$1:$B$349,$U55,_CALC_ALLOC!$D$1:$D$349,$W55,_CALC_ALLOC!$E$1:$E$349,$X55,_CALC_ALLOC!$F$1:$F$349,$Y55)</f>
        <v/>
      </c>
      <c r="F55" s="82">
        <f>SUMIFS(_CALC_ALLOC!$AJ$1:$AJ$349,_CALC_ALLOC!$AS$1:$AS$349,"2027|"&amp;$P$1,_CALC_ALLOC!$B$1:$B$349,$U55,_CALC_ALLOC!$D$1:$D$349,$W55,_CALC_ALLOC!$E$1:$E$349,$X55,_CALC_ALLOC!$F$1:$F$349,$Y55)</f>
        <v/>
      </c>
      <c r="G55" s="82">
        <f>SUMIFS(_CALC_ALLOC!$AK$1:$AK$349,_CALC_ALLOC!$AS$1:$AS$349,"2027|"&amp;$P$1,_CALC_ALLOC!$B$1:$B$349,$U55,_CALC_ALLOC!$D$1:$D$349,$W55,_CALC_ALLOC!$E$1:$E$349,$X55,_CALC_ALLOC!$F$1:$F$349,$Y55)</f>
        <v/>
      </c>
      <c r="H55" s="82">
        <f>SUMIFS(_CALC_ALLOC!$AL$1:$AL$349,_CALC_ALLOC!$AS$1:$AS$349,"2027|"&amp;$P$1,_CALC_ALLOC!$B$1:$B$349,$U55,_CALC_ALLOC!$D$1:$D$349,$W55,_CALC_ALLOC!$E$1:$E$349,$X55,_CALC_ALLOC!$F$1:$F$349,$Y55)</f>
        <v/>
      </c>
      <c r="I55" s="82">
        <f>SUMIFS(_CALC_ALLOC!$AR$1:$AR$349,_CALC_ALLOC!$AS$1:$AS$349,"2027|"&amp;$P$1,_CALC_ALLOC!$B$1:$B$349,$U55,_CALC_ALLOC!$D$1:$D$349,$W55,_CALC_ALLOC!$E$1:$E$349,$X55,_CALC_ALLOC!$F$1:$F$349,$Y55)</f>
        <v/>
      </c>
      <c r="J55" s="82">
        <f>SUMIFS(_CALC_ALLOC!$AM$1:$AM$349,_CALC_ALLOC!$AS$1:$AS$349,"2027|"&amp;$P$1,_CALC_ALLOC!$B$1:$B$349,$U55,_CALC_ALLOC!$D$1:$D$349,$W55,_CALC_ALLOC!$E$1:$E$349,$X55,_CALC_ALLOC!$F$1:$F$349,$Y55)</f>
        <v/>
      </c>
      <c r="K55" s="83">
        <f>E55+F55+G55+H55+I55+J55</f>
        <v/>
      </c>
      <c r="L55" s="84">
        <f>SUMIFS(_CALC_ALLOC!$AN$1:$AN$349,_CALC_ALLOC!$AS$1:$AS$349,"2027|"&amp;$P$1,_CALC_ALLOC!$B$1:$B$349,$U55,_CALC_ALLOC!$D$1:$D$349,$W55,_CALC_ALLOC!$E$1:$E$349,$X55,_CALC_ALLOC!$F$1:$F$349,$Y55)</f>
        <v/>
      </c>
      <c r="M55" s="85">
        <f>IF(D55=0,0,L55/D55)</f>
        <v/>
      </c>
      <c r="T55" s="74" t="inlineStr">
        <is>
          <t>ISCOM_LIL|MAS_COM|M2|ALT</t>
        </is>
      </c>
      <c r="U55" s="74" t="inlineStr">
        <is>
          <t>ISCOM_LIL</t>
        </is>
      </c>
      <c r="V55" s="74" t="inlineStr">
        <is>
          <t>ISCOM</t>
        </is>
      </c>
      <c r="W55" s="74" t="inlineStr">
        <is>
          <t>MAS_COM</t>
        </is>
      </c>
      <c r="X55" s="74" t="inlineStr">
        <is>
          <t>M2</t>
        </is>
      </c>
      <c r="Y55" s="74" t="inlineStr">
        <is>
          <t>ALT</t>
        </is>
      </c>
      <c r="Z55" s="74" t="n">
        <v>3</v>
      </c>
      <c r="BF55" s="0" t="inlineStr">
        <is>
          <t>2027BUD_V1</t>
        </is>
      </c>
      <c r="BG55" s="0" t="inlineStr">
        <is>
          <t>ACT</t>
        </is>
      </c>
      <c r="BH55" s="0" t="inlineStr">
        <is>
          <t>12</t>
        </is>
      </c>
      <c r="BI55" s="0" t="inlineStr">
        <is>
          <t>2024</t>
        </is>
      </c>
      <c r="BJ55" s="0" t="inlineStr">
        <is>
          <t>PIGIER_LYO</t>
        </is>
      </c>
      <c r="BK55" s="0" t="inlineStr">
        <is>
          <t>PIGIER</t>
        </is>
      </c>
      <c r="BL55" s="0" t="inlineStr">
        <is>
          <t>BAC_RH</t>
        </is>
      </c>
      <c r="BM55" s="0" t="inlineStr">
        <is>
          <t>B2</t>
        </is>
      </c>
      <c r="BN55" s="0" t="inlineStr">
        <is>
          <t>ALT</t>
        </is>
      </c>
      <c r="BO55" s="0" t="n">
        <v>40</v>
      </c>
      <c r="BP55" s="0" t="n">
        <v>2</v>
      </c>
      <c r="BQ55" s="0" t="n">
        <v>294000</v>
      </c>
      <c r="BR55" s="0" t="n">
        <v>14897.570016</v>
      </c>
      <c r="BS55" s="0" t="n">
        <v>37284.457977</v>
      </c>
      <c r="BT55" s="0" t="n">
        <v>12299.243216</v>
      </c>
      <c r="BU55" s="0" t="n">
        <v>98210.43399999999</v>
      </c>
      <c r="BV55" s="0" t="n">
        <v>6578.761559</v>
      </c>
      <c r="BW55" s="0" t="n">
        <v>38261.500214</v>
      </c>
      <c r="BX55" s="0" t="n">
        <v>44840.261773</v>
      </c>
      <c r="BY55" s="0" t="n">
        <v>27196.813232</v>
      </c>
      <c r="BZ55" s="0" t="n">
        <v>180335.15375</v>
      </c>
      <c r="CA55" s="0" t="n">
        <v>207531.966982</v>
      </c>
      <c r="CB55" s="0" t="n">
        <v>86468.033018</v>
      </c>
      <c r="CC55" s="0" t="n">
        <v>0</v>
      </c>
      <c r="CD55" s="0" t="n">
        <v>88144</v>
      </c>
      <c r="CE55" s="0" t="n">
        <v>220599.82</v>
      </c>
      <c r="CF55" s="0" t="n">
        <v>61804</v>
      </c>
      <c r="CG55" s="0" t="n">
        <v>30258</v>
      </c>
      <c r="CH55" s="0" t="n">
        <v>491052.17</v>
      </c>
      <c r="CI55" s="0" t="n">
        <v>2639292</v>
      </c>
      <c r="CJ55" s="0" t="n">
        <v>499926</v>
      </c>
    </row>
    <row r="56" outlineLevel="1" ht="14.4975" customHeight="1" s="64">
      <c r="B56" s="75" t="inlineStr">
        <is>
          <t>Toulouse</t>
        </is>
      </c>
      <c r="C56" s="76">
        <f>SUMIFS(_CALC_ALLOC!$G$1:$G$349,_CALC_ALLOC!$AS$1:$AS$349,"2027|"&amp;$P$1,_CALC_ALLOC!$B$1:$B$349,$U56)</f>
        <v/>
      </c>
      <c r="D56" s="77">
        <f>SUMIFS(_CALC_ALLOC!$I$1:$I$349,_CALC_ALLOC!$AS$1:$AS$349,"2027|"&amp;$P$1,_CALC_ALLOC!$B$1:$B$349,$U56)</f>
        <v/>
      </c>
      <c r="E56" s="77">
        <f>SUMIFS(_CALC_ALLOC!$AI$1:$AI$349,_CALC_ALLOC!$AS$1:$AS$349,"2027|"&amp;$P$1,_CALC_ALLOC!$B$1:$B$349,$U56)</f>
        <v/>
      </c>
      <c r="F56" s="77">
        <f>SUMIFS(_CALC_ALLOC!$AJ$1:$AJ$349,_CALC_ALLOC!$AS$1:$AS$349,"2027|"&amp;$P$1,_CALC_ALLOC!$B$1:$B$349,$U56)</f>
        <v/>
      </c>
      <c r="G56" s="77">
        <f>SUMIFS(_CALC_ALLOC!$AK$1:$AK$349,_CALC_ALLOC!$AS$1:$AS$349,"2027|"&amp;$P$1,_CALC_ALLOC!$B$1:$B$349,$U56)</f>
        <v/>
      </c>
      <c r="H56" s="77">
        <f>SUMIFS(_CALC_ALLOC!$AL$1:$AL$349,_CALC_ALLOC!$AS$1:$AS$349,"2027|"&amp;$P$1,_CALC_ALLOC!$B$1:$B$349,$U56)</f>
        <v/>
      </c>
      <c r="I56" s="77">
        <f>SUMIFS(_CALC_ALLOC!$AR$1:$AR$349,_CALC_ALLOC!$AS$1:$AS$349,"2027|"&amp;$P$1,_CALC_ALLOC!$B$1:$B$349,$U56)</f>
        <v/>
      </c>
      <c r="J56" s="77">
        <f>SUMIFS(_CALC_ALLOC!$AM$1:$AM$349,_CALC_ALLOC!$AS$1:$AS$349,"2027|"&amp;$P$1,_CALC_ALLOC!$B$1:$B$349,$U56)</f>
        <v/>
      </c>
      <c r="K56" s="77">
        <f>E56+F56+G56+H56+I56+J56</f>
        <v/>
      </c>
      <c r="L56" s="78">
        <f>SUMIFS(_CALC_ALLOC!$AN$1:$AN$349,_CALC_ALLOC!$AS$1:$AS$349,"2027|"&amp;$P$1,_CALC_ALLOC!$B$1:$B$349,$U56)</f>
        <v/>
      </c>
      <c r="M56" s="79">
        <f>IF(D56=0,0,L56/D56)</f>
        <v/>
      </c>
      <c r="T56" s="74" t="inlineStr">
        <is>
          <t>ISCOM_TLS</t>
        </is>
      </c>
      <c r="U56" s="74" t="inlineStr">
        <is>
          <t>ISCOM_TLS</t>
        </is>
      </c>
      <c r="V56" s="74" t="inlineStr">
        <is>
          <t>ISCOM</t>
        </is>
      </c>
      <c r="W56" s="74" t="inlineStr"/>
      <c r="X56" s="74" t="inlineStr"/>
      <c r="Y56" s="74" t="inlineStr"/>
      <c r="Z56" s="74" t="n">
        <v>2</v>
      </c>
      <c r="BF56" s="0" t="inlineStr">
        <is>
          <t>2027BUD_V1</t>
        </is>
      </c>
      <c r="BG56" s="0" t="inlineStr">
        <is>
          <t>ACT</t>
        </is>
      </c>
      <c r="BH56" s="0" t="inlineStr">
        <is>
          <t>12</t>
        </is>
      </c>
      <c r="BI56" s="0" t="inlineStr">
        <is>
          <t>2024</t>
        </is>
      </c>
      <c r="BJ56" s="0" t="inlineStr">
        <is>
          <t>TUNON_LYO</t>
        </is>
      </c>
      <c r="BK56" s="0" t="inlineStr">
        <is>
          <t>TUNON</t>
        </is>
      </c>
      <c r="BL56" s="0" t="inlineStr">
        <is>
          <t>BAC_TOU</t>
        </is>
      </c>
      <c r="BM56" s="0" t="inlineStr">
        <is>
          <t>B1</t>
        </is>
      </c>
      <c r="BN56" s="0" t="inlineStr">
        <is>
          <t>ALT</t>
        </is>
      </c>
      <c r="BO56" s="0" t="n">
        <v>36</v>
      </c>
      <c r="BP56" s="0" t="n">
        <v>2</v>
      </c>
      <c r="BQ56" s="0" t="n">
        <v>267840</v>
      </c>
      <c r="BR56" s="0" t="n">
        <v>22035.977964</v>
      </c>
      <c r="BS56" s="0" t="n">
        <v>53952.792714</v>
      </c>
      <c r="BT56" s="0" t="n">
        <v>29200.051467</v>
      </c>
      <c r="BU56" s="0" t="n">
        <v>108834.584499</v>
      </c>
      <c r="BV56" s="0" t="n">
        <v>6503.960516</v>
      </c>
      <c r="BW56" s="0" t="n">
        <v>33312.149826</v>
      </c>
      <c r="BX56" s="0" t="n">
        <v>39816.110342</v>
      </c>
      <c r="BY56" s="0" t="n">
        <v>51236.029431</v>
      </c>
      <c r="BZ56" s="0" t="n">
        <v>202603.487555</v>
      </c>
      <c r="CA56" s="0" t="n">
        <v>253839.516986</v>
      </c>
      <c r="CB56" s="0" t="n">
        <v>14000.483014</v>
      </c>
      <c r="CC56" s="0" t="n">
        <v>36</v>
      </c>
      <c r="CD56" s="0" t="n">
        <v>66108</v>
      </c>
      <c r="CE56" s="0" t="n">
        <v>161858.54</v>
      </c>
      <c r="CF56" s="0" t="n">
        <v>39731</v>
      </c>
      <c r="CG56" s="0" t="n">
        <v>15578</v>
      </c>
      <c r="CH56" s="0" t="n">
        <v>326504.08</v>
      </c>
      <c r="CI56" s="0" t="n">
        <v>2639292</v>
      </c>
      <c r="CJ56" s="0" t="n">
        <v>499926</v>
      </c>
    </row>
    <row r="57" outlineLevel="2" ht="14.4975" customHeight="1" s="64">
      <c r="B57" s="80" t="inlineStr">
        <is>
          <t>Bachelor Communication, 1re année, initial</t>
        </is>
      </c>
      <c r="C57" s="81">
        <f>SUMIFS(_CALC_ALLOC!$G$1:$G$349,_CALC_ALLOC!$AS$1:$AS$349,"2027|"&amp;$P$1,_CALC_ALLOC!$B$1:$B$349,$U57,_CALC_ALLOC!$D$1:$D$349,$W57,_CALC_ALLOC!$E$1:$E$349,$X57,_CALC_ALLOC!$F$1:$F$349,$Y57)</f>
        <v/>
      </c>
      <c r="D57" s="82">
        <f>SUMIFS(_CALC_ALLOC!$I$1:$I$349,_CALC_ALLOC!$AS$1:$AS$349,"2027|"&amp;$P$1,_CALC_ALLOC!$B$1:$B$349,$U57,_CALC_ALLOC!$D$1:$D$349,$W57,_CALC_ALLOC!$E$1:$E$349,$X57,_CALC_ALLOC!$F$1:$F$349,$Y57)</f>
        <v/>
      </c>
      <c r="E57" s="82">
        <f>SUMIFS(_CALC_ALLOC!$AI$1:$AI$349,_CALC_ALLOC!$AS$1:$AS$349,"2027|"&amp;$P$1,_CALC_ALLOC!$B$1:$B$349,$U57,_CALC_ALLOC!$D$1:$D$349,$W57,_CALC_ALLOC!$E$1:$E$349,$X57,_CALC_ALLOC!$F$1:$F$349,$Y57)</f>
        <v/>
      </c>
      <c r="F57" s="82">
        <f>SUMIFS(_CALC_ALLOC!$AJ$1:$AJ$349,_CALC_ALLOC!$AS$1:$AS$349,"2027|"&amp;$P$1,_CALC_ALLOC!$B$1:$B$349,$U57,_CALC_ALLOC!$D$1:$D$349,$W57,_CALC_ALLOC!$E$1:$E$349,$X57,_CALC_ALLOC!$F$1:$F$349,$Y57)</f>
        <v/>
      </c>
      <c r="G57" s="82">
        <f>SUMIFS(_CALC_ALLOC!$AK$1:$AK$349,_CALC_ALLOC!$AS$1:$AS$349,"2027|"&amp;$P$1,_CALC_ALLOC!$B$1:$B$349,$U57,_CALC_ALLOC!$D$1:$D$349,$W57,_CALC_ALLOC!$E$1:$E$349,$X57,_CALC_ALLOC!$F$1:$F$349,$Y57)</f>
        <v/>
      </c>
      <c r="H57" s="82">
        <f>SUMIFS(_CALC_ALLOC!$AL$1:$AL$349,_CALC_ALLOC!$AS$1:$AS$349,"2027|"&amp;$P$1,_CALC_ALLOC!$B$1:$B$349,$U57,_CALC_ALLOC!$D$1:$D$349,$W57,_CALC_ALLOC!$E$1:$E$349,$X57,_CALC_ALLOC!$F$1:$F$349,$Y57)</f>
        <v/>
      </c>
      <c r="I57" s="82">
        <f>SUMIFS(_CALC_ALLOC!$AR$1:$AR$349,_CALC_ALLOC!$AS$1:$AS$349,"2027|"&amp;$P$1,_CALC_ALLOC!$B$1:$B$349,$U57,_CALC_ALLOC!$D$1:$D$349,$W57,_CALC_ALLOC!$E$1:$E$349,$X57,_CALC_ALLOC!$F$1:$F$349,$Y57)</f>
        <v/>
      </c>
      <c r="J57" s="82">
        <f>SUMIFS(_CALC_ALLOC!$AM$1:$AM$349,_CALC_ALLOC!$AS$1:$AS$349,"2027|"&amp;$P$1,_CALC_ALLOC!$B$1:$B$349,$U57,_CALC_ALLOC!$D$1:$D$349,$W57,_CALC_ALLOC!$E$1:$E$349,$X57,_CALC_ALLOC!$F$1:$F$349,$Y57)</f>
        <v/>
      </c>
      <c r="K57" s="83">
        <f>E57+F57+G57+H57+I57+J57</f>
        <v/>
      </c>
      <c r="L57" s="84">
        <f>SUMIFS(_CALC_ALLOC!$AN$1:$AN$349,_CALC_ALLOC!$AS$1:$AS$349,"2027|"&amp;$P$1,_CALC_ALLOC!$B$1:$B$349,$U57,_CALC_ALLOC!$D$1:$D$349,$W57,_CALC_ALLOC!$E$1:$E$349,$X57,_CALC_ALLOC!$F$1:$F$349,$Y57)</f>
        <v/>
      </c>
      <c r="M57" s="85">
        <f>IF(D57=0,0,L57/D57)</f>
        <v/>
      </c>
      <c r="T57" s="74" t="inlineStr">
        <is>
          <t>ISCOM_TLS|BAC_COM|B1|INIT</t>
        </is>
      </c>
      <c r="U57" s="74" t="inlineStr">
        <is>
          <t>ISCOM_TLS</t>
        </is>
      </c>
      <c r="V57" s="74" t="inlineStr">
        <is>
          <t>ISCOM</t>
        </is>
      </c>
      <c r="W57" s="74" t="inlineStr">
        <is>
          <t>BAC_COM</t>
        </is>
      </c>
      <c r="X57" s="74" t="inlineStr">
        <is>
          <t>B1</t>
        </is>
      </c>
      <c r="Y57" s="74" t="inlineStr">
        <is>
          <t>INIT</t>
        </is>
      </c>
      <c r="Z57" s="74" t="n">
        <v>3</v>
      </c>
      <c r="BF57" s="0" t="inlineStr">
        <is>
          <t>2027BUD_V1</t>
        </is>
      </c>
      <c r="BG57" s="0" t="inlineStr">
        <is>
          <t>ACT</t>
        </is>
      </c>
      <c r="BH57" s="0" t="inlineStr">
        <is>
          <t>12</t>
        </is>
      </c>
      <c r="BI57" s="0" t="inlineStr">
        <is>
          <t>2024</t>
        </is>
      </c>
      <c r="BJ57" s="0" t="inlineStr">
        <is>
          <t>TUNON_LYO</t>
        </is>
      </c>
      <c r="BK57" s="0" t="inlineStr">
        <is>
          <t>TUNON</t>
        </is>
      </c>
      <c r="BL57" s="0" t="inlineStr">
        <is>
          <t>BAC_TOU</t>
        </is>
      </c>
      <c r="BM57" s="0" t="inlineStr">
        <is>
          <t>B2</t>
        </is>
      </c>
      <c r="BN57" s="0" t="inlineStr">
        <is>
          <t>ALT</t>
        </is>
      </c>
      <c r="BO57" s="0" t="n">
        <v>35</v>
      </c>
      <c r="BP57" s="0" t="n">
        <v>2</v>
      </c>
      <c r="BQ57" s="0" t="n">
        <v>257250</v>
      </c>
      <c r="BR57" s="0" t="n">
        <v>22035.977964</v>
      </c>
      <c r="BS57" s="0" t="n">
        <v>53952.792714</v>
      </c>
      <c r="BT57" s="0" t="n">
        <v>13243.653423</v>
      </c>
      <c r="BU57" s="0" t="n">
        <v>108834.584499</v>
      </c>
      <c r="BV57" s="0" t="n">
        <v>6503.960516</v>
      </c>
      <c r="BW57" s="0" t="n">
        <v>33312.149826</v>
      </c>
      <c r="BX57" s="0" t="n">
        <v>39816.110342</v>
      </c>
      <c r="BY57" s="0" t="n">
        <v>35279.631387</v>
      </c>
      <c r="BZ57" s="0" t="n">
        <v>202603.487555</v>
      </c>
      <c r="CA57" s="0" t="n">
        <v>237883.118942</v>
      </c>
      <c r="CB57" s="0" t="n">
        <v>19366.881058</v>
      </c>
      <c r="CC57" s="0" t="n">
        <v>0</v>
      </c>
      <c r="CD57" s="0" t="n">
        <v>66108</v>
      </c>
      <c r="CE57" s="0" t="n">
        <v>161858.54</v>
      </c>
      <c r="CF57" s="0" t="n">
        <v>39731</v>
      </c>
      <c r="CG57" s="0" t="n">
        <v>15578</v>
      </c>
      <c r="CH57" s="0" t="n">
        <v>326504.08</v>
      </c>
      <c r="CI57" s="0" t="n">
        <v>2639292</v>
      </c>
      <c r="CJ57" s="0" t="n">
        <v>499926</v>
      </c>
    </row>
    <row r="58" outlineLevel="2" ht="14.4975" customHeight="1" s="64">
      <c r="B58" s="80" t="inlineStr">
        <is>
          <t>Bachelor Communication, 2e année, alternance</t>
        </is>
      </c>
      <c r="C58" s="81">
        <f>SUMIFS(_CALC_ALLOC!$G$1:$G$349,_CALC_ALLOC!$AS$1:$AS$349,"2027|"&amp;$P$1,_CALC_ALLOC!$B$1:$B$349,$U58,_CALC_ALLOC!$D$1:$D$349,$W58,_CALC_ALLOC!$E$1:$E$349,$X58,_CALC_ALLOC!$F$1:$F$349,$Y58)</f>
        <v/>
      </c>
      <c r="D58" s="82">
        <f>SUMIFS(_CALC_ALLOC!$I$1:$I$349,_CALC_ALLOC!$AS$1:$AS$349,"2027|"&amp;$P$1,_CALC_ALLOC!$B$1:$B$349,$U58,_CALC_ALLOC!$D$1:$D$349,$W58,_CALC_ALLOC!$E$1:$E$349,$X58,_CALC_ALLOC!$F$1:$F$349,$Y58)</f>
        <v/>
      </c>
      <c r="E58" s="82">
        <f>SUMIFS(_CALC_ALLOC!$AI$1:$AI$349,_CALC_ALLOC!$AS$1:$AS$349,"2027|"&amp;$P$1,_CALC_ALLOC!$B$1:$B$349,$U58,_CALC_ALLOC!$D$1:$D$349,$W58,_CALC_ALLOC!$E$1:$E$349,$X58,_CALC_ALLOC!$F$1:$F$349,$Y58)</f>
        <v/>
      </c>
      <c r="F58" s="82">
        <f>SUMIFS(_CALC_ALLOC!$AJ$1:$AJ$349,_CALC_ALLOC!$AS$1:$AS$349,"2027|"&amp;$P$1,_CALC_ALLOC!$B$1:$B$349,$U58,_CALC_ALLOC!$D$1:$D$349,$W58,_CALC_ALLOC!$E$1:$E$349,$X58,_CALC_ALLOC!$F$1:$F$349,$Y58)</f>
        <v/>
      </c>
      <c r="G58" s="82">
        <f>SUMIFS(_CALC_ALLOC!$AK$1:$AK$349,_CALC_ALLOC!$AS$1:$AS$349,"2027|"&amp;$P$1,_CALC_ALLOC!$B$1:$B$349,$U58,_CALC_ALLOC!$D$1:$D$349,$W58,_CALC_ALLOC!$E$1:$E$349,$X58,_CALC_ALLOC!$F$1:$F$349,$Y58)</f>
        <v/>
      </c>
      <c r="H58" s="82">
        <f>SUMIFS(_CALC_ALLOC!$AL$1:$AL$349,_CALC_ALLOC!$AS$1:$AS$349,"2027|"&amp;$P$1,_CALC_ALLOC!$B$1:$B$349,$U58,_CALC_ALLOC!$D$1:$D$349,$W58,_CALC_ALLOC!$E$1:$E$349,$X58,_CALC_ALLOC!$F$1:$F$349,$Y58)</f>
        <v/>
      </c>
      <c r="I58" s="82">
        <f>SUMIFS(_CALC_ALLOC!$AR$1:$AR$349,_CALC_ALLOC!$AS$1:$AS$349,"2027|"&amp;$P$1,_CALC_ALLOC!$B$1:$B$349,$U58,_CALC_ALLOC!$D$1:$D$349,$W58,_CALC_ALLOC!$E$1:$E$349,$X58,_CALC_ALLOC!$F$1:$F$349,$Y58)</f>
        <v/>
      </c>
      <c r="J58" s="82">
        <f>SUMIFS(_CALC_ALLOC!$AM$1:$AM$349,_CALC_ALLOC!$AS$1:$AS$349,"2027|"&amp;$P$1,_CALC_ALLOC!$B$1:$B$349,$U58,_CALC_ALLOC!$D$1:$D$349,$W58,_CALC_ALLOC!$E$1:$E$349,$X58,_CALC_ALLOC!$F$1:$F$349,$Y58)</f>
        <v/>
      </c>
      <c r="K58" s="83">
        <f>E58+F58+G58+H58+I58+J58</f>
        <v/>
      </c>
      <c r="L58" s="84">
        <f>SUMIFS(_CALC_ALLOC!$AN$1:$AN$349,_CALC_ALLOC!$AS$1:$AS$349,"2027|"&amp;$P$1,_CALC_ALLOC!$B$1:$B$349,$U58,_CALC_ALLOC!$D$1:$D$349,$W58,_CALC_ALLOC!$E$1:$E$349,$X58,_CALC_ALLOC!$F$1:$F$349,$Y58)</f>
        <v/>
      </c>
      <c r="M58" s="85">
        <f>IF(D58=0,0,L58/D58)</f>
        <v/>
      </c>
      <c r="T58" s="74" t="inlineStr">
        <is>
          <t>ISCOM_TLS|BAC_COM|B2|ALT</t>
        </is>
      </c>
      <c r="U58" s="74" t="inlineStr">
        <is>
          <t>ISCOM_TLS</t>
        </is>
      </c>
      <c r="V58" s="74" t="inlineStr">
        <is>
          <t>ISCOM</t>
        </is>
      </c>
      <c r="W58" s="74" t="inlineStr">
        <is>
          <t>BAC_COM</t>
        </is>
      </c>
      <c r="X58" s="74" t="inlineStr">
        <is>
          <t>B2</t>
        </is>
      </c>
      <c r="Y58" s="74" t="inlineStr">
        <is>
          <t>ALT</t>
        </is>
      </c>
      <c r="Z58" s="74" t="n">
        <v>3</v>
      </c>
      <c r="BF58" s="0" t="inlineStr">
        <is>
          <t>2027BUD_V1</t>
        </is>
      </c>
      <c r="BG58" s="0" t="inlineStr">
        <is>
          <t>ACT</t>
        </is>
      </c>
      <c r="BH58" s="0" t="inlineStr">
        <is>
          <t>12</t>
        </is>
      </c>
      <c r="BI58" s="0" t="inlineStr">
        <is>
          <t>2024</t>
        </is>
      </c>
      <c r="BJ58" s="0" t="inlineStr">
        <is>
          <t>TUNON_LYO</t>
        </is>
      </c>
      <c r="BK58" s="0" t="inlineStr">
        <is>
          <t>TUNON</t>
        </is>
      </c>
      <c r="BL58" s="0" t="inlineStr">
        <is>
          <t>BAC_TOU</t>
        </is>
      </c>
      <c r="BM58" s="0" t="inlineStr">
        <is>
          <t>B3</t>
        </is>
      </c>
      <c r="BN58" s="0" t="inlineStr">
        <is>
          <t>ALT</t>
        </is>
      </c>
      <c r="BO58" s="0" t="n">
        <v>34</v>
      </c>
      <c r="BP58" s="0" t="n">
        <v>2</v>
      </c>
      <c r="BQ58" s="0" t="n">
        <v>249900</v>
      </c>
      <c r="BR58" s="0" t="n">
        <v>22035.977964</v>
      </c>
      <c r="BS58" s="0" t="n">
        <v>53952.792714</v>
      </c>
      <c r="BT58" s="0" t="n">
        <v>12865.255379</v>
      </c>
      <c r="BU58" s="0" t="n">
        <v>108834.584499</v>
      </c>
      <c r="BV58" s="0" t="n">
        <v>6503.960516</v>
      </c>
      <c r="BW58" s="0" t="n">
        <v>33312.149826</v>
      </c>
      <c r="BX58" s="0" t="n">
        <v>39816.110342</v>
      </c>
      <c r="BY58" s="0" t="n">
        <v>34901.233343</v>
      </c>
      <c r="BZ58" s="0" t="n">
        <v>202603.487555</v>
      </c>
      <c r="CA58" s="0" t="n">
        <v>237504.720898</v>
      </c>
      <c r="CB58" s="0" t="n">
        <v>12395.279102</v>
      </c>
      <c r="CC58" s="0" t="n">
        <v>0</v>
      </c>
      <c r="CD58" s="0" t="n">
        <v>66108</v>
      </c>
      <c r="CE58" s="0" t="n">
        <v>161858.54</v>
      </c>
      <c r="CF58" s="0" t="n">
        <v>39731</v>
      </c>
      <c r="CG58" s="0" t="n">
        <v>15578</v>
      </c>
      <c r="CH58" s="0" t="n">
        <v>326504.08</v>
      </c>
      <c r="CI58" s="0" t="n">
        <v>2639292</v>
      </c>
      <c r="CJ58" s="0" t="n">
        <v>499926</v>
      </c>
    </row>
    <row r="59" outlineLevel="2" ht="14.4975" customHeight="1" s="64">
      <c r="B59" s="80" t="inlineStr">
        <is>
          <t>Bachelor Communication, 3e année, alternance</t>
        </is>
      </c>
      <c r="C59" s="81">
        <f>SUMIFS(_CALC_ALLOC!$G$1:$G$349,_CALC_ALLOC!$AS$1:$AS$349,"2027|"&amp;$P$1,_CALC_ALLOC!$B$1:$B$349,$U59,_CALC_ALLOC!$D$1:$D$349,$W59,_CALC_ALLOC!$E$1:$E$349,$X59,_CALC_ALLOC!$F$1:$F$349,$Y59)</f>
        <v/>
      </c>
      <c r="D59" s="82">
        <f>SUMIFS(_CALC_ALLOC!$I$1:$I$349,_CALC_ALLOC!$AS$1:$AS$349,"2027|"&amp;$P$1,_CALC_ALLOC!$B$1:$B$349,$U59,_CALC_ALLOC!$D$1:$D$349,$W59,_CALC_ALLOC!$E$1:$E$349,$X59,_CALC_ALLOC!$F$1:$F$349,$Y59)</f>
        <v/>
      </c>
      <c r="E59" s="82">
        <f>SUMIFS(_CALC_ALLOC!$AI$1:$AI$349,_CALC_ALLOC!$AS$1:$AS$349,"2027|"&amp;$P$1,_CALC_ALLOC!$B$1:$B$349,$U59,_CALC_ALLOC!$D$1:$D$349,$W59,_CALC_ALLOC!$E$1:$E$349,$X59,_CALC_ALLOC!$F$1:$F$349,$Y59)</f>
        <v/>
      </c>
      <c r="F59" s="82">
        <f>SUMIFS(_CALC_ALLOC!$AJ$1:$AJ$349,_CALC_ALLOC!$AS$1:$AS$349,"2027|"&amp;$P$1,_CALC_ALLOC!$B$1:$B$349,$U59,_CALC_ALLOC!$D$1:$D$349,$W59,_CALC_ALLOC!$E$1:$E$349,$X59,_CALC_ALLOC!$F$1:$F$349,$Y59)</f>
        <v/>
      </c>
      <c r="G59" s="82">
        <f>SUMIFS(_CALC_ALLOC!$AK$1:$AK$349,_CALC_ALLOC!$AS$1:$AS$349,"2027|"&amp;$P$1,_CALC_ALLOC!$B$1:$B$349,$U59,_CALC_ALLOC!$D$1:$D$349,$W59,_CALC_ALLOC!$E$1:$E$349,$X59,_CALC_ALLOC!$F$1:$F$349,$Y59)</f>
        <v/>
      </c>
      <c r="H59" s="82">
        <f>SUMIFS(_CALC_ALLOC!$AL$1:$AL$349,_CALC_ALLOC!$AS$1:$AS$349,"2027|"&amp;$P$1,_CALC_ALLOC!$B$1:$B$349,$U59,_CALC_ALLOC!$D$1:$D$349,$W59,_CALC_ALLOC!$E$1:$E$349,$X59,_CALC_ALLOC!$F$1:$F$349,$Y59)</f>
        <v/>
      </c>
      <c r="I59" s="82">
        <f>SUMIFS(_CALC_ALLOC!$AR$1:$AR$349,_CALC_ALLOC!$AS$1:$AS$349,"2027|"&amp;$P$1,_CALC_ALLOC!$B$1:$B$349,$U59,_CALC_ALLOC!$D$1:$D$349,$W59,_CALC_ALLOC!$E$1:$E$349,$X59,_CALC_ALLOC!$F$1:$F$349,$Y59)</f>
        <v/>
      </c>
      <c r="J59" s="82">
        <f>SUMIFS(_CALC_ALLOC!$AM$1:$AM$349,_CALC_ALLOC!$AS$1:$AS$349,"2027|"&amp;$P$1,_CALC_ALLOC!$B$1:$B$349,$U59,_CALC_ALLOC!$D$1:$D$349,$W59,_CALC_ALLOC!$E$1:$E$349,$X59,_CALC_ALLOC!$F$1:$F$349,$Y59)</f>
        <v/>
      </c>
      <c r="K59" s="83">
        <f>E59+F59+G59+H59+I59+J59</f>
        <v/>
      </c>
      <c r="L59" s="84">
        <f>SUMIFS(_CALC_ALLOC!$AN$1:$AN$349,_CALC_ALLOC!$AS$1:$AS$349,"2027|"&amp;$P$1,_CALC_ALLOC!$B$1:$B$349,$U59,_CALC_ALLOC!$D$1:$D$349,$W59,_CALC_ALLOC!$E$1:$E$349,$X59,_CALC_ALLOC!$F$1:$F$349,$Y59)</f>
        <v/>
      </c>
      <c r="M59" s="85">
        <f>IF(D59=0,0,L59/D59)</f>
        <v/>
      </c>
      <c r="T59" s="74" t="inlineStr">
        <is>
          <t>ISCOM_TLS|BAC_COM|B3|ALT</t>
        </is>
      </c>
      <c r="U59" s="74" t="inlineStr">
        <is>
          <t>ISCOM_TLS</t>
        </is>
      </c>
      <c r="V59" s="74" t="inlineStr">
        <is>
          <t>ISCOM</t>
        </is>
      </c>
      <c r="W59" s="74" t="inlineStr">
        <is>
          <t>BAC_COM</t>
        </is>
      </c>
      <c r="X59" s="74" t="inlineStr">
        <is>
          <t>B3</t>
        </is>
      </c>
      <c r="Y59" s="74" t="inlineStr">
        <is>
          <t>ALT</t>
        </is>
      </c>
      <c r="Z59" s="74" t="n">
        <v>3</v>
      </c>
      <c r="BF59" s="0" t="inlineStr">
        <is>
          <t>2027BUD_V1</t>
        </is>
      </c>
      <c r="BG59" s="0" t="inlineStr">
        <is>
          <t>ACT</t>
        </is>
      </c>
      <c r="BH59" s="0" t="inlineStr">
        <is>
          <t>12</t>
        </is>
      </c>
      <c r="BI59" s="0" t="inlineStr">
        <is>
          <t>2024</t>
        </is>
      </c>
      <c r="BJ59" s="0" t="inlineStr">
        <is>
          <t>TUNON_PAR</t>
        </is>
      </c>
      <c r="BK59" s="0" t="inlineStr">
        <is>
          <t>TUNON</t>
        </is>
      </c>
      <c r="BL59" s="0" t="inlineStr">
        <is>
          <t>BAC_TOU</t>
        </is>
      </c>
      <c r="BM59" s="0" t="inlineStr">
        <is>
          <t>B1</t>
        </is>
      </c>
      <c r="BN59" s="0" t="inlineStr">
        <is>
          <t>ALT</t>
        </is>
      </c>
      <c r="BO59" s="0" t="n">
        <v>42</v>
      </c>
      <c r="BP59" s="0" t="n">
        <v>2</v>
      </c>
      <c r="BQ59" s="0" t="n">
        <v>333060</v>
      </c>
      <c r="BR59" s="0" t="n">
        <v>22035.977964</v>
      </c>
      <c r="BS59" s="0" t="n">
        <v>64380.832286</v>
      </c>
      <c r="BT59" s="0" t="n">
        <v>40993.639106</v>
      </c>
      <c r="BU59" s="0" t="n">
        <v>144344.215656</v>
      </c>
      <c r="BV59" s="0" t="n">
        <v>7618.920738</v>
      </c>
      <c r="BW59" s="0" t="n">
        <v>39022.781348</v>
      </c>
      <c r="BX59" s="0" t="n">
        <v>46641.702086</v>
      </c>
      <c r="BY59" s="0" t="n">
        <v>63029.61707</v>
      </c>
      <c r="BZ59" s="0" t="n">
        <v>255366.750028</v>
      </c>
      <c r="CA59" s="0" t="n">
        <v>318396.367098</v>
      </c>
      <c r="CB59" s="0" t="n">
        <v>14663.632902</v>
      </c>
      <c r="CC59" s="0" t="n">
        <v>42</v>
      </c>
      <c r="CD59" s="0" t="n">
        <v>66108</v>
      </c>
      <c r="CE59" s="0" t="n">
        <v>193142.69</v>
      </c>
      <c r="CF59" s="0" t="n">
        <v>46862</v>
      </c>
      <c r="CG59" s="0" t="n">
        <v>24992</v>
      </c>
      <c r="CH59" s="0" t="n">
        <v>433033.08</v>
      </c>
      <c r="CI59" s="0" t="n">
        <v>2639292</v>
      </c>
      <c r="CJ59" s="0" t="n">
        <v>499926</v>
      </c>
    </row>
    <row r="60" outlineLevel="2" ht="14.4975" customHeight="1" s="64">
      <c r="B60" s="80" t="inlineStr">
        <is>
          <t>Mastère Communication, 1re année, alternance</t>
        </is>
      </c>
      <c r="C60" s="81">
        <f>SUMIFS(_CALC_ALLOC!$G$1:$G$349,_CALC_ALLOC!$AS$1:$AS$349,"2027|"&amp;$P$1,_CALC_ALLOC!$B$1:$B$349,$U60,_CALC_ALLOC!$D$1:$D$349,$W60,_CALC_ALLOC!$E$1:$E$349,$X60,_CALC_ALLOC!$F$1:$F$349,$Y60)</f>
        <v/>
      </c>
      <c r="D60" s="82">
        <f>SUMIFS(_CALC_ALLOC!$I$1:$I$349,_CALC_ALLOC!$AS$1:$AS$349,"2027|"&amp;$P$1,_CALC_ALLOC!$B$1:$B$349,$U60,_CALC_ALLOC!$D$1:$D$349,$W60,_CALC_ALLOC!$E$1:$E$349,$X60,_CALC_ALLOC!$F$1:$F$349,$Y60)</f>
        <v/>
      </c>
      <c r="E60" s="82">
        <f>SUMIFS(_CALC_ALLOC!$AI$1:$AI$349,_CALC_ALLOC!$AS$1:$AS$349,"2027|"&amp;$P$1,_CALC_ALLOC!$B$1:$B$349,$U60,_CALC_ALLOC!$D$1:$D$349,$W60,_CALC_ALLOC!$E$1:$E$349,$X60,_CALC_ALLOC!$F$1:$F$349,$Y60)</f>
        <v/>
      </c>
      <c r="F60" s="82">
        <f>SUMIFS(_CALC_ALLOC!$AJ$1:$AJ$349,_CALC_ALLOC!$AS$1:$AS$349,"2027|"&amp;$P$1,_CALC_ALLOC!$B$1:$B$349,$U60,_CALC_ALLOC!$D$1:$D$349,$W60,_CALC_ALLOC!$E$1:$E$349,$X60,_CALC_ALLOC!$F$1:$F$349,$Y60)</f>
        <v/>
      </c>
      <c r="G60" s="82">
        <f>SUMIFS(_CALC_ALLOC!$AK$1:$AK$349,_CALC_ALLOC!$AS$1:$AS$349,"2027|"&amp;$P$1,_CALC_ALLOC!$B$1:$B$349,$U60,_CALC_ALLOC!$D$1:$D$349,$W60,_CALC_ALLOC!$E$1:$E$349,$X60,_CALC_ALLOC!$F$1:$F$349,$Y60)</f>
        <v/>
      </c>
      <c r="H60" s="82">
        <f>SUMIFS(_CALC_ALLOC!$AL$1:$AL$349,_CALC_ALLOC!$AS$1:$AS$349,"2027|"&amp;$P$1,_CALC_ALLOC!$B$1:$B$349,$U60,_CALC_ALLOC!$D$1:$D$349,$W60,_CALC_ALLOC!$E$1:$E$349,$X60,_CALC_ALLOC!$F$1:$F$349,$Y60)</f>
        <v/>
      </c>
      <c r="I60" s="82">
        <f>SUMIFS(_CALC_ALLOC!$AR$1:$AR$349,_CALC_ALLOC!$AS$1:$AS$349,"2027|"&amp;$P$1,_CALC_ALLOC!$B$1:$B$349,$U60,_CALC_ALLOC!$D$1:$D$349,$W60,_CALC_ALLOC!$E$1:$E$349,$X60,_CALC_ALLOC!$F$1:$F$349,$Y60)</f>
        <v/>
      </c>
      <c r="J60" s="82">
        <f>SUMIFS(_CALC_ALLOC!$AM$1:$AM$349,_CALC_ALLOC!$AS$1:$AS$349,"2027|"&amp;$P$1,_CALC_ALLOC!$B$1:$B$349,$U60,_CALC_ALLOC!$D$1:$D$349,$W60,_CALC_ALLOC!$E$1:$E$349,$X60,_CALC_ALLOC!$F$1:$F$349,$Y60)</f>
        <v/>
      </c>
      <c r="K60" s="83">
        <f>E60+F60+G60+H60+I60+J60</f>
        <v/>
      </c>
      <c r="L60" s="84">
        <f>SUMIFS(_CALC_ALLOC!$AN$1:$AN$349,_CALC_ALLOC!$AS$1:$AS$349,"2027|"&amp;$P$1,_CALC_ALLOC!$B$1:$B$349,$U60,_CALC_ALLOC!$D$1:$D$349,$W60,_CALC_ALLOC!$E$1:$E$349,$X60,_CALC_ALLOC!$F$1:$F$349,$Y60)</f>
        <v/>
      </c>
      <c r="M60" s="85">
        <f>IF(D60=0,0,L60/D60)</f>
        <v/>
      </c>
      <c r="T60" s="74" t="inlineStr">
        <is>
          <t>ISCOM_TLS|MAS_COM|M1|ALT</t>
        </is>
      </c>
      <c r="U60" s="74" t="inlineStr">
        <is>
          <t>ISCOM_TLS</t>
        </is>
      </c>
      <c r="V60" s="74" t="inlineStr">
        <is>
          <t>ISCOM</t>
        </is>
      </c>
      <c r="W60" s="74" t="inlineStr">
        <is>
          <t>MAS_COM</t>
        </is>
      </c>
      <c r="X60" s="74" t="inlineStr">
        <is>
          <t>M1</t>
        </is>
      </c>
      <c r="Y60" s="74" t="inlineStr">
        <is>
          <t>ALT</t>
        </is>
      </c>
      <c r="Z60" s="74" t="n">
        <v>3</v>
      </c>
      <c r="BF60" s="0" t="inlineStr">
        <is>
          <t>2027BUD_V1</t>
        </is>
      </c>
      <c r="BG60" s="0" t="inlineStr">
        <is>
          <t>ACT</t>
        </is>
      </c>
      <c r="BH60" s="0" t="inlineStr">
        <is>
          <t>12</t>
        </is>
      </c>
      <c r="BI60" s="0" t="inlineStr">
        <is>
          <t>2024</t>
        </is>
      </c>
      <c r="BJ60" s="0" t="inlineStr">
        <is>
          <t>TUNON_PAR</t>
        </is>
      </c>
      <c r="BK60" s="0" t="inlineStr">
        <is>
          <t>TUNON</t>
        </is>
      </c>
      <c r="BL60" s="0" t="inlineStr">
        <is>
          <t>BAC_TOU</t>
        </is>
      </c>
      <c r="BM60" s="0" t="inlineStr">
        <is>
          <t>B2</t>
        </is>
      </c>
      <c r="BN60" s="0" t="inlineStr">
        <is>
          <t>ALT</t>
        </is>
      </c>
      <c r="BO60" s="0" t="n">
        <v>41</v>
      </c>
      <c r="BP60" s="0" t="n">
        <v>2</v>
      </c>
      <c r="BQ60" s="0" t="n">
        <v>321440</v>
      </c>
      <c r="BR60" s="0" t="n">
        <v>22035.977964</v>
      </c>
      <c r="BS60" s="0" t="n">
        <v>64380.832286</v>
      </c>
      <c r="BT60" s="0" t="n">
        <v>15620.651046</v>
      </c>
      <c r="BU60" s="0" t="n">
        <v>144344.215656</v>
      </c>
      <c r="BV60" s="0" t="n">
        <v>7618.920738</v>
      </c>
      <c r="BW60" s="0" t="n">
        <v>39022.781348</v>
      </c>
      <c r="BX60" s="0" t="n">
        <v>46641.702086</v>
      </c>
      <c r="BY60" s="0" t="n">
        <v>37656.62901</v>
      </c>
      <c r="BZ60" s="0" t="n">
        <v>255366.750028</v>
      </c>
      <c r="CA60" s="0" t="n">
        <v>293023.379038</v>
      </c>
      <c r="CB60" s="0" t="n">
        <v>28416.620962</v>
      </c>
      <c r="CC60" s="0" t="n">
        <v>0</v>
      </c>
      <c r="CD60" s="0" t="n">
        <v>66108</v>
      </c>
      <c r="CE60" s="0" t="n">
        <v>193142.69</v>
      </c>
      <c r="CF60" s="0" t="n">
        <v>46862</v>
      </c>
      <c r="CG60" s="0" t="n">
        <v>24992</v>
      </c>
      <c r="CH60" s="0" t="n">
        <v>433033.08</v>
      </c>
      <c r="CI60" s="0" t="n">
        <v>2639292</v>
      </c>
      <c r="CJ60" s="0" t="n">
        <v>499926</v>
      </c>
    </row>
    <row r="61" outlineLevel="2" ht="14.4975" customHeight="1" s="64">
      <c r="B61" s="80" t="inlineStr">
        <is>
          <t>Mastère Communication, 2e année, alternance</t>
        </is>
      </c>
      <c r="C61" s="81">
        <f>SUMIFS(_CALC_ALLOC!$G$1:$G$349,_CALC_ALLOC!$AS$1:$AS$349,"2027|"&amp;$P$1,_CALC_ALLOC!$B$1:$B$349,$U61,_CALC_ALLOC!$D$1:$D$349,$W61,_CALC_ALLOC!$E$1:$E$349,$X61,_CALC_ALLOC!$F$1:$F$349,$Y61)</f>
        <v/>
      </c>
      <c r="D61" s="82">
        <f>SUMIFS(_CALC_ALLOC!$I$1:$I$349,_CALC_ALLOC!$AS$1:$AS$349,"2027|"&amp;$P$1,_CALC_ALLOC!$B$1:$B$349,$U61,_CALC_ALLOC!$D$1:$D$349,$W61,_CALC_ALLOC!$E$1:$E$349,$X61,_CALC_ALLOC!$F$1:$F$349,$Y61)</f>
        <v/>
      </c>
      <c r="E61" s="82">
        <f>SUMIFS(_CALC_ALLOC!$AI$1:$AI$349,_CALC_ALLOC!$AS$1:$AS$349,"2027|"&amp;$P$1,_CALC_ALLOC!$B$1:$B$349,$U61,_CALC_ALLOC!$D$1:$D$349,$W61,_CALC_ALLOC!$E$1:$E$349,$X61,_CALC_ALLOC!$F$1:$F$349,$Y61)</f>
        <v/>
      </c>
      <c r="F61" s="82">
        <f>SUMIFS(_CALC_ALLOC!$AJ$1:$AJ$349,_CALC_ALLOC!$AS$1:$AS$349,"2027|"&amp;$P$1,_CALC_ALLOC!$B$1:$B$349,$U61,_CALC_ALLOC!$D$1:$D$349,$W61,_CALC_ALLOC!$E$1:$E$349,$X61,_CALC_ALLOC!$F$1:$F$349,$Y61)</f>
        <v/>
      </c>
      <c r="G61" s="82">
        <f>SUMIFS(_CALC_ALLOC!$AK$1:$AK$349,_CALC_ALLOC!$AS$1:$AS$349,"2027|"&amp;$P$1,_CALC_ALLOC!$B$1:$B$349,$U61,_CALC_ALLOC!$D$1:$D$349,$W61,_CALC_ALLOC!$E$1:$E$349,$X61,_CALC_ALLOC!$F$1:$F$349,$Y61)</f>
        <v/>
      </c>
      <c r="H61" s="82">
        <f>SUMIFS(_CALC_ALLOC!$AL$1:$AL$349,_CALC_ALLOC!$AS$1:$AS$349,"2027|"&amp;$P$1,_CALC_ALLOC!$B$1:$B$349,$U61,_CALC_ALLOC!$D$1:$D$349,$W61,_CALC_ALLOC!$E$1:$E$349,$X61,_CALC_ALLOC!$F$1:$F$349,$Y61)</f>
        <v/>
      </c>
      <c r="I61" s="82">
        <f>SUMIFS(_CALC_ALLOC!$AR$1:$AR$349,_CALC_ALLOC!$AS$1:$AS$349,"2027|"&amp;$P$1,_CALC_ALLOC!$B$1:$B$349,$U61,_CALC_ALLOC!$D$1:$D$349,$W61,_CALC_ALLOC!$E$1:$E$349,$X61,_CALC_ALLOC!$F$1:$F$349,$Y61)</f>
        <v/>
      </c>
      <c r="J61" s="82">
        <f>SUMIFS(_CALC_ALLOC!$AM$1:$AM$349,_CALC_ALLOC!$AS$1:$AS$349,"2027|"&amp;$P$1,_CALC_ALLOC!$B$1:$B$349,$U61,_CALC_ALLOC!$D$1:$D$349,$W61,_CALC_ALLOC!$E$1:$E$349,$X61,_CALC_ALLOC!$F$1:$F$349,$Y61)</f>
        <v/>
      </c>
      <c r="K61" s="83">
        <f>E61+F61+G61+H61+I61+J61</f>
        <v/>
      </c>
      <c r="L61" s="84">
        <f>SUMIFS(_CALC_ALLOC!$AN$1:$AN$349,_CALC_ALLOC!$AS$1:$AS$349,"2027|"&amp;$P$1,_CALC_ALLOC!$B$1:$B$349,$U61,_CALC_ALLOC!$D$1:$D$349,$W61,_CALC_ALLOC!$E$1:$E$349,$X61,_CALC_ALLOC!$F$1:$F$349,$Y61)</f>
        <v/>
      </c>
      <c r="M61" s="85">
        <f>IF(D61=0,0,L61/D61)</f>
        <v/>
      </c>
      <c r="T61" s="74" t="inlineStr">
        <is>
          <t>ISCOM_TLS|MAS_COM|M2|ALT</t>
        </is>
      </c>
      <c r="U61" s="74" t="inlineStr">
        <is>
          <t>ISCOM_TLS</t>
        </is>
      </c>
      <c r="V61" s="74" t="inlineStr">
        <is>
          <t>ISCOM</t>
        </is>
      </c>
      <c r="W61" s="74" t="inlineStr">
        <is>
          <t>MAS_COM</t>
        </is>
      </c>
      <c r="X61" s="74" t="inlineStr">
        <is>
          <t>M2</t>
        </is>
      </c>
      <c r="Y61" s="74" t="inlineStr">
        <is>
          <t>ALT</t>
        </is>
      </c>
      <c r="Z61" s="74" t="n">
        <v>3</v>
      </c>
      <c r="BF61" s="0" t="inlineStr">
        <is>
          <t>2027BUD_V1</t>
        </is>
      </c>
      <c r="BG61" s="0" t="inlineStr">
        <is>
          <t>ACT</t>
        </is>
      </c>
      <c r="BH61" s="0" t="inlineStr">
        <is>
          <t>12</t>
        </is>
      </c>
      <c r="BI61" s="0" t="inlineStr">
        <is>
          <t>2024</t>
        </is>
      </c>
      <c r="BJ61" s="0" t="inlineStr">
        <is>
          <t>TUNON_PAR</t>
        </is>
      </c>
      <c r="BK61" s="0" t="inlineStr">
        <is>
          <t>TUNON</t>
        </is>
      </c>
      <c r="BL61" s="0" t="inlineStr">
        <is>
          <t>BAC_TOU</t>
        </is>
      </c>
      <c r="BM61" s="0" t="inlineStr">
        <is>
          <t>B3</t>
        </is>
      </c>
      <c r="BN61" s="0" t="inlineStr">
        <is>
          <t>ALT</t>
        </is>
      </c>
      <c r="BO61" s="0" t="n">
        <v>40</v>
      </c>
      <c r="BP61" s="0" t="n">
        <v>2</v>
      </c>
      <c r="BQ61" s="0" t="n">
        <v>313600</v>
      </c>
      <c r="BR61" s="0" t="n">
        <v>22035.977964</v>
      </c>
      <c r="BS61" s="0" t="n">
        <v>64380.832286</v>
      </c>
      <c r="BT61" s="0" t="n">
        <v>15239.662986</v>
      </c>
      <c r="BU61" s="0" t="n">
        <v>144344.215656</v>
      </c>
      <c r="BV61" s="0" t="n">
        <v>7618.920738</v>
      </c>
      <c r="BW61" s="0" t="n">
        <v>39022.781348</v>
      </c>
      <c r="BX61" s="0" t="n">
        <v>46641.702086</v>
      </c>
      <c r="BY61" s="0" t="n">
        <v>37275.64095</v>
      </c>
      <c r="BZ61" s="0" t="n">
        <v>255366.750028</v>
      </c>
      <c r="CA61" s="0" t="n">
        <v>292642.390978</v>
      </c>
      <c r="CB61" s="0" t="n">
        <v>20957.609022</v>
      </c>
      <c r="CC61" s="0" t="n">
        <v>0</v>
      </c>
      <c r="CD61" s="0" t="n">
        <v>66108</v>
      </c>
      <c r="CE61" s="0" t="n">
        <v>193142.69</v>
      </c>
      <c r="CF61" s="0" t="n">
        <v>46862</v>
      </c>
      <c r="CG61" s="0" t="n">
        <v>24992</v>
      </c>
      <c r="CH61" s="0" t="n">
        <v>433033.08</v>
      </c>
      <c r="CI61" s="0" t="n">
        <v>2639292</v>
      </c>
      <c r="CJ61" s="0" t="n">
        <v>499926</v>
      </c>
    </row>
    <row r="62" ht="14.4975" customHeight="1" s="64">
      <c r="B62" s="44" t="inlineStr">
        <is>
          <t>Ipac Bachelor Factory</t>
        </is>
      </c>
      <c r="C62" s="70">
        <f>SUMIFS(_CALC_ALLOC!$G$1:$G$349,_CALC_ALLOC!$AS$1:$AS$349,"2027|"&amp;$P$1,_CALC_ALLOC!$C$1:$C$349,$V62)</f>
        <v/>
      </c>
      <c r="D62" s="71">
        <f>SUMIFS(_CALC_ALLOC!$I$1:$I$349,_CALC_ALLOC!$AS$1:$AS$349,"2027|"&amp;$P$1,_CALC_ALLOC!$C$1:$C$349,$V62)</f>
        <v/>
      </c>
      <c r="E62" s="71">
        <f>SUMIFS(_CALC_ALLOC!$AI$1:$AI$349,_CALC_ALLOC!$AS$1:$AS$349,"2027|"&amp;$P$1,_CALC_ALLOC!$C$1:$C$349,$V62)</f>
        <v/>
      </c>
      <c r="F62" s="71">
        <f>SUMIFS(_CALC_ALLOC!$AJ$1:$AJ$349,_CALC_ALLOC!$AS$1:$AS$349,"2027|"&amp;$P$1,_CALC_ALLOC!$C$1:$C$349,$V62)</f>
        <v/>
      </c>
      <c r="G62" s="71">
        <f>SUMIFS(_CALC_ALLOC!$AK$1:$AK$349,_CALC_ALLOC!$AS$1:$AS$349,"2027|"&amp;$P$1,_CALC_ALLOC!$C$1:$C$349,$V62)</f>
        <v/>
      </c>
      <c r="H62" s="71">
        <f>SUMIFS(_CALC_ALLOC!$AL$1:$AL$349,_CALC_ALLOC!$AS$1:$AS$349,"2027|"&amp;$P$1,_CALC_ALLOC!$C$1:$C$349,$V62)</f>
        <v/>
      </c>
      <c r="I62" s="71">
        <f>SUMIFS(_CALC_ALLOC!$AR$1:$AR$349,_CALC_ALLOC!$AS$1:$AS$349,"2027|"&amp;$P$1,_CALC_ALLOC!$C$1:$C$349,$V62)</f>
        <v/>
      </c>
      <c r="J62" s="71">
        <f>SUMIFS(_CALC_ALLOC!$AM$1:$AM$349,_CALC_ALLOC!$AS$1:$AS$349,"2027|"&amp;$P$1,_CALC_ALLOC!$C$1:$C$349,$V62)</f>
        <v/>
      </c>
      <c r="K62" s="71">
        <f>E62+F62+G62+H62+I62+J62</f>
        <v/>
      </c>
      <c r="L62" s="72">
        <f>SUMIFS(_CALC_ALLOC!$AN$1:$AN$349,_CALC_ALLOC!$AS$1:$AS$349,"2027|"&amp;$P$1,_CALC_ALLOC!$C$1:$C$349,$V62)</f>
        <v/>
      </c>
      <c r="M62" s="73">
        <f>IF(D62=0,0,L62/D62)</f>
        <v/>
      </c>
      <c r="T62" s="74" t="inlineStr">
        <is>
          <t>IPAC</t>
        </is>
      </c>
      <c r="U62" s="74" t="inlineStr"/>
      <c r="V62" s="74" t="inlineStr">
        <is>
          <t>IPAC</t>
        </is>
      </c>
      <c r="W62" s="74" t="inlineStr"/>
      <c r="X62" s="74" t="inlineStr"/>
      <c r="Y62" s="74" t="inlineStr"/>
      <c r="Z62" s="74" t="n">
        <v>1</v>
      </c>
      <c r="BF62" s="0" t="inlineStr">
        <is>
          <t>2027BUD_V1</t>
        </is>
      </c>
      <c r="BG62" s="0" t="inlineStr">
        <is>
          <t>ACT</t>
        </is>
      </c>
      <c r="BH62" s="0" t="inlineStr">
        <is>
          <t>12</t>
        </is>
      </c>
      <c r="BI62" s="0" t="inlineStr">
        <is>
          <t>2025</t>
        </is>
      </c>
      <c r="BJ62" s="0" t="inlineStr">
        <is>
          <t>IPAC_MTP</t>
        </is>
      </c>
      <c r="BK62" s="0" t="inlineStr">
        <is>
          <t>IPAC</t>
        </is>
      </c>
      <c r="BL62" s="0" t="inlineStr">
        <is>
          <t>BAC_CCE</t>
        </is>
      </c>
      <c r="BM62" s="0" t="inlineStr">
        <is>
          <t>B1</t>
        </is>
      </c>
      <c r="BN62" s="0" t="inlineStr">
        <is>
          <t>ALT</t>
        </is>
      </c>
      <c r="BO62" s="0" t="n">
        <v>38</v>
      </c>
      <c r="BP62" s="0" t="n">
        <v>2</v>
      </c>
      <c r="BQ62" s="0" t="n">
        <v>256120</v>
      </c>
      <c r="BR62" s="0" t="n">
        <v>23045.643621</v>
      </c>
      <c r="BS62" s="0" t="n">
        <v>44060.962606</v>
      </c>
      <c r="BT62" s="0" t="n">
        <v>28022.994784</v>
      </c>
      <c r="BU62" s="0" t="n">
        <v>88880.907786</v>
      </c>
      <c r="BV62" s="0" t="n">
        <v>6722.186408</v>
      </c>
      <c r="BW62" s="0" t="n">
        <v>34820.294845</v>
      </c>
      <c r="BX62" s="0" t="n">
        <v>41542.481253</v>
      </c>
      <c r="BY62" s="0" t="n">
        <v>51068.638405</v>
      </c>
      <c r="BZ62" s="0" t="n">
        <v>174484.351645</v>
      </c>
      <c r="CA62" s="0" t="n">
        <v>225552.99005</v>
      </c>
      <c r="CB62" s="0" t="n">
        <v>30567.00995</v>
      </c>
      <c r="CC62" s="0" t="n">
        <v>38</v>
      </c>
      <c r="CD62" s="0" t="n">
        <v>69137</v>
      </c>
      <c r="CE62" s="0" t="n">
        <v>132183.02</v>
      </c>
      <c r="CF62" s="0" t="n">
        <v>41552</v>
      </c>
      <c r="CG62" s="0" t="n">
        <v>13798</v>
      </c>
      <c r="CH62" s="0" t="n">
        <v>266642.99</v>
      </c>
      <c r="CI62" s="0" t="n">
        <v>2760232</v>
      </c>
      <c r="CJ62" s="0" t="n">
        <v>580167</v>
      </c>
    </row>
    <row r="63" outlineLevel="1" collapsed="1" ht="14.4975" customHeight="1" s="64">
      <c r="B63" s="75" t="inlineStr">
        <is>
          <t>Nantes</t>
        </is>
      </c>
      <c r="C63" s="76">
        <f>SUMIFS(_CALC_ALLOC!$G$1:$G$349,_CALC_ALLOC!$AS$1:$AS$349,"2027|"&amp;$P$1,_CALC_ALLOC!$B$1:$B$349,$U63)</f>
        <v/>
      </c>
      <c r="D63" s="77">
        <f>SUMIFS(_CALC_ALLOC!$I$1:$I$349,_CALC_ALLOC!$AS$1:$AS$349,"2027|"&amp;$P$1,_CALC_ALLOC!$B$1:$B$349,$U63)</f>
        <v/>
      </c>
      <c r="E63" s="77">
        <f>SUMIFS(_CALC_ALLOC!$AI$1:$AI$349,_CALC_ALLOC!$AS$1:$AS$349,"2027|"&amp;$P$1,_CALC_ALLOC!$B$1:$B$349,$U63)</f>
        <v/>
      </c>
      <c r="F63" s="77">
        <f>SUMIFS(_CALC_ALLOC!$AJ$1:$AJ$349,_CALC_ALLOC!$AS$1:$AS$349,"2027|"&amp;$P$1,_CALC_ALLOC!$B$1:$B$349,$U63)</f>
        <v/>
      </c>
      <c r="G63" s="77">
        <f>SUMIFS(_CALC_ALLOC!$AK$1:$AK$349,_CALC_ALLOC!$AS$1:$AS$349,"2027|"&amp;$P$1,_CALC_ALLOC!$B$1:$B$349,$U63)</f>
        <v/>
      </c>
      <c r="H63" s="77">
        <f>SUMIFS(_CALC_ALLOC!$AL$1:$AL$349,_CALC_ALLOC!$AS$1:$AS$349,"2027|"&amp;$P$1,_CALC_ALLOC!$B$1:$B$349,$U63)</f>
        <v/>
      </c>
      <c r="I63" s="77">
        <f>SUMIFS(_CALC_ALLOC!$AR$1:$AR$349,_CALC_ALLOC!$AS$1:$AS$349,"2027|"&amp;$P$1,_CALC_ALLOC!$B$1:$B$349,$U63)</f>
        <v/>
      </c>
      <c r="J63" s="77">
        <f>SUMIFS(_CALC_ALLOC!$AM$1:$AM$349,_CALC_ALLOC!$AS$1:$AS$349,"2027|"&amp;$P$1,_CALC_ALLOC!$B$1:$B$349,$U63)</f>
        <v/>
      </c>
      <c r="K63" s="77">
        <f>E63+F63+G63+H63+I63+J63</f>
        <v/>
      </c>
      <c r="L63" s="78">
        <f>SUMIFS(_CALC_ALLOC!$AN$1:$AN$349,_CALC_ALLOC!$AS$1:$AS$349,"2027|"&amp;$P$1,_CALC_ALLOC!$B$1:$B$349,$U63)</f>
        <v/>
      </c>
      <c r="M63" s="79">
        <f>IF(D63=0,0,L63/D63)</f>
        <v/>
      </c>
      <c r="T63" s="74" t="inlineStr">
        <is>
          <t>IPAC_NAN</t>
        </is>
      </c>
      <c r="U63" s="74" t="inlineStr">
        <is>
          <t>IPAC_NAN</t>
        </is>
      </c>
      <c r="V63" s="74" t="inlineStr">
        <is>
          <t>IPAC</t>
        </is>
      </c>
      <c r="W63" s="74" t="inlineStr"/>
      <c r="X63" s="74" t="inlineStr"/>
      <c r="Y63" s="74" t="inlineStr"/>
      <c r="Z63" s="74" t="n">
        <v>2</v>
      </c>
      <c r="BF63" s="0" t="inlineStr">
        <is>
          <t>2027BUD_V1</t>
        </is>
      </c>
      <c r="BG63" s="0" t="inlineStr">
        <is>
          <t>ACT</t>
        </is>
      </c>
      <c r="BH63" s="0" t="inlineStr">
        <is>
          <t>12</t>
        </is>
      </c>
      <c r="BI63" s="0" t="inlineStr">
        <is>
          <t>2025</t>
        </is>
      </c>
      <c r="BJ63" s="0" t="inlineStr">
        <is>
          <t>IPAC_MTP</t>
        </is>
      </c>
      <c r="BK63" s="0" t="inlineStr">
        <is>
          <t>IPAC</t>
        </is>
      </c>
      <c r="BL63" s="0" t="inlineStr">
        <is>
          <t>BAC_CCE</t>
        </is>
      </c>
      <c r="BM63" s="0" t="inlineStr">
        <is>
          <t>B2</t>
        </is>
      </c>
      <c r="BN63" s="0" t="inlineStr">
        <is>
          <t>ALT</t>
        </is>
      </c>
      <c r="BO63" s="0" t="n">
        <v>37</v>
      </c>
      <c r="BP63" s="0" t="n">
        <v>2</v>
      </c>
      <c r="BQ63" s="0" t="n">
        <v>246050</v>
      </c>
      <c r="BR63" s="0" t="n">
        <v>23045.643621</v>
      </c>
      <c r="BS63" s="0" t="n">
        <v>44060.962606</v>
      </c>
      <c r="BT63" s="0" t="n">
        <v>13850.652816</v>
      </c>
      <c r="BU63" s="0" t="n">
        <v>88880.907786</v>
      </c>
      <c r="BV63" s="0" t="n">
        <v>6722.186408</v>
      </c>
      <c r="BW63" s="0" t="n">
        <v>34820.294845</v>
      </c>
      <c r="BX63" s="0" t="n">
        <v>41542.481253</v>
      </c>
      <c r="BY63" s="0" t="n">
        <v>36896.296437</v>
      </c>
      <c r="BZ63" s="0" t="n">
        <v>174484.351645</v>
      </c>
      <c r="CA63" s="0" t="n">
        <v>211380.648082</v>
      </c>
      <c r="CB63" s="0" t="n">
        <v>34669.351918</v>
      </c>
      <c r="CC63" s="0" t="n">
        <v>0</v>
      </c>
      <c r="CD63" s="0" t="n">
        <v>69137</v>
      </c>
      <c r="CE63" s="0" t="n">
        <v>132183.02</v>
      </c>
      <c r="CF63" s="0" t="n">
        <v>41552</v>
      </c>
      <c r="CG63" s="0" t="n">
        <v>13798</v>
      </c>
      <c r="CH63" s="0" t="n">
        <v>266642.99</v>
      </c>
      <c r="CI63" s="0" t="n">
        <v>2760232</v>
      </c>
      <c r="CJ63" s="0" t="n">
        <v>580167</v>
      </c>
    </row>
    <row r="64" outlineLevel="2" ht="14.4975" customHeight="1" s="64">
      <c r="B64" s="80" t="inlineStr">
        <is>
          <t>Bachelor Commerce, 1re année, alternance</t>
        </is>
      </c>
      <c r="C64" s="81">
        <f>SUMIFS(_CALC_ALLOC!$G$1:$G$349,_CALC_ALLOC!$AS$1:$AS$349,"2027|"&amp;$P$1,_CALC_ALLOC!$B$1:$B$349,$U64,_CALC_ALLOC!$D$1:$D$349,$W64,_CALC_ALLOC!$E$1:$E$349,$X64,_CALC_ALLOC!$F$1:$F$349,$Y64)</f>
        <v/>
      </c>
      <c r="D64" s="82">
        <f>SUMIFS(_CALC_ALLOC!$I$1:$I$349,_CALC_ALLOC!$AS$1:$AS$349,"2027|"&amp;$P$1,_CALC_ALLOC!$B$1:$B$349,$U64,_CALC_ALLOC!$D$1:$D$349,$W64,_CALC_ALLOC!$E$1:$E$349,$X64,_CALC_ALLOC!$F$1:$F$349,$Y64)</f>
        <v/>
      </c>
      <c r="E64" s="82">
        <f>SUMIFS(_CALC_ALLOC!$AI$1:$AI$349,_CALC_ALLOC!$AS$1:$AS$349,"2027|"&amp;$P$1,_CALC_ALLOC!$B$1:$B$349,$U64,_CALC_ALLOC!$D$1:$D$349,$W64,_CALC_ALLOC!$E$1:$E$349,$X64,_CALC_ALLOC!$F$1:$F$349,$Y64)</f>
        <v/>
      </c>
      <c r="F64" s="82">
        <f>SUMIFS(_CALC_ALLOC!$AJ$1:$AJ$349,_CALC_ALLOC!$AS$1:$AS$349,"2027|"&amp;$P$1,_CALC_ALLOC!$B$1:$B$349,$U64,_CALC_ALLOC!$D$1:$D$349,$W64,_CALC_ALLOC!$E$1:$E$349,$X64,_CALC_ALLOC!$F$1:$F$349,$Y64)</f>
        <v/>
      </c>
      <c r="G64" s="82">
        <f>SUMIFS(_CALC_ALLOC!$AK$1:$AK$349,_CALC_ALLOC!$AS$1:$AS$349,"2027|"&amp;$P$1,_CALC_ALLOC!$B$1:$B$349,$U64,_CALC_ALLOC!$D$1:$D$349,$W64,_CALC_ALLOC!$E$1:$E$349,$X64,_CALC_ALLOC!$F$1:$F$349,$Y64)</f>
        <v/>
      </c>
      <c r="H64" s="82">
        <f>SUMIFS(_CALC_ALLOC!$AL$1:$AL$349,_CALC_ALLOC!$AS$1:$AS$349,"2027|"&amp;$P$1,_CALC_ALLOC!$B$1:$B$349,$U64,_CALC_ALLOC!$D$1:$D$349,$W64,_CALC_ALLOC!$E$1:$E$349,$X64,_CALC_ALLOC!$F$1:$F$349,$Y64)</f>
        <v/>
      </c>
      <c r="I64" s="82">
        <f>SUMIFS(_CALC_ALLOC!$AR$1:$AR$349,_CALC_ALLOC!$AS$1:$AS$349,"2027|"&amp;$P$1,_CALC_ALLOC!$B$1:$B$349,$U64,_CALC_ALLOC!$D$1:$D$349,$W64,_CALC_ALLOC!$E$1:$E$349,$X64,_CALC_ALLOC!$F$1:$F$349,$Y64)</f>
        <v/>
      </c>
      <c r="J64" s="82">
        <f>SUMIFS(_CALC_ALLOC!$AM$1:$AM$349,_CALC_ALLOC!$AS$1:$AS$349,"2027|"&amp;$P$1,_CALC_ALLOC!$B$1:$B$349,$U64,_CALC_ALLOC!$D$1:$D$349,$W64,_CALC_ALLOC!$E$1:$E$349,$X64,_CALC_ALLOC!$F$1:$F$349,$Y64)</f>
        <v/>
      </c>
      <c r="K64" s="83">
        <f>E64+F64+G64+H64+I64+J64</f>
        <v/>
      </c>
      <c r="L64" s="84">
        <f>SUMIFS(_CALC_ALLOC!$AN$1:$AN$349,_CALC_ALLOC!$AS$1:$AS$349,"2027|"&amp;$P$1,_CALC_ALLOC!$B$1:$B$349,$U64,_CALC_ALLOC!$D$1:$D$349,$W64,_CALC_ALLOC!$E$1:$E$349,$X64,_CALC_ALLOC!$F$1:$F$349,$Y64)</f>
        <v/>
      </c>
      <c r="M64" s="85">
        <f>IF(D64=0,0,L64/D64)</f>
        <v/>
      </c>
      <c r="T64" s="74" t="inlineStr">
        <is>
          <t>IPAC_NAN|BAC_CCE|B1|ALT</t>
        </is>
      </c>
      <c r="U64" s="74" t="inlineStr">
        <is>
          <t>IPAC_NAN</t>
        </is>
      </c>
      <c r="V64" s="74" t="inlineStr">
        <is>
          <t>IPAC</t>
        </is>
      </c>
      <c r="W64" s="74" t="inlineStr">
        <is>
          <t>BAC_CCE</t>
        </is>
      </c>
      <c r="X64" s="74" t="inlineStr">
        <is>
          <t>B1</t>
        </is>
      </c>
      <c r="Y64" s="74" t="inlineStr">
        <is>
          <t>ALT</t>
        </is>
      </c>
      <c r="Z64" s="74" t="n">
        <v>3</v>
      </c>
      <c r="BF64" s="0" t="inlineStr">
        <is>
          <t>2027BUD_V1</t>
        </is>
      </c>
      <c r="BG64" s="0" t="inlineStr">
        <is>
          <t>ACT</t>
        </is>
      </c>
      <c r="BH64" s="0" t="inlineStr">
        <is>
          <t>12</t>
        </is>
      </c>
      <c r="BI64" s="0" t="inlineStr">
        <is>
          <t>2025</t>
        </is>
      </c>
      <c r="BJ64" s="0" t="inlineStr">
        <is>
          <t>IPAC_MTP</t>
        </is>
      </c>
      <c r="BK64" s="0" t="inlineStr">
        <is>
          <t>IPAC</t>
        </is>
      </c>
      <c r="BL64" s="0" t="inlineStr">
        <is>
          <t>BAC_CCE</t>
        </is>
      </c>
      <c r="BM64" s="0" t="inlineStr">
        <is>
          <t>B3</t>
        </is>
      </c>
      <c r="BN64" s="0" t="inlineStr">
        <is>
          <t>ALT</t>
        </is>
      </c>
      <c r="BO64" s="0" t="n">
        <v>36</v>
      </c>
      <c r="BP64" s="0" t="n">
        <v>2</v>
      </c>
      <c r="BQ64" s="0" t="n">
        <v>239400</v>
      </c>
      <c r="BR64" s="0" t="n">
        <v>23045.643621</v>
      </c>
      <c r="BS64" s="0" t="n">
        <v>44060.962606</v>
      </c>
      <c r="BT64" s="0" t="n">
        <v>13476.310848</v>
      </c>
      <c r="BU64" s="0" t="n">
        <v>88880.907786</v>
      </c>
      <c r="BV64" s="0" t="n">
        <v>6722.186408</v>
      </c>
      <c r="BW64" s="0" t="n">
        <v>34820.294845</v>
      </c>
      <c r="BX64" s="0" t="n">
        <v>41542.481253</v>
      </c>
      <c r="BY64" s="0" t="n">
        <v>36521.954469</v>
      </c>
      <c r="BZ64" s="0" t="n">
        <v>174484.351645</v>
      </c>
      <c r="CA64" s="0" t="n">
        <v>211006.306114</v>
      </c>
      <c r="CB64" s="0" t="n">
        <v>28393.693886</v>
      </c>
      <c r="CC64" s="0" t="n">
        <v>0</v>
      </c>
      <c r="CD64" s="0" t="n">
        <v>69137</v>
      </c>
      <c r="CE64" s="0" t="n">
        <v>132183.02</v>
      </c>
      <c r="CF64" s="0" t="n">
        <v>41552</v>
      </c>
      <c r="CG64" s="0" t="n">
        <v>13798</v>
      </c>
      <c r="CH64" s="0" t="n">
        <v>266642.99</v>
      </c>
      <c r="CI64" s="0" t="n">
        <v>2760232</v>
      </c>
      <c r="CJ64" s="0" t="n">
        <v>580167</v>
      </c>
    </row>
    <row r="65" outlineLevel="2" ht="14.4975" customHeight="1" s="64">
      <c r="B65" s="80" t="inlineStr">
        <is>
          <t>Bachelor Commerce, 2e année, alternance</t>
        </is>
      </c>
      <c r="C65" s="81">
        <f>SUMIFS(_CALC_ALLOC!$G$1:$G$349,_CALC_ALLOC!$AS$1:$AS$349,"2027|"&amp;$P$1,_CALC_ALLOC!$B$1:$B$349,$U65,_CALC_ALLOC!$D$1:$D$349,$W65,_CALC_ALLOC!$E$1:$E$349,$X65,_CALC_ALLOC!$F$1:$F$349,$Y65)</f>
        <v/>
      </c>
      <c r="D65" s="82">
        <f>SUMIFS(_CALC_ALLOC!$I$1:$I$349,_CALC_ALLOC!$AS$1:$AS$349,"2027|"&amp;$P$1,_CALC_ALLOC!$B$1:$B$349,$U65,_CALC_ALLOC!$D$1:$D$349,$W65,_CALC_ALLOC!$E$1:$E$349,$X65,_CALC_ALLOC!$F$1:$F$349,$Y65)</f>
        <v/>
      </c>
      <c r="E65" s="82">
        <f>SUMIFS(_CALC_ALLOC!$AI$1:$AI$349,_CALC_ALLOC!$AS$1:$AS$349,"2027|"&amp;$P$1,_CALC_ALLOC!$B$1:$B$349,$U65,_CALC_ALLOC!$D$1:$D$349,$W65,_CALC_ALLOC!$E$1:$E$349,$X65,_CALC_ALLOC!$F$1:$F$349,$Y65)</f>
        <v/>
      </c>
      <c r="F65" s="82">
        <f>SUMIFS(_CALC_ALLOC!$AJ$1:$AJ$349,_CALC_ALLOC!$AS$1:$AS$349,"2027|"&amp;$P$1,_CALC_ALLOC!$B$1:$B$349,$U65,_CALC_ALLOC!$D$1:$D$349,$W65,_CALC_ALLOC!$E$1:$E$349,$X65,_CALC_ALLOC!$F$1:$F$349,$Y65)</f>
        <v/>
      </c>
      <c r="G65" s="82">
        <f>SUMIFS(_CALC_ALLOC!$AK$1:$AK$349,_CALC_ALLOC!$AS$1:$AS$349,"2027|"&amp;$P$1,_CALC_ALLOC!$B$1:$B$349,$U65,_CALC_ALLOC!$D$1:$D$349,$W65,_CALC_ALLOC!$E$1:$E$349,$X65,_CALC_ALLOC!$F$1:$F$349,$Y65)</f>
        <v/>
      </c>
      <c r="H65" s="82">
        <f>SUMIFS(_CALC_ALLOC!$AL$1:$AL$349,_CALC_ALLOC!$AS$1:$AS$349,"2027|"&amp;$P$1,_CALC_ALLOC!$B$1:$B$349,$U65,_CALC_ALLOC!$D$1:$D$349,$W65,_CALC_ALLOC!$E$1:$E$349,$X65,_CALC_ALLOC!$F$1:$F$349,$Y65)</f>
        <v/>
      </c>
      <c r="I65" s="82">
        <f>SUMIFS(_CALC_ALLOC!$AR$1:$AR$349,_CALC_ALLOC!$AS$1:$AS$349,"2027|"&amp;$P$1,_CALC_ALLOC!$B$1:$B$349,$U65,_CALC_ALLOC!$D$1:$D$349,$W65,_CALC_ALLOC!$E$1:$E$349,$X65,_CALC_ALLOC!$F$1:$F$349,$Y65)</f>
        <v/>
      </c>
      <c r="J65" s="82">
        <f>SUMIFS(_CALC_ALLOC!$AM$1:$AM$349,_CALC_ALLOC!$AS$1:$AS$349,"2027|"&amp;$P$1,_CALC_ALLOC!$B$1:$B$349,$U65,_CALC_ALLOC!$D$1:$D$349,$W65,_CALC_ALLOC!$E$1:$E$349,$X65,_CALC_ALLOC!$F$1:$F$349,$Y65)</f>
        <v/>
      </c>
      <c r="K65" s="83">
        <f>E65+F65+G65+H65+I65+J65</f>
        <v/>
      </c>
      <c r="L65" s="84">
        <f>SUMIFS(_CALC_ALLOC!$AN$1:$AN$349,_CALC_ALLOC!$AS$1:$AS$349,"2027|"&amp;$P$1,_CALC_ALLOC!$B$1:$B$349,$U65,_CALC_ALLOC!$D$1:$D$349,$W65,_CALC_ALLOC!$E$1:$E$349,$X65,_CALC_ALLOC!$F$1:$F$349,$Y65)</f>
        <v/>
      </c>
      <c r="M65" s="85">
        <f>IF(D65=0,0,L65/D65)</f>
        <v/>
      </c>
      <c r="T65" s="74" t="inlineStr">
        <is>
          <t>IPAC_NAN|BAC_CCE|B2|ALT</t>
        </is>
      </c>
      <c r="U65" s="74" t="inlineStr">
        <is>
          <t>IPAC_NAN</t>
        </is>
      </c>
      <c r="V65" s="74" t="inlineStr">
        <is>
          <t>IPAC</t>
        </is>
      </c>
      <c r="W65" s="74" t="inlineStr">
        <is>
          <t>BAC_CCE</t>
        </is>
      </c>
      <c r="X65" s="74" t="inlineStr">
        <is>
          <t>B2</t>
        </is>
      </c>
      <c r="Y65" s="74" t="inlineStr">
        <is>
          <t>ALT</t>
        </is>
      </c>
      <c r="Z65" s="74" t="n">
        <v>3</v>
      </c>
      <c r="BF65" s="0" t="inlineStr">
        <is>
          <t>2027BUD_V1</t>
        </is>
      </c>
      <c r="BG65" s="0" t="inlineStr">
        <is>
          <t>ACT</t>
        </is>
      </c>
      <c r="BH65" s="0" t="inlineStr">
        <is>
          <t>12</t>
        </is>
      </c>
      <c r="BI65" s="0" t="inlineStr">
        <is>
          <t>2025</t>
        </is>
      </c>
      <c r="BJ65" s="0" t="inlineStr">
        <is>
          <t>IPAC_NAN</t>
        </is>
      </c>
      <c r="BK65" s="0" t="inlineStr">
        <is>
          <t>IPAC</t>
        </is>
      </c>
      <c r="BL65" s="0" t="inlineStr">
        <is>
          <t>BAC_CCE</t>
        </is>
      </c>
      <c r="BM65" s="0" t="inlineStr">
        <is>
          <t>B1</t>
        </is>
      </c>
      <c r="BN65" s="0" t="inlineStr">
        <is>
          <t>ALT</t>
        </is>
      </c>
      <c r="BO65" s="0" t="n">
        <v>47</v>
      </c>
      <c r="BP65" s="0" t="n">
        <v>2</v>
      </c>
      <c r="BQ65" s="0" t="n">
        <v>333230</v>
      </c>
      <c r="BR65" s="0" t="n">
        <v>23045.643621</v>
      </c>
      <c r="BS65" s="0" t="n">
        <v>53637.10303</v>
      </c>
      <c r="BT65" s="0" t="n">
        <v>37578.05406</v>
      </c>
      <c r="BU65" s="0" t="n">
        <v>124275.612391</v>
      </c>
      <c r="BV65" s="0" t="n">
        <v>8236.209543999999</v>
      </c>
      <c r="BW65" s="0" t="n">
        <v>42662.792628</v>
      </c>
      <c r="BX65" s="0" t="n">
        <v>50899.002172</v>
      </c>
      <c r="BY65" s="0" t="n">
        <v>60623.697681</v>
      </c>
      <c r="BZ65" s="0" t="n">
        <v>228811.717593</v>
      </c>
      <c r="CA65" s="0" t="n">
        <v>289435.415274</v>
      </c>
      <c r="CB65" s="0" t="n">
        <v>43794.584726</v>
      </c>
      <c r="CC65" s="0" t="n">
        <v>47</v>
      </c>
      <c r="CD65" s="0" t="n">
        <v>69137</v>
      </c>
      <c r="CE65" s="0" t="n">
        <v>160911.47</v>
      </c>
      <c r="CF65" s="0" t="n">
        <v>51495</v>
      </c>
      <c r="CG65" s="0" t="n">
        <v>19782</v>
      </c>
      <c r="CH65" s="0" t="n">
        <v>372827.21</v>
      </c>
      <c r="CI65" s="0" t="n">
        <v>2760232</v>
      </c>
      <c r="CJ65" s="0" t="n">
        <v>580167</v>
      </c>
    </row>
    <row r="66" outlineLevel="2" ht="14.4975" customHeight="1" s="64">
      <c r="B66" s="80" t="inlineStr">
        <is>
          <t>Bachelor Commerce, 3e année, alternance</t>
        </is>
      </c>
      <c r="C66" s="81">
        <f>SUMIFS(_CALC_ALLOC!$G$1:$G$349,_CALC_ALLOC!$AS$1:$AS$349,"2027|"&amp;$P$1,_CALC_ALLOC!$B$1:$B$349,$U66,_CALC_ALLOC!$D$1:$D$349,$W66,_CALC_ALLOC!$E$1:$E$349,$X66,_CALC_ALLOC!$F$1:$F$349,$Y66)</f>
        <v/>
      </c>
      <c r="D66" s="82">
        <f>SUMIFS(_CALC_ALLOC!$I$1:$I$349,_CALC_ALLOC!$AS$1:$AS$349,"2027|"&amp;$P$1,_CALC_ALLOC!$B$1:$B$349,$U66,_CALC_ALLOC!$D$1:$D$349,$W66,_CALC_ALLOC!$E$1:$E$349,$X66,_CALC_ALLOC!$F$1:$F$349,$Y66)</f>
        <v/>
      </c>
      <c r="E66" s="82">
        <f>SUMIFS(_CALC_ALLOC!$AI$1:$AI$349,_CALC_ALLOC!$AS$1:$AS$349,"2027|"&amp;$P$1,_CALC_ALLOC!$B$1:$B$349,$U66,_CALC_ALLOC!$D$1:$D$349,$W66,_CALC_ALLOC!$E$1:$E$349,$X66,_CALC_ALLOC!$F$1:$F$349,$Y66)</f>
        <v/>
      </c>
      <c r="F66" s="82">
        <f>SUMIFS(_CALC_ALLOC!$AJ$1:$AJ$349,_CALC_ALLOC!$AS$1:$AS$349,"2027|"&amp;$P$1,_CALC_ALLOC!$B$1:$B$349,$U66,_CALC_ALLOC!$D$1:$D$349,$W66,_CALC_ALLOC!$E$1:$E$349,$X66,_CALC_ALLOC!$F$1:$F$349,$Y66)</f>
        <v/>
      </c>
      <c r="G66" s="82">
        <f>SUMIFS(_CALC_ALLOC!$AK$1:$AK$349,_CALC_ALLOC!$AS$1:$AS$349,"2027|"&amp;$P$1,_CALC_ALLOC!$B$1:$B$349,$U66,_CALC_ALLOC!$D$1:$D$349,$W66,_CALC_ALLOC!$E$1:$E$349,$X66,_CALC_ALLOC!$F$1:$F$349,$Y66)</f>
        <v/>
      </c>
      <c r="H66" s="82">
        <f>SUMIFS(_CALC_ALLOC!$AL$1:$AL$349,_CALC_ALLOC!$AS$1:$AS$349,"2027|"&amp;$P$1,_CALC_ALLOC!$B$1:$B$349,$U66,_CALC_ALLOC!$D$1:$D$349,$W66,_CALC_ALLOC!$E$1:$E$349,$X66,_CALC_ALLOC!$F$1:$F$349,$Y66)</f>
        <v/>
      </c>
      <c r="I66" s="82">
        <f>SUMIFS(_CALC_ALLOC!$AR$1:$AR$349,_CALC_ALLOC!$AS$1:$AS$349,"2027|"&amp;$P$1,_CALC_ALLOC!$B$1:$B$349,$U66,_CALC_ALLOC!$D$1:$D$349,$W66,_CALC_ALLOC!$E$1:$E$349,$X66,_CALC_ALLOC!$F$1:$F$349,$Y66)</f>
        <v/>
      </c>
      <c r="J66" s="82">
        <f>SUMIFS(_CALC_ALLOC!$AM$1:$AM$349,_CALC_ALLOC!$AS$1:$AS$349,"2027|"&amp;$P$1,_CALC_ALLOC!$B$1:$B$349,$U66,_CALC_ALLOC!$D$1:$D$349,$W66,_CALC_ALLOC!$E$1:$E$349,$X66,_CALC_ALLOC!$F$1:$F$349,$Y66)</f>
        <v/>
      </c>
      <c r="K66" s="83">
        <f>E66+F66+G66+H66+I66+J66</f>
        <v/>
      </c>
      <c r="L66" s="84">
        <f>SUMIFS(_CALC_ALLOC!$AN$1:$AN$349,_CALC_ALLOC!$AS$1:$AS$349,"2027|"&amp;$P$1,_CALC_ALLOC!$B$1:$B$349,$U66,_CALC_ALLOC!$D$1:$D$349,$W66,_CALC_ALLOC!$E$1:$E$349,$X66,_CALC_ALLOC!$F$1:$F$349,$Y66)</f>
        <v/>
      </c>
      <c r="M66" s="85">
        <f>IF(D66=0,0,L66/D66)</f>
        <v/>
      </c>
      <c r="T66" s="74" t="inlineStr">
        <is>
          <t>IPAC_NAN|BAC_CCE|B3|ALT</t>
        </is>
      </c>
      <c r="U66" s="74" t="inlineStr">
        <is>
          <t>IPAC_NAN</t>
        </is>
      </c>
      <c r="V66" s="74" t="inlineStr">
        <is>
          <t>IPAC</t>
        </is>
      </c>
      <c r="W66" s="74" t="inlineStr">
        <is>
          <t>BAC_CCE</t>
        </is>
      </c>
      <c r="X66" s="74" t="inlineStr">
        <is>
          <t>B3</t>
        </is>
      </c>
      <c r="Y66" s="74" t="inlineStr">
        <is>
          <t>ALT</t>
        </is>
      </c>
      <c r="Z66" s="74" t="n">
        <v>3</v>
      </c>
      <c r="BF66" s="0" t="inlineStr">
        <is>
          <t>2027BUD_V1</t>
        </is>
      </c>
      <c r="BG66" s="0" t="inlineStr">
        <is>
          <t>ACT</t>
        </is>
      </c>
      <c r="BH66" s="0" t="inlineStr">
        <is>
          <t>12</t>
        </is>
      </c>
      <c r="BI66" s="0" t="inlineStr">
        <is>
          <t>2025</t>
        </is>
      </c>
      <c r="BJ66" s="0" t="inlineStr">
        <is>
          <t>IPAC_NAN</t>
        </is>
      </c>
      <c r="BK66" s="0" t="inlineStr">
        <is>
          <t>IPAC</t>
        </is>
      </c>
      <c r="BL66" s="0" t="inlineStr">
        <is>
          <t>BAC_CCE</t>
        </is>
      </c>
      <c r="BM66" s="0" t="inlineStr">
        <is>
          <t>B2</t>
        </is>
      </c>
      <c r="BN66" s="0" t="inlineStr">
        <is>
          <t>ALT</t>
        </is>
      </c>
      <c r="BO66" s="0" t="n">
        <v>45</v>
      </c>
      <c r="BP66" s="0" t="n">
        <v>2</v>
      </c>
      <c r="BQ66" s="0" t="n">
        <v>315000</v>
      </c>
      <c r="BR66" s="0" t="n">
        <v>23045.643621</v>
      </c>
      <c r="BS66" s="0" t="n">
        <v>53637.10303</v>
      </c>
      <c r="BT66" s="0" t="n">
        <v>17038.76859</v>
      </c>
      <c r="BU66" s="0" t="n">
        <v>124275.612391</v>
      </c>
      <c r="BV66" s="0" t="n">
        <v>8236.209543999999</v>
      </c>
      <c r="BW66" s="0" t="n">
        <v>42662.792628</v>
      </c>
      <c r="BX66" s="0" t="n">
        <v>50899.002172</v>
      </c>
      <c r="BY66" s="0" t="n">
        <v>40084.412211</v>
      </c>
      <c r="BZ66" s="0" t="n">
        <v>228811.717593</v>
      </c>
      <c r="CA66" s="0" t="n">
        <v>268896.129804</v>
      </c>
      <c r="CB66" s="0" t="n">
        <v>46103.870196</v>
      </c>
      <c r="CC66" s="0" t="n">
        <v>0</v>
      </c>
      <c r="CD66" s="0" t="n">
        <v>69137</v>
      </c>
      <c r="CE66" s="0" t="n">
        <v>160911.47</v>
      </c>
      <c r="CF66" s="0" t="n">
        <v>51495</v>
      </c>
      <c r="CG66" s="0" t="n">
        <v>19782</v>
      </c>
      <c r="CH66" s="0" t="n">
        <v>372827.21</v>
      </c>
      <c r="CI66" s="0" t="n">
        <v>2760232</v>
      </c>
      <c r="CJ66" s="0" t="n">
        <v>580167</v>
      </c>
    </row>
    <row r="67" outlineLevel="1" ht="14.4975" customHeight="1" s="64">
      <c r="B67" s="75" t="inlineStr">
        <is>
          <t>Rennes</t>
        </is>
      </c>
      <c r="C67" s="76">
        <f>SUMIFS(_CALC_ALLOC!$G$1:$G$349,_CALC_ALLOC!$AS$1:$AS$349,"2027|"&amp;$P$1,_CALC_ALLOC!$B$1:$B$349,$U67)</f>
        <v/>
      </c>
      <c r="D67" s="77">
        <f>SUMIFS(_CALC_ALLOC!$I$1:$I$349,_CALC_ALLOC!$AS$1:$AS$349,"2027|"&amp;$P$1,_CALC_ALLOC!$B$1:$B$349,$U67)</f>
        <v/>
      </c>
      <c r="E67" s="77">
        <f>SUMIFS(_CALC_ALLOC!$AI$1:$AI$349,_CALC_ALLOC!$AS$1:$AS$349,"2027|"&amp;$P$1,_CALC_ALLOC!$B$1:$B$349,$U67)</f>
        <v/>
      </c>
      <c r="F67" s="77">
        <f>SUMIFS(_CALC_ALLOC!$AJ$1:$AJ$349,_CALC_ALLOC!$AS$1:$AS$349,"2027|"&amp;$P$1,_CALC_ALLOC!$B$1:$B$349,$U67)</f>
        <v/>
      </c>
      <c r="G67" s="77">
        <f>SUMIFS(_CALC_ALLOC!$AK$1:$AK$349,_CALC_ALLOC!$AS$1:$AS$349,"2027|"&amp;$P$1,_CALC_ALLOC!$B$1:$B$349,$U67)</f>
        <v/>
      </c>
      <c r="H67" s="77">
        <f>SUMIFS(_CALC_ALLOC!$AL$1:$AL$349,_CALC_ALLOC!$AS$1:$AS$349,"2027|"&amp;$P$1,_CALC_ALLOC!$B$1:$B$349,$U67)</f>
        <v/>
      </c>
      <c r="I67" s="77">
        <f>SUMIFS(_CALC_ALLOC!$AR$1:$AR$349,_CALC_ALLOC!$AS$1:$AS$349,"2027|"&amp;$P$1,_CALC_ALLOC!$B$1:$B$349,$U67)</f>
        <v/>
      </c>
      <c r="J67" s="77">
        <f>SUMIFS(_CALC_ALLOC!$AM$1:$AM$349,_CALC_ALLOC!$AS$1:$AS$349,"2027|"&amp;$P$1,_CALC_ALLOC!$B$1:$B$349,$U67)</f>
        <v/>
      </c>
      <c r="K67" s="77">
        <f>E67+F67+G67+H67+I67+J67</f>
        <v/>
      </c>
      <c r="L67" s="78">
        <f>SUMIFS(_CALC_ALLOC!$AN$1:$AN$349,_CALC_ALLOC!$AS$1:$AS$349,"2027|"&amp;$P$1,_CALC_ALLOC!$B$1:$B$349,$U67)</f>
        <v/>
      </c>
      <c r="M67" s="79">
        <f>IF(D67=0,0,L67/D67)</f>
        <v/>
      </c>
      <c r="T67" s="74" t="inlineStr">
        <is>
          <t>IPAC_REN</t>
        </is>
      </c>
      <c r="U67" s="74" t="inlineStr">
        <is>
          <t>IPAC_REN</t>
        </is>
      </c>
      <c r="V67" s="74" t="inlineStr">
        <is>
          <t>IPAC</t>
        </is>
      </c>
      <c r="W67" s="74" t="inlineStr"/>
      <c r="X67" s="74" t="inlineStr"/>
      <c r="Y67" s="74" t="inlineStr"/>
      <c r="Z67" s="74" t="n">
        <v>2</v>
      </c>
      <c r="BF67" s="0" t="inlineStr">
        <is>
          <t>2027BUD_V1</t>
        </is>
      </c>
      <c r="BG67" s="0" t="inlineStr">
        <is>
          <t>ACT</t>
        </is>
      </c>
      <c r="BH67" s="0" t="inlineStr">
        <is>
          <t>12</t>
        </is>
      </c>
      <c r="BI67" s="0" t="inlineStr">
        <is>
          <t>2025</t>
        </is>
      </c>
      <c r="BJ67" s="0" t="inlineStr">
        <is>
          <t>IPAC_NAN</t>
        </is>
      </c>
      <c r="BK67" s="0" t="inlineStr">
        <is>
          <t>IPAC</t>
        </is>
      </c>
      <c r="BL67" s="0" t="inlineStr">
        <is>
          <t>BAC_CCE</t>
        </is>
      </c>
      <c r="BM67" s="0" t="inlineStr">
        <is>
          <t>B3</t>
        </is>
      </c>
      <c r="BN67" s="0" t="inlineStr">
        <is>
          <t>ALT</t>
        </is>
      </c>
      <c r="BO67" s="0" t="n">
        <v>44</v>
      </c>
      <c r="BP67" s="0" t="n">
        <v>2</v>
      </c>
      <c r="BQ67" s="0" t="n">
        <v>308000</v>
      </c>
      <c r="BR67" s="0" t="n">
        <v>23045.643621</v>
      </c>
      <c r="BS67" s="0" t="n">
        <v>53637.10303</v>
      </c>
      <c r="BT67" s="0" t="n">
        <v>16660.125855</v>
      </c>
      <c r="BU67" s="0" t="n">
        <v>124275.612391</v>
      </c>
      <c r="BV67" s="0" t="n">
        <v>8236.209543999999</v>
      </c>
      <c r="BW67" s="0" t="n">
        <v>42662.792628</v>
      </c>
      <c r="BX67" s="0" t="n">
        <v>50899.002172</v>
      </c>
      <c r="BY67" s="0" t="n">
        <v>39705.769476</v>
      </c>
      <c r="BZ67" s="0" t="n">
        <v>228811.717593</v>
      </c>
      <c r="CA67" s="0" t="n">
        <v>268517.487069</v>
      </c>
      <c r="CB67" s="0" t="n">
        <v>39482.512931</v>
      </c>
      <c r="CC67" s="0" t="n">
        <v>0</v>
      </c>
      <c r="CD67" s="0" t="n">
        <v>69137</v>
      </c>
      <c r="CE67" s="0" t="n">
        <v>160911.47</v>
      </c>
      <c r="CF67" s="0" t="n">
        <v>51495</v>
      </c>
      <c r="CG67" s="0" t="n">
        <v>19782</v>
      </c>
      <c r="CH67" s="0" t="n">
        <v>372827.21</v>
      </c>
      <c r="CI67" s="0" t="n">
        <v>2760232</v>
      </c>
      <c r="CJ67" s="0" t="n">
        <v>580167</v>
      </c>
    </row>
    <row r="68" outlineLevel="2" ht="14.4975" customHeight="1" s="64">
      <c r="B68" s="80" t="inlineStr">
        <is>
          <t>Bachelor Commerce, 1re année, alternance</t>
        </is>
      </c>
      <c r="C68" s="81">
        <f>SUMIFS(_CALC_ALLOC!$G$1:$G$349,_CALC_ALLOC!$AS$1:$AS$349,"2027|"&amp;$P$1,_CALC_ALLOC!$B$1:$B$349,$U68,_CALC_ALLOC!$D$1:$D$349,$W68,_CALC_ALLOC!$E$1:$E$349,$X68,_CALC_ALLOC!$F$1:$F$349,$Y68)</f>
        <v/>
      </c>
      <c r="D68" s="82">
        <f>SUMIFS(_CALC_ALLOC!$I$1:$I$349,_CALC_ALLOC!$AS$1:$AS$349,"2027|"&amp;$P$1,_CALC_ALLOC!$B$1:$B$349,$U68,_CALC_ALLOC!$D$1:$D$349,$W68,_CALC_ALLOC!$E$1:$E$349,$X68,_CALC_ALLOC!$F$1:$F$349,$Y68)</f>
        <v/>
      </c>
      <c r="E68" s="82">
        <f>SUMIFS(_CALC_ALLOC!$AI$1:$AI$349,_CALC_ALLOC!$AS$1:$AS$349,"2027|"&amp;$P$1,_CALC_ALLOC!$B$1:$B$349,$U68,_CALC_ALLOC!$D$1:$D$349,$W68,_CALC_ALLOC!$E$1:$E$349,$X68,_CALC_ALLOC!$F$1:$F$349,$Y68)</f>
        <v/>
      </c>
      <c r="F68" s="82">
        <f>SUMIFS(_CALC_ALLOC!$AJ$1:$AJ$349,_CALC_ALLOC!$AS$1:$AS$349,"2027|"&amp;$P$1,_CALC_ALLOC!$B$1:$B$349,$U68,_CALC_ALLOC!$D$1:$D$349,$W68,_CALC_ALLOC!$E$1:$E$349,$X68,_CALC_ALLOC!$F$1:$F$349,$Y68)</f>
        <v/>
      </c>
      <c r="G68" s="82">
        <f>SUMIFS(_CALC_ALLOC!$AK$1:$AK$349,_CALC_ALLOC!$AS$1:$AS$349,"2027|"&amp;$P$1,_CALC_ALLOC!$B$1:$B$349,$U68,_CALC_ALLOC!$D$1:$D$349,$W68,_CALC_ALLOC!$E$1:$E$349,$X68,_CALC_ALLOC!$F$1:$F$349,$Y68)</f>
        <v/>
      </c>
      <c r="H68" s="82">
        <f>SUMIFS(_CALC_ALLOC!$AL$1:$AL$349,_CALC_ALLOC!$AS$1:$AS$349,"2027|"&amp;$P$1,_CALC_ALLOC!$B$1:$B$349,$U68,_CALC_ALLOC!$D$1:$D$349,$W68,_CALC_ALLOC!$E$1:$E$349,$X68,_CALC_ALLOC!$F$1:$F$349,$Y68)</f>
        <v/>
      </c>
      <c r="I68" s="82">
        <f>SUMIFS(_CALC_ALLOC!$AR$1:$AR$349,_CALC_ALLOC!$AS$1:$AS$349,"2027|"&amp;$P$1,_CALC_ALLOC!$B$1:$B$349,$U68,_CALC_ALLOC!$D$1:$D$349,$W68,_CALC_ALLOC!$E$1:$E$349,$X68,_CALC_ALLOC!$F$1:$F$349,$Y68)</f>
        <v/>
      </c>
      <c r="J68" s="82">
        <f>SUMIFS(_CALC_ALLOC!$AM$1:$AM$349,_CALC_ALLOC!$AS$1:$AS$349,"2027|"&amp;$P$1,_CALC_ALLOC!$B$1:$B$349,$U68,_CALC_ALLOC!$D$1:$D$349,$W68,_CALC_ALLOC!$E$1:$E$349,$X68,_CALC_ALLOC!$F$1:$F$349,$Y68)</f>
        <v/>
      </c>
      <c r="K68" s="83">
        <f>E68+F68+G68+H68+I68+J68</f>
        <v/>
      </c>
      <c r="L68" s="84">
        <f>SUMIFS(_CALC_ALLOC!$AN$1:$AN$349,_CALC_ALLOC!$AS$1:$AS$349,"2027|"&amp;$P$1,_CALC_ALLOC!$B$1:$B$349,$U68,_CALC_ALLOC!$D$1:$D$349,$W68,_CALC_ALLOC!$E$1:$E$349,$X68,_CALC_ALLOC!$F$1:$F$349,$Y68)</f>
        <v/>
      </c>
      <c r="M68" s="85">
        <f>IF(D68=0,0,L68/D68)</f>
        <v/>
      </c>
      <c r="T68" s="74" t="inlineStr">
        <is>
          <t>IPAC_REN|BAC_CCE|B1|ALT</t>
        </is>
      </c>
      <c r="U68" s="74" t="inlineStr">
        <is>
          <t>IPAC_REN</t>
        </is>
      </c>
      <c r="V68" s="74" t="inlineStr">
        <is>
          <t>IPAC</t>
        </is>
      </c>
      <c r="W68" s="74" t="inlineStr">
        <is>
          <t>BAC_CCE</t>
        </is>
      </c>
      <c r="X68" s="74" t="inlineStr">
        <is>
          <t>B1</t>
        </is>
      </c>
      <c r="Y68" s="74" t="inlineStr">
        <is>
          <t>ALT</t>
        </is>
      </c>
      <c r="Z68" s="74" t="n">
        <v>3</v>
      </c>
      <c r="BF68" s="0" t="inlineStr">
        <is>
          <t>2027BUD_V1</t>
        </is>
      </c>
      <c r="BG68" s="0" t="inlineStr">
        <is>
          <t>ACT</t>
        </is>
      </c>
      <c r="BH68" s="0" t="inlineStr">
        <is>
          <t>12</t>
        </is>
      </c>
      <c r="BI68" s="0" t="inlineStr">
        <is>
          <t>2025</t>
        </is>
      </c>
      <c r="BJ68" s="0" t="inlineStr">
        <is>
          <t>IPAC_REN</t>
        </is>
      </c>
      <c r="BK68" s="0" t="inlineStr">
        <is>
          <t>IPAC</t>
        </is>
      </c>
      <c r="BL68" s="0" t="inlineStr">
        <is>
          <t>BAC_CCE</t>
        </is>
      </c>
      <c r="BM68" s="0" t="inlineStr">
        <is>
          <t>B1</t>
        </is>
      </c>
      <c r="BN68" s="0" t="inlineStr">
        <is>
          <t>ALT</t>
        </is>
      </c>
      <c r="BO68" s="0" t="n">
        <v>38</v>
      </c>
      <c r="BP68" s="0" t="n">
        <v>2</v>
      </c>
      <c r="BQ68" s="0" t="n">
        <v>256120</v>
      </c>
      <c r="BR68" s="0" t="n">
        <v>23045.643621</v>
      </c>
      <c r="BS68" s="0" t="n">
        <v>44085.599248</v>
      </c>
      <c r="BT68" s="0" t="n">
        <v>27799.994784</v>
      </c>
      <c r="BU68" s="0" t="n">
        <v>88930.61106900001</v>
      </c>
      <c r="BV68" s="0" t="n">
        <v>6722.186408</v>
      </c>
      <c r="BW68" s="0" t="n">
        <v>34820.294845</v>
      </c>
      <c r="BX68" s="0" t="n">
        <v>41542.481253</v>
      </c>
      <c r="BY68" s="0" t="n">
        <v>50845.638405</v>
      </c>
      <c r="BZ68" s="0" t="n">
        <v>174558.69157</v>
      </c>
      <c r="CA68" s="0" t="n">
        <v>225404.329975</v>
      </c>
      <c r="CB68" s="0" t="n">
        <v>30715.670025</v>
      </c>
      <c r="CC68" s="0" t="n">
        <v>38</v>
      </c>
      <c r="CD68" s="0" t="n">
        <v>69137</v>
      </c>
      <c r="CE68" s="0" t="n">
        <v>132256.93</v>
      </c>
      <c r="CF68" s="0" t="n">
        <v>41552</v>
      </c>
      <c r="CG68" s="0" t="n">
        <v>13575</v>
      </c>
      <c r="CH68" s="0" t="n">
        <v>266792.1</v>
      </c>
      <c r="CI68" s="0" t="n">
        <v>2760232</v>
      </c>
      <c r="CJ68" s="0" t="n">
        <v>580167</v>
      </c>
    </row>
    <row r="69" outlineLevel="2" ht="14.4975" customHeight="1" s="64">
      <c r="B69" s="80" t="inlineStr">
        <is>
          <t>Bachelor Commerce, 2e année, alternance</t>
        </is>
      </c>
      <c r="C69" s="81">
        <f>SUMIFS(_CALC_ALLOC!$G$1:$G$349,_CALC_ALLOC!$AS$1:$AS$349,"2027|"&amp;$P$1,_CALC_ALLOC!$B$1:$B$349,$U69,_CALC_ALLOC!$D$1:$D$349,$W69,_CALC_ALLOC!$E$1:$E$349,$X69,_CALC_ALLOC!$F$1:$F$349,$Y69)</f>
        <v/>
      </c>
      <c r="D69" s="82">
        <f>SUMIFS(_CALC_ALLOC!$I$1:$I$349,_CALC_ALLOC!$AS$1:$AS$349,"2027|"&amp;$P$1,_CALC_ALLOC!$B$1:$B$349,$U69,_CALC_ALLOC!$D$1:$D$349,$W69,_CALC_ALLOC!$E$1:$E$349,$X69,_CALC_ALLOC!$F$1:$F$349,$Y69)</f>
        <v/>
      </c>
      <c r="E69" s="82">
        <f>SUMIFS(_CALC_ALLOC!$AI$1:$AI$349,_CALC_ALLOC!$AS$1:$AS$349,"2027|"&amp;$P$1,_CALC_ALLOC!$B$1:$B$349,$U69,_CALC_ALLOC!$D$1:$D$349,$W69,_CALC_ALLOC!$E$1:$E$349,$X69,_CALC_ALLOC!$F$1:$F$349,$Y69)</f>
        <v/>
      </c>
      <c r="F69" s="82">
        <f>SUMIFS(_CALC_ALLOC!$AJ$1:$AJ$349,_CALC_ALLOC!$AS$1:$AS$349,"2027|"&amp;$P$1,_CALC_ALLOC!$B$1:$B$349,$U69,_CALC_ALLOC!$D$1:$D$349,$W69,_CALC_ALLOC!$E$1:$E$349,$X69,_CALC_ALLOC!$F$1:$F$349,$Y69)</f>
        <v/>
      </c>
      <c r="G69" s="82">
        <f>SUMIFS(_CALC_ALLOC!$AK$1:$AK$349,_CALC_ALLOC!$AS$1:$AS$349,"2027|"&amp;$P$1,_CALC_ALLOC!$B$1:$B$349,$U69,_CALC_ALLOC!$D$1:$D$349,$W69,_CALC_ALLOC!$E$1:$E$349,$X69,_CALC_ALLOC!$F$1:$F$349,$Y69)</f>
        <v/>
      </c>
      <c r="H69" s="82">
        <f>SUMIFS(_CALC_ALLOC!$AL$1:$AL$349,_CALC_ALLOC!$AS$1:$AS$349,"2027|"&amp;$P$1,_CALC_ALLOC!$B$1:$B$349,$U69,_CALC_ALLOC!$D$1:$D$349,$W69,_CALC_ALLOC!$E$1:$E$349,$X69,_CALC_ALLOC!$F$1:$F$349,$Y69)</f>
        <v/>
      </c>
      <c r="I69" s="82">
        <f>SUMIFS(_CALC_ALLOC!$AR$1:$AR$349,_CALC_ALLOC!$AS$1:$AS$349,"2027|"&amp;$P$1,_CALC_ALLOC!$B$1:$B$349,$U69,_CALC_ALLOC!$D$1:$D$349,$W69,_CALC_ALLOC!$E$1:$E$349,$X69,_CALC_ALLOC!$F$1:$F$349,$Y69)</f>
        <v/>
      </c>
      <c r="J69" s="82">
        <f>SUMIFS(_CALC_ALLOC!$AM$1:$AM$349,_CALC_ALLOC!$AS$1:$AS$349,"2027|"&amp;$P$1,_CALC_ALLOC!$B$1:$B$349,$U69,_CALC_ALLOC!$D$1:$D$349,$W69,_CALC_ALLOC!$E$1:$E$349,$X69,_CALC_ALLOC!$F$1:$F$349,$Y69)</f>
        <v/>
      </c>
      <c r="K69" s="83">
        <f>E69+F69+G69+H69+I69+J69</f>
        <v/>
      </c>
      <c r="L69" s="84">
        <f>SUMIFS(_CALC_ALLOC!$AN$1:$AN$349,_CALC_ALLOC!$AS$1:$AS$349,"2027|"&amp;$P$1,_CALC_ALLOC!$B$1:$B$349,$U69,_CALC_ALLOC!$D$1:$D$349,$W69,_CALC_ALLOC!$E$1:$E$349,$X69,_CALC_ALLOC!$F$1:$F$349,$Y69)</f>
        <v/>
      </c>
      <c r="M69" s="85">
        <f>IF(D69=0,0,L69/D69)</f>
        <v/>
      </c>
      <c r="T69" s="74" t="inlineStr">
        <is>
          <t>IPAC_REN|BAC_CCE|B2|ALT</t>
        </is>
      </c>
      <c r="U69" s="74" t="inlineStr">
        <is>
          <t>IPAC_REN</t>
        </is>
      </c>
      <c r="V69" s="74" t="inlineStr">
        <is>
          <t>IPAC</t>
        </is>
      </c>
      <c r="W69" s="74" t="inlineStr">
        <is>
          <t>BAC_CCE</t>
        </is>
      </c>
      <c r="X69" s="74" t="inlineStr">
        <is>
          <t>B2</t>
        </is>
      </c>
      <c r="Y69" s="74" t="inlineStr">
        <is>
          <t>ALT</t>
        </is>
      </c>
      <c r="Z69" s="74" t="n">
        <v>3</v>
      </c>
      <c r="BF69" s="0" t="inlineStr">
        <is>
          <t>2027BUD_V1</t>
        </is>
      </c>
      <c r="BG69" s="0" t="inlineStr">
        <is>
          <t>ACT</t>
        </is>
      </c>
      <c r="BH69" s="0" t="inlineStr">
        <is>
          <t>12</t>
        </is>
      </c>
      <c r="BI69" s="0" t="inlineStr">
        <is>
          <t>2025</t>
        </is>
      </c>
      <c r="BJ69" s="0" t="inlineStr">
        <is>
          <t>IPAC_REN</t>
        </is>
      </c>
      <c r="BK69" s="0" t="inlineStr">
        <is>
          <t>IPAC</t>
        </is>
      </c>
      <c r="BL69" s="0" t="inlineStr">
        <is>
          <t>BAC_CCE</t>
        </is>
      </c>
      <c r="BM69" s="0" t="inlineStr">
        <is>
          <t>B2</t>
        </is>
      </c>
      <c r="BN69" s="0" t="inlineStr">
        <is>
          <t>ALT</t>
        </is>
      </c>
      <c r="BO69" s="0" t="n">
        <v>37</v>
      </c>
      <c r="BP69" s="0" t="n">
        <v>2</v>
      </c>
      <c r="BQ69" s="0" t="n">
        <v>246050</v>
      </c>
      <c r="BR69" s="0" t="n">
        <v>23045.643621</v>
      </c>
      <c r="BS69" s="0" t="n">
        <v>44085.599248</v>
      </c>
      <c r="BT69" s="0" t="n">
        <v>13850.652816</v>
      </c>
      <c r="BU69" s="0" t="n">
        <v>88930.61106900001</v>
      </c>
      <c r="BV69" s="0" t="n">
        <v>6722.186408</v>
      </c>
      <c r="BW69" s="0" t="n">
        <v>34820.294845</v>
      </c>
      <c r="BX69" s="0" t="n">
        <v>41542.481253</v>
      </c>
      <c r="BY69" s="0" t="n">
        <v>36896.296437</v>
      </c>
      <c r="BZ69" s="0" t="n">
        <v>174558.69157</v>
      </c>
      <c r="CA69" s="0" t="n">
        <v>211454.988007</v>
      </c>
      <c r="CB69" s="0" t="n">
        <v>34595.011993</v>
      </c>
      <c r="CC69" s="0" t="n">
        <v>0</v>
      </c>
      <c r="CD69" s="0" t="n">
        <v>69137</v>
      </c>
      <c r="CE69" s="0" t="n">
        <v>132256.93</v>
      </c>
      <c r="CF69" s="0" t="n">
        <v>41552</v>
      </c>
      <c r="CG69" s="0" t="n">
        <v>13575</v>
      </c>
      <c r="CH69" s="0" t="n">
        <v>266792.1</v>
      </c>
      <c r="CI69" s="0" t="n">
        <v>2760232</v>
      </c>
      <c r="CJ69" s="0" t="n">
        <v>580167</v>
      </c>
    </row>
    <row r="70" outlineLevel="2" ht="14.4975" customHeight="1" s="64">
      <c r="B70" s="80" t="inlineStr">
        <is>
          <t>Bachelor Commerce, 3e année, alternance</t>
        </is>
      </c>
      <c r="C70" s="81">
        <f>SUMIFS(_CALC_ALLOC!$G$1:$G$349,_CALC_ALLOC!$AS$1:$AS$349,"2027|"&amp;$P$1,_CALC_ALLOC!$B$1:$B$349,$U70,_CALC_ALLOC!$D$1:$D$349,$W70,_CALC_ALLOC!$E$1:$E$349,$X70,_CALC_ALLOC!$F$1:$F$349,$Y70)</f>
        <v/>
      </c>
      <c r="D70" s="82">
        <f>SUMIFS(_CALC_ALLOC!$I$1:$I$349,_CALC_ALLOC!$AS$1:$AS$349,"2027|"&amp;$P$1,_CALC_ALLOC!$B$1:$B$349,$U70,_CALC_ALLOC!$D$1:$D$349,$W70,_CALC_ALLOC!$E$1:$E$349,$X70,_CALC_ALLOC!$F$1:$F$349,$Y70)</f>
        <v/>
      </c>
      <c r="E70" s="82">
        <f>SUMIFS(_CALC_ALLOC!$AI$1:$AI$349,_CALC_ALLOC!$AS$1:$AS$349,"2027|"&amp;$P$1,_CALC_ALLOC!$B$1:$B$349,$U70,_CALC_ALLOC!$D$1:$D$349,$W70,_CALC_ALLOC!$E$1:$E$349,$X70,_CALC_ALLOC!$F$1:$F$349,$Y70)</f>
        <v/>
      </c>
      <c r="F70" s="82">
        <f>SUMIFS(_CALC_ALLOC!$AJ$1:$AJ$349,_CALC_ALLOC!$AS$1:$AS$349,"2027|"&amp;$P$1,_CALC_ALLOC!$B$1:$B$349,$U70,_CALC_ALLOC!$D$1:$D$349,$W70,_CALC_ALLOC!$E$1:$E$349,$X70,_CALC_ALLOC!$F$1:$F$349,$Y70)</f>
        <v/>
      </c>
      <c r="G70" s="82">
        <f>SUMIFS(_CALC_ALLOC!$AK$1:$AK$349,_CALC_ALLOC!$AS$1:$AS$349,"2027|"&amp;$P$1,_CALC_ALLOC!$B$1:$B$349,$U70,_CALC_ALLOC!$D$1:$D$349,$W70,_CALC_ALLOC!$E$1:$E$349,$X70,_CALC_ALLOC!$F$1:$F$349,$Y70)</f>
        <v/>
      </c>
      <c r="H70" s="82">
        <f>SUMIFS(_CALC_ALLOC!$AL$1:$AL$349,_CALC_ALLOC!$AS$1:$AS$349,"2027|"&amp;$P$1,_CALC_ALLOC!$B$1:$B$349,$U70,_CALC_ALLOC!$D$1:$D$349,$W70,_CALC_ALLOC!$E$1:$E$349,$X70,_CALC_ALLOC!$F$1:$F$349,$Y70)</f>
        <v/>
      </c>
      <c r="I70" s="82">
        <f>SUMIFS(_CALC_ALLOC!$AR$1:$AR$349,_CALC_ALLOC!$AS$1:$AS$349,"2027|"&amp;$P$1,_CALC_ALLOC!$B$1:$B$349,$U70,_CALC_ALLOC!$D$1:$D$349,$W70,_CALC_ALLOC!$E$1:$E$349,$X70,_CALC_ALLOC!$F$1:$F$349,$Y70)</f>
        <v/>
      </c>
      <c r="J70" s="82">
        <f>SUMIFS(_CALC_ALLOC!$AM$1:$AM$349,_CALC_ALLOC!$AS$1:$AS$349,"2027|"&amp;$P$1,_CALC_ALLOC!$B$1:$B$349,$U70,_CALC_ALLOC!$D$1:$D$349,$W70,_CALC_ALLOC!$E$1:$E$349,$X70,_CALC_ALLOC!$F$1:$F$349,$Y70)</f>
        <v/>
      </c>
      <c r="K70" s="83">
        <f>E70+F70+G70+H70+I70+J70</f>
        <v/>
      </c>
      <c r="L70" s="84">
        <f>SUMIFS(_CALC_ALLOC!$AN$1:$AN$349,_CALC_ALLOC!$AS$1:$AS$349,"2027|"&amp;$P$1,_CALC_ALLOC!$B$1:$B$349,$U70,_CALC_ALLOC!$D$1:$D$349,$W70,_CALC_ALLOC!$E$1:$E$349,$X70,_CALC_ALLOC!$F$1:$F$349,$Y70)</f>
        <v/>
      </c>
      <c r="M70" s="85">
        <f>IF(D70=0,0,L70/D70)</f>
        <v/>
      </c>
      <c r="T70" s="74" t="inlineStr">
        <is>
          <t>IPAC_REN|BAC_CCE|B3|ALT</t>
        </is>
      </c>
      <c r="U70" s="74" t="inlineStr">
        <is>
          <t>IPAC_REN</t>
        </is>
      </c>
      <c r="V70" s="74" t="inlineStr">
        <is>
          <t>IPAC</t>
        </is>
      </c>
      <c r="W70" s="74" t="inlineStr">
        <is>
          <t>BAC_CCE</t>
        </is>
      </c>
      <c r="X70" s="74" t="inlineStr">
        <is>
          <t>B3</t>
        </is>
      </c>
      <c r="Y70" s="74" t="inlineStr">
        <is>
          <t>ALT</t>
        </is>
      </c>
      <c r="Z70" s="74" t="n">
        <v>3</v>
      </c>
      <c r="BF70" s="0" t="inlineStr">
        <is>
          <t>2027BUD_V1</t>
        </is>
      </c>
      <c r="BG70" s="0" t="inlineStr">
        <is>
          <t>ACT</t>
        </is>
      </c>
      <c r="BH70" s="0" t="inlineStr">
        <is>
          <t>12</t>
        </is>
      </c>
      <c r="BI70" s="0" t="inlineStr">
        <is>
          <t>2025</t>
        </is>
      </c>
      <c r="BJ70" s="0" t="inlineStr">
        <is>
          <t>IPAC_REN</t>
        </is>
      </c>
      <c r="BK70" s="0" t="inlineStr">
        <is>
          <t>IPAC</t>
        </is>
      </c>
      <c r="BL70" s="0" t="inlineStr">
        <is>
          <t>BAC_CCE</t>
        </is>
      </c>
      <c r="BM70" s="0" t="inlineStr">
        <is>
          <t>B3</t>
        </is>
      </c>
      <c r="BN70" s="0" t="inlineStr">
        <is>
          <t>ALT</t>
        </is>
      </c>
      <c r="BO70" s="0" t="n">
        <v>36</v>
      </c>
      <c r="BP70" s="0" t="n">
        <v>2</v>
      </c>
      <c r="BQ70" s="0" t="n">
        <v>239400</v>
      </c>
      <c r="BR70" s="0" t="n">
        <v>23045.643621</v>
      </c>
      <c r="BS70" s="0" t="n">
        <v>44085.599248</v>
      </c>
      <c r="BT70" s="0" t="n">
        <v>13476.310848</v>
      </c>
      <c r="BU70" s="0" t="n">
        <v>88930.61106900001</v>
      </c>
      <c r="BV70" s="0" t="n">
        <v>6722.186408</v>
      </c>
      <c r="BW70" s="0" t="n">
        <v>34820.294845</v>
      </c>
      <c r="BX70" s="0" t="n">
        <v>41542.481253</v>
      </c>
      <c r="BY70" s="0" t="n">
        <v>36521.954469</v>
      </c>
      <c r="BZ70" s="0" t="n">
        <v>174558.69157</v>
      </c>
      <c r="CA70" s="0" t="n">
        <v>211080.646039</v>
      </c>
      <c r="CB70" s="0" t="n">
        <v>28319.353961</v>
      </c>
      <c r="CC70" s="0" t="n">
        <v>0</v>
      </c>
      <c r="CD70" s="0" t="n">
        <v>69137</v>
      </c>
      <c r="CE70" s="0" t="n">
        <v>132256.93</v>
      </c>
      <c r="CF70" s="0" t="n">
        <v>41552</v>
      </c>
      <c r="CG70" s="0" t="n">
        <v>13575</v>
      </c>
      <c r="CH70" s="0" t="n">
        <v>266792.1</v>
      </c>
      <c r="CI70" s="0" t="n">
        <v>2760232</v>
      </c>
      <c r="CJ70" s="0" t="n">
        <v>580167</v>
      </c>
    </row>
    <row r="71" outlineLevel="1" ht="14.4975" customHeight="1" s="64">
      <c r="B71" s="75" t="inlineStr">
        <is>
          <t>Montpellier</t>
        </is>
      </c>
      <c r="C71" s="76">
        <f>SUMIFS(_CALC_ALLOC!$G$1:$G$349,_CALC_ALLOC!$AS$1:$AS$349,"2027|"&amp;$P$1,_CALC_ALLOC!$B$1:$B$349,$U71)</f>
        <v/>
      </c>
      <c r="D71" s="77">
        <f>SUMIFS(_CALC_ALLOC!$I$1:$I$349,_CALC_ALLOC!$AS$1:$AS$349,"2027|"&amp;$P$1,_CALC_ALLOC!$B$1:$B$349,$U71)</f>
        <v/>
      </c>
      <c r="E71" s="77">
        <f>SUMIFS(_CALC_ALLOC!$AI$1:$AI$349,_CALC_ALLOC!$AS$1:$AS$349,"2027|"&amp;$P$1,_CALC_ALLOC!$B$1:$B$349,$U71)</f>
        <v/>
      </c>
      <c r="F71" s="77">
        <f>SUMIFS(_CALC_ALLOC!$AJ$1:$AJ$349,_CALC_ALLOC!$AS$1:$AS$349,"2027|"&amp;$P$1,_CALC_ALLOC!$B$1:$B$349,$U71)</f>
        <v/>
      </c>
      <c r="G71" s="77">
        <f>SUMIFS(_CALC_ALLOC!$AK$1:$AK$349,_CALC_ALLOC!$AS$1:$AS$349,"2027|"&amp;$P$1,_CALC_ALLOC!$B$1:$B$349,$U71)</f>
        <v/>
      </c>
      <c r="H71" s="77">
        <f>SUMIFS(_CALC_ALLOC!$AL$1:$AL$349,_CALC_ALLOC!$AS$1:$AS$349,"2027|"&amp;$P$1,_CALC_ALLOC!$B$1:$B$349,$U71)</f>
        <v/>
      </c>
      <c r="I71" s="77">
        <f>SUMIFS(_CALC_ALLOC!$AR$1:$AR$349,_CALC_ALLOC!$AS$1:$AS$349,"2027|"&amp;$P$1,_CALC_ALLOC!$B$1:$B$349,$U71)</f>
        <v/>
      </c>
      <c r="J71" s="77">
        <f>SUMIFS(_CALC_ALLOC!$AM$1:$AM$349,_CALC_ALLOC!$AS$1:$AS$349,"2027|"&amp;$P$1,_CALC_ALLOC!$B$1:$B$349,$U71)</f>
        <v/>
      </c>
      <c r="K71" s="77">
        <f>E71+F71+G71+H71+I71+J71</f>
        <v/>
      </c>
      <c r="L71" s="78">
        <f>SUMIFS(_CALC_ALLOC!$AN$1:$AN$349,_CALC_ALLOC!$AS$1:$AS$349,"2027|"&amp;$P$1,_CALC_ALLOC!$B$1:$B$349,$U71)</f>
        <v/>
      </c>
      <c r="M71" s="79">
        <f>IF(D71=0,0,L71/D71)</f>
        <v/>
      </c>
      <c r="T71" s="74" t="inlineStr">
        <is>
          <t>IPAC_MTP</t>
        </is>
      </c>
      <c r="U71" s="74" t="inlineStr">
        <is>
          <t>IPAC_MTP</t>
        </is>
      </c>
      <c r="V71" s="74" t="inlineStr">
        <is>
          <t>IPAC</t>
        </is>
      </c>
      <c r="W71" s="74" t="inlineStr"/>
      <c r="X71" s="74" t="inlineStr"/>
      <c r="Y71" s="74" t="inlineStr"/>
      <c r="Z71" s="74" t="n">
        <v>2</v>
      </c>
      <c r="BF71" s="0" t="inlineStr">
        <is>
          <t>2027BUD_V1</t>
        </is>
      </c>
      <c r="BG71" s="0" t="inlineStr">
        <is>
          <t>ACT</t>
        </is>
      </c>
      <c r="BH71" s="0" t="inlineStr">
        <is>
          <t>12</t>
        </is>
      </c>
      <c r="BI71" s="0" t="inlineStr">
        <is>
          <t>2025</t>
        </is>
      </c>
      <c r="BJ71" s="0" t="inlineStr">
        <is>
          <t>ISCOM_LIL</t>
        </is>
      </c>
      <c r="BK71" s="0" t="inlineStr">
        <is>
          <t>ISCOM</t>
        </is>
      </c>
      <c r="BL71" s="0" t="inlineStr">
        <is>
          <t>BAC_COM</t>
        </is>
      </c>
      <c r="BM71" s="0" t="inlineStr">
        <is>
          <t>B1</t>
        </is>
      </c>
      <c r="BN71" s="0" t="inlineStr">
        <is>
          <t>INIT</t>
        </is>
      </c>
      <c r="BO71" s="0" t="n">
        <v>47</v>
      </c>
      <c r="BP71" s="0" t="n">
        <v>2</v>
      </c>
      <c r="BQ71" s="0" t="n">
        <v>349680</v>
      </c>
      <c r="BR71" s="0" t="n">
        <v>28807.25</v>
      </c>
      <c r="BS71" s="0" t="n">
        <v>67642.55250000001</v>
      </c>
      <c r="BT71" s="0" t="n">
        <v>29248.5722</v>
      </c>
      <c r="BU71" s="0" t="n">
        <v>126191.864</v>
      </c>
      <c r="BV71" s="0" t="n">
        <v>9272.257724999999</v>
      </c>
      <c r="BW71" s="0" t="n">
        <v>43102.006243</v>
      </c>
      <c r="BX71" s="0" t="n">
        <v>52374.263968</v>
      </c>
      <c r="BY71" s="0" t="n">
        <v>58055.8222</v>
      </c>
      <c r="BZ71" s="0" t="n">
        <v>246208.680468</v>
      </c>
      <c r="CA71" s="0" t="n">
        <v>304264.502668</v>
      </c>
      <c r="CB71" s="0" t="n">
        <v>45415.497332</v>
      </c>
      <c r="CC71" s="0" t="n">
        <v>47</v>
      </c>
      <c r="CD71" s="0" t="n">
        <v>115229</v>
      </c>
      <c r="CE71" s="0" t="n">
        <v>270570.21</v>
      </c>
      <c r="CF71" s="0" t="n">
        <v>86655</v>
      </c>
      <c r="CG71" s="0" t="n">
        <v>22927</v>
      </c>
      <c r="CH71" s="0" t="n">
        <v>630959.3199999999</v>
      </c>
      <c r="CI71" s="0" t="n">
        <v>2760232</v>
      </c>
      <c r="CJ71" s="0" t="n">
        <v>580167</v>
      </c>
    </row>
    <row r="72" outlineLevel="2" ht="14.4975" customHeight="1" s="64">
      <c r="B72" s="80" t="inlineStr">
        <is>
          <t>Bachelor Commerce, 1re année, alternance</t>
        </is>
      </c>
      <c r="C72" s="81">
        <f>SUMIFS(_CALC_ALLOC!$G$1:$G$349,_CALC_ALLOC!$AS$1:$AS$349,"2027|"&amp;$P$1,_CALC_ALLOC!$B$1:$B$349,$U72,_CALC_ALLOC!$D$1:$D$349,$W72,_CALC_ALLOC!$E$1:$E$349,$X72,_CALC_ALLOC!$F$1:$F$349,$Y72)</f>
        <v/>
      </c>
      <c r="D72" s="82">
        <f>SUMIFS(_CALC_ALLOC!$I$1:$I$349,_CALC_ALLOC!$AS$1:$AS$349,"2027|"&amp;$P$1,_CALC_ALLOC!$B$1:$B$349,$U72,_CALC_ALLOC!$D$1:$D$349,$W72,_CALC_ALLOC!$E$1:$E$349,$X72,_CALC_ALLOC!$F$1:$F$349,$Y72)</f>
        <v/>
      </c>
      <c r="E72" s="82">
        <f>SUMIFS(_CALC_ALLOC!$AI$1:$AI$349,_CALC_ALLOC!$AS$1:$AS$349,"2027|"&amp;$P$1,_CALC_ALLOC!$B$1:$B$349,$U72,_CALC_ALLOC!$D$1:$D$349,$W72,_CALC_ALLOC!$E$1:$E$349,$X72,_CALC_ALLOC!$F$1:$F$349,$Y72)</f>
        <v/>
      </c>
      <c r="F72" s="82">
        <f>SUMIFS(_CALC_ALLOC!$AJ$1:$AJ$349,_CALC_ALLOC!$AS$1:$AS$349,"2027|"&amp;$P$1,_CALC_ALLOC!$B$1:$B$349,$U72,_CALC_ALLOC!$D$1:$D$349,$W72,_CALC_ALLOC!$E$1:$E$349,$X72,_CALC_ALLOC!$F$1:$F$349,$Y72)</f>
        <v/>
      </c>
      <c r="G72" s="82">
        <f>SUMIFS(_CALC_ALLOC!$AK$1:$AK$349,_CALC_ALLOC!$AS$1:$AS$349,"2027|"&amp;$P$1,_CALC_ALLOC!$B$1:$B$349,$U72,_CALC_ALLOC!$D$1:$D$349,$W72,_CALC_ALLOC!$E$1:$E$349,$X72,_CALC_ALLOC!$F$1:$F$349,$Y72)</f>
        <v/>
      </c>
      <c r="H72" s="82">
        <f>SUMIFS(_CALC_ALLOC!$AL$1:$AL$349,_CALC_ALLOC!$AS$1:$AS$349,"2027|"&amp;$P$1,_CALC_ALLOC!$B$1:$B$349,$U72,_CALC_ALLOC!$D$1:$D$349,$W72,_CALC_ALLOC!$E$1:$E$349,$X72,_CALC_ALLOC!$F$1:$F$349,$Y72)</f>
        <v/>
      </c>
      <c r="I72" s="82">
        <f>SUMIFS(_CALC_ALLOC!$AR$1:$AR$349,_CALC_ALLOC!$AS$1:$AS$349,"2027|"&amp;$P$1,_CALC_ALLOC!$B$1:$B$349,$U72,_CALC_ALLOC!$D$1:$D$349,$W72,_CALC_ALLOC!$E$1:$E$349,$X72,_CALC_ALLOC!$F$1:$F$349,$Y72)</f>
        <v/>
      </c>
      <c r="J72" s="82">
        <f>SUMIFS(_CALC_ALLOC!$AM$1:$AM$349,_CALC_ALLOC!$AS$1:$AS$349,"2027|"&amp;$P$1,_CALC_ALLOC!$B$1:$B$349,$U72,_CALC_ALLOC!$D$1:$D$349,$W72,_CALC_ALLOC!$E$1:$E$349,$X72,_CALC_ALLOC!$F$1:$F$349,$Y72)</f>
        <v/>
      </c>
      <c r="K72" s="83">
        <f>E72+F72+G72+H72+I72+J72</f>
        <v/>
      </c>
      <c r="L72" s="84">
        <f>SUMIFS(_CALC_ALLOC!$AN$1:$AN$349,_CALC_ALLOC!$AS$1:$AS$349,"2027|"&amp;$P$1,_CALC_ALLOC!$B$1:$B$349,$U72,_CALC_ALLOC!$D$1:$D$349,$W72,_CALC_ALLOC!$E$1:$E$349,$X72,_CALC_ALLOC!$F$1:$F$349,$Y72)</f>
        <v/>
      </c>
      <c r="M72" s="85">
        <f>IF(D72=0,0,L72/D72)</f>
        <v/>
      </c>
      <c r="T72" s="74" t="inlineStr">
        <is>
          <t>IPAC_MTP|BAC_CCE|B1|ALT</t>
        </is>
      </c>
      <c r="U72" s="74" t="inlineStr">
        <is>
          <t>IPAC_MTP</t>
        </is>
      </c>
      <c r="V72" s="74" t="inlineStr">
        <is>
          <t>IPAC</t>
        </is>
      </c>
      <c r="W72" s="74" t="inlineStr">
        <is>
          <t>BAC_CCE</t>
        </is>
      </c>
      <c r="X72" s="74" t="inlineStr">
        <is>
          <t>B1</t>
        </is>
      </c>
      <c r="Y72" s="74" t="inlineStr">
        <is>
          <t>ALT</t>
        </is>
      </c>
      <c r="Z72" s="74" t="n">
        <v>3</v>
      </c>
      <c r="BF72" s="0" t="inlineStr">
        <is>
          <t>2027BUD_V1</t>
        </is>
      </c>
      <c r="BG72" s="0" t="inlineStr">
        <is>
          <t>ACT</t>
        </is>
      </c>
      <c r="BH72" s="0" t="inlineStr">
        <is>
          <t>12</t>
        </is>
      </c>
      <c r="BI72" s="0" t="inlineStr">
        <is>
          <t>2025</t>
        </is>
      </c>
      <c r="BJ72" s="0" t="inlineStr">
        <is>
          <t>ISCOM_LIL</t>
        </is>
      </c>
      <c r="BK72" s="0" t="inlineStr">
        <is>
          <t>ISCOM</t>
        </is>
      </c>
      <c r="BL72" s="0" t="inlineStr">
        <is>
          <t>BAC_COM</t>
        </is>
      </c>
      <c r="BM72" s="0" t="inlineStr">
        <is>
          <t>B2</t>
        </is>
      </c>
      <c r="BN72" s="0" t="inlineStr">
        <is>
          <t>ALT</t>
        </is>
      </c>
      <c r="BO72" s="0" t="n">
        <v>45</v>
      </c>
      <c r="BP72" s="0" t="n">
        <v>2</v>
      </c>
      <c r="BQ72" s="0" t="n">
        <v>308700</v>
      </c>
      <c r="BR72" s="0" t="n">
        <v>23045.8</v>
      </c>
      <c r="BS72" s="0" t="n">
        <v>54114.042</v>
      </c>
      <c r="BT72" s="0" t="n">
        <v>17028.22743</v>
      </c>
      <c r="BU72" s="0" t="n">
        <v>126191.864</v>
      </c>
      <c r="BV72" s="0" t="n">
        <v>9272.257724999999</v>
      </c>
      <c r="BW72" s="0" t="n">
        <v>43102.006243</v>
      </c>
      <c r="BX72" s="0" t="n">
        <v>52374.263968</v>
      </c>
      <c r="BY72" s="0" t="n">
        <v>40074.02743</v>
      </c>
      <c r="BZ72" s="0" t="n">
        <v>232680.169968</v>
      </c>
      <c r="CA72" s="0" t="n">
        <v>272754.197398</v>
      </c>
      <c r="CB72" s="0" t="n">
        <v>35945.802602</v>
      </c>
      <c r="CC72" s="0" t="n">
        <v>0</v>
      </c>
      <c r="CD72" s="0" t="n">
        <v>115229</v>
      </c>
      <c r="CE72" s="0" t="n">
        <v>270570.21</v>
      </c>
      <c r="CF72" s="0" t="n">
        <v>86655</v>
      </c>
      <c r="CG72" s="0" t="n">
        <v>22927</v>
      </c>
      <c r="CH72" s="0" t="n">
        <v>630959.3199999999</v>
      </c>
      <c r="CI72" s="0" t="n">
        <v>2760232</v>
      </c>
      <c r="CJ72" s="0" t="n">
        <v>580167</v>
      </c>
    </row>
    <row r="73" outlineLevel="2" ht="14.4975" customHeight="1" s="64">
      <c r="B73" s="80" t="inlineStr">
        <is>
          <t>Bachelor Commerce, 2e année, alternance</t>
        </is>
      </c>
      <c r="C73" s="81">
        <f>SUMIFS(_CALC_ALLOC!$G$1:$G$349,_CALC_ALLOC!$AS$1:$AS$349,"2027|"&amp;$P$1,_CALC_ALLOC!$B$1:$B$349,$U73,_CALC_ALLOC!$D$1:$D$349,$W73,_CALC_ALLOC!$E$1:$E$349,$X73,_CALC_ALLOC!$F$1:$F$349,$Y73)</f>
        <v/>
      </c>
      <c r="D73" s="82">
        <f>SUMIFS(_CALC_ALLOC!$I$1:$I$349,_CALC_ALLOC!$AS$1:$AS$349,"2027|"&amp;$P$1,_CALC_ALLOC!$B$1:$B$349,$U73,_CALC_ALLOC!$D$1:$D$349,$W73,_CALC_ALLOC!$E$1:$E$349,$X73,_CALC_ALLOC!$F$1:$F$349,$Y73)</f>
        <v/>
      </c>
      <c r="E73" s="82">
        <f>SUMIFS(_CALC_ALLOC!$AI$1:$AI$349,_CALC_ALLOC!$AS$1:$AS$349,"2027|"&amp;$P$1,_CALC_ALLOC!$B$1:$B$349,$U73,_CALC_ALLOC!$D$1:$D$349,$W73,_CALC_ALLOC!$E$1:$E$349,$X73,_CALC_ALLOC!$F$1:$F$349,$Y73)</f>
        <v/>
      </c>
      <c r="F73" s="82">
        <f>SUMIFS(_CALC_ALLOC!$AJ$1:$AJ$349,_CALC_ALLOC!$AS$1:$AS$349,"2027|"&amp;$P$1,_CALC_ALLOC!$B$1:$B$349,$U73,_CALC_ALLOC!$D$1:$D$349,$W73,_CALC_ALLOC!$E$1:$E$349,$X73,_CALC_ALLOC!$F$1:$F$349,$Y73)</f>
        <v/>
      </c>
      <c r="G73" s="82">
        <f>SUMIFS(_CALC_ALLOC!$AK$1:$AK$349,_CALC_ALLOC!$AS$1:$AS$349,"2027|"&amp;$P$1,_CALC_ALLOC!$B$1:$B$349,$U73,_CALC_ALLOC!$D$1:$D$349,$W73,_CALC_ALLOC!$E$1:$E$349,$X73,_CALC_ALLOC!$F$1:$F$349,$Y73)</f>
        <v/>
      </c>
      <c r="H73" s="82">
        <f>SUMIFS(_CALC_ALLOC!$AL$1:$AL$349,_CALC_ALLOC!$AS$1:$AS$349,"2027|"&amp;$P$1,_CALC_ALLOC!$B$1:$B$349,$U73,_CALC_ALLOC!$D$1:$D$349,$W73,_CALC_ALLOC!$E$1:$E$349,$X73,_CALC_ALLOC!$F$1:$F$349,$Y73)</f>
        <v/>
      </c>
      <c r="I73" s="82">
        <f>SUMIFS(_CALC_ALLOC!$AR$1:$AR$349,_CALC_ALLOC!$AS$1:$AS$349,"2027|"&amp;$P$1,_CALC_ALLOC!$B$1:$B$349,$U73,_CALC_ALLOC!$D$1:$D$349,$W73,_CALC_ALLOC!$E$1:$E$349,$X73,_CALC_ALLOC!$F$1:$F$349,$Y73)</f>
        <v/>
      </c>
      <c r="J73" s="82">
        <f>SUMIFS(_CALC_ALLOC!$AM$1:$AM$349,_CALC_ALLOC!$AS$1:$AS$349,"2027|"&amp;$P$1,_CALC_ALLOC!$B$1:$B$349,$U73,_CALC_ALLOC!$D$1:$D$349,$W73,_CALC_ALLOC!$E$1:$E$349,$X73,_CALC_ALLOC!$F$1:$F$349,$Y73)</f>
        <v/>
      </c>
      <c r="K73" s="83">
        <f>E73+F73+G73+H73+I73+J73</f>
        <v/>
      </c>
      <c r="L73" s="84">
        <f>SUMIFS(_CALC_ALLOC!$AN$1:$AN$349,_CALC_ALLOC!$AS$1:$AS$349,"2027|"&amp;$P$1,_CALC_ALLOC!$B$1:$B$349,$U73,_CALC_ALLOC!$D$1:$D$349,$W73,_CALC_ALLOC!$E$1:$E$349,$X73,_CALC_ALLOC!$F$1:$F$349,$Y73)</f>
        <v/>
      </c>
      <c r="M73" s="85">
        <f>IF(D73=0,0,L73/D73)</f>
        <v/>
      </c>
      <c r="T73" s="74" t="inlineStr">
        <is>
          <t>IPAC_MTP|BAC_CCE|B2|ALT</t>
        </is>
      </c>
      <c r="U73" s="74" t="inlineStr">
        <is>
          <t>IPAC_MTP</t>
        </is>
      </c>
      <c r="V73" s="74" t="inlineStr">
        <is>
          <t>IPAC</t>
        </is>
      </c>
      <c r="W73" s="74" t="inlineStr">
        <is>
          <t>BAC_CCE</t>
        </is>
      </c>
      <c r="X73" s="74" t="inlineStr">
        <is>
          <t>B2</t>
        </is>
      </c>
      <c r="Y73" s="74" t="inlineStr">
        <is>
          <t>ALT</t>
        </is>
      </c>
      <c r="Z73" s="74" t="n">
        <v>3</v>
      </c>
      <c r="BF73" s="0" t="inlineStr">
        <is>
          <t>2027BUD_V1</t>
        </is>
      </c>
      <c r="BG73" s="0" t="inlineStr">
        <is>
          <t>ACT</t>
        </is>
      </c>
      <c r="BH73" s="0" t="inlineStr">
        <is>
          <t>12</t>
        </is>
      </c>
      <c r="BI73" s="0" t="inlineStr">
        <is>
          <t>2025</t>
        </is>
      </c>
      <c r="BJ73" s="0" t="inlineStr">
        <is>
          <t>ISCOM_LIL</t>
        </is>
      </c>
      <c r="BK73" s="0" t="inlineStr">
        <is>
          <t>ISCOM</t>
        </is>
      </c>
      <c r="BL73" s="0" t="inlineStr">
        <is>
          <t>BAC_COM</t>
        </is>
      </c>
      <c r="BM73" s="0" t="inlineStr">
        <is>
          <t>B3</t>
        </is>
      </c>
      <c r="BN73" s="0" t="inlineStr">
        <is>
          <t>ALT</t>
        </is>
      </c>
      <c r="BO73" s="0" t="n">
        <v>44</v>
      </c>
      <c r="BP73" s="0" t="n">
        <v>2</v>
      </c>
      <c r="BQ73" s="0" t="n">
        <v>301840</v>
      </c>
      <c r="BR73" s="0" t="n">
        <v>23045.8</v>
      </c>
      <c r="BS73" s="0" t="n">
        <v>54114.042</v>
      </c>
      <c r="BT73" s="0" t="n">
        <v>16649.805045</v>
      </c>
      <c r="BU73" s="0" t="n">
        <v>126191.864</v>
      </c>
      <c r="BV73" s="0" t="n">
        <v>9272.257724999999</v>
      </c>
      <c r="BW73" s="0" t="n">
        <v>43102.006243</v>
      </c>
      <c r="BX73" s="0" t="n">
        <v>52374.263968</v>
      </c>
      <c r="BY73" s="0" t="n">
        <v>39695.605045</v>
      </c>
      <c r="BZ73" s="0" t="n">
        <v>232680.169968</v>
      </c>
      <c r="CA73" s="0" t="n">
        <v>272375.775013</v>
      </c>
      <c r="CB73" s="0" t="n">
        <v>29464.224987</v>
      </c>
      <c r="CC73" s="0" t="n">
        <v>0</v>
      </c>
      <c r="CD73" s="0" t="n">
        <v>115229</v>
      </c>
      <c r="CE73" s="0" t="n">
        <v>270570.21</v>
      </c>
      <c r="CF73" s="0" t="n">
        <v>86655</v>
      </c>
      <c r="CG73" s="0" t="n">
        <v>22927</v>
      </c>
      <c r="CH73" s="0" t="n">
        <v>630959.3199999999</v>
      </c>
      <c r="CI73" s="0" t="n">
        <v>2760232</v>
      </c>
      <c r="CJ73" s="0" t="n">
        <v>580167</v>
      </c>
    </row>
    <row r="74" outlineLevel="2" ht="14.4975" customHeight="1" s="64">
      <c r="B74" s="80" t="inlineStr">
        <is>
          <t>Bachelor Commerce, 3e année, alternance</t>
        </is>
      </c>
      <c r="C74" s="81">
        <f>SUMIFS(_CALC_ALLOC!$G$1:$G$349,_CALC_ALLOC!$AS$1:$AS$349,"2027|"&amp;$P$1,_CALC_ALLOC!$B$1:$B$349,$U74,_CALC_ALLOC!$D$1:$D$349,$W74,_CALC_ALLOC!$E$1:$E$349,$X74,_CALC_ALLOC!$F$1:$F$349,$Y74)</f>
        <v/>
      </c>
      <c r="D74" s="82">
        <f>SUMIFS(_CALC_ALLOC!$I$1:$I$349,_CALC_ALLOC!$AS$1:$AS$349,"2027|"&amp;$P$1,_CALC_ALLOC!$B$1:$B$349,$U74,_CALC_ALLOC!$D$1:$D$349,$W74,_CALC_ALLOC!$E$1:$E$349,$X74,_CALC_ALLOC!$F$1:$F$349,$Y74)</f>
        <v/>
      </c>
      <c r="E74" s="82">
        <f>SUMIFS(_CALC_ALLOC!$AI$1:$AI$349,_CALC_ALLOC!$AS$1:$AS$349,"2027|"&amp;$P$1,_CALC_ALLOC!$B$1:$B$349,$U74,_CALC_ALLOC!$D$1:$D$349,$W74,_CALC_ALLOC!$E$1:$E$349,$X74,_CALC_ALLOC!$F$1:$F$349,$Y74)</f>
        <v/>
      </c>
      <c r="F74" s="82">
        <f>SUMIFS(_CALC_ALLOC!$AJ$1:$AJ$349,_CALC_ALLOC!$AS$1:$AS$349,"2027|"&amp;$P$1,_CALC_ALLOC!$B$1:$B$349,$U74,_CALC_ALLOC!$D$1:$D$349,$W74,_CALC_ALLOC!$E$1:$E$349,$X74,_CALC_ALLOC!$F$1:$F$349,$Y74)</f>
        <v/>
      </c>
      <c r="G74" s="82">
        <f>SUMIFS(_CALC_ALLOC!$AK$1:$AK$349,_CALC_ALLOC!$AS$1:$AS$349,"2027|"&amp;$P$1,_CALC_ALLOC!$B$1:$B$349,$U74,_CALC_ALLOC!$D$1:$D$349,$W74,_CALC_ALLOC!$E$1:$E$349,$X74,_CALC_ALLOC!$F$1:$F$349,$Y74)</f>
        <v/>
      </c>
      <c r="H74" s="82">
        <f>SUMIFS(_CALC_ALLOC!$AL$1:$AL$349,_CALC_ALLOC!$AS$1:$AS$349,"2027|"&amp;$P$1,_CALC_ALLOC!$B$1:$B$349,$U74,_CALC_ALLOC!$D$1:$D$349,$W74,_CALC_ALLOC!$E$1:$E$349,$X74,_CALC_ALLOC!$F$1:$F$349,$Y74)</f>
        <v/>
      </c>
      <c r="I74" s="82">
        <f>SUMIFS(_CALC_ALLOC!$AR$1:$AR$349,_CALC_ALLOC!$AS$1:$AS$349,"2027|"&amp;$P$1,_CALC_ALLOC!$B$1:$B$349,$U74,_CALC_ALLOC!$D$1:$D$349,$W74,_CALC_ALLOC!$E$1:$E$349,$X74,_CALC_ALLOC!$F$1:$F$349,$Y74)</f>
        <v/>
      </c>
      <c r="J74" s="82">
        <f>SUMIFS(_CALC_ALLOC!$AM$1:$AM$349,_CALC_ALLOC!$AS$1:$AS$349,"2027|"&amp;$P$1,_CALC_ALLOC!$B$1:$B$349,$U74,_CALC_ALLOC!$D$1:$D$349,$W74,_CALC_ALLOC!$E$1:$E$349,$X74,_CALC_ALLOC!$F$1:$F$349,$Y74)</f>
        <v/>
      </c>
      <c r="K74" s="83">
        <f>E74+F74+G74+H74+I74+J74</f>
        <v/>
      </c>
      <c r="L74" s="84">
        <f>SUMIFS(_CALC_ALLOC!$AN$1:$AN$349,_CALC_ALLOC!$AS$1:$AS$349,"2027|"&amp;$P$1,_CALC_ALLOC!$B$1:$B$349,$U74,_CALC_ALLOC!$D$1:$D$349,$W74,_CALC_ALLOC!$E$1:$E$349,$X74,_CALC_ALLOC!$F$1:$F$349,$Y74)</f>
        <v/>
      </c>
      <c r="M74" s="85">
        <f>IF(D74=0,0,L74/D74)</f>
        <v/>
      </c>
      <c r="T74" s="74" t="inlineStr">
        <is>
          <t>IPAC_MTP|BAC_CCE|B3|ALT</t>
        </is>
      </c>
      <c r="U74" s="74" t="inlineStr">
        <is>
          <t>IPAC_MTP</t>
        </is>
      </c>
      <c r="V74" s="74" t="inlineStr">
        <is>
          <t>IPAC</t>
        </is>
      </c>
      <c r="W74" s="74" t="inlineStr">
        <is>
          <t>BAC_CCE</t>
        </is>
      </c>
      <c r="X74" s="74" t="inlineStr">
        <is>
          <t>B3</t>
        </is>
      </c>
      <c r="Y74" s="74" t="inlineStr">
        <is>
          <t>ALT</t>
        </is>
      </c>
      <c r="Z74" s="74" t="n">
        <v>3</v>
      </c>
      <c r="BF74" s="0" t="inlineStr">
        <is>
          <t>2027BUD_V1</t>
        </is>
      </c>
      <c r="BG74" s="0" t="inlineStr">
        <is>
          <t>ACT</t>
        </is>
      </c>
      <c r="BH74" s="0" t="inlineStr">
        <is>
          <t>12</t>
        </is>
      </c>
      <c r="BI74" s="0" t="inlineStr">
        <is>
          <t>2025</t>
        </is>
      </c>
      <c r="BJ74" s="0" t="inlineStr">
        <is>
          <t>ISCOM_LIL</t>
        </is>
      </c>
      <c r="BK74" s="0" t="inlineStr">
        <is>
          <t>ISCOM</t>
        </is>
      </c>
      <c r="BL74" s="0" t="inlineStr">
        <is>
          <t>MAS_COM</t>
        </is>
      </c>
      <c r="BM74" s="0" t="inlineStr">
        <is>
          <t>M1</t>
        </is>
      </c>
      <c r="BN74" s="0" t="inlineStr">
        <is>
          <t>ALT</t>
        </is>
      </c>
      <c r="BO74" s="0" t="n">
        <v>47</v>
      </c>
      <c r="BP74" s="0" t="n">
        <v>2</v>
      </c>
      <c r="BQ74" s="0" t="n">
        <v>349680</v>
      </c>
      <c r="BR74" s="0" t="n">
        <v>20165.075</v>
      </c>
      <c r="BS74" s="0" t="n">
        <v>47349.78675</v>
      </c>
      <c r="BT74" s="0" t="n">
        <v>29248.5722</v>
      </c>
      <c r="BU74" s="0" t="n">
        <v>126191.864</v>
      </c>
      <c r="BV74" s="0" t="n">
        <v>9272.257724999999</v>
      </c>
      <c r="BW74" s="0" t="n">
        <v>43102.006243</v>
      </c>
      <c r="BX74" s="0" t="n">
        <v>52374.263968</v>
      </c>
      <c r="BY74" s="0" t="n">
        <v>49413.6472</v>
      </c>
      <c r="BZ74" s="0" t="n">
        <v>225915.914718</v>
      </c>
      <c r="CA74" s="0" t="n">
        <v>275329.561918</v>
      </c>
      <c r="CB74" s="0" t="n">
        <v>74350.43808199999</v>
      </c>
      <c r="CC74" s="0" t="n">
        <v>47</v>
      </c>
      <c r="CD74" s="0" t="n">
        <v>115229</v>
      </c>
      <c r="CE74" s="0" t="n">
        <v>270570.21</v>
      </c>
      <c r="CF74" s="0" t="n">
        <v>86655</v>
      </c>
      <c r="CG74" s="0" t="n">
        <v>22927</v>
      </c>
      <c r="CH74" s="0" t="n">
        <v>630959.3199999999</v>
      </c>
      <c r="CI74" s="0" t="n">
        <v>2760232</v>
      </c>
      <c r="CJ74" s="0" t="n">
        <v>580167</v>
      </c>
    </row>
    <row r="75" ht="14.4975" customHeight="1" s="64">
      <c r="B75" s="44" t="inlineStr">
        <is>
          <t>Pigier</t>
        </is>
      </c>
      <c r="C75" s="70">
        <f>SUMIFS(_CALC_ALLOC!$G$1:$G$349,_CALC_ALLOC!$AS$1:$AS$349,"2027|"&amp;$P$1,_CALC_ALLOC!$C$1:$C$349,$V75)</f>
        <v/>
      </c>
      <c r="D75" s="71">
        <f>SUMIFS(_CALC_ALLOC!$I$1:$I$349,_CALC_ALLOC!$AS$1:$AS$349,"2027|"&amp;$P$1,_CALC_ALLOC!$C$1:$C$349,$V75)</f>
        <v/>
      </c>
      <c r="E75" s="71">
        <f>SUMIFS(_CALC_ALLOC!$AI$1:$AI$349,_CALC_ALLOC!$AS$1:$AS$349,"2027|"&amp;$P$1,_CALC_ALLOC!$C$1:$C$349,$V75)</f>
        <v/>
      </c>
      <c r="F75" s="71">
        <f>SUMIFS(_CALC_ALLOC!$AJ$1:$AJ$349,_CALC_ALLOC!$AS$1:$AS$349,"2027|"&amp;$P$1,_CALC_ALLOC!$C$1:$C$349,$V75)</f>
        <v/>
      </c>
      <c r="G75" s="71">
        <f>SUMIFS(_CALC_ALLOC!$AK$1:$AK$349,_CALC_ALLOC!$AS$1:$AS$349,"2027|"&amp;$P$1,_CALC_ALLOC!$C$1:$C$349,$V75)</f>
        <v/>
      </c>
      <c r="H75" s="71">
        <f>SUMIFS(_CALC_ALLOC!$AL$1:$AL$349,_CALC_ALLOC!$AS$1:$AS$349,"2027|"&amp;$P$1,_CALC_ALLOC!$C$1:$C$349,$V75)</f>
        <v/>
      </c>
      <c r="I75" s="71">
        <f>SUMIFS(_CALC_ALLOC!$AR$1:$AR$349,_CALC_ALLOC!$AS$1:$AS$349,"2027|"&amp;$P$1,_CALC_ALLOC!$C$1:$C$349,$V75)</f>
        <v/>
      </c>
      <c r="J75" s="71">
        <f>SUMIFS(_CALC_ALLOC!$AM$1:$AM$349,_CALC_ALLOC!$AS$1:$AS$349,"2027|"&amp;$P$1,_CALC_ALLOC!$C$1:$C$349,$V75)</f>
        <v/>
      </c>
      <c r="K75" s="71">
        <f>E75+F75+G75+H75+I75+J75</f>
        <v/>
      </c>
      <c r="L75" s="72">
        <f>SUMIFS(_CALC_ALLOC!$AN$1:$AN$349,_CALC_ALLOC!$AS$1:$AS$349,"2027|"&amp;$P$1,_CALC_ALLOC!$C$1:$C$349,$V75)</f>
        <v/>
      </c>
      <c r="M75" s="73">
        <f>IF(D75=0,0,L75/D75)</f>
        <v/>
      </c>
      <c r="T75" s="74" t="inlineStr">
        <is>
          <t>PIGIER</t>
        </is>
      </c>
      <c r="U75" s="74" t="inlineStr"/>
      <c r="V75" s="74" t="inlineStr">
        <is>
          <t>PIGIER</t>
        </is>
      </c>
      <c r="W75" s="74" t="inlineStr"/>
      <c r="X75" s="74" t="inlineStr"/>
      <c r="Y75" s="74" t="inlineStr"/>
      <c r="Z75" s="74" t="n">
        <v>1</v>
      </c>
      <c r="BF75" s="0" t="inlineStr">
        <is>
          <t>2027BUD_V1</t>
        </is>
      </c>
      <c r="BG75" s="0" t="inlineStr">
        <is>
          <t>ACT</t>
        </is>
      </c>
      <c r="BH75" s="0" t="inlineStr">
        <is>
          <t>12</t>
        </is>
      </c>
      <c r="BI75" s="0" t="inlineStr">
        <is>
          <t>2025</t>
        </is>
      </c>
      <c r="BJ75" s="0" t="inlineStr">
        <is>
          <t>ISCOM_LIL</t>
        </is>
      </c>
      <c r="BK75" s="0" t="inlineStr">
        <is>
          <t>ISCOM</t>
        </is>
      </c>
      <c r="BL75" s="0" t="inlineStr">
        <is>
          <t>MAS_COM</t>
        </is>
      </c>
      <c r="BM75" s="0" t="inlineStr">
        <is>
          <t>M2</t>
        </is>
      </c>
      <c r="BN75" s="0" t="inlineStr">
        <is>
          <t>ALT</t>
        </is>
      </c>
      <c r="BO75" s="0" t="n">
        <v>46</v>
      </c>
      <c r="BP75" s="0" t="n">
        <v>2</v>
      </c>
      <c r="BQ75" s="0" t="n">
        <v>338100</v>
      </c>
      <c r="BR75" s="0" t="n">
        <v>20165.075</v>
      </c>
      <c r="BS75" s="0" t="n">
        <v>47349.78675</v>
      </c>
      <c r="BT75" s="0" t="n">
        <v>17406.649815</v>
      </c>
      <c r="BU75" s="0" t="n">
        <v>126191.864</v>
      </c>
      <c r="BV75" s="0" t="n">
        <v>9272.257724999999</v>
      </c>
      <c r="BW75" s="0" t="n">
        <v>43102.006243</v>
      </c>
      <c r="BX75" s="0" t="n">
        <v>52374.263968</v>
      </c>
      <c r="BY75" s="0" t="n">
        <v>37571.724815</v>
      </c>
      <c r="BZ75" s="0" t="n">
        <v>225915.914718</v>
      </c>
      <c r="CA75" s="0" t="n">
        <v>263487.639533</v>
      </c>
      <c r="CB75" s="0" t="n">
        <v>74612.36046700001</v>
      </c>
      <c r="CC75" s="0" t="n">
        <v>0</v>
      </c>
      <c r="CD75" s="0" t="n">
        <v>115229</v>
      </c>
      <c r="CE75" s="0" t="n">
        <v>270570.21</v>
      </c>
      <c r="CF75" s="0" t="n">
        <v>86655</v>
      </c>
      <c r="CG75" s="0" t="n">
        <v>22927</v>
      </c>
      <c r="CH75" s="0" t="n">
        <v>630959.3199999999</v>
      </c>
      <c r="CI75" s="0" t="n">
        <v>2760232</v>
      </c>
      <c r="CJ75" s="0" t="n">
        <v>580167</v>
      </c>
    </row>
    <row r="76" outlineLevel="1" collapsed="1" ht="14.4975" customHeight="1" s="64">
      <c r="B76" s="75" t="inlineStr">
        <is>
          <t>Lyon</t>
        </is>
      </c>
      <c r="C76" s="76">
        <f>SUMIFS(_CALC_ALLOC!$G$1:$G$349,_CALC_ALLOC!$AS$1:$AS$349,"2027|"&amp;$P$1,_CALC_ALLOC!$B$1:$B$349,$U76)</f>
        <v/>
      </c>
      <c r="D76" s="77">
        <f>SUMIFS(_CALC_ALLOC!$I$1:$I$349,_CALC_ALLOC!$AS$1:$AS$349,"2027|"&amp;$P$1,_CALC_ALLOC!$B$1:$B$349,$U76)</f>
        <v/>
      </c>
      <c r="E76" s="77">
        <f>SUMIFS(_CALC_ALLOC!$AI$1:$AI$349,_CALC_ALLOC!$AS$1:$AS$349,"2027|"&amp;$P$1,_CALC_ALLOC!$B$1:$B$349,$U76)</f>
        <v/>
      </c>
      <c r="F76" s="77">
        <f>SUMIFS(_CALC_ALLOC!$AJ$1:$AJ$349,_CALC_ALLOC!$AS$1:$AS$349,"2027|"&amp;$P$1,_CALC_ALLOC!$B$1:$B$349,$U76)</f>
        <v/>
      </c>
      <c r="G76" s="77">
        <f>SUMIFS(_CALC_ALLOC!$AK$1:$AK$349,_CALC_ALLOC!$AS$1:$AS$349,"2027|"&amp;$P$1,_CALC_ALLOC!$B$1:$B$349,$U76)</f>
        <v/>
      </c>
      <c r="H76" s="77">
        <f>SUMIFS(_CALC_ALLOC!$AL$1:$AL$349,_CALC_ALLOC!$AS$1:$AS$349,"2027|"&amp;$P$1,_CALC_ALLOC!$B$1:$B$349,$U76)</f>
        <v/>
      </c>
      <c r="I76" s="77">
        <f>SUMIFS(_CALC_ALLOC!$AR$1:$AR$349,_CALC_ALLOC!$AS$1:$AS$349,"2027|"&amp;$P$1,_CALC_ALLOC!$B$1:$B$349,$U76)</f>
        <v/>
      </c>
      <c r="J76" s="77">
        <f>SUMIFS(_CALC_ALLOC!$AM$1:$AM$349,_CALC_ALLOC!$AS$1:$AS$349,"2027|"&amp;$P$1,_CALC_ALLOC!$B$1:$B$349,$U76)</f>
        <v/>
      </c>
      <c r="K76" s="77">
        <f>E76+F76+G76+H76+I76+J76</f>
        <v/>
      </c>
      <c r="L76" s="78">
        <f>SUMIFS(_CALC_ALLOC!$AN$1:$AN$349,_CALC_ALLOC!$AS$1:$AS$349,"2027|"&amp;$P$1,_CALC_ALLOC!$B$1:$B$349,$U76)</f>
        <v/>
      </c>
      <c r="M76" s="79">
        <f>IF(D76=0,0,L76/D76)</f>
        <v/>
      </c>
      <c r="T76" s="74" t="inlineStr">
        <is>
          <t>PIGIER_LYO</t>
        </is>
      </c>
      <c r="U76" s="74" t="inlineStr">
        <is>
          <t>PIGIER_LYO</t>
        </is>
      </c>
      <c r="V76" s="74" t="inlineStr">
        <is>
          <t>PIGIER</t>
        </is>
      </c>
      <c r="W76" s="74" t="inlineStr"/>
      <c r="X76" s="74" t="inlineStr"/>
      <c r="Y76" s="74" t="inlineStr"/>
      <c r="Z76" s="74" t="n">
        <v>2</v>
      </c>
      <c r="BF76" s="0" t="inlineStr">
        <is>
          <t>2027BUD_V1</t>
        </is>
      </c>
      <c r="BG76" s="0" t="inlineStr">
        <is>
          <t>ACT</t>
        </is>
      </c>
      <c r="BH76" s="0" t="inlineStr">
        <is>
          <t>12</t>
        </is>
      </c>
      <c r="BI76" s="0" t="inlineStr">
        <is>
          <t>2025</t>
        </is>
      </c>
      <c r="BJ76" s="0" t="inlineStr">
        <is>
          <t>ISCOM_PAR</t>
        </is>
      </c>
      <c r="BK76" s="0" t="inlineStr">
        <is>
          <t>ISCOM</t>
        </is>
      </c>
      <c r="BL76" s="0" t="inlineStr">
        <is>
          <t>BAC_COM</t>
        </is>
      </c>
      <c r="BM76" s="0" t="inlineStr">
        <is>
          <t>B1</t>
        </is>
      </c>
      <c r="BN76" s="0" t="inlineStr">
        <is>
          <t>INIT</t>
        </is>
      </c>
      <c r="BO76" s="0" t="n">
        <v>68</v>
      </c>
      <c r="BP76" s="0" t="n">
        <v>3</v>
      </c>
      <c r="BQ76" s="0" t="n">
        <v>577320</v>
      </c>
      <c r="BR76" s="0" t="n">
        <v>43211</v>
      </c>
      <c r="BS76" s="0" t="n">
        <v>116748.28</v>
      </c>
      <c r="BT76" s="0" t="n">
        <v>53231.58624</v>
      </c>
      <c r="BU76" s="0" t="n">
        <v>213002.642</v>
      </c>
      <c r="BV76" s="0" t="n">
        <v>13523.732638</v>
      </c>
      <c r="BW76" s="0" t="n">
        <v>62864.948956</v>
      </c>
      <c r="BX76" s="0" t="n">
        <v>76388.68159399999</v>
      </c>
      <c r="BY76" s="0" t="n">
        <v>96442.58624</v>
      </c>
      <c r="BZ76" s="0" t="n">
        <v>406139.603594</v>
      </c>
      <c r="CA76" s="0" t="n">
        <v>502582.189834</v>
      </c>
      <c r="CB76" s="0" t="n">
        <v>74737.810166</v>
      </c>
      <c r="CC76" s="0" t="n">
        <v>68</v>
      </c>
      <c r="CD76" s="0" t="n">
        <v>172844</v>
      </c>
      <c r="CE76" s="0" t="n">
        <v>466993.12</v>
      </c>
      <c r="CF76" s="0" t="n">
        <v>125720</v>
      </c>
      <c r="CG76" s="0" t="n">
        <v>55272</v>
      </c>
      <c r="CH76" s="0" t="n">
        <v>1065013.21</v>
      </c>
      <c r="CI76" s="0" t="n">
        <v>2760232</v>
      </c>
      <c r="CJ76" s="0" t="n">
        <v>580167</v>
      </c>
    </row>
    <row r="77" outlineLevel="2" ht="14.4975" customHeight="1" s="64">
      <c r="B77" s="80" t="inlineStr">
        <is>
          <t>Bachelor Ressources humaines, 1re année, alternance</t>
        </is>
      </c>
      <c r="C77" s="81">
        <f>SUMIFS(_CALC_ALLOC!$G$1:$G$349,_CALC_ALLOC!$AS$1:$AS$349,"2027|"&amp;$P$1,_CALC_ALLOC!$B$1:$B$349,$U77,_CALC_ALLOC!$D$1:$D$349,$W77,_CALC_ALLOC!$E$1:$E$349,$X77,_CALC_ALLOC!$F$1:$F$349,$Y77)</f>
        <v/>
      </c>
      <c r="D77" s="82">
        <f>SUMIFS(_CALC_ALLOC!$I$1:$I$349,_CALC_ALLOC!$AS$1:$AS$349,"2027|"&amp;$P$1,_CALC_ALLOC!$B$1:$B$349,$U77,_CALC_ALLOC!$D$1:$D$349,$W77,_CALC_ALLOC!$E$1:$E$349,$X77,_CALC_ALLOC!$F$1:$F$349,$Y77)</f>
        <v/>
      </c>
      <c r="E77" s="82">
        <f>SUMIFS(_CALC_ALLOC!$AI$1:$AI$349,_CALC_ALLOC!$AS$1:$AS$349,"2027|"&amp;$P$1,_CALC_ALLOC!$B$1:$B$349,$U77,_CALC_ALLOC!$D$1:$D$349,$W77,_CALC_ALLOC!$E$1:$E$349,$X77,_CALC_ALLOC!$F$1:$F$349,$Y77)</f>
        <v/>
      </c>
      <c r="F77" s="82">
        <f>SUMIFS(_CALC_ALLOC!$AJ$1:$AJ$349,_CALC_ALLOC!$AS$1:$AS$349,"2027|"&amp;$P$1,_CALC_ALLOC!$B$1:$B$349,$U77,_CALC_ALLOC!$D$1:$D$349,$W77,_CALC_ALLOC!$E$1:$E$349,$X77,_CALC_ALLOC!$F$1:$F$349,$Y77)</f>
        <v/>
      </c>
      <c r="G77" s="82">
        <f>SUMIFS(_CALC_ALLOC!$AK$1:$AK$349,_CALC_ALLOC!$AS$1:$AS$349,"2027|"&amp;$P$1,_CALC_ALLOC!$B$1:$B$349,$U77,_CALC_ALLOC!$D$1:$D$349,$W77,_CALC_ALLOC!$E$1:$E$349,$X77,_CALC_ALLOC!$F$1:$F$349,$Y77)</f>
        <v/>
      </c>
      <c r="H77" s="82">
        <f>SUMIFS(_CALC_ALLOC!$AL$1:$AL$349,_CALC_ALLOC!$AS$1:$AS$349,"2027|"&amp;$P$1,_CALC_ALLOC!$B$1:$B$349,$U77,_CALC_ALLOC!$D$1:$D$349,$W77,_CALC_ALLOC!$E$1:$E$349,$X77,_CALC_ALLOC!$F$1:$F$349,$Y77)</f>
        <v/>
      </c>
      <c r="I77" s="82">
        <f>SUMIFS(_CALC_ALLOC!$AR$1:$AR$349,_CALC_ALLOC!$AS$1:$AS$349,"2027|"&amp;$P$1,_CALC_ALLOC!$B$1:$B$349,$U77,_CALC_ALLOC!$D$1:$D$349,$W77,_CALC_ALLOC!$E$1:$E$349,$X77,_CALC_ALLOC!$F$1:$F$349,$Y77)</f>
        <v/>
      </c>
      <c r="J77" s="82">
        <f>SUMIFS(_CALC_ALLOC!$AM$1:$AM$349,_CALC_ALLOC!$AS$1:$AS$349,"2027|"&amp;$P$1,_CALC_ALLOC!$B$1:$B$349,$U77,_CALC_ALLOC!$D$1:$D$349,$W77,_CALC_ALLOC!$E$1:$E$349,$X77,_CALC_ALLOC!$F$1:$F$349,$Y77)</f>
        <v/>
      </c>
      <c r="K77" s="83">
        <f>E77+F77+G77+H77+I77+J77</f>
        <v/>
      </c>
      <c r="L77" s="84">
        <f>SUMIFS(_CALC_ALLOC!$AN$1:$AN$349,_CALC_ALLOC!$AS$1:$AS$349,"2027|"&amp;$P$1,_CALC_ALLOC!$B$1:$B$349,$U77,_CALC_ALLOC!$D$1:$D$349,$W77,_CALC_ALLOC!$E$1:$E$349,$X77,_CALC_ALLOC!$F$1:$F$349,$Y77)</f>
        <v/>
      </c>
      <c r="M77" s="85">
        <f>IF(D77=0,0,L77/D77)</f>
        <v/>
      </c>
      <c r="T77" s="74" t="inlineStr">
        <is>
          <t>PIGIER_LYO|BAC_RH|B1|ALT</t>
        </is>
      </c>
      <c r="U77" s="74" t="inlineStr">
        <is>
          <t>PIGIER_LYO</t>
        </is>
      </c>
      <c r="V77" s="74" t="inlineStr">
        <is>
          <t>PIGIER</t>
        </is>
      </c>
      <c r="W77" s="74" t="inlineStr">
        <is>
          <t>BAC_RH</t>
        </is>
      </c>
      <c r="X77" s="74" t="inlineStr">
        <is>
          <t>B1</t>
        </is>
      </c>
      <c r="Y77" s="74" t="inlineStr">
        <is>
          <t>ALT</t>
        </is>
      </c>
      <c r="Z77" s="74" t="n">
        <v>3</v>
      </c>
      <c r="BF77" s="0" t="inlineStr">
        <is>
          <t>2027BUD_V1</t>
        </is>
      </c>
      <c r="BG77" s="0" t="inlineStr">
        <is>
          <t>ACT</t>
        </is>
      </c>
      <c r="BH77" s="0" t="inlineStr">
        <is>
          <t>12</t>
        </is>
      </c>
      <c r="BI77" s="0" t="inlineStr">
        <is>
          <t>2025</t>
        </is>
      </c>
      <c r="BJ77" s="0" t="inlineStr">
        <is>
          <t>ISCOM_PAR</t>
        </is>
      </c>
      <c r="BK77" s="0" t="inlineStr">
        <is>
          <t>ISCOM</t>
        </is>
      </c>
      <c r="BL77" s="0" t="inlineStr">
        <is>
          <t>BAC_COM</t>
        </is>
      </c>
      <c r="BM77" s="0" t="inlineStr">
        <is>
          <t>B2</t>
        </is>
      </c>
      <c r="BN77" s="0" t="inlineStr">
        <is>
          <t>ALT</t>
        </is>
      </c>
      <c r="BO77" s="0" t="n">
        <v>66</v>
      </c>
      <c r="BP77" s="0" t="n">
        <v>3</v>
      </c>
      <c r="BQ77" s="0" t="n">
        <v>517440</v>
      </c>
      <c r="BR77" s="0" t="n">
        <v>34568.8</v>
      </c>
      <c r="BS77" s="0" t="n">
        <v>93398.624</v>
      </c>
      <c r="BT77" s="0" t="n">
        <v>24842.77488</v>
      </c>
      <c r="BU77" s="0" t="n">
        <v>213002.642</v>
      </c>
      <c r="BV77" s="0" t="n">
        <v>13523.732638</v>
      </c>
      <c r="BW77" s="0" t="n">
        <v>62864.948956</v>
      </c>
      <c r="BX77" s="0" t="n">
        <v>76388.68159399999</v>
      </c>
      <c r="BY77" s="0" t="n">
        <v>59411.57488</v>
      </c>
      <c r="BZ77" s="0" t="n">
        <v>382789.947594</v>
      </c>
      <c r="CA77" s="0" t="n">
        <v>442201.522474</v>
      </c>
      <c r="CB77" s="0" t="n">
        <v>75238.477526</v>
      </c>
      <c r="CC77" s="0" t="n">
        <v>0</v>
      </c>
      <c r="CD77" s="0" t="n">
        <v>172844</v>
      </c>
      <c r="CE77" s="0" t="n">
        <v>466993.12</v>
      </c>
      <c r="CF77" s="0" t="n">
        <v>125720</v>
      </c>
      <c r="CG77" s="0" t="n">
        <v>55272</v>
      </c>
      <c r="CH77" s="0" t="n">
        <v>1065013.21</v>
      </c>
      <c r="CI77" s="0" t="n">
        <v>2760232</v>
      </c>
      <c r="CJ77" s="0" t="n">
        <v>580167</v>
      </c>
    </row>
    <row r="78" outlineLevel="2" ht="14.4975" customHeight="1" s="64">
      <c r="B78" s="80" t="inlineStr">
        <is>
          <t>Bachelor Ressources humaines, 2e année, alternance</t>
        </is>
      </c>
      <c r="C78" s="81">
        <f>SUMIFS(_CALC_ALLOC!$G$1:$G$349,_CALC_ALLOC!$AS$1:$AS$349,"2027|"&amp;$P$1,_CALC_ALLOC!$B$1:$B$349,$U78,_CALC_ALLOC!$D$1:$D$349,$W78,_CALC_ALLOC!$E$1:$E$349,$X78,_CALC_ALLOC!$F$1:$F$349,$Y78)</f>
        <v/>
      </c>
      <c r="D78" s="82">
        <f>SUMIFS(_CALC_ALLOC!$I$1:$I$349,_CALC_ALLOC!$AS$1:$AS$349,"2027|"&amp;$P$1,_CALC_ALLOC!$B$1:$B$349,$U78,_CALC_ALLOC!$D$1:$D$349,$W78,_CALC_ALLOC!$E$1:$E$349,$X78,_CALC_ALLOC!$F$1:$F$349,$Y78)</f>
        <v/>
      </c>
      <c r="E78" s="82">
        <f>SUMIFS(_CALC_ALLOC!$AI$1:$AI$349,_CALC_ALLOC!$AS$1:$AS$349,"2027|"&amp;$P$1,_CALC_ALLOC!$B$1:$B$349,$U78,_CALC_ALLOC!$D$1:$D$349,$W78,_CALC_ALLOC!$E$1:$E$349,$X78,_CALC_ALLOC!$F$1:$F$349,$Y78)</f>
        <v/>
      </c>
      <c r="F78" s="82">
        <f>SUMIFS(_CALC_ALLOC!$AJ$1:$AJ$349,_CALC_ALLOC!$AS$1:$AS$349,"2027|"&amp;$P$1,_CALC_ALLOC!$B$1:$B$349,$U78,_CALC_ALLOC!$D$1:$D$349,$W78,_CALC_ALLOC!$E$1:$E$349,$X78,_CALC_ALLOC!$F$1:$F$349,$Y78)</f>
        <v/>
      </c>
      <c r="G78" s="82">
        <f>SUMIFS(_CALC_ALLOC!$AK$1:$AK$349,_CALC_ALLOC!$AS$1:$AS$349,"2027|"&amp;$P$1,_CALC_ALLOC!$B$1:$B$349,$U78,_CALC_ALLOC!$D$1:$D$349,$W78,_CALC_ALLOC!$E$1:$E$349,$X78,_CALC_ALLOC!$F$1:$F$349,$Y78)</f>
        <v/>
      </c>
      <c r="H78" s="82">
        <f>SUMIFS(_CALC_ALLOC!$AL$1:$AL$349,_CALC_ALLOC!$AS$1:$AS$349,"2027|"&amp;$P$1,_CALC_ALLOC!$B$1:$B$349,$U78,_CALC_ALLOC!$D$1:$D$349,$W78,_CALC_ALLOC!$E$1:$E$349,$X78,_CALC_ALLOC!$F$1:$F$349,$Y78)</f>
        <v/>
      </c>
      <c r="I78" s="82">
        <f>SUMIFS(_CALC_ALLOC!$AR$1:$AR$349,_CALC_ALLOC!$AS$1:$AS$349,"2027|"&amp;$P$1,_CALC_ALLOC!$B$1:$B$349,$U78,_CALC_ALLOC!$D$1:$D$349,$W78,_CALC_ALLOC!$E$1:$E$349,$X78,_CALC_ALLOC!$F$1:$F$349,$Y78)</f>
        <v/>
      </c>
      <c r="J78" s="82">
        <f>SUMIFS(_CALC_ALLOC!$AM$1:$AM$349,_CALC_ALLOC!$AS$1:$AS$349,"2027|"&amp;$P$1,_CALC_ALLOC!$B$1:$B$349,$U78,_CALC_ALLOC!$D$1:$D$349,$W78,_CALC_ALLOC!$E$1:$E$349,$X78,_CALC_ALLOC!$F$1:$F$349,$Y78)</f>
        <v/>
      </c>
      <c r="K78" s="83">
        <f>E78+F78+G78+H78+I78+J78</f>
        <v/>
      </c>
      <c r="L78" s="84">
        <f>SUMIFS(_CALC_ALLOC!$AN$1:$AN$349,_CALC_ALLOC!$AS$1:$AS$349,"2027|"&amp;$P$1,_CALC_ALLOC!$B$1:$B$349,$U78,_CALC_ALLOC!$D$1:$D$349,$W78,_CALC_ALLOC!$E$1:$E$349,$X78,_CALC_ALLOC!$F$1:$F$349,$Y78)</f>
        <v/>
      </c>
      <c r="M78" s="85">
        <f>IF(D78=0,0,L78/D78)</f>
        <v/>
      </c>
      <c r="T78" s="74" t="inlineStr">
        <is>
          <t>PIGIER_LYO|BAC_RH|B2|ALT</t>
        </is>
      </c>
      <c r="U78" s="74" t="inlineStr">
        <is>
          <t>PIGIER_LYO</t>
        </is>
      </c>
      <c r="V78" s="74" t="inlineStr">
        <is>
          <t>PIGIER</t>
        </is>
      </c>
      <c r="W78" s="74" t="inlineStr">
        <is>
          <t>BAC_RH</t>
        </is>
      </c>
      <c r="X78" s="74" t="inlineStr">
        <is>
          <t>B2</t>
        </is>
      </c>
      <c r="Y78" s="74" t="inlineStr">
        <is>
          <t>ALT</t>
        </is>
      </c>
      <c r="Z78" s="74" t="n">
        <v>3</v>
      </c>
      <c r="BF78" s="0" t="inlineStr">
        <is>
          <t>2027BUD_V1</t>
        </is>
      </c>
      <c r="BG78" s="0" t="inlineStr">
        <is>
          <t>ACT</t>
        </is>
      </c>
      <c r="BH78" s="0" t="inlineStr">
        <is>
          <t>12</t>
        </is>
      </c>
      <c r="BI78" s="0" t="inlineStr">
        <is>
          <t>2025</t>
        </is>
      </c>
      <c r="BJ78" s="0" t="inlineStr">
        <is>
          <t>ISCOM_PAR</t>
        </is>
      </c>
      <c r="BK78" s="0" t="inlineStr">
        <is>
          <t>ISCOM</t>
        </is>
      </c>
      <c r="BL78" s="0" t="inlineStr">
        <is>
          <t>BAC_COM</t>
        </is>
      </c>
      <c r="BM78" s="0" t="inlineStr">
        <is>
          <t>B3</t>
        </is>
      </c>
      <c r="BN78" s="0" t="inlineStr">
        <is>
          <t>ALT</t>
        </is>
      </c>
      <c r="BO78" s="0" t="n">
        <v>65</v>
      </c>
      <c r="BP78" s="0" t="n">
        <v>3</v>
      </c>
      <c r="BQ78" s="0" t="n">
        <v>509600</v>
      </c>
      <c r="BR78" s="0" t="n">
        <v>34568.8</v>
      </c>
      <c r="BS78" s="0" t="n">
        <v>93398.624</v>
      </c>
      <c r="BT78" s="0" t="n">
        <v>24466.3692</v>
      </c>
      <c r="BU78" s="0" t="n">
        <v>213002.642</v>
      </c>
      <c r="BV78" s="0" t="n">
        <v>13523.732638</v>
      </c>
      <c r="BW78" s="0" t="n">
        <v>62864.948956</v>
      </c>
      <c r="BX78" s="0" t="n">
        <v>76388.68159399999</v>
      </c>
      <c r="BY78" s="0" t="n">
        <v>59035.1692</v>
      </c>
      <c r="BZ78" s="0" t="n">
        <v>382789.947594</v>
      </c>
      <c r="CA78" s="0" t="n">
        <v>441825.116794</v>
      </c>
      <c r="CB78" s="0" t="n">
        <v>67774.883206</v>
      </c>
      <c r="CC78" s="0" t="n">
        <v>0</v>
      </c>
      <c r="CD78" s="0" t="n">
        <v>172844</v>
      </c>
      <c r="CE78" s="0" t="n">
        <v>466993.12</v>
      </c>
      <c r="CF78" s="0" t="n">
        <v>125720</v>
      </c>
      <c r="CG78" s="0" t="n">
        <v>55272</v>
      </c>
      <c r="CH78" s="0" t="n">
        <v>1065013.21</v>
      </c>
      <c r="CI78" s="0" t="n">
        <v>2760232</v>
      </c>
      <c r="CJ78" s="0" t="n">
        <v>580167</v>
      </c>
    </row>
    <row r="79" outlineLevel="2" ht="14.4975" customHeight="1" s="64">
      <c r="B79" s="80" t="inlineStr">
        <is>
          <t>Bachelor Ressources humaines, 3e année, alternance</t>
        </is>
      </c>
      <c r="C79" s="81">
        <f>SUMIFS(_CALC_ALLOC!$G$1:$G$349,_CALC_ALLOC!$AS$1:$AS$349,"2027|"&amp;$P$1,_CALC_ALLOC!$B$1:$B$349,$U79,_CALC_ALLOC!$D$1:$D$349,$W79,_CALC_ALLOC!$E$1:$E$349,$X79,_CALC_ALLOC!$F$1:$F$349,$Y79)</f>
        <v/>
      </c>
      <c r="D79" s="82">
        <f>SUMIFS(_CALC_ALLOC!$I$1:$I$349,_CALC_ALLOC!$AS$1:$AS$349,"2027|"&amp;$P$1,_CALC_ALLOC!$B$1:$B$349,$U79,_CALC_ALLOC!$D$1:$D$349,$W79,_CALC_ALLOC!$E$1:$E$349,$X79,_CALC_ALLOC!$F$1:$F$349,$Y79)</f>
        <v/>
      </c>
      <c r="E79" s="82">
        <f>SUMIFS(_CALC_ALLOC!$AI$1:$AI$349,_CALC_ALLOC!$AS$1:$AS$349,"2027|"&amp;$P$1,_CALC_ALLOC!$B$1:$B$349,$U79,_CALC_ALLOC!$D$1:$D$349,$W79,_CALC_ALLOC!$E$1:$E$349,$X79,_CALC_ALLOC!$F$1:$F$349,$Y79)</f>
        <v/>
      </c>
      <c r="F79" s="82">
        <f>SUMIFS(_CALC_ALLOC!$AJ$1:$AJ$349,_CALC_ALLOC!$AS$1:$AS$349,"2027|"&amp;$P$1,_CALC_ALLOC!$B$1:$B$349,$U79,_CALC_ALLOC!$D$1:$D$349,$W79,_CALC_ALLOC!$E$1:$E$349,$X79,_CALC_ALLOC!$F$1:$F$349,$Y79)</f>
        <v/>
      </c>
      <c r="G79" s="82">
        <f>SUMIFS(_CALC_ALLOC!$AK$1:$AK$349,_CALC_ALLOC!$AS$1:$AS$349,"2027|"&amp;$P$1,_CALC_ALLOC!$B$1:$B$349,$U79,_CALC_ALLOC!$D$1:$D$349,$W79,_CALC_ALLOC!$E$1:$E$349,$X79,_CALC_ALLOC!$F$1:$F$349,$Y79)</f>
        <v/>
      </c>
      <c r="H79" s="82">
        <f>SUMIFS(_CALC_ALLOC!$AL$1:$AL$349,_CALC_ALLOC!$AS$1:$AS$349,"2027|"&amp;$P$1,_CALC_ALLOC!$B$1:$B$349,$U79,_CALC_ALLOC!$D$1:$D$349,$W79,_CALC_ALLOC!$E$1:$E$349,$X79,_CALC_ALLOC!$F$1:$F$349,$Y79)</f>
        <v/>
      </c>
      <c r="I79" s="82">
        <f>SUMIFS(_CALC_ALLOC!$AR$1:$AR$349,_CALC_ALLOC!$AS$1:$AS$349,"2027|"&amp;$P$1,_CALC_ALLOC!$B$1:$B$349,$U79,_CALC_ALLOC!$D$1:$D$349,$W79,_CALC_ALLOC!$E$1:$E$349,$X79,_CALC_ALLOC!$F$1:$F$349,$Y79)</f>
        <v/>
      </c>
      <c r="J79" s="82">
        <f>SUMIFS(_CALC_ALLOC!$AM$1:$AM$349,_CALC_ALLOC!$AS$1:$AS$349,"2027|"&amp;$P$1,_CALC_ALLOC!$B$1:$B$349,$U79,_CALC_ALLOC!$D$1:$D$349,$W79,_CALC_ALLOC!$E$1:$E$349,$X79,_CALC_ALLOC!$F$1:$F$349,$Y79)</f>
        <v/>
      </c>
      <c r="K79" s="83">
        <f>E79+F79+G79+H79+I79+J79</f>
        <v/>
      </c>
      <c r="L79" s="84">
        <f>SUMIFS(_CALC_ALLOC!$AN$1:$AN$349,_CALC_ALLOC!$AS$1:$AS$349,"2027|"&amp;$P$1,_CALC_ALLOC!$B$1:$B$349,$U79,_CALC_ALLOC!$D$1:$D$349,$W79,_CALC_ALLOC!$E$1:$E$349,$X79,_CALC_ALLOC!$F$1:$F$349,$Y79)</f>
        <v/>
      </c>
      <c r="M79" s="85">
        <f>IF(D79=0,0,L79/D79)</f>
        <v/>
      </c>
      <c r="T79" s="74" t="inlineStr">
        <is>
          <t>PIGIER_LYO|BAC_RH|B3|ALT</t>
        </is>
      </c>
      <c r="U79" s="74" t="inlineStr">
        <is>
          <t>PIGIER_LYO</t>
        </is>
      </c>
      <c r="V79" s="74" t="inlineStr">
        <is>
          <t>PIGIER</t>
        </is>
      </c>
      <c r="W79" s="74" t="inlineStr">
        <is>
          <t>BAC_RH</t>
        </is>
      </c>
      <c r="X79" s="74" t="inlineStr">
        <is>
          <t>B3</t>
        </is>
      </c>
      <c r="Y79" s="74" t="inlineStr">
        <is>
          <t>ALT</t>
        </is>
      </c>
      <c r="Z79" s="74" t="n">
        <v>3</v>
      </c>
      <c r="BF79" s="0" t="inlineStr">
        <is>
          <t>2027BUD_V1</t>
        </is>
      </c>
      <c r="BG79" s="0" t="inlineStr">
        <is>
          <t>ACT</t>
        </is>
      </c>
      <c r="BH79" s="0" t="inlineStr">
        <is>
          <t>12</t>
        </is>
      </c>
      <c r="BI79" s="0" t="inlineStr">
        <is>
          <t>2025</t>
        </is>
      </c>
      <c r="BJ79" s="0" t="inlineStr">
        <is>
          <t>ISCOM_PAR</t>
        </is>
      </c>
      <c r="BK79" s="0" t="inlineStr">
        <is>
          <t>ISCOM</t>
        </is>
      </c>
      <c r="BL79" s="0" t="inlineStr">
        <is>
          <t>MAS_COM</t>
        </is>
      </c>
      <c r="BM79" s="0" t="inlineStr">
        <is>
          <t>M1</t>
        </is>
      </c>
      <c r="BN79" s="0" t="inlineStr">
        <is>
          <t>ALT</t>
        </is>
      </c>
      <c r="BO79" s="0" t="n">
        <v>68</v>
      </c>
      <c r="BP79" s="0" t="n">
        <v>3</v>
      </c>
      <c r="BQ79" s="0" t="n">
        <v>577320</v>
      </c>
      <c r="BR79" s="0" t="n">
        <v>30247.7</v>
      </c>
      <c r="BS79" s="0" t="n">
        <v>81723.796</v>
      </c>
      <c r="BT79" s="0" t="n">
        <v>53231.58624</v>
      </c>
      <c r="BU79" s="0" t="n">
        <v>213002.642</v>
      </c>
      <c r="BV79" s="0" t="n">
        <v>13523.732638</v>
      </c>
      <c r="BW79" s="0" t="n">
        <v>62864.948956</v>
      </c>
      <c r="BX79" s="0" t="n">
        <v>76388.68159399999</v>
      </c>
      <c r="BY79" s="0" t="n">
        <v>83479.28624</v>
      </c>
      <c r="BZ79" s="0" t="n">
        <v>371115.119594</v>
      </c>
      <c r="CA79" s="0" t="n">
        <v>454594.405834</v>
      </c>
      <c r="CB79" s="0" t="n">
        <v>122725.594166</v>
      </c>
      <c r="CC79" s="0" t="n">
        <v>68</v>
      </c>
      <c r="CD79" s="0" t="n">
        <v>172844</v>
      </c>
      <c r="CE79" s="0" t="n">
        <v>466993.12</v>
      </c>
      <c r="CF79" s="0" t="n">
        <v>125720</v>
      </c>
      <c r="CG79" s="0" t="n">
        <v>55272</v>
      </c>
      <c r="CH79" s="0" t="n">
        <v>1065013.21</v>
      </c>
      <c r="CI79" s="0" t="n">
        <v>2760232</v>
      </c>
      <c r="CJ79" s="0" t="n">
        <v>580167</v>
      </c>
    </row>
    <row r="80" outlineLevel="2" ht="14.4975" customHeight="1" s="64">
      <c r="B80" s="80" t="inlineStr">
        <is>
          <t>BTS Gestion, 1re année, alternance</t>
        </is>
      </c>
      <c r="C80" s="81">
        <f>SUMIFS(_CALC_ALLOC!$G$1:$G$349,_CALC_ALLOC!$AS$1:$AS$349,"2027|"&amp;$P$1,_CALC_ALLOC!$B$1:$B$349,$U80,_CALC_ALLOC!$D$1:$D$349,$W80,_CALC_ALLOC!$E$1:$E$349,$X80,_CALC_ALLOC!$F$1:$F$349,$Y80)</f>
        <v/>
      </c>
      <c r="D80" s="82">
        <f>SUMIFS(_CALC_ALLOC!$I$1:$I$349,_CALC_ALLOC!$AS$1:$AS$349,"2027|"&amp;$P$1,_CALC_ALLOC!$B$1:$B$349,$U80,_CALC_ALLOC!$D$1:$D$349,$W80,_CALC_ALLOC!$E$1:$E$349,$X80,_CALC_ALLOC!$F$1:$F$349,$Y80)</f>
        <v/>
      </c>
      <c r="E80" s="82">
        <f>SUMIFS(_CALC_ALLOC!$AI$1:$AI$349,_CALC_ALLOC!$AS$1:$AS$349,"2027|"&amp;$P$1,_CALC_ALLOC!$B$1:$B$349,$U80,_CALC_ALLOC!$D$1:$D$349,$W80,_CALC_ALLOC!$E$1:$E$349,$X80,_CALC_ALLOC!$F$1:$F$349,$Y80)</f>
        <v/>
      </c>
      <c r="F80" s="82">
        <f>SUMIFS(_CALC_ALLOC!$AJ$1:$AJ$349,_CALC_ALLOC!$AS$1:$AS$349,"2027|"&amp;$P$1,_CALC_ALLOC!$B$1:$B$349,$U80,_CALC_ALLOC!$D$1:$D$349,$W80,_CALC_ALLOC!$E$1:$E$349,$X80,_CALC_ALLOC!$F$1:$F$349,$Y80)</f>
        <v/>
      </c>
      <c r="G80" s="82">
        <f>SUMIFS(_CALC_ALLOC!$AK$1:$AK$349,_CALC_ALLOC!$AS$1:$AS$349,"2027|"&amp;$P$1,_CALC_ALLOC!$B$1:$B$349,$U80,_CALC_ALLOC!$D$1:$D$349,$W80,_CALC_ALLOC!$E$1:$E$349,$X80,_CALC_ALLOC!$F$1:$F$349,$Y80)</f>
        <v/>
      </c>
      <c r="H80" s="82">
        <f>SUMIFS(_CALC_ALLOC!$AL$1:$AL$349,_CALC_ALLOC!$AS$1:$AS$349,"2027|"&amp;$P$1,_CALC_ALLOC!$B$1:$B$349,$U80,_CALC_ALLOC!$D$1:$D$349,$W80,_CALC_ALLOC!$E$1:$E$349,$X80,_CALC_ALLOC!$F$1:$F$349,$Y80)</f>
        <v/>
      </c>
      <c r="I80" s="82">
        <f>SUMIFS(_CALC_ALLOC!$AR$1:$AR$349,_CALC_ALLOC!$AS$1:$AS$349,"2027|"&amp;$P$1,_CALC_ALLOC!$B$1:$B$349,$U80,_CALC_ALLOC!$D$1:$D$349,$W80,_CALC_ALLOC!$E$1:$E$349,$X80,_CALC_ALLOC!$F$1:$F$349,$Y80)</f>
        <v/>
      </c>
      <c r="J80" s="82">
        <f>SUMIFS(_CALC_ALLOC!$AM$1:$AM$349,_CALC_ALLOC!$AS$1:$AS$349,"2027|"&amp;$P$1,_CALC_ALLOC!$B$1:$B$349,$U80,_CALC_ALLOC!$D$1:$D$349,$W80,_CALC_ALLOC!$E$1:$E$349,$X80,_CALC_ALLOC!$F$1:$F$349,$Y80)</f>
        <v/>
      </c>
      <c r="K80" s="83">
        <f>E80+F80+G80+H80+I80+J80</f>
        <v/>
      </c>
      <c r="L80" s="84">
        <f>SUMIFS(_CALC_ALLOC!$AN$1:$AN$349,_CALC_ALLOC!$AS$1:$AS$349,"2027|"&amp;$P$1,_CALC_ALLOC!$B$1:$B$349,$U80,_CALC_ALLOC!$D$1:$D$349,$W80,_CALC_ALLOC!$E$1:$E$349,$X80,_CALC_ALLOC!$F$1:$F$349,$Y80)</f>
        <v/>
      </c>
      <c r="M80" s="85">
        <f>IF(D80=0,0,L80/D80)</f>
        <v/>
      </c>
      <c r="T80" s="74" t="inlineStr">
        <is>
          <t>PIGIER_LYO|BTS_GES|BTS1|ALT</t>
        </is>
      </c>
      <c r="U80" s="74" t="inlineStr">
        <is>
          <t>PIGIER_LYO</t>
        </is>
      </c>
      <c r="V80" s="74" t="inlineStr">
        <is>
          <t>PIGIER</t>
        </is>
      </c>
      <c r="W80" s="74" t="inlineStr">
        <is>
          <t>BTS_GES</t>
        </is>
      </c>
      <c r="X80" s="74" t="inlineStr">
        <is>
          <t>BTS1</t>
        </is>
      </c>
      <c r="Y80" s="74" t="inlineStr">
        <is>
          <t>ALT</t>
        </is>
      </c>
      <c r="Z80" s="74" t="n">
        <v>3</v>
      </c>
      <c r="BF80" s="0" t="inlineStr">
        <is>
          <t>2027BUD_V1</t>
        </is>
      </c>
      <c r="BG80" s="0" t="inlineStr">
        <is>
          <t>ACT</t>
        </is>
      </c>
      <c r="BH80" s="0" t="inlineStr">
        <is>
          <t>12</t>
        </is>
      </c>
      <c r="BI80" s="0" t="inlineStr">
        <is>
          <t>2025</t>
        </is>
      </c>
      <c r="BJ80" s="0" t="inlineStr">
        <is>
          <t>ISCOM_PAR</t>
        </is>
      </c>
      <c r="BK80" s="0" t="inlineStr">
        <is>
          <t>ISCOM</t>
        </is>
      </c>
      <c r="BL80" s="0" t="inlineStr">
        <is>
          <t>MAS_COM</t>
        </is>
      </c>
      <c r="BM80" s="0" t="inlineStr">
        <is>
          <t>M2</t>
        </is>
      </c>
      <c r="BN80" s="0" t="inlineStr">
        <is>
          <t>ALT</t>
        </is>
      </c>
      <c r="BO80" s="0" t="n">
        <v>67</v>
      </c>
      <c r="BP80" s="0" t="n">
        <v>3</v>
      </c>
      <c r="BQ80" s="0" t="n">
        <v>562800</v>
      </c>
      <c r="BR80" s="0" t="n">
        <v>30247.7</v>
      </c>
      <c r="BS80" s="0" t="n">
        <v>81723.796</v>
      </c>
      <c r="BT80" s="0" t="n">
        <v>25219.18056</v>
      </c>
      <c r="BU80" s="0" t="n">
        <v>213002.642</v>
      </c>
      <c r="BV80" s="0" t="n">
        <v>13523.732638</v>
      </c>
      <c r="BW80" s="0" t="n">
        <v>62864.948956</v>
      </c>
      <c r="BX80" s="0" t="n">
        <v>76388.68159399999</v>
      </c>
      <c r="BY80" s="0" t="n">
        <v>55466.88056</v>
      </c>
      <c r="BZ80" s="0" t="n">
        <v>371115.119594</v>
      </c>
      <c r="CA80" s="0" t="n">
        <v>426582.000154</v>
      </c>
      <c r="CB80" s="0" t="n">
        <v>136217.999846</v>
      </c>
      <c r="CC80" s="0" t="n">
        <v>0</v>
      </c>
      <c r="CD80" s="0" t="n">
        <v>172844</v>
      </c>
      <c r="CE80" s="0" t="n">
        <v>466993.12</v>
      </c>
      <c r="CF80" s="0" t="n">
        <v>125720</v>
      </c>
      <c r="CG80" s="0" t="n">
        <v>55272</v>
      </c>
      <c r="CH80" s="0" t="n">
        <v>1065013.21</v>
      </c>
      <c r="CI80" s="0" t="n">
        <v>2760232</v>
      </c>
      <c r="CJ80" s="0" t="n">
        <v>580167</v>
      </c>
    </row>
    <row r="81" outlineLevel="2" ht="14.4975" customHeight="1" s="64">
      <c r="B81" s="80" t="inlineStr">
        <is>
          <t>BTS Gestion, 2e année, alternance</t>
        </is>
      </c>
      <c r="C81" s="81">
        <f>SUMIFS(_CALC_ALLOC!$G$1:$G$349,_CALC_ALLOC!$AS$1:$AS$349,"2027|"&amp;$P$1,_CALC_ALLOC!$B$1:$B$349,$U81,_CALC_ALLOC!$D$1:$D$349,$W81,_CALC_ALLOC!$E$1:$E$349,$X81,_CALC_ALLOC!$F$1:$F$349,$Y81)</f>
        <v/>
      </c>
      <c r="D81" s="82">
        <f>SUMIFS(_CALC_ALLOC!$I$1:$I$349,_CALC_ALLOC!$AS$1:$AS$349,"2027|"&amp;$P$1,_CALC_ALLOC!$B$1:$B$349,$U81,_CALC_ALLOC!$D$1:$D$349,$W81,_CALC_ALLOC!$E$1:$E$349,$X81,_CALC_ALLOC!$F$1:$F$349,$Y81)</f>
        <v/>
      </c>
      <c r="E81" s="82">
        <f>SUMIFS(_CALC_ALLOC!$AI$1:$AI$349,_CALC_ALLOC!$AS$1:$AS$349,"2027|"&amp;$P$1,_CALC_ALLOC!$B$1:$B$349,$U81,_CALC_ALLOC!$D$1:$D$349,$W81,_CALC_ALLOC!$E$1:$E$349,$X81,_CALC_ALLOC!$F$1:$F$349,$Y81)</f>
        <v/>
      </c>
      <c r="F81" s="82">
        <f>SUMIFS(_CALC_ALLOC!$AJ$1:$AJ$349,_CALC_ALLOC!$AS$1:$AS$349,"2027|"&amp;$P$1,_CALC_ALLOC!$B$1:$B$349,$U81,_CALC_ALLOC!$D$1:$D$349,$W81,_CALC_ALLOC!$E$1:$E$349,$X81,_CALC_ALLOC!$F$1:$F$349,$Y81)</f>
        <v/>
      </c>
      <c r="G81" s="82">
        <f>SUMIFS(_CALC_ALLOC!$AK$1:$AK$349,_CALC_ALLOC!$AS$1:$AS$349,"2027|"&amp;$P$1,_CALC_ALLOC!$B$1:$B$349,$U81,_CALC_ALLOC!$D$1:$D$349,$W81,_CALC_ALLOC!$E$1:$E$349,$X81,_CALC_ALLOC!$F$1:$F$349,$Y81)</f>
        <v/>
      </c>
      <c r="H81" s="82">
        <f>SUMIFS(_CALC_ALLOC!$AL$1:$AL$349,_CALC_ALLOC!$AS$1:$AS$349,"2027|"&amp;$P$1,_CALC_ALLOC!$B$1:$B$349,$U81,_CALC_ALLOC!$D$1:$D$349,$W81,_CALC_ALLOC!$E$1:$E$349,$X81,_CALC_ALLOC!$F$1:$F$349,$Y81)</f>
        <v/>
      </c>
      <c r="I81" s="82">
        <f>SUMIFS(_CALC_ALLOC!$AR$1:$AR$349,_CALC_ALLOC!$AS$1:$AS$349,"2027|"&amp;$P$1,_CALC_ALLOC!$B$1:$B$349,$U81,_CALC_ALLOC!$D$1:$D$349,$W81,_CALC_ALLOC!$E$1:$E$349,$X81,_CALC_ALLOC!$F$1:$F$349,$Y81)</f>
        <v/>
      </c>
      <c r="J81" s="82">
        <f>SUMIFS(_CALC_ALLOC!$AM$1:$AM$349,_CALC_ALLOC!$AS$1:$AS$349,"2027|"&amp;$P$1,_CALC_ALLOC!$B$1:$B$349,$U81,_CALC_ALLOC!$D$1:$D$349,$W81,_CALC_ALLOC!$E$1:$E$349,$X81,_CALC_ALLOC!$F$1:$F$349,$Y81)</f>
        <v/>
      </c>
      <c r="K81" s="83">
        <f>E81+F81+G81+H81+I81+J81</f>
        <v/>
      </c>
      <c r="L81" s="84">
        <f>SUMIFS(_CALC_ALLOC!$AN$1:$AN$349,_CALC_ALLOC!$AS$1:$AS$349,"2027|"&amp;$P$1,_CALC_ALLOC!$B$1:$B$349,$U81,_CALC_ALLOC!$D$1:$D$349,$W81,_CALC_ALLOC!$E$1:$E$349,$X81,_CALC_ALLOC!$F$1:$F$349,$Y81)</f>
        <v/>
      </c>
      <c r="M81" s="85">
        <f>IF(D81=0,0,L81/D81)</f>
        <v/>
      </c>
      <c r="T81" s="74" t="inlineStr">
        <is>
          <t>PIGIER_LYO|BTS_GES|BTS2|ALT</t>
        </is>
      </c>
      <c r="U81" s="74" t="inlineStr">
        <is>
          <t>PIGIER_LYO</t>
        </is>
      </c>
      <c r="V81" s="74" t="inlineStr">
        <is>
          <t>PIGIER</t>
        </is>
      </c>
      <c r="W81" s="74" t="inlineStr">
        <is>
          <t>BTS_GES</t>
        </is>
      </c>
      <c r="X81" s="74" t="inlineStr">
        <is>
          <t>BTS2</t>
        </is>
      </c>
      <c r="Y81" s="74" t="inlineStr">
        <is>
          <t>ALT</t>
        </is>
      </c>
      <c r="Z81" s="74" t="n">
        <v>3</v>
      </c>
      <c r="BF81" s="0" t="inlineStr">
        <is>
          <t>2027BUD_V1</t>
        </is>
      </c>
      <c r="BG81" s="0" t="inlineStr">
        <is>
          <t>ACT</t>
        </is>
      </c>
      <c r="BH81" s="0" t="inlineStr">
        <is>
          <t>12</t>
        </is>
      </c>
      <c r="BI81" s="0" t="inlineStr">
        <is>
          <t>2025</t>
        </is>
      </c>
      <c r="BJ81" s="0" t="inlineStr">
        <is>
          <t>ISCOM_TLS</t>
        </is>
      </c>
      <c r="BK81" s="0" t="inlineStr">
        <is>
          <t>ISCOM</t>
        </is>
      </c>
      <c r="BL81" s="0" t="inlineStr">
        <is>
          <t>BAC_COM</t>
        </is>
      </c>
      <c r="BM81" s="0" t="inlineStr">
        <is>
          <t>B1</t>
        </is>
      </c>
      <c r="BN81" s="0" t="inlineStr">
        <is>
          <t>INIT</t>
        </is>
      </c>
      <c r="BO81" s="0" t="n">
        <v>44</v>
      </c>
      <c r="BP81" s="0" t="n">
        <v>2</v>
      </c>
      <c r="BQ81" s="0" t="n">
        <v>320760</v>
      </c>
      <c r="BR81" s="0" t="n">
        <v>28807.25</v>
      </c>
      <c r="BS81" s="0" t="n">
        <v>63305.21</v>
      </c>
      <c r="BT81" s="0" t="n">
        <v>26749.386714</v>
      </c>
      <c r="BU81" s="0" t="n">
        <v>113871.436</v>
      </c>
      <c r="BV81" s="0" t="n">
        <v>8745.885842</v>
      </c>
      <c r="BW81" s="0" t="n">
        <v>40655.171303</v>
      </c>
      <c r="BX81" s="0" t="n">
        <v>49401.057145</v>
      </c>
      <c r="BY81" s="0" t="n">
        <v>55556.636714</v>
      </c>
      <c r="BZ81" s="0" t="n">
        <v>226577.703145</v>
      </c>
      <c r="CA81" s="0" t="n">
        <v>282134.339859</v>
      </c>
      <c r="CB81" s="0" t="n">
        <v>38625.660141</v>
      </c>
      <c r="CC81" s="0" t="n">
        <v>44</v>
      </c>
      <c r="CD81" s="0" t="n">
        <v>115229</v>
      </c>
      <c r="CE81" s="0" t="n">
        <v>253220.84</v>
      </c>
      <c r="CF81" s="0" t="n">
        <v>82038</v>
      </c>
      <c r="CG81" s="0" t="n">
        <v>20076</v>
      </c>
      <c r="CH81" s="0" t="n">
        <v>569357.1800000001</v>
      </c>
      <c r="CI81" s="0" t="n">
        <v>2760232</v>
      </c>
      <c r="CJ81" s="0" t="n">
        <v>580167</v>
      </c>
    </row>
    <row r="82" outlineLevel="1" ht="14.4975" customHeight="1" s="64">
      <c r="B82" s="75" t="inlineStr">
        <is>
          <t>Bordeaux</t>
        </is>
      </c>
      <c r="C82" s="76">
        <f>SUMIFS(_CALC_ALLOC!$G$1:$G$349,_CALC_ALLOC!$AS$1:$AS$349,"2027|"&amp;$P$1,_CALC_ALLOC!$B$1:$B$349,$U82)</f>
        <v/>
      </c>
      <c r="D82" s="77">
        <f>SUMIFS(_CALC_ALLOC!$I$1:$I$349,_CALC_ALLOC!$AS$1:$AS$349,"2027|"&amp;$P$1,_CALC_ALLOC!$B$1:$B$349,$U82)</f>
        <v/>
      </c>
      <c r="E82" s="77">
        <f>SUMIFS(_CALC_ALLOC!$AI$1:$AI$349,_CALC_ALLOC!$AS$1:$AS$349,"2027|"&amp;$P$1,_CALC_ALLOC!$B$1:$B$349,$U82)</f>
        <v/>
      </c>
      <c r="F82" s="77">
        <f>SUMIFS(_CALC_ALLOC!$AJ$1:$AJ$349,_CALC_ALLOC!$AS$1:$AS$349,"2027|"&amp;$P$1,_CALC_ALLOC!$B$1:$B$349,$U82)</f>
        <v/>
      </c>
      <c r="G82" s="77">
        <f>SUMIFS(_CALC_ALLOC!$AK$1:$AK$349,_CALC_ALLOC!$AS$1:$AS$349,"2027|"&amp;$P$1,_CALC_ALLOC!$B$1:$B$349,$U82)</f>
        <v/>
      </c>
      <c r="H82" s="77">
        <f>SUMIFS(_CALC_ALLOC!$AL$1:$AL$349,_CALC_ALLOC!$AS$1:$AS$349,"2027|"&amp;$P$1,_CALC_ALLOC!$B$1:$B$349,$U82)</f>
        <v/>
      </c>
      <c r="I82" s="77">
        <f>SUMIFS(_CALC_ALLOC!$AR$1:$AR$349,_CALC_ALLOC!$AS$1:$AS$349,"2027|"&amp;$P$1,_CALC_ALLOC!$B$1:$B$349,$U82)</f>
        <v/>
      </c>
      <c r="J82" s="77">
        <f>SUMIFS(_CALC_ALLOC!$AM$1:$AM$349,_CALC_ALLOC!$AS$1:$AS$349,"2027|"&amp;$P$1,_CALC_ALLOC!$B$1:$B$349,$U82)</f>
        <v/>
      </c>
      <c r="K82" s="77">
        <f>E82+F82+G82+H82+I82+J82</f>
        <v/>
      </c>
      <c r="L82" s="78">
        <f>SUMIFS(_CALC_ALLOC!$AN$1:$AN$349,_CALC_ALLOC!$AS$1:$AS$349,"2027|"&amp;$P$1,_CALC_ALLOC!$B$1:$B$349,$U82)</f>
        <v/>
      </c>
      <c r="M82" s="79">
        <f>IF(D82=0,0,L82/D82)</f>
        <v/>
      </c>
      <c r="T82" s="74" t="inlineStr">
        <is>
          <t>PIGIER_BOR</t>
        </is>
      </c>
      <c r="U82" s="74" t="inlineStr">
        <is>
          <t>PIGIER_BOR</t>
        </is>
      </c>
      <c r="V82" s="74" t="inlineStr">
        <is>
          <t>PIGIER</t>
        </is>
      </c>
      <c r="W82" s="74" t="inlineStr"/>
      <c r="X82" s="74" t="inlineStr"/>
      <c r="Y82" s="74" t="inlineStr"/>
      <c r="Z82" s="74" t="n">
        <v>2</v>
      </c>
      <c r="BF82" s="0" t="inlineStr">
        <is>
          <t>2027BUD_V1</t>
        </is>
      </c>
      <c r="BG82" s="0" t="inlineStr">
        <is>
          <t>ACT</t>
        </is>
      </c>
      <c r="BH82" s="0" t="inlineStr">
        <is>
          <t>12</t>
        </is>
      </c>
      <c r="BI82" s="0" t="inlineStr">
        <is>
          <t>2025</t>
        </is>
      </c>
      <c r="BJ82" s="0" t="inlineStr">
        <is>
          <t>ISCOM_TLS</t>
        </is>
      </c>
      <c r="BK82" s="0" t="inlineStr">
        <is>
          <t>ISCOM</t>
        </is>
      </c>
      <c r="BL82" s="0" t="inlineStr">
        <is>
          <t>BAC_COM</t>
        </is>
      </c>
      <c r="BM82" s="0" t="inlineStr">
        <is>
          <t>B2</t>
        </is>
      </c>
      <c r="BN82" s="0" t="inlineStr">
        <is>
          <t>ALT</t>
        </is>
      </c>
      <c r="BO82" s="0" t="n">
        <v>43</v>
      </c>
      <c r="BP82" s="0" t="n">
        <v>2</v>
      </c>
      <c r="BQ82" s="0" t="n">
        <v>288960</v>
      </c>
      <c r="BR82" s="0" t="n">
        <v>23045.8</v>
      </c>
      <c r="BS82" s="0" t="n">
        <v>50644.168</v>
      </c>
      <c r="BT82" s="0" t="n">
        <v>16331.632812</v>
      </c>
      <c r="BU82" s="0" t="n">
        <v>113871.436</v>
      </c>
      <c r="BV82" s="0" t="n">
        <v>8745.885842</v>
      </c>
      <c r="BW82" s="0" t="n">
        <v>40655.171303</v>
      </c>
      <c r="BX82" s="0" t="n">
        <v>49401.057145</v>
      </c>
      <c r="BY82" s="0" t="n">
        <v>39377.432812</v>
      </c>
      <c r="BZ82" s="0" t="n">
        <v>213916.661145</v>
      </c>
      <c r="CA82" s="0" t="n">
        <v>253294.093957</v>
      </c>
      <c r="CB82" s="0" t="n">
        <v>35665.906043</v>
      </c>
      <c r="CC82" s="0" t="n">
        <v>0</v>
      </c>
      <c r="CD82" s="0" t="n">
        <v>115229</v>
      </c>
      <c r="CE82" s="0" t="n">
        <v>253220.84</v>
      </c>
      <c r="CF82" s="0" t="n">
        <v>82038</v>
      </c>
      <c r="CG82" s="0" t="n">
        <v>20076</v>
      </c>
      <c r="CH82" s="0" t="n">
        <v>569357.1800000001</v>
      </c>
      <c r="CI82" s="0" t="n">
        <v>2760232</v>
      </c>
      <c r="CJ82" s="0" t="n">
        <v>580167</v>
      </c>
    </row>
    <row r="83" outlineLevel="2" ht="14.4975" customHeight="1" s="64">
      <c r="B83" s="80" t="inlineStr">
        <is>
          <t>Bachelor Ressources humaines, 1re année, alternance</t>
        </is>
      </c>
      <c r="C83" s="81">
        <f>SUMIFS(_CALC_ALLOC!$G$1:$G$349,_CALC_ALLOC!$AS$1:$AS$349,"2027|"&amp;$P$1,_CALC_ALLOC!$B$1:$B$349,$U83,_CALC_ALLOC!$D$1:$D$349,$W83,_CALC_ALLOC!$E$1:$E$349,$X83,_CALC_ALLOC!$F$1:$F$349,$Y83)</f>
        <v/>
      </c>
      <c r="D83" s="82">
        <f>SUMIFS(_CALC_ALLOC!$I$1:$I$349,_CALC_ALLOC!$AS$1:$AS$349,"2027|"&amp;$P$1,_CALC_ALLOC!$B$1:$B$349,$U83,_CALC_ALLOC!$D$1:$D$349,$W83,_CALC_ALLOC!$E$1:$E$349,$X83,_CALC_ALLOC!$F$1:$F$349,$Y83)</f>
        <v/>
      </c>
      <c r="E83" s="82">
        <f>SUMIFS(_CALC_ALLOC!$AI$1:$AI$349,_CALC_ALLOC!$AS$1:$AS$349,"2027|"&amp;$P$1,_CALC_ALLOC!$B$1:$B$349,$U83,_CALC_ALLOC!$D$1:$D$349,$W83,_CALC_ALLOC!$E$1:$E$349,$X83,_CALC_ALLOC!$F$1:$F$349,$Y83)</f>
        <v/>
      </c>
      <c r="F83" s="82">
        <f>SUMIFS(_CALC_ALLOC!$AJ$1:$AJ$349,_CALC_ALLOC!$AS$1:$AS$349,"2027|"&amp;$P$1,_CALC_ALLOC!$B$1:$B$349,$U83,_CALC_ALLOC!$D$1:$D$349,$W83,_CALC_ALLOC!$E$1:$E$349,$X83,_CALC_ALLOC!$F$1:$F$349,$Y83)</f>
        <v/>
      </c>
      <c r="G83" s="82">
        <f>SUMIFS(_CALC_ALLOC!$AK$1:$AK$349,_CALC_ALLOC!$AS$1:$AS$349,"2027|"&amp;$P$1,_CALC_ALLOC!$B$1:$B$349,$U83,_CALC_ALLOC!$D$1:$D$349,$W83,_CALC_ALLOC!$E$1:$E$349,$X83,_CALC_ALLOC!$F$1:$F$349,$Y83)</f>
        <v/>
      </c>
      <c r="H83" s="82">
        <f>SUMIFS(_CALC_ALLOC!$AL$1:$AL$349,_CALC_ALLOC!$AS$1:$AS$349,"2027|"&amp;$P$1,_CALC_ALLOC!$B$1:$B$349,$U83,_CALC_ALLOC!$D$1:$D$349,$W83,_CALC_ALLOC!$E$1:$E$349,$X83,_CALC_ALLOC!$F$1:$F$349,$Y83)</f>
        <v/>
      </c>
      <c r="I83" s="82">
        <f>SUMIFS(_CALC_ALLOC!$AR$1:$AR$349,_CALC_ALLOC!$AS$1:$AS$349,"2027|"&amp;$P$1,_CALC_ALLOC!$B$1:$B$349,$U83,_CALC_ALLOC!$D$1:$D$349,$W83,_CALC_ALLOC!$E$1:$E$349,$X83,_CALC_ALLOC!$F$1:$F$349,$Y83)</f>
        <v/>
      </c>
      <c r="J83" s="82">
        <f>SUMIFS(_CALC_ALLOC!$AM$1:$AM$349,_CALC_ALLOC!$AS$1:$AS$349,"2027|"&amp;$P$1,_CALC_ALLOC!$B$1:$B$349,$U83,_CALC_ALLOC!$D$1:$D$349,$W83,_CALC_ALLOC!$E$1:$E$349,$X83,_CALC_ALLOC!$F$1:$F$349,$Y83)</f>
        <v/>
      </c>
      <c r="K83" s="83">
        <f>E83+F83+G83+H83+I83+J83</f>
        <v/>
      </c>
      <c r="L83" s="84">
        <f>SUMIFS(_CALC_ALLOC!$AN$1:$AN$349,_CALC_ALLOC!$AS$1:$AS$349,"2027|"&amp;$P$1,_CALC_ALLOC!$B$1:$B$349,$U83,_CALC_ALLOC!$D$1:$D$349,$W83,_CALC_ALLOC!$E$1:$E$349,$X83,_CALC_ALLOC!$F$1:$F$349,$Y83)</f>
        <v/>
      </c>
      <c r="M83" s="85">
        <f>IF(D83=0,0,L83/D83)</f>
        <v/>
      </c>
      <c r="T83" s="74" t="inlineStr">
        <is>
          <t>PIGIER_BOR|BAC_RH|B1|ALT</t>
        </is>
      </c>
      <c r="U83" s="74" t="inlineStr">
        <is>
          <t>PIGIER_BOR</t>
        </is>
      </c>
      <c r="V83" s="74" t="inlineStr">
        <is>
          <t>PIGIER</t>
        </is>
      </c>
      <c r="W83" s="74" t="inlineStr">
        <is>
          <t>BAC_RH</t>
        </is>
      </c>
      <c r="X83" s="74" t="inlineStr">
        <is>
          <t>B1</t>
        </is>
      </c>
      <c r="Y83" s="74" t="inlineStr">
        <is>
          <t>ALT</t>
        </is>
      </c>
      <c r="Z83" s="74" t="n">
        <v>3</v>
      </c>
      <c r="BF83" s="0" t="inlineStr">
        <is>
          <t>2027BUD_V1</t>
        </is>
      </c>
      <c r="BG83" s="0" t="inlineStr">
        <is>
          <t>ACT</t>
        </is>
      </c>
      <c r="BH83" s="0" t="inlineStr">
        <is>
          <t>12</t>
        </is>
      </c>
      <c r="BI83" s="0" t="inlineStr">
        <is>
          <t>2025</t>
        </is>
      </c>
      <c r="BJ83" s="0" t="inlineStr">
        <is>
          <t>ISCOM_TLS</t>
        </is>
      </c>
      <c r="BK83" s="0" t="inlineStr">
        <is>
          <t>ISCOM</t>
        </is>
      </c>
      <c r="BL83" s="0" t="inlineStr">
        <is>
          <t>BAC_COM</t>
        </is>
      </c>
      <c r="BM83" s="0" t="inlineStr">
        <is>
          <t>B3</t>
        </is>
      </c>
      <c r="BN83" s="0" t="inlineStr">
        <is>
          <t>ALT</t>
        </is>
      </c>
      <c r="BO83" s="0" t="n">
        <v>42</v>
      </c>
      <c r="BP83" s="0" t="n">
        <v>2</v>
      </c>
      <c r="BQ83" s="0" t="n">
        <v>282240</v>
      </c>
      <c r="BR83" s="0" t="n">
        <v>23045.8</v>
      </c>
      <c r="BS83" s="0" t="n">
        <v>50644.168</v>
      </c>
      <c r="BT83" s="0" t="n">
        <v>15951.796872</v>
      </c>
      <c r="BU83" s="0" t="n">
        <v>113871.436</v>
      </c>
      <c r="BV83" s="0" t="n">
        <v>8745.885842</v>
      </c>
      <c r="BW83" s="0" t="n">
        <v>40655.171303</v>
      </c>
      <c r="BX83" s="0" t="n">
        <v>49401.057145</v>
      </c>
      <c r="BY83" s="0" t="n">
        <v>38997.596872</v>
      </c>
      <c r="BZ83" s="0" t="n">
        <v>213916.661145</v>
      </c>
      <c r="CA83" s="0" t="n">
        <v>252914.258017</v>
      </c>
      <c r="CB83" s="0" t="n">
        <v>29325.741983</v>
      </c>
      <c r="CC83" s="0" t="n">
        <v>0</v>
      </c>
      <c r="CD83" s="0" t="n">
        <v>115229</v>
      </c>
      <c r="CE83" s="0" t="n">
        <v>253220.84</v>
      </c>
      <c r="CF83" s="0" t="n">
        <v>82038</v>
      </c>
      <c r="CG83" s="0" t="n">
        <v>20076</v>
      </c>
      <c r="CH83" s="0" t="n">
        <v>569357.1800000001</v>
      </c>
      <c r="CI83" s="0" t="n">
        <v>2760232</v>
      </c>
      <c r="CJ83" s="0" t="n">
        <v>580167</v>
      </c>
    </row>
    <row r="84" outlineLevel="2" ht="14.4975" customHeight="1" s="64">
      <c r="B84" s="80" t="inlineStr">
        <is>
          <t>Bachelor Ressources humaines, 2e année, alternance</t>
        </is>
      </c>
      <c r="C84" s="81">
        <f>SUMIFS(_CALC_ALLOC!$G$1:$G$349,_CALC_ALLOC!$AS$1:$AS$349,"2027|"&amp;$P$1,_CALC_ALLOC!$B$1:$B$349,$U84,_CALC_ALLOC!$D$1:$D$349,$W84,_CALC_ALLOC!$E$1:$E$349,$X84,_CALC_ALLOC!$F$1:$F$349,$Y84)</f>
        <v/>
      </c>
      <c r="D84" s="82">
        <f>SUMIFS(_CALC_ALLOC!$I$1:$I$349,_CALC_ALLOC!$AS$1:$AS$349,"2027|"&amp;$P$1,_CALC_ALLOC!$B$1:$B$349,$U84,_CALC_ALLOC!$D$1:$D$349,$W84,_CALC_ALLOC!$E$1:$E$349,$X84,_CALC_ALLOC!$F$1:$F$349,$Y84)</f>
        <v/>
      </c>
      <c r="E84" s="82">
        <f>SUMIFS(_CALC_ALLOC!$AI$1:$AI$349,_CALC_ALLOC!$AS$1:$AS$349,"2027|"&amp;$P$1,_CALC_ALLOC!$B$1:$B$349,$U84,_CALC_ALLOC!$D$1:$D$349,$W84,_CALC_ALLOC!$E$1:$E$349,$X84,_CALC_ALLOC!$F$1:$F$349,$Y84)</f>
        <v/>
      </c>
      <c r="F84" s="82">
        <f>SUMIFS(_CALC_ALLOC!$AJ$1:$AJ$349,_CALC_ALLOC!$AS$1:$AS$349,"2027|"&amp;$P$1,_CALC_ALLOC!$B$1:$B$349,$U84,_CALC_ALLOC!$D$1:$D$349,$W84,_CALC_ALLOC!$E$1:$E$349,$X84,_CALC_ALLOC!$F$1:$F$349,$Y84)</f>
        <v/>
      </c>
      <c r="G84" s="82">
        <f>SUMIFS(_CALC_ALLOC!$AK$1:$AK$349,_CALC_ALLOC!$AS$1:$AS$349,"2027|"&amp;$P$1,_CALC_ALLOC!$B$1:$B$349,$U84,_CALC_ALLOC!$D$1:$D$349,$W84,_CALC_ALLOC!$E$1:$E$349,$X84,_CALC_ALLOC!$F$1:$F$349,$Y84)</f>
        <v/>
      </c>
      <c r="H84" s="82">
        <f>SUMIFS(_CALC_ALLOC!$AL$1:$AL$349,_CALC_ALLOC!$AS$1:$AS$349,"2027|"&amp;$P$1,_CALC_ALLOC!$B$1:$B$349,$U84,_CALC_ALLOC!$D$1:$D$349,$W84,_CALC_ALLOC!$E$1:$E$349,$X84,_CALC_ALLOC!$F$1:$F$349,$Y84)</f>
        <v/>
      </c>
      <c r="I84" s="82">
        <f>SUMIFS(_CALC_ALLOC!$AR$1:$AR$349,_CALC_ALLOC!$AS$1:$AS$349,"2027|"&amp;$P$1,_CALC_ALLOC!$B$1:$B$349,$U84,_CALC_ALLOC!$D$1:$D$349,$W84,_CALC_ALLOC!$E$1:$E$349,$X84,_CALC_ALLOC!$F$1:$F$349,$Y84)</f>
        <v/>
      </c>
      <c r="J84" s="82">
        <f>SUMIFS(_CALC_ALLOC!$AM$1:$AM$349,_CALC_ALLOC!$AS$1:$AS$349,"2027|"&amp;$P$1,_CALC_ALLOC!$B$1:$B$349,$U84,_CALC_ALLOC!$D$1:$D$349,$W84,_CALC_ALLOC!$E$1:$E$349,$X84,_CALC_ALLOC!$F$1:$F$349,$Y84)</f>
        <v/>
      </c>
      <c r="K84" s="83">
        <f>E84+F84+G84+H84+I84+J84</f>
        <v/>
      </c>
      <c r="L84" s="84">
        <f>SUMIFS(_CALC_ALLOC!$AN$1:$AN$349,_CALC_ALLOC!$AS$1:$AS$349,"2027|"&amp;$P$1,_CALC_ALLOC!$B$1:$B$349,$U84,_CALC_ALLOC!$D$1:$D$349,$W84,_CALC_ALLOC!$E$1:$E$349,$X84,_CALC_ALLOC!$F$1:$F$349,$Y84)</f>
        <v/>
      </c>
      <c r="M84" s="85">
        <f>IF(D84=0,0,L84/D84)</f>
        <v/>
      </c>
      <c r="T84" s="74" t="inlineStr">
        <is>
          <t>PIGIER_BOR|BAC_RH|B2|ALT</t>
        </is>
      </c>
      <c r="U84" s="74" t="inlineStr">
        <is>
          <t>PIGIER_BOR</t>
        </is>
      </c>
      <c r="V84" s="74" t="inlineStr">
        <is>
          <t>PIGIER</t>
        </is>
      </c>
      <c r="W84" s="74" t="inlineStr">
        <is>
          <t>BAC_RH</t>
        </is>
      </c>
      <c r="X84" s="74" t="inlineStr">
        <is>
          <t>B2</t>
        </is>
      </c>
      <c r="Y84" s="74" t="inlineStr">
        <is>
          <t>ALT</t>
        </is>
      </c>
      <c r="Z84" s="74" t="n">
        <v>3</v>
      </c>
      <c r="BF84" s="0" t="inlineStr">
        <is>
          <t>2027BUD_V1</t>
        </is>
      </c>
      <c r="BG84" s="0" t="inlineStr">
        <is>
          <t>ACT</t>
        </is>
      </c>
      <c r="BH84" s="0" t="inlineStr">
        <is>
          <t>12</t>
        </is>
      </c>
      <c r="BI84" s="0" t="inlineStr">
        <is>
          <t>2025</t>
        </is>
      </c>
      <c r="BJ84" s="0" t="inlineStr">
        <is>
          <t>ISCOM_TLS</t>
        </is>
      </c>
      <c r="BK84" s="0" t="inlineStr">
        <is>
          <t>ISCOM</t>
        </is>
      </c>
      <c r="BL84" s="0" t="inlineStr">
        <is>
          <t>MAS_COM</t>
        </is>
      </c>
      <c r="BM84" s="0" t="inlineStr">
        <is>
          <t>M1</t>
        </is>
      </c>
      <c r="BN84" s="0" t="inlineStr">
        <is>
          <t>ALT</t>
        </is>
      </c>
      <c r="BO84" s="0" t="n">
        <v>44</v>
      </c>
      <c r="BP84" s="0" t="n">
        <v>2</v>
      </c>
      <c r="BQ84" s="0" t="n">
        <v>320760</v>
      </c>
      <c r="BR84" s="0" t="n">
        <v>20165.075</v>
      </c>
      <c r="BS84" s="0" t="n">
        <v>44313.647</v>
      </c>
      <c r="BT84" s="0" t="n">
        <v>26749.386714</v>
      </c>
      <c r="BU84" s="0" t="n">
        <v>113871.436</v>
      </c>
      <c r="BV84" s="0" t="n">
        <v>8745.885842</v>
      </c>
      <c r="BW84" s="0" t="n">
        <v>40655.171303</v>
      </c>
      <c r="BX84" s="0" t="n">
        <v>49401.057145</v>
      </c>
      <c r="BY84" s="0" t="n">
        <v>46914.461714</v>
      </c>
      <c r="BZ84" s="0" t="n">
        <v>207586.140145</v>
      </c>
      <c r="CA84" s="0" t="n">
        <v>254500.601859</v>
      </c>
      <c r="CB84" s="0" t="n">
        <v>66259.398141</v>
      </c>
      <c r="CC84" s="0" t="n">
        <v>44</v>
      </c>
      <c r="CD84" s="0" t="n">
        <v>115229</v>
      </c>
      <c r="CE84" s="0" t="n">
        <v>253220.84</v>
      </c>
      <c r="CF84" s="0" t="n">
        <v>82038</v>
      </c>
      <c r="CG84" s="0" t="n">
        <v>20076</v>
      </c>
      <c r="CH84" s="0" t="n">
        <v>569357.1800000001</v>
      </c>
      <c r="CI84" s="0" t="n">
        <v>2760232</v>
      </c>
      <c r="CJ84" s="0" t="n">
        <v>580167</v>
      </c>
    </row>
    <row r="85" outlineLevel="2" ht="14.4975" customHeight="1" s="64">
      <c r="B85" s="80" t="inlineStr">
        <is>
          <t>Bachelor Ressources humaines, 3e année, alternance</t>
        </is>
      </c>
      <c r="C85" s="81">
        <f>SUMIFS(_CALC_ALLOC!$G$1:$G$349,_CALC_ALLOC!$AS$1:$AS$349,"2027|"&amp;$P$1,_CALC_ALLOC!$B$1:$B$349,$U85,_CALC_ALLOC!$D$1:$D$349,$W85,_CALC_ALLOC!$E$1:$E$349,$X85,_CALC_ALLOC!$F$1:$F$349,$Y85)</f>
        <v/>
      </c>
      <c r="D85" s="82">
        <f>SUMIFS(_CALC_ALLOC!$I$1:$I$349,_CALC_ALLOC!$AS$1:$AS$349,"2027|"&amp;$P$1,_CALC_ALLOC!$B$1:$B$349,$U85,_CALC_ALLOC!$D$1:$D$349,$W85,_CALC_ALLOC!$E$1:$E$349,$X85,_CALC_ALLOC!$F$1:$F$349,$Y85)</f>
        <v/>
      </c>
      <c r="E85" s="82">
        <f>SUMIFS(_CALC_ALLOC!$AI$1:$AI$349,_CALC_ALLOC!$AS$1:$AS$349,"2027|"&amp;$P$1,_CALC_ALLOC!$B$1:$B$349,$U85,_CALC_ALLOC!$D$1:$D$349,$W85,_CALC_ALLOC!$E$1:$E$349,$X85,_CALC_ALLOC!$F$1:$F$349,$Y85)</f>
        <v/>
      </c>
      <c r="F85" s="82">
        <f>SUMIFS(_CALC_ALLOC!$AJ$1:$AJ$349,_CALC_ALLOC!$AS$1:$AS$349,"2027|"&amp;$P$1,_CALC_ALLOC!$B$1:$B$349,$U85,_CALC_ALLOC!$D$1:$D$349,$W85,_CALC_ALLOC!$E$1:$E$349,$X85,_CALC_ALLOC!$F$1:$F$349,$Y85)</f>
        <v/>
      </c>
      <c r="G85" s="82">
        <f>SUMIFS(_CALC_ALLOC!$AK$1:$AK$349,_CALC_ALLOC!$AS$1:$AS$349,"2027|"&amp;$P$1,_CALC_ALLOC!$B$1:$B$349,$U85,_CALC_ALLOC!$D$1:$D$349,$W85,_CALC_ALLOC!$E$1:$E$349,$X85,_CALC_ALLOC!$F$1:$F$349,$Y85)</f>
        <v/>
      </c>
      <c r="H85" s="82">
        <f>SUMIFS(_CALC_ALLOC!$AL$1:$AL$349,_CALC_ALLOC!$AS$1:$AS$349,"2027|"&amp;$P$1,_CALC_ALLOC!$B$1:$B$349,$U85,_CALC_ALLOC!$D$1:$D$349,$W85,_CALC_ALLOC!$E$1:$E$349,$X85,_CALC_ALLOC!$F$1:$F$349,$Y85)</f>
        <v/>
      </c>
      <c r="I85" s="82">
        <f>SUMIFS(_CALC_ALLOC!$AR$1:$AR$349,_CALC_ALLOC!$AS$1:$AS$349,"2027|"&amp;$P$1,_CALC_ALLOC!$B$1:$B$349,$U85,_CALC_ALLOC!$D$1:$D$349,$W85,_CALC_ALLOC!$E$1:$E$349,$X85,_CALC_ALLOC!$F$1:$F$349,$Y85)</f>
        <v/>
      </c>
      <c r="J85" s="82">
        <f>SUMIFS(_CALC_ALLOC!$AM$1:$AM$349,_CALC_ALLOC!$AS$1:$AS$349,"2027|"&amp;$P$1,_CALC_ALLOC!$B$1:$B$349,$U85,_CALC_ALLOC!$D$1:$D$349,$W85,_CALC_ALLOC!$E$1:$E$349,$X85,_CALC_ALLOC!$F$1:$F$349,$Y85)</f>
        <v/>
      </c>
      <c r="K85" s="83">
        <f>E85+F85+G85+H85+I85+J85</f>
        <v/>
      </c>
      <c r="L85" s="84">
        <f>SUMIFS(_CALC_ALLOC!$AN$1:$AN$349,_CALC_ALLOC!$AS$1:$AS$349,"2027|"&amp;$P$1,_CALC_ALLOC!$B$1:$B$349,$U85,_CALC_ALLOC!$D$1:$D$349,$W85,_CALC_ALLOC!$E$1:$E$349,$X85,_CALC_ALLOC!$F$1:$F$349,$Y85)</f>
        <v/>
      </c>
      <c r="M85" s="85">
        <f>IF(D85=0,0,L85/D85)</f>
        <v/>
      </c>
      <c r="T85" s="74" t="inlineStr">
        <is>
          <t>PIGIER_BOR|BAC_RH|B3|ALT</t>
        </is>
      </c>
      <c r="U85" s="74" t="inlineStr">
        <is>
          <t>PIGIER_BOR</t>
        </is>
      </c>
      <c r="V85" s="74" t="inlineStr">
        <is>
          <t>PIGIER</t>
        </is>
      </c>
      <c r="W85" s="74" t="inlineStr">
        <is>
          <t>BAC_RH</t>
        </is>
      </c>
      <c r="X85" s="74" t="inlineStr">
        <is>
          <t>B3</t>
        </is>
      </c>
      <c r="Y85" s="74" t="inlineStr">
        <is>
          <t>ALT</t>
        </is>
      </c>
      <c r="Z85" s="74" t="n">
        <v>3</v>
      </c>
      <c r="BF85" s="0" t="inlineStr">
        <is>
          <t>2027BUD_V1</t>
        </is>
      </c>
      <c r="BG85" s="0" t="inlineStr">
        <is>
          <t>ACT</t>
        </is>
      </c>
      <c r="BH85" s="0" t="inlineStr">
        <is>
          <t>12</t>
        </is>
      </c>
      <c r="BI85" s="0" t="inlineStr">
        <is>
          <t>2025</t>
        </is>
      </c>
      <c r="BJ85" s="0" t="inlineStr">
        <is>
          <t>ISCOM_TLS</t>
        </is>
      </c>
      <c r="BK85" s="0" t="inlineStr">
        <is>
          <t>ISCOM</t>
        </is>
      </c>
      <c r="BL85" s="0" t="inlineStr">
        <is>
          <t>MAS_COM</t>
        </is>
      </c>
      <c r="BM85" s="0" t="inlineStr">
        <is>
          <t>M2</t>
        </is>
      </c>
      <c r="BN85" s="0" t="inlineStr">
        <is>
          <t>ALT</t>
        </is>
      </c>
      <c r="BO85" s="0" t="n">
        <v>43</v>
      </c>
      <c r="BP85" s="0" t="n">
        <v>2</v>
      </c>
      <c r="BQ85" s="0" t="n">
        <v>309600</v>
      </c>
      <c r="BR85" s="0" t="n">
        <v>20165.075</v>
      </c>
      <c r="BS85" s="0" t="n">
        <v>44313.647</v>
      </c>
      <c r="BT85" s="0" t="n">
        <v>16331.632812</v>
      </c>
      <c r="BU85" s="0" t="n">
        <v>113871.436</v>
      </c>
      <c r="BV85" s="0" t="n">
        <v>8745.885842</v>
      </c>
      <c r="BW85" s="0" t="n">
        <v>40655.171303</v>
      </c>
      <c r="BX85" s="0" t="n">
        <v>49401.057145</v>
      </c>
      <c r="BY85" s="0" t="n">
        <v>36496.707812</v>
      </c>
      <c r="BZ85" s="0" t="n">
        <v>207586.140145</v>
      </c>
      <c r="CA85" s="0" t="n">
        <v>244082.847957</v>
      </c>
      <c r="CB85" s="0" t="n">
        <v>65517.152043</v>
      </c>
      <c r="CC85" s="0" t="n">
        <v>0</v>
      </c>
      <c r="CD85" s="0" t="n">
        <v>115229</v>
      </c>
      <c r="CE85" s="0" t="n">
        <v>253220.84</v>
      </c>
      <c r="CF85" s="0" t="n">
        <v>82038</v>
      </c>
      <c r="CG85" s="0" t="n">
        <v>20076</v>
      </c>
      <c r="CH85" s="0" t="n">
        <v>569357.1800000001</v>
      </c>
      <c r="CI85" s="0" t="n">
        <v>2760232</v>
      </c>
      <c r="CJ85" s="0" t="n">
        <v>580167</v>
      </c>
    </row>
    <row r="86" outlineLevel="2" ht="14.4975" customHeight="1" s="64">
      <c r="B86" s="80" t="inlineStr">
        <is>
          <t>BTS Gestion, 1re année, alternance</t>
        </is>
      </c>
      <c r="C86" s="81">
        <f>SUMIFS(_CALC_ALLOC!$G$1:$G$349,_CALC_ALLOC!$AS$1:$AS$349,"2027|"&amp;$P$1,_CALC_ALLOC!$B$1:$B$349,$U86,_CALC_ALLOC!$D$1:$D$349,$W86,_CALC_ALLOC!$E$1:$E$349,$X86,_CALC_ALLOC!$F$1:$F$349,$Y86)</f>
        <v/>
      </c>
      <c r="D86" s="82">
        <f>SUMIFS(_CALC_ALLOC!$I$1:$I$349,_CALC_ALLOC!$AS$1:$AS$349,"2027|"&amp;$P$1,_CALC_ALLOC!$B$1:$B$349,$U86,_CALC_ALLOC!$D$1:$D$349,$W86,_CALC_ALLOC!$E$1:$E$349,$X86,_CALC_ALLOC!$F$1:$F$349,$Y86)</f>
        <v/>
      </c>
      <c r="E86" s="82">
        <f>SUMIFS(_CALC_ALLOC!$AI$1:$AI$349,_CALC_ALLOC!$AS$1:$AS$349,"2027|"&amp;$P$1,_CALC_ALLOC!$B$1:$B$349,$U86,_CALC_ALLOC!$D$1:$D$349,$W86,_CALC_ALLOC!$E$1:$E$349,$X86,_CALC_ALLOC!$F$1:$F$349,$Y86)</f>
        <v/>
      </c>
      <c r="F86" s="82">
        <f>SUMIFS(_CALC_ALLOC!$AJ$1:$AJ$349,_CALC_ALLOC!$AS$1:$AS$349,"2027|"&amp;$P$1,_CALC_ALLOC!$B$1:$B$349,$U86,_CALC_ALLOC!$D$1:$D$349,$W86,_CALC_ALLOC!$E$1:$E$349,$X86,_CALC_ALLOC!$F$1:$F$349,$Y86)</f>
        <v/>
      </c>
      <c r="G86" s="82">
        <f>SUMIFS(_CALC_ALLOC!$AK$1:$AK$349,_CALC_ALLOC!$AS$1:$AS$349,"2027|"&amp;$P$1,_CALC_ALLOC!$B$1:$B$349,$U86,_CALC_ALLOC!$D$1:$D$349,$W86,_CALC_ALLOC!$E$1:$E$349,$X86,_CALC_ALLOC!$F$1:$F$349,$Y86)</f>
        <v/>
      </c>
      <c r="H86" s="82">
        <f>SUMIFS(_CALC_ALLOC!$AL$1:$AL$349,_CALC_ALLOC!$AS$1:$AS$349,"2027|"&amp;$P$1,_CALC_ALLOC!$B$1:$B$349,$U86,_CALC_ALLOC!$D$1:$D$349,$W86,_CALC_ALLOC!$E$1:$E$349,$X86,_CALC_ALLOC!$F$1:$F$349,$Y86)</f>
        <v/>
      </c>
      <c r="I86" s="82">
        <f>SUMIFS(_CALC_ALLOC!$AR$1:$AR$349,_CALC_ALLOC!$AS$1:$AS$349,"2027|"&amp;$P$1,_CALC_ALLOC!$B$1:$B$349,$U86,_CALC_ALLOC!$D$1:$D$349,$W86,_CALC_ALLOC!$E$1:$E$349,$X86,_CALC_ALLOC!$F$1:$F$349,$Y86)</f>
        <v/>
      </c>
      <c r="J86" s="82">
        <f>SUMIFS(_CALC_ALLOC!$AM$1:$AM$349,_CALC_ALLOC!$AS$1:$AS$349,"2027|"&amp;$P$1,_CALC_ALLOC!$B$1:$B$349,$U86,_CALC_ALLOC!$D$1:$D$349,$W86,_CALC_ALLOC!$E$1:$E$349,$X86,_CALC_ALLOC!$F$1:$F$349,$Y86)</f>
        <v/>
      </c>
      <c r="K86" s="83">
        <f>E86+F86+G86+H86+I86+J86</f>
        <v/>
      </c>
      <c r="L86" s="84">
        <f>SUMIFS(_CALC_ALLOC!$AN$1:$AN$349,_CALC_ALLOC!$AS$1:$AS$349,"2027|"&amp;$P$1,_CALC_ALLOC!$B$1:$B$349,$U86,_CALC_ALLOC!$D$1:$D$349,$W86,_CALC_ALLOC!$E$1:$E$349,$X86,_CALC_ALLOC!$F$1:$F$349,$Y86)</f>
        <v/>
      </c>
      <c r="M86" s="85">
        <f>IF(D86=0,0,L86/D86)</f>
        <v/>
      </c>
      <c r="T86" s="74" t="inlineStr">
        <is>
          <t>PIGIER_BOR|BTS_GES|BTS1|ALT</t>
        </is>
      </c>
      <c r="U86" s="74" t="inlineStr">
        <is>
          <t>PIGIER_BOR</t>
        </is>
      </c>
      <c r="V86" s="74" t="inlineStr">
        <is>
          <t>PIGIER</t>
        </is>
      </c>
      <c r="W86" s="74" t="inlineStr">
        <is>
          <t>BTS_GES</t>
        </is>
      </c>
      <c r="X86" s="74" t="inlineStr">
        <is>
          <t>BTS1</t>
        </is>
      </c>
      <c r="Y86" s="74" t="inlineStr">
        <is>
          <t>ALT</t>
        </is>
      </c>
      <c r="Z86" s="74" t="n">
        <v>3</v>
      </c>
      <c r="BF86" s="0" t="inlineStr">
        <is>
          <t>2027BUD_V1</t>
        </is>
      </c>
      <c r="BG86" s="0" t="inlineStr">
        <is>
          <t>ACT</t>
        </is>
      </c>
      <c r="BH86" s="0" t="inlineStr">
        <is>
          <t>12</t>
        </is>
      </c>
      <c r="BI86" s="0" t="inlineStr">
        <is>
          <t>2025</t>
        </is>
      </c>
      <c r="BJ86" s="0" t="inlineStr">
        <is>
          <t>MBWAY_BOR</t>
        </is>
      </c>
      <c r="BK86" s="0" t="inlineStr">
        <is>
          <t>MBWAY</t>
        </is>
      </c>
      <c r="BL86" s="0" t="inlineStr">
        <is>
          <t>BAC_MGT</t>
        </is>
      </c>
      <c r="BM86" s="0" t="inlineStr">
        <is>
          <t>B1</t>
        </is>
      </c>
      <c r="BN86" s="0" t="inlineStr">
        <is>
          <t>INIT</t>
        </is>
      </c>
      <c r="BO86" s="0" t="n">
        <v>48</v>
      </c>
      <c r="BP86" s="0" t="n">
        <v>2</v>
      </c>
      <c r="BQ86" s="0" t="n">
        <v>353520</v>
      </c>
      <c r="BR86" s="0" t="n">
        <v>28807.25</v>
      </c>
      <c r="BS86" s="0" t="n">
        <v>66982.25</v>
      </c>
      <c r="BT86" s="0" t="n">
        <v>29467.96904</v>
      </c>
      <c r="BU86" s="0" t="n">
        <v>126681.156</v>
      </c>
      <c r="BV86" s="0" t="n">
        <v>9559.889646</v>
      </c>
      <c r="BW86" s="0" t="n">
        <v>44043.134644</v>
      </c>
      <c r="BX86" s="0" t="n">
        <v>53603.02429</v>
      </c>
      <c r="BY86" s="0" t="n">
        <v>58275.21904</v>
      </c>
      <c r="BZ86" s="0" t="n">
        <v>247266.43029</v>
      </c>
      <c r="CA86" s="0" t="n">
        <v>305541.64933</v>
      </c>
      <c r="CB86" s="0" t="n">
        <v>47978.35067</v>
      </c>
      <c r="CC86" s="0" t="n">
        <v>48</v>
      </c>
      <c r="CD86" s="0" t="n">
        <v>115229</v>
      </c>
      <c r="CE86" s="0" t="n">
        <v>267929</v>
      </c>
      <c r="CF86" s="0" t="n">
        <v>88430</v>
      </c>
      <c r="CG86" s="0" t="n">
        <v>22657</v>
      </c>
      <c r="CH86" s="0" t="n">
        <v>633405.78</v>
      </c>
      <c r="CI86" s="0" t="n">
        <v>2760232</v>
      </c>
      <c r="CJ86" s="0" t="n">
        <v>580167</v>
      </c>
    </row>
    <row r="87" outlineLevel="2" collapsed="1" ht="14.4975" customHeight="1" s="64">
      <c r="B87" s="80" t="inlineStr">
        <is>
          <t>BTS Gestion, 2e année, alternance</t>
        </is>
      </c>
      <c r="C87" s="81">
        <f>SUMIFS(_CALC_ALLOC!$G$1:$G$349,_CALC_ALLOC!$AS$1:$AS$349,"2027|"&amp;$P$1,_CALC_ALLOC!$B$1:$B$349,$U87,_CALC_ALLOC!$D$1:$D$349,$W87,_CALC_ALLOC!$E$1:$E$349,$X87,_CALC_ALLOC!$F$1:$F$349,$Y87)</f>
        <v/>
      </c>
      <c r="D87" s="82">
        <f>SUMIFS(_CALC_ALLOC!$I$1:$I$349,_CALC_ALLOC!$AS$1:$AS$349,"2027|"&amp;$P$1,_CALC_ALLOC!$B$1:$B$349,$U87,_CALC_ALLOC!$D$1:$D$349,$W87,_CALC_ALLOC!$E$1:$E$349,$X87,_CALC_ALLOC!$F$1:$F$349,$Y87)</f>
        <v/>
      </c>
      <c r="E87" s="82">
        <f>SUMIFS(_CALC_ALLOC!$AI$1:$AI$349,_CALC_ALLOC!$AS$1:$AS$349,"2027|"&amp;$P$1,_CALC_ALLOC!$B$1:$B$349,$U87,_CALC_ALLOC!$D$1:$D$349,$W87,_CALC_ALLOC!$E$1:$E$349,$X87,_CALC_ALLOC!$F$1:$F$349,$Y87)</f>
        <v/>
      </c>
      <c r="F87" s="82">
        <f>SUMIFS(_CALC_ALLOC!$AJ$1:$AJ$349,_CALC_ALLOC!$AS$1:$AS$349,"2027|"&amp;$P$1,_CALC_ALLOC!$B$1:$B$349,$U87,_CALC_ALLOC!$D$1:$D$349,$W87,_CALC_ALLOC!$E$1:$E$349,$X87,_CALC_ALLOC!$F$1:$F$349,$Y87)</f>
        <v/>
      </c>
      <c r="G87" s="82">
        <f>SUMIFS(_CALC_ALLOC!$AK$1:$AK$349,_CALC_ALLOC!$AS$1:$AS$349,"2027|"&amp;$P$1,_CALC_ALLOC!$B$1:$B$349,$U87,_CALC_ALLOC!$D$1:$D$349,$W87,_CALC_ALLOC!$E$1:$E$349,$X87,_CALC_ALLOC!$F$1:$F$349,$Y87)</f>
        <v/>
      </c>
      <c r="H87" s="82">
        <f>SUMIFS(_CALC_ALLOC!$AL$1:$AL$349,_CALC_ALLOC!$AS$1:$AS$349,"2027|"&amp;$P$1,_CALC_ALLOC!$B$1:$B$349,$U87,_CALC_ALLOC!$D$1:$D$349,$W87,_CALC_ALLOC!$E$1:$E$349,$X87,_CALC_ALLOC!$F$1:$F$349,$Y87)</f>
        <v/>
      </c>
      <c r="I87" s="82">
        <f>SUMIFS(_CALC_ALLOC!$AR$1:$AR$349,_CALC_ALLOC!$AS$1:$AS$349,"2027|"&amp;$P$1,_CALC_ALLOC!$B$1:$B$349,$U87,_CALC_ALLOC!$D$1:$D$349,$W87,_CALC_ALLOC!$E$1:$E$349,$X87,_CALC_ALLOC!$F$1:$F$349,$Y87)</f>
        <v/>
      </c>
      <c r="J87" s="82">
        <f>SUMIFS(_CALC_ALLOC!$AM$1:$AM$349,_CALC_ALLOC!$AS$1:$AS$349,"2027|"&amp;$P$1,_CALC_ALLOC!$B$1:$B$349,$U87,_CALC_ALLOC!$D$1:$D$349,$W87,_CALC_ALLOC!$E$1:$E$349,$X87,_CALC_ALLOC!$F$1:$F$349,$Y87)</f>
        <v/>
      </c>
      <c r="K87" s="83">
        <f>E87+F87+G87+H87+I87+J87</f>
        <v/>
      </c>
      <c r="L87" s="84">
        <f>SUMIFS(_CALC_ALLOC!$AN$1:$AN$349,_CALC_ALLOC!$AS$1:$AS$349,"2027|"&amp;$P$1,_CALC_ALLOC!$B$1:$B$349,$U87,_CALC_ALLOC!$D$1:$D$349,$W87,_CALC_ALLOC!$E$1:$E$349,$X87,_CALC_ALLOC!$F$1:$F$349,$Y87)</f>
        <v/>
      </c>
      <c r="M87" s="85">
        <f>IF(D87=0,0,L87/D87)</f>
        <v/>
      </c>
      <c r="T87" s="74" t="inlineStr">
        <is>
          <t>PIGIER_BOR|BTS_GES|BTS2|ALT</t>
        </is>
      </c>
      <c r="U87" s="74" t="inlineStr">
        <is>
          <t>PIGIER_BOR</t>
        </is>
      </c>
      <c r="V87" s="74" t="inlineStr">
        <is>
          <t>PIGIER</t>
        </is>
      </c>
      <c r="W87" s="74" t="inlineStr">
        <is>
          <t>BTS_GES</t>
        </is>
      </c>
      <c r="X87" s="74" t="inlineStr">
        <is>
          <t>BTS2</t>
        </is>
      </c>
      <c r="Y87" s="74" t="inlineStr">
        <is>
          <t>ALT</t>
        </is>
      </c>
      <c r="Z87" s="74" t="n">
        <v>3</v>
      </c>
      <c r="BF87" s="0" t="inlineStr">
        <is>
          <t>2027BUD_V1</t>
        </is>
      </c>
      <c r="BG87" s="0" t="inlineStr">
        <is>
          <t>ACT</t>
        </is>
      </c>
      <c r="BH87" s="0" t="inlineStr">
        <is>
          <t>12</t>
        </is>
      </c>
      <c r="BI87" s="0" t="inlineStr">
        <is>
          <t>2025</t>
        </is>
      </c>
      <c r="BJ87" s="0" t="inlineStr">
        <is>
          <t>MBWAY_BOR</t>
        </is>
      </c>
      <c r="BK87" s="0" t="inlineStr">
        <is>
          <t>MBWAY</t>
        </is>
      </c>
      <c r="BL87" s="0" t="inlineStr">
        <is>
          <t>BAC_MGT</t>
        </is>
      </c>
      <c r="BM87" s="0" t="inlineStr">
        <is>
          <t>B2</t>
        </is>
      </c>
      <c r="BN87" s="0" t="inlineStr">
        <is>
          <t>ALT</t>
        </is>
      </c>
      <c r="BO87" s="0" t="n">
        <v>46</v>
      </c>
      <c r="BP87" s="0" t="n">
        <v>2</v>
      </c>
      <c r="BQ87" s="0" t="n">
        <v>312340</v>
      </c>
      <c r="BR87" s="0" t="n">
        <v>23045.8</v>
      </c>
      <c r="BS87" s="0" t="n">
        <v>53585.8</v>
      </c>
      <c r="BT87" s="0" t="n">
        <v>17383.65783</v>
      </c>
      <c r="BU87" s="0" t="n">
        <v>126681.156</v>
      </c>
      <c r="BV87" s="0" t="n">
        <v>9559.889646</v>
      </c>
      <c r="BW87" s="0" t="n">
        <v>44043.134644</v>
      </c>
      <c r="BX87" s="0" t="n">
        <v>53603.02429</v>
      </c>
      <c r="BY87" s="0" t="n">
        <v>40429.45783</v>
      </c>
      <c r="BZ87" s="0" t="n">
        <v>233869.98029</v>
      </c>
      <c r="CA87" s="0" t="n">
        <v>274299.43812</v>
      </c>
      <c r="CB87" s="0" t="n">
        <v>38040.56188</v>
      </c>
      <c r="CC87" s="0" t="n">
        <v>0</v>
      </c>
      <c r="CD87" s="0" t="n">
        <v>115229</v>
      </c>
      <c r="CE87" s="0" t="n">
        <v>267929</v>
      </c>
      <c r="CF87" s="0" t="n">
        <v>88430</v>
      </c>
      <c r="CG87" s="0" t="n">
        <v>22657</v>
      </c>
      <c r="CH87" s="0" t="n">
        <v>633405.78</v>
      </c>
      <c r="CI87" s="0" t="n">
        <v>2760232</v>
      </c>
      <c r="CJ87" s="0" t="n">
        <v>580167</v>
      </c>
    </row>
    <row r="88" ht="14.4975" customHeight="1" s="64">
      <c r="B88" s="44" t="inlineStr">
        <is>
          <t>Tunon</t>
        </is>
      </c>
      <c r="C88" s="70">
        <f>SUMIFS(_CALC_ALLOC!$G$1:$G$349,_CALC_ALLOC!$AS$1:$AS$349,"2027|"&amp;$P$1,_CALC_ALLOC!$C$1:$C$349,$V88)</f>
        <v/>
      </c>
      <c r="D88" s="71">
        <f>SUMIFS(_CALC_ALLOC!$I$1:$I$349,_CALC_ALLOC!$AS$1:$AS$349,"2027|"&amp;$P$1,_CALC_ALLOC!$C$1:$C$349,$V88)</f>
        <v/>
      </c>
      <c r="E88" s="71">
        <f>SUMIFS(_CALC_ALLOC!$AI$1:$AI$349,_CALC_ALLOC!$AS$1:$AS$349,"2027|"&amp;$P$1,_CALC_ALLOC!$C$1:$C$349,$V88)</f>
        <v/>
      </c>
      <c r="F88" s="71">
        <f>SUMIFS(_CALC_ALLOC!$AJ$1:$AJ$349,_CALC_ALLOC!$AS$1:$AS$349,"2027|"&amp;$P$1,_CALC_ALLOC!$C$1:$C$349,$V88)</f>
        <v/>
      </c>
      <c r="G88" s="71">
        <f>SUMIFS(_CALC_ALLOC!$AK$1:$AK$349,_CALC_ALLOC!$AS$1:$AS$349,"2027|"&amp;$P$1,_CALC_ALLOC!$C$1:$C$349,$V88)</f>
        <v/>
      </c>
      <c r="H88" s="71">
        <f>SUMIFS(_CALC_ALLOC!$AL$1:$AL$349,_CALC_ALLOC!$AS$1:$AS$349,"2027|"&amp;$P$1,_CALC_ALLOC!$C$1:$C$349,$V88)</f>
        <v/>
      </c>
      <c r="I88" s="71">
        <f>SUMIFS(_CALC_ALLOC!$AR$1:$AR$349,_CALC_ALLOC!$AS$1:$AS$349,"2027|"&amp;$P$1,_CALC_ALLOC!$C$1:$C$349,$V88)</f>
        <v/>
      </c>
      <c r="J88" s="71">
        <f>SUMIFS(_CALC_ALLOC!$AM$1:$AM$349,_CALC_ALLOC!$AS$1:$AS$349,"2027|"&amp;$P$1,_CALC_ALLOC!$C$1:$C$349,$V88)</f>
        <v/>
      </c>
      <c r="K88" s="71">
        <f>E88+F88+G88+H88+I88+J88</f>
        <v/>
      </c>
      <c r="L88" s="72">
        <f>SUMIFS(_CALC_ALLOC!$AN$1:$AN$349,_CALC_ALLOC!$AS$1:$AS$349,"2027|"&amp;$P$1,_CALC_ALLOC!$C$1:$C$349,$V88)</f>
        <v/>
      </c>
      <c r="M88" s="73">
        <f>IF(D88=0,0,L88/D88)</f>
        <v/>
      </c>
      <c r="T88" s="74" t="inlineStr">
        <is>
          <t>TUNON</t>
        </is>
      </c>
      <c r="U88" s="74" t="inlineStr"/>
      <c r="V88" s="74" t="inlineStr">
        <is>
          <t>TUNON</t>
        </is>
      </c>
      <c r="W88" s="74" t="inlineStr"/>
      <c r="X88" s="74" t="inlineStr"/>
      <c r="Y88" s="74" t="inlineStr"/>
      <c r="Z88" s="74" t="n">
        <v>1</v>
      </c>
      <c r="BF88" s="0" t="inlineStr">
        <is>
          <t>2027BUD_V1</t>
        </is>
      </c>
      <c r="BG88" s="0" t="inlineStr">
        <is>
          <t>ACT</t>
        </is>
      </c>
      <c r="BH88" s="0" t="inlineStr">
        <is>
          <t>12</t>
        </is>
      </c>
      <c r="BI88" s="0" t="inlineStr">
        <is>
          <t>2025</t>
        </is>
      </c>
      <c r="BJ88" s="0" t="inlineStr">
        <is>
          <t>MBWAY_BOR</t>
        </is>
      </c>
      <c r="BK88" s="0" t="inlineStr">
        <is>
          <t>MBWAY</t>
        </is>
      </c>
      <c r="BL88" s="0" t="inlineStr">
        <is>
          <t>BAC_MGT</t>
        </is>
      </c>
      <c r="BM88" s="0" t="inlineStr">
        <is>
          <t>B3</t>
        </is>
      </c>
      <c r="BN88" s="0" t="inlineStr">
        <is>
          <t>ALT</t>
        </is>
      </c>
      <c r="BO88" s="0" t="n">
        <v>45</v>
      </c>
      <c r="BP88" s="0" t="n">
        <v>2</v>
      </c>
      <c r="BQ88" s="0" t="n">
        <v>305550</v>
      </c>
      <c r="BR88" s="0" t="n">
        <v>23045.8</v>
      </c>
      <c r="BS88" s="0" t="n">
        <v>53585.8</v>
      </c>
      <c r="BT88" s="0" t="n">
        <v>17005.70801</v>
      </c>
      <c r="BU88" s="0" t="n">
        <v>126681.156</v>
      </c>
      <c r="BV88" s="0" t="n">
        <v>9559.889646</v>
      </c>
      <c r="BW88" s="0" t="n">
        <v>44043.134644</v>
      </c>
      <c r="BX88" s="0" t="n">
        <v>53603.02429</v>
      </c>
      <c r="BY88" s="0" t="n">
        <v>40051.50801</v>
      </c>
      <c r="BZ88" s="0" t="n">
        <v>233869.98029</v>
      </c>
      <c r="CA88" s="0" t="n">
        <v>273921.4883</v>
      </c>
      <c r="CB88" s="0" t="n">
        <v>31628.5117</v>
      </c>
      <c r="CC88" s="0" t="n">
        <v>0</v>
      </c>
      <c r="CD88" s="0" t="n">
        <v>115229</v>
      </c>
      <c r="CE88" s="0" t="n">
        <v>267929</v>
      </c>
      <c r="CF88" s="0" t="n">
        <v>88430</v>
      </c>
      <c r="CG88" s="0" t="n">
        <v>22657</v>
      </c>
      <c r="CH88" s="0" t="n">
        <v>633405.78</v>
      </c>
      <c r="CI88" s="0" t="n">
        <v>2760232</v>
      </c>
      <c r="CJ88" s="0" t="n">
        <v>580167</v>
      </c>
    </row>
    <row r="89" outlineLevel="1" ht="14.4975" customHeight="1" s="64">
      <c r="B89" s="75" t="inlineStr">
        <is>
          <t>Paris</t>
        </is>
      </c>
      <c r="C89" s="76">
        <f>SUMIFS(_CALC_ALLOC!$G$1:$G$349,_CALC_ALLOC!$AS$1:$AS$349,"2027|"&amp;$P$1,_CALC_ALLOC!$B$1:$B$349,$U89)</f>
        <v/>
      </c>
      <c r="D89" s="77">
        <f>SUMIFS(_CALC_ALLOC!$I$1:$I$349,_CALC_ALLOC!$AS$1:$AS$349,"2027|"&amp;$P$1,_CALC_ALLOC!$B$1:$B$349,$U89)</f>
        <v/>
      </c>
      <c r="E89" s="77">
        <f>SUMIFS(_CALC_ALLOC!$AI$1:$AI$349,_CALC_ALLOC!$AS$1:$AS$349,"2027|"&amp;$P$1,_CALC_ALLOC!$B$1:$B$349,$U89)</f>
        <v/>
      </c>
      <c r="F89" s="77">
        <f>SUMIFS(_CALC_ALLOC!$AJ$1:$AJ$349,_CALC_ALLOC!$AS$1:$AS$349,"2027|"&amp;$P$1,_CALC_ALLOC!$B$1:$B$349,$U89)</f>
        <v/>
      </c>
      <c r="G89" s="77">
        <f>SUMIFS(_CALC_ALLOC!$AK$1:$AK$349,_CALC_ALLOC!$AS$1:$AS$349,"2027|"&amp;$P$1,_CALC_ALLOC!$B$1:$B$349,$U89)</f>
        <v/>
      </c>
      <c r="H89" s="77">
        <f>SUMIFS(_CALC_ALLOC!$AL$1:$AL$349,_CALC_ALLOC!$AS$1:$AS$349,"2027|"&amp;$P$1,_CALC_ALLOC!$B$1:$B$349,$U89)</f>
        <v/>
      </c>
      <c r="I89" s="77">
        <f>SUMIFS(_CALC_ALLOC!$AR$1:$AR$349,_CALC_ALLOC!$AS$1:$AS$349,"2027|"&amp;$P$1,_CALC_ALLOC!$B$1:$B$349,$U89)</f>
        <v/>
      </c>
      <c r="J89" s="77">
        <f>SUMIFS(_CALC_ALLOC!$AM$1:$AM$349,_CALC_ALLOC!$AS$1:$AS$349,"2027|"&amp;$P$1,_CALC_ALLOC!$B$1:$B$349,$U89)</f>
        <v/>
      </c>
      <c r="K89" s="77">
        <f>E89+F89+G89+H89+I89+J89</f>
        <v/>
      </c>
      <c r="L89" s="78">
        <f>SUMIFS(_CALC_ALLOC!$AN$1:$AN$349,_CALC_ALLOC!$AS$1:$AS$349,"2027|"&amp;$P$1,_CALC_ALLOC!$B$1:$B$349,$U89)</f>
        <v/>
      </c>
      <c r="M89" s="79">
        <f>IF(D89=0,0,L89/D89)</f>
        <v/>
      </c>
      <c r="T89" s="74" t="inlineStr">
        <is>
          <t>TUNON_PAR</t>
        </is>
      </c>
      <c r="U89" s="74" t="inlineStr">
        <is>
          <t>TUNON_PAR</t>
        </is>
      </c>
      <c r="V89" s="74" t="inlineStr">
        <is>
          <t>TUNON</t>
        </is>
      </c>
      <c r="W89" s="74" t="inlineStr"/>
      <c r="X89" s="74" t="inlineStr"/>
      <c r="Y89" s="74" t="inlineStr"/>
      <c r="Z89" s="74" t="n">
        <v>2</v>
      </c>
      <c r="BF89" s="0" t="inlineStr">
        <is>
          <t>2027BUD_V1</t>
        </is>
      </c>
      <c r="BG89" s="0" t="inlineStr">
        <is>
          <t>ACT</t>
        </is>
      </c>
      <c r="BH89" s="0" t="inlineStr">
        <is>
          <t>12</t>
        </is>
      </c>
      <c r="BI89" s="0" t="inlineStr">
        <is>
          <t>2025</t>
        </is>
      </c>
      <c r="BJ89" s="0" t="inlineStr">
        <is>
          <t>MBWAY_BOR</t>
        </is>
      </c>
      <c r="BK89" s="0" t="inlineStr">
        <is>
          <t>MBWAY</t>
        </is>
      </c>
      <c r="BL89" s="0" t="inlineStr">
        <is>
          <t>MAS_MGT</t>
        </is>
      </c>
      <c r="BM89" s="0" t="inlineStr">
        <is>
          <t>M1</t>
        </is>
      </c>
      <c r="BN89" s="0" t="inlineStr">
        <is>
          <t>ALT</t>
        </is>
      </c>
      <c r="BO89" s="0" t="n">
        <v>48</v>
      </c>
      <c r="BP89" s="0" t="n">
        <v>2</v>
      </c>
      <c r="BQ89" s="0" t="n">
        <v>353520</v>
      </c>
      <c r="BR89" s="0" t="n">
        <v>20165.075</v>
      </c>
      <c r="BS89" s="0" t="n">
        <v>46887.575</v>
      </c>
      <c r="BT89" s="0" t="n">
        <v>29467.96904</v>
      </c>
      <c r="BU89" s="0" t="n">
        <v>126681.156</v>
      </c>
      <c r="BV89" s="0" t="n">
        <v>9559.889646</v>
      </c>
      <c r="BW89" s="0" t="n">
        <v>44043.134644</v>
      </c>
      <c r="BX89" s="0" t="n">
        <v>53603.02429</v>
      </c>
      <c r="BY89" s="0" t="n">
        <v>49633.04404</v>
      </c>
      <c r="BZ89" s="0" t="n">
        <v>227171.75529</v>
      </c>
      <c r="CA89" s="0" t="n">
        <v>276804.79933</v>
      </c>
      <c r="CB89" s="0" t="n">
        <v>76715.20067000001</v>
      </c>
      <c r="CC89" s="0" t="n">
        <v>48</v>
      </c>
      <c r="CD89" s="0" t="n">
        <v>115229</v>
      </c>
      <c r="CE89" s="0" t="n">
        <v>267929</v>
      </c>
      <c r="CF89" s="0" t="n">
        <v>88430</v>
      </c>
      <c r="CG89" s="0" t="n">
        <v>22657</v>
      </c>
      <c r="CH89" s="0" t="n">
        <v>633405.78</v>
      </c>
      <c r="CI89" s="0" t="n">
        <v>2760232</v>
      </c>
      <c r="CJ89" s="0" t="n">
        <v>580167</v>
      </c>
    </row>
    <row r="90" outlineLevel="2" ht="14.4975" customHeight="1" s="64">
      <c r="B90" s="80" t="inlineStr">
        <is>
          <t>Bachelor Tourisme, 1re année, alternance</t>
        </is>
      </c>
      <c r="C90" s="81">
        <f>SUMIFS(_CALC_ALLOC!$G$1:$G$349,_CALC_ALLOC!$AS$1:$AS$349,"2027|"&amp;$P$1,_CALC_ALLOC!$B$1:$B$349,$U90,_CALC_ALLOC!$D$1:$D$349,$W90,_CALC_ALLOC!$E$1:$E$349,$X90,_CALC_ALLOC!$F$1:$F$349,$Y90)</f>
        <v/>
      </c>
      <c r="D90" s="82">
        <f>SUMIFS(_CALC_ALLOC!$I$1:$I$349,_CALC_ALLOC!$AS$1:$AS$349,"2027|"&amp;$P$1,_CALC_ALLOC!$B$1:$B$349,$U90,_CALC_ALLOC!$D$1:$D$349,$W90,_CALC_ALLOC!$E$1:$E$349,$X90,_CALC_ALLOC!$F$1:$F$349,$Y90)</f>
        <v/>
      </c>
      <c r="E90" s="82">
        <f>SUMIFS(_CALC_ALLOC!$AI$1:$AI$349,_CALC_ALLOC!$AS$1:$AS$349,"2027|"&amp;$P$1,_CALC_ALLOC!$B$1:$B$349,$U90,_CALC_ALLOC!$D$1:$D$349,$W90,_CALC_ALLOC!$E$1:$E$349,$X90,_CALC_ALLOC!$F$1:$F$349,$Y90)</f>
        <v/>
      </c>
      <c r="F90" s="82">
        <f>SUMIFS(_CALC_ALLOC!$AJ$1:$AJ$349,_CALC_ALLOC!$AS$1:$AS$349,"2027|"&amp;$P$1,_CALC_ALLOC!$B$1:$B$349,$U90,_CALC_ALLOC!$D$1:$D$349,$W90,_CALC_ALLOC!$E$1:$E$349,$X90,_CALC_ALLOC!$F$1:$F$349,$Y90)</f>
        <v/>
      </c>
      <c r="G90" s="82">
        <f>SUMIFS(_CALC_ALLOC!$AK$1:$AK$349,_CALC_ALLOC!$AS$1:$AS$349,"2027|"&amp;$P$1,_CALC_ALLOC!$B$1:$B$349,$U90,_CALC_ALLOC!$D$1:$D$349,$W90,_CALC_ALLOC!$E$1:$E$349,$X90,_CALC_ALLOC!$F$1:$F$349,$Y90)</f>
        <v/>
      </c>
      <c r="H90" s="82">
        <f>SUMIFS(_CALC_ALLOC!$AL$1:$AL$349,_CALC_ALLOC!$AS$1:$AS$349,"2027|"&amp;$P$1,_CALC_ALLOC!$B$1:$B$349,$U90,_CALC_ALLOC!$D$1:$D$349,$W90,_CALC_ALLOC!$E$1:$E$349,$X90,_CALC_ALLOC!$F$1:$F$349,$Y90)</f>
        <v/>
      </c>
      <c r="I90" s="82">
        <f>SUMIFS(_CALC_ALLOC!$AR$1:$AR$349,_CALC_ALLOC!$AS$1:$AS$349,"2027|"&amp;$P$1,_CALC_ALLOC!$B$1:$B$349,$U90,_CALC_ALLOC!$D$1:$D$349,$W90,_CALC_ALLOC!$E$1:$E$349,$X90,_CALC_ALLOC!$F$1:$F$349,$Y90)</f>
        <v/>
      </c>
      <c r="J90" s="82">
        <f>SUMIFS(_CALC_ALLOC!$AM$1:$AM$349,_CALC_ALLOC!$AS$1:$AS$349,"2027|"&amp;$P$1,_CALC_ALLOC!$B$1:$B$349,$U90,_CALC_ALLOC!$D$1:$D$349,$W90,_CALC_ALLOC!$E$1:$E$349,$X90,_CALC_ALLOC!$F$1:$F$349,$Y90)</f>
        <v/>
      </c>
      <c r="K90" s="83">
        <f>E90+F90+G90+H90+I90+J90</f>
        <v/>
      </c>
      <c r="L90" s="84">
        <f>SUMIFS(_CALC_ALLOC!$AN$1:$AN$349,_CALC_ALLOC!$AS$1:$AS$349,"2027|"&amp;$P$1,_CALC_ALLOC!$B$1:$B$349,$U90,_CALC_ALLOC!$D$1:$D$349,$W90,_CALC_ALLOC!$E$1:$E$349,$X90,_CALC_ALLOC!$F$1:$F$349,$Y90)</f>
        <v/>
      </c>
      <c r="M90" s="85">
        <f>IF(D90=0,0,L90/D90)</f>
        <v/>
      </c>
      <c r="T90" s="74" t="inlineStr">
        <is>
          <t>TUNON_PAR|BAC_TOU|B1|ALT</t>
        </is>
      </c>
      <c r="U90" s="74" t="inlineStr">
        <is>
          <t>TUNON_PAR</t>
        </is>
      </c>
      <c r="V90" s="74" t="inlineStr">
        <is>
          <t>TUNON</t>
        </is>
      </c>
      <c r="W90" s="74" t="inlineStr">
        <is>
          <t>BAC_TOU</t>
        </is>
      </c>
      <c r="X90" s="74" t="inlineStr">
        <is>
          <t>B1</t>
        </is>
      </c>
      <c r="Y90" s="74" t="inlineStr">
        <is>
          <t>ALT</t>
        </is>
      </c>
      <c r="Z90" s="74" t="n">
        <v>3</v>
      </c>
      <c r="BF90" s="0" t="inlineStr">
        <is>
          <t>2027BUD_V1</t>
        </is>
      </c>
      <c r="BG90" s="0" t="inlineStr">
        <is>
          <t>ACT</t>
        </is>
      </c>
      <c r="BH90" s="0" t="inlineStr">
        <is>
          <t>12</t>
        </is>
      </c>
      <c r="BI90" s="0" t="inlineStr">
        <is>
          <t>2025</t>
        </is>
      </c>
      <c r="BJ90" s="0" t="inlineStr">
        <is>
          <t>MBWAY_BOR</t>
        </is>
      </c>
      <c r="BK90" s="0" t="inlineStr">
        <is>
          <t>MBWAY</t>
        </is>
      </c>
      <c r="BL90" s="0" t="inlineStr">
        <is>
          <t>MAS_MGT</t>
        </is>
      </c>
      <c r="BM90" s="0" t="inlineStr">
        <is>
          <t>M2</t>
        </is>
      </c>
      <c r="BN90" s="0" t="inlineStr">
        <is>
          <t>ALT</t>
        </is>
      </c>
      <c r="BO90" s="0" t="n">
        <v>47</v>
      </c>
      <c r="BP90" s="0" t="n">
        <v>2</v>
      </c>
      <c r="BQ90" s="0" t="n">
        <v>341925</v>
      </c>
      <c r="BR90" s="0" t="n">
        <v>20165.075</v>
      </c>
      <c r="BS90" s="0" t="n">
        <v>46887.575</v>
      </c>
      <c r="BT90" s="0" t="n">
        <v>17761.51922</v>
      </c>
      <c r="BU90" s="0" t="n">
        <v>126681.156</v>
      </c>
      <c r="BV90" s="0" t="n">
        <v>9559.889646</v>
      </c>
      <c r="BW90" s="0" t="n">
        <v>44043.134644</v>
      </c>
      <c r="BX90" s="0" t="n">
        <v>53603.02429</v>
      </c>
      <c r="BY90" s="0" t="n">
        <v>37926.59422</v>
      </c>
      <c r="BZ90" s="0" t="n">
        <v>227171.75529</v>
      </c>
      <c r="CA90" s="0" t="n">
        <v>265098.34951</v>
      </c>
      <c r="CB90" s="0" t="n">
        <v>76826.65049</v>
      </c>
      <c r="CC90" s="0" t="n">
        <v>0</v>
      </c>
      <c r="CD90" s="0" t="n">
        <v>115229</v>
      </c>
      <c r="CE90" s="0" t="n">
        <v>267929</v>
      </c>
      <c r="CF90" s="0" t="n">
        <v>88430</v>
      </c>
      <c r="CG90" s="0" t="n">
        <v>22657</v>
      </c>
      <c r="CH90" s="0" t="n">
        <v>633405.78</v>
      </c>
      <c r="CI90" s="0" t="n">
        <v>2760232</v>
      </c>
      <c r="CJ90" s="0" t="n">
        <v>580167</v>
      </c>
    </row>
    <row r="91" outlineLevel="2" ht="14.4975" customHeight="1" s="64">
      <c r="B91" s="80" t="inlineStr">
        <is>
          <t>Bachelor Tourisme, 2e année, alternance</t>
        </is>
      </c>
      <c r="C91" s="81">
        <f>SUMIFS(_CALC_ALLOC!$G$1:$G$349,_CALC_ALLOC!$AS$1:$AS$349,"2027|"&amp;$P$1,_CALC_ALLOC!$B$1:$B$349,$U91,_CALC_ALLOC!$D$1:$D$349,$W91,_CALC_ALLOC!$E$1:$E$349,$X91,_CALC_ALLOC!$F$1:$F$349,$Y91)</f>
        <v/>
      </c>
      <c r="D91" s="82">
        <f>SUMIFS(_CALC_ALLOC!$I$1:$I$349,_CALC_ALLOC!$AS$1:$AS$349,"2027|"&amp;$P$1,_CALC_ALLOC!$B$1:$B$349,$U91,_CALC_ALLOC!$D$1:$D$349,$W91,_CALC_ALLOC!$E$1:$E$349,$X91,_CALC_ALLOC!$F$1:$F$349,$Y91)</f>
        <v/>
      </c>
      <c r="E91" s="82">
        <f>SUMIFS(_CALC_ALLOC!$AI$1:$AI$349,_CALC_ALLOC!$AS$1:$AS$349,"2027|"&amp;$P$1,_CALC_ALLOC!$B$1:$B$349,$U91,_CALC_ALLOC!$D$1:$D$349,$W91,_CALC_ALLOC!$E$1:$E$349,$X91,_CALC_ALLOC!$F$1:$F$349,$Y91)</f>
        <v/>
      </c>
      <c r="F91" s="82">
        <f>SUMIFS(_CALC_ALLOC!$AJ$1:$AJ$349,_CALC_ALLOC!$AS$1:$AS$349,"2027|"&amp;$P$1,_CALC_ALLOC!$B$1:$B$349,$U91,_CALC_ALLOC!$D$1:$D$349,$W91,_CALC_ALLOC!$E$1:$E$349,$X91,_CALC_ALLOC!$F$1:$F$349,$Y91)</f>
        <v/>
      </c>
      <c r="G91" s="82">
        <f>SUMIFS(_CALC_ALLOC!$AK$1:$AK$349,_CALC_ALLOC!$AS$1:$AS$349,"2027|"&amp;$P$1,_CALC_ALLOC!$B$1:$B$349,$U91,_CALC_ALLOC!$D$1:$D$349,$W91,_CALC_ALLOC!$E$1:$E$349,$X91,_CALC_ALLOC!$F$1:$F$349,$Y91)</f>
        <v/>
      </c>
      <c r="H91" s="82">
        <f>SUMIFS(_CALC_ALLOC!$AL$1:$AL$349,_CALC_ALLOC!$AS$1:$AS$349,"2027|"&amp;$P$1,_CALC_ALLOC!$B$1:$B$349,$U91,_CALC_ALLOC!$D$1:$D$349,$W91,_CALC_ALLOC!$E$1:$E$349,$X91,_CALC_ALLOC!$F$1:$F$349,$Y91)</f>
        <v/>
      </c>
      <c r="I91" s="82">
        <f>SUMIFS(_CALC_ALLOC!$AR$1:$AR$349,_CALC_ALLOC!$AS$1:$AS$349,"2027|"&amp;$P$1,_CALC_ALLOC!$B$1:$B$349,$U91,_CALC_ALLOC!$D$1:$D$349,$W91,_CALC_ALLOC!$E$1:$E$349,$X91,_CALC_ALLOC!$F$1:$F$349,$Y91)</f>
        <v/>
      </c>
      <c r="J91" s="82">
        <f>SUMIFS(_CALC_ALLOC!$AM$1:$AM$349,_CALC_ALLOC!$AS$1:$AS$349,"2027|"&amp;$P$1,_CALC_ALLOC!$B$1:$B$349,$U91,_CALC_ALLOC!$D$1:$D$349,$W91,_CALC_ALLOC!$E$1:$E$349,$X91,_CALC_ALLOC!$F$1:$F$349,$Y91)</f>
        <v/>
      </c>
      <c r="K91" s="83">
        <f>E91+F91+G91+H91+I91+J91</f>
        <v/>
      </c>
      <c r="L91" s="84">
        <f>SUMIFS(_CALC_ALLOC!$AN$1:$AN$349,_CALC_ALLOC!$AS$1:$AS$349,"2027|"&amp;$P$1,_CALC_ALLOC!$B$1:$B$349,$U91,_CALC_ALLOC!$D$1:$D$349,$W91,_CALC_ALLOC!$E$1:$E$349,$X91,_CALC_ALLOC!$F$1:$F$349,$Y91)</f>
        <v/>
      </c>
      <c r="M91" s="85">
        <f>IF(D91=0,0,L91/D91)</f>
        <v/>
      </c>
      <c r="T91" s="74" t="inlineStr">
        <is>
          <t>TUNON_PAR|BAC_TOU|B2|ALT</t>
        </is>
      </c>
      <c r="U91" s="74" t="inlineStr">
        <is>
          <t>TUNON_PAR</t>
        </is>
      </c>
      <c r="V91" s="74" t="inlineStr">
        <is>
          <t>TUNON</t>
        </is>
      </c>
      <c r="W91" s="74" t="inlineStr">
        <is>
          <t>BAC_TOU</t>
        </is>
      </c>
      <c r="X91" s="74" t="inlineStr">
        <is>
          <t>B2</t>
        </is>
      </c>
      <c r="Y91" s="74" t="inlineStr">
        <is>
          <t>ALT</t>
        </is>
      </c>
      <c r="Z91" s="74" t="n">
        <v>3</v>
      </c>
      <c r="BF91" s="0" t="inlineStr">
        <is>
          <t>2027BUD_V1</t>
        </is>
      </c>
      <c r="BG91" s="0" t="inlineStr">
        <is>
          <t>ACT</t>
        </is>
      </c>
      <c r="BH91" s="0" t="inlineStr">
        <is>
          <t>12</t>
        </is>
      </c>
      <c r="BI91" s="0" t="inlineStr">
        <is>
          <t>2025</t>
        </is>
      </c>
      <c r="BJ91" s="0" t="inlineStr">
        <is>
          <t>MBWAY_LYO</t>
        </is>
      </c>
      <c r="BK91" s="0" t="inlineStr">
        <is>
          <t>MBWAY</t>
        </is>
      </c>
      <c r="BL91" s="0" t="inlineStr">
        <is>
          <t>BAC_MGT</t>
        </is>
      </c>
      <c r="BM91" s="0" t="inlineStr">
        <is>
          <t>B1</t>
        </is>
      </c>
      <c r="BN91" s="0" t="inlineStr">
        <is>
          <t>INIT</t>
        </is>
      </c>
      <c r="BO91" s="0" t="n">
        <v>62</v>
      </c>
      <c r="BP91" s="0" t="n">
        <v>3</v>
      </c>
      <c r="BQ91" s="0" t="n">
        <v>493830</v>
      </c>
      <c r="BR91" s="0" t="n">
        <v>43210.880878</v>
      </c>
      <c r="BS91" s="0" t="n">
        <v>110109.706</v>
      </c>
      <c r="BT91" s="0" t="n">
        <v>42460.069449</v>
      </c>
      <c r="BU91" s="0" t="n">
        <v>208376.715469</v>
      </c>
      <c r="BV91" s="0" t="n">
        <v>14330.377514</v>
      </c>
      <c r="BW91" s="0" t="n">
        <v>66021.133059</v>
      </c>
      <c r="BX91" s="0" t="n">
        <v>80351.51057300001</v>
      </c>
      <c r="BY91" s="0" t="n">
        <v>85670.950327</v>
      </c>
      <c r="BZ91" s="0" t="n">
        <v>398837.932042</v>
      </c>
      <c r="CA91" s="0" t="n">
        <v>484508.882369</v>
      </c>
      <c r="CB91" s="0" t="n">
        <v>9321.117630999999</v>
      </c>
      <c r="CC91" s="0" t="n">
        <v>62</v>
      </c>
      <c r="CD91" s="0" t="n">
        <v>149798</v>
      </c>
      <c r="CE91" s="0" t="n">
        <v>381714.36</v>
      </c>
      <c r="CF91" s="0" t="n">
        <v>115067</v>
      </c>
      <c r="CG91" s="0" t="n">
        <v>37985</v>
      </c>
      <c r="CH91" s="0" t="n">
        <v>902966.67</v>
      </c>
      <c r="CI91" s="0" t="n">
        <v>2760232</v>
      </c>
      <c r="CJ91" s="0" t="n">
        <v>580167</v>
      </c>
    </row>
    <row r="92" outlineLevel="2" ht="14.4975" customHeight="1" s="64">
      <c r="B92" s="80" t="inlineStr">
        <is>
          <t>Bachelor Tourisme, 3e année, alternance</t>
        </is>
      </c>
      <c r="C92" s="81">
        <f>SUMIFS(_CALC_ALLOC!$G$1:$G$349,_CALC_ALLOC!$AS$1:$AS$349,"2027|"&amp;$P$1,_CALC_ALLOC!$B$1:$B$349,$U92,_CALC_ALLOC!$D$1:$D$349,$W92,_CALC_ALLOC!$E$1:$E$349,$X92,_CALC_ALLOC!$F$1:$F$349,$Y92)</f>
        <v/>
      </c>
      <c r="D92" s="82">
        <f>SUMIFS(_CALC_ALLOC!$I$1:$I$349,_CALC_ALLOC!$AS$1:$AS$349,"2027|"&amp;$P$1,_CALC_ALLOC!$B$1:$B$349,$U92,_CALC_ALLOC!$D$1:$D$349,$W92,_CALC_ALLOC!$E$1:$E$349,$X92,_CALC_ALLOC!$F$1:$F$349,$Y92)</f>
        <v/>
      </c>
      <c r="E92" s="82">
        <f>SUMIFS(_CALC_ALLOC!$AI$1:$AI$349,_CALC_ALLOC!$AS$1:$AS$349,"2027|"&amp;$P$1,_CALC_ALLOC!$B$1:$B$349,$U92,_CALC_ALLOC!$D$1:$D$349,$W92,_CALC_ALLOC!$E$1:$E$349,$X92,_CALC_ALLOC!$F$1:$F$349,$Y92)</f>
        <v/>
      </c>
      <c r="F92" s="82">
        <f>SUMIFS(_CALC_ALLOC!$AJ$1:$AJ$349,_CALC_ALLOC!$AS$1:$AS$349,"2027|"&amp;$P$1,_CALC_ALLOC!$B$1:$B$349,$U92,_CALC_ALLOC!$D$1:$D$349,$W92,_CALC_ALLOC!$E$1:$E$349,$X92,_CALC_ALLOC!$F$1:$F$349,$Y92)</f>
        <v/>
      </c>
      <c r="G92" s="82">
        <f>SUMIFS(_CALC_ALLOC!$AK$1:$AK$349,_CALC_ALLOC!$AS$1:$AS$349,"2027|"&amp;$P$1,_CALC_ALLOC!$B$1:$B$349,$U92,_CALC_ALLOC!$D$1:$D$349,$W92,_CALC_ALLOC!$E$1:$E$349,$X92,_CALC_ALLOC!$F$1:$F$349,$Y92)</f>
        <v/>
      </c>
      <c r="H92" s="82">
        <f>SUMIFS(_CALC_ALLOC!$AL$1:$AL$349,_CALC_ALLOC!$AS$1:$AS$349,"2027|"&amp;$P$1,_CALC_ALLOC!$B$1:$B$349,$U92,_CALC_ALLOC!$D$1:$D$349,$W92,_CALC_ALLOC!$E$1:$E$349,$X92,_CALC_ALLOC!$F$1:$F$349,$Y92)</f>
        <v/>
      </c>
      <c r="I92" s="82">
        <f>SUMIFS(_CALC_ALLOC!$AR$1:$AR$349,_CALC_ALLOC!$AS$1:$AS$349,"2027|"&amp;$P$1,_CALC_ALLOC!$B$1:$B$349,$U92,_CALC_ALLOC!$D$1:$D$349,$W92,_CALC_ALLOC!$E$1:$E$349,$X92,_CALC_ALLOC!$F$1:$F$349,$Y92)</f>
        <v/>
      </c>
      <c r="J92" s="82">
        <f>SUMIFS(_CALC_ALLOC!$AM$1:$AM$349,_CALC_ALLOC!$AS$1:$AS$349,"2027|"&amp;$P$1,_CALC_ALLOC!$B$1:$B$349,$U92,_CALC_ALLOC!$D$1:$D$349,$W92,_CALC_ALLOC!$E$1:$E$349,$X92,_CALC_ALLOC!$F$1:$F$349,$Y92)</f>
        <v/>
      </c>
      <c r="K92" s="83">
        <f>E92+F92+G92+H92+I92+J92</f>
        <v/>
      </c>
      <c r="L92" s="84">
        <f>SUMIFS(_CALC_ALLOC!$AN$1:$AN$349,_CALC_ALLOC!$AS$1:$AS$349,"2027|"&amp;$P$1,_CALC_ALLOC!$B$1:$B$349,$U92,_CALC_ALLOC!$D$1:$D$349,$W92,_CALC_ALLOC!$E$1:$E$349,$X92,_CALC_ALLOC!$F$1:$F$349,$Y92)</f>
        <v/>
      </c>
      <c r="M92" s="85">
        <f>IF(D92=0,0,L92/D92)</f>
        <v/>
      </c>
      <c r="T92" s="74" t="inlineStr">
        <is>
          <t>TUNON_PAR|BAC_TOU|B3|ALT</t>
        </is>
      </c>
      <c r="U92" s="74" t="inlineStr">
        <is>
          <t>TUNON_PAR</t>
        </is>
      </c>
      <c r="V92" s="74" t="inlineStr">
        <is>
          <t>TUNON</t>
        </is>
      </c>
      <c r="W92" s="74" t="inlineStr">
        <is>
          <t>BAC_TOU</t>
        </is>
      </c>
      <c r="X92" s="74" t="inlineStr">
        <is>
          <t>B3</t>
        </is>
      </c>
      <c r="Y92" s="74" t="inlineStr">
        <is>
          <t>ALT</t>
        </is>
      </c>
      <c r="Z92" s="74" t="n">
        <v>3</v>
      </c>
      <c r="BF92" s="0" t="inlineStr">
        <is>
          <t>2027BUD_V1</t>
        </is>
      </c>
      <c r="BG92" s="0" t="inlineStr">
        <is>
          <t>ACT</t>
        </is>
      </c>
      <c r="BH92" s="0" t="inlineStr">
        <is>
          <t>12</t>
        </is>
      </c>
      <c r="BI92" s="0" t="inlineStr">
        <is>
          <t>2025</t>
        </is>
      </c>
      <c r="BJ92" s="0" t="inlineStr">
        <is>
          <t>MBWAY_LYO</t>
        </is>
      </c>
      <c r="BK92" s="0" t="inlineStr">
        <is>
          <t>MBWAY</t>
        </is>
      </c>
      <c r="BL92" s="0" t="inlineStr">
        <is>
          <t>BAC_MGT</t>
        </is>
      </c>
      <c r="BM92" s="0" t="inlineStr">
        <is>
          <t>B2</t>
        </is>
      </c>
      <c r="BN92" s="0" t="inlineStr">
        <is>
          <t>ALT</t>
        </is>
      </c>
      <c r="BO92" s="0" t="n">
        <v>60</v>
      </c>
      <c r="BP92" s="0" t="n">
        <v>2</v>
      </c>
      <c r="BQ92" s="0" t="n">
        <v>441000</v>
      </c>
      <c r="BR92" s="0" t="n">
        <v>23045.823108</v>
      </c>
      <c r="BS92" s="0" t="n">
        <v>58725.227429</v>
      </c>
      <c r="BT92" s="0" t="n">
        <v>22710.543656</v>
      </c>
      <c r="BU92" s="0" t="n">
        <v>138917.810313</v>
      </c>
      <c r="BV92" s="0" t="n">
        <v>9553.585010000001</v>
      </c>
      <c r="BW92" s="0" t="n">
        <v>44014.088706</v>
      </c>
      <c r="BX92" s="0" t="n">
        <v>53567.673716</v>
      </c>
      <c r="BY92" s="0" t="n">
        <v>45756.366764</v>
      </c>
      <c r="BZ92" s="0" t="n">
        <v>251210.711458</v>
      </c>
      <c r="CA92" s="0" t="n">
        <v>296967.078222</v>
      </c>
      <c r="CB92" s="0" t="n">
        <v>144032.921778</v>
      </c>
      <c r="CC92" s="0" t="n">
        <v>0</v>
      </c>
      <c r="CD92" s="0" t="n">
        <v>149798</v>
      </c>
      <c r="CE92" s="0" t="n">
        <v>381714.36</v>
      </c>
      <c r="CF92" s="0" t="n">
        <v>115067</v>
      </c>
      <c r="CG92" s="0" t="n">
        <v>37985</v>
      </c>
      <c r="CH92" s="0" t="n">
        <v>902966.67</v>
      </c>
      <c r="CI92" s="0" t="n">
        <v>2760232</v>
      </c>
      <c r="CJ92" s="0" t="n">
        <v>580167</v>
      </c>
    </row>
    <row r="93" outlineLevel="1" ht="14.4975" customHeight="1" s="64">
      <c r="B93" s="75" t="inlineStr">
        <is>
          <t>Lyon</t>
        </is>
      </c>
      <c r="C93" s="76">
        <f>SUMIFS(_CALC_ALLOC!$G$1:$G$349,_CALC_ALLOC!$AS$1:$AS$349,"2027|"&amp;$P$1,_CALC_ALLOC!$B$1:$B$349,$U93)</f>
        <v/>
      </c>
      <c r="D93" s="77">
        <f>SUMIFS(_CALC_ALLOC!$I$1:$I$349,_CALC_ALLOC!$AS$1:$AS$349,"2027|"&amp;$P$1,_CALC_ALLOC!$B$1:$B$349,$U93)</f>
        <v/>
      </c>
      <c r="E93" s="77">
        <f>SUMIFS(_CALC_ALLOC!$AI$1:$AI$349,_CALC_ALLOC!$AS$1:$AS$349,"2027|"&amp;$P$1,_CALC_ALLOC!$B$1:$B$349,$U93)</f>
        <v/>
      </c>
      <c r="F93" s="77">
        <f>SUMIFS(_CALC_ALLOC!$AJ$1:$AJ$349,_CALC_ALLOC!$AS$1:$AS$349,"2027|"&amp;$P$1,_CALC_ALLOC!$B$1:$B$349,$U93)</f>
        <v/>
      </c>
      <c r="G93" s="77">
        <f>SUMIFS(_CALC_ALLOC!$AK$1:$AK$349,_CALC_ALLOC!$AS$1:$AS$349,"2027|"&amp;$P$1,_CALC_ALLOC!$B$1:$B$349,$U93)</f>
        <v/>
      </c>
      <c r="H93" s="77">
        <f>SUMIFS(_CALC_ALLOC!$AL$1:$AL$349,_CALC_ALLOC!$AS$1:$AS$349,"2027|"&amp;$P$1,_CALC_ALLOC!$B$1:$B$349,$U93)</f>
        <v/>
      </c>
      <c r="I93" s="77">
        <f>SUMIFS(_CALC_ALLOC!$AR$1:$AR$349,_CALC_ALLOC!$AS$1:$AS$349,"2027|"&amp;$P$1,_CALC_ALLOC!$B$1:$B$349,$U93)</f>
        <v/>
      </c>
      <c r="J93" s="77">
        <f>SUMIFS(_CALC_ALLOC!$AM$1:$AM$349,_CALC_ALLOC!$AS$1:$AS$349,"2027|"&amp;$P$1,_CALC_ALLOC!$B$1:$B$349,$U93)</f>
        <v/>
      </c>
      <c r="K93" s="77">
        <f>E93+F93+G93+H93+I93+J93</f>
        <v/>
      </c>
      <c r="L93" s="78">
        <f>SUMIFS(_CALC_ALLOC!$AN$1:$AN$349,_CALC_ALLOC!$AS$1:$AS$349,"2027|"&amp;$P$1,_CALC_ALLOC!$B$1:$B$349,$U93)</f>
        <v/>
      </c>
      <c r="M93" s="79">
        <f>IF(D93=0,0,L93/D93)</f>
        <v/>
      </c>
      <c r="T93" s="74" t="inlineStr">
        <is>
          <t>TUNON_LYO</t>
        </is>
      </c>
      <c r="U93" s="74" t="inlineStr">
        <is>
          <t>TUNON_LYO</t>
        </is>
      </c>
      <c r="V93" s="74" t="inlineStr">
        <is>
          <t>TUNON</t>
        </is>
      </c>
      <c r="W93" s="74" t="inlineStr"/>
      <c r="X93" s="74" t="inlineStr"/>
      <c r="Y93" s="74" t="inlineStr"/>
      <c r="Z93" s="74" t="n">
        <v>2</v>
      </c>
      <c r="BF93" s="0" t="inlineStr">
        <is>
          <t>2027BUD_V1</t>
        </is>
      </c>
      <c r="BG93" s="0" t="inlineStr">
        <is>
          <t>ACT</t>
        </is>
      </c>
      <c r="BH93" s="0" t="inlineStr">
        <is>
          <t>12</t>
        </is>
      </c>
      <c r="BI93" s="0" t="inlineStr">
        <is>
          <t>2025</t>
        </is>
      </c>
      <c r="BJ93" s="0" t="inlineStr">
        <is>
          <t>MBWAY_LYO</t>
        </is>
      </c>
      <c r="BK93" s="0" t="inlineStr">
        <is>
          <t>MBWAY</t>
        </is>
      </c>
      <c r="BL93" s="0" t="inlineStr">
        <is>
          <t>BAC_MGT</t>
        </is>
      </c>
      <c r="BM93" s="0" t="inlineStr">
        <is>
          <t>B3</t>
        </is>
      </c>
      <c r="BN93" s="0" t="inlineStr">
        <is>
          <t>ALT</t>
        </is>
      </c>
      <c r="BO93" s="0" t="n">
        <v>59</v>
      </c>
      <c r="BP93" s="0" t="n">
        <v>2</v>
      </c>
      <c r="BQ93" s="0" t="n">
        <v>433650</v>
      </c>
      <c r="BR93" s="0" t="n">
        <v>23045.823108</v>
      </c>
      <c r="BS93" s="0" t="n">
        <v>58725.227429</v>
      </c>
      <c r="BT93" s="0" t="n">
        <v>22331.973226</v>
      </c>
      <c r="BU93" s="0" t="n">
        <v>138917.810313</v>
      </c>
      <c r="BV93" s="0" t="n">
        <v>9553.585010000001</v>
      </c>
      <c r="BW93" s="0" t="n">
        <v>44014.088706</v>
      </c>
      <c r="BX93" s="0" t="n">
        <v>53567.673716</v>
      </c>
      <c r="BY93" s="0" t="n">
        <v>45377.796334</v>
      </c>
      <c r="BZ93" s="0" t="n">
        <v>251210.711458</v>
      </c>
      <c r="CA93" s="0" t="n">
        <v>296588.507792</v>
      </c>
      <c r="CB93" s="0" t="n">
        <v>137061.492208</v>
      </c>
      <c r="CC93" s="0" t="n">
        <v>0</v>
      </c>
      <c r="CD93" s="0" t="n">
        <v>149798</v>
      </c>
      <c r="CE93" s="0" t="n">
        <v>381714.36</v>
      </c>
      <c r="CF93" s="0" t="n">
        <v>115067</v>
      </c>
      <c r="CG93" s="0" t="n">
        <v>37985</v>
      </c>
      <c r="CH93" s="0" t="n">
        <v>902966.67</v>
      </c>
      <c r="CI93" s="0" t="n">
        <v>2760232</v>
      </c>
      <c r="CJ93" s="0" t="n">
        <v>580167</v>
      </c>
    </row>
    <row r="94" outlineLevel="2" ht="14.4975" customHeight="1" s="64">
      <c r="B94" s="80" t="inlineStr">
        <is>
          <t>Bachelor Tourisme, 1re année, alternance</t>
        </is>
      </c>
      <c r="C94" s="81">
        <f>SUMIFS(_CALC_ALLOC!$G$1:$G$349,_CALC_ALLOC!$AS$1:$AS$349,"2027|"&amp;$P$1,_CALC_ALLOC!$B$1:$B$349,$U94,_CALC_ALLOC!$D$1:$D$349,$W94,_CALC_ALLOC!$E$1:$E$349,$X94,_CALC_ALLOC!$F$1:$F$349,$Y94)</f>
        <v/>
      </c>
      <c r="D94" s="82">
        <f>SUMIFS(_CALC_ALLOC!$I$1:$I$349,_CALC_ALLOC!$AS$1:$AS$349,"2027|"&amp;$P$1,_CALC_ALLOC!$B$1:$B$349,$U94,_CALC_ALLOC!$D$1:$D$349,$W94,_CALC_ALLOC!$E$1:$E$349,$X94,_CALC_ALLOC!$F$1:$F$349,$Y94)</f>
        <v/>
      </c>
      <c r="E94" s="82">
        <f>SUMIFS(_CALC_ALLOC!$AI$1:$AI$349,_CALC_ALLOC!$AS$1:$AS$349,"2027|"&amp;$P$1,_CALC_ALLOC!$B$1:$B$349,$U94,_CALC_ALLOC!$D$1:$D$349,$W94,_CALC_ALLOC!$E$1:$E$349,$X94,_CALC_ALLOC!$F$1:$F$349,$Y94)</f>
        <v/>
      </c>
      <c r="F94" s="82">
        <f>SUMIFS(_CALC_ALLOC!$AJ$1:$AJ$349,_CALC_ALLOC!$AS$1:$AS$349,"2027|"&amp;$P$1,_CALC_ALLOC!$B$1:$B$349,$U94,_CALC_ALLOC!$D$1:$D$349,$W94,_CALC_ALLOC!$E$1:$E$349,$X94,_CALC_ALLOC!$F$1:$F$349,$Y94)</f>
        <v/>
      </c>
      <c r="G94" s="82">
        <f>SUMIFS(_CALC_ALLOC!$AK$1:$AK$349,_CALC_ALLOC!$AS$1:$AS$349,"2027|"&amp;$P$1,_CALC_ALLOC!$B$1:$B$349,$U94,_CALC_ALLOC!$D$1:$D$349,$W94,_CALC_ALLOC!$E$1:$E$349,$X94,_CALC_ALLOC!$F$1:$F$349,$Y94)</f>
        <v/>
      </c>
      <c r="H94" s="82">
        <f>SUMIFS(_CALC_ALLOC!$AL$1:$AL$349,_CALC_ALLOC!$AS$1:$AS$349,"2027|"&amp;$P$1,_CALC_ALLOC!$B$1:$B$349,$U94,_CALC_ALLOC!$D$1:$D$349,$W94,_CALC_ALLOC!$E$1:$E$349,$X94,_CALC_ALLOC!$F$1:$F$349,$Y94)</f>
        <v/>
      </c>
      <c r="I94" s="82">
        <f>SUMIFS(_CALC_ALLOC!$AR$1:$AR$349,_CALC_ALLOC!$AS$1:$AS$349,"2027|"&amp;$P$1,_CALC_ALLOC!$B$1:$B$349,$U94,_CALC_ALLOC!$D$1:$D$349,$W94,_CALC_ALLOC!$E$1:$E$349,$X94,_CALC_ALLOC!$F$1:$F$349,$Y94)</f>
        <v/>
      </c>
      <c r="J94" s="82">
        <f>SUMIFS(_CALC_ALLOC!$AM$1:$AM$349,_CALC_ALLOC!$AS$1:$AS$349,"2027|"&amp;$P$1,_CALC_ALLOC!$B$1:$B$349,$U94,_CALC_ALLOC!$D$1:$D$349,$W94,_CALC_ALLOC!$E$1:$E$349,$X94,_CALC_ALLOC!$F$1:$F$349,$Y94)</f>
        <v/>
      </c>
      <c r="K94" s="83">
        <f>E94+F94+G94+H94+I94+J94</f>
        <v/>
      </c>
      <c r="L94" s="84">
        <f>SUMIFS(_CALC_ALLOC!$AN$1:$AN$349,_CALC_ALLOC!$AS$1:$AS$349,"2027|"&amp;$P$1,_CALC_ALLOC!$B$1:$B$349,$U94,_CALC_ALLOC!$D$1:$D$349,$W94,_CALC_ALLOC!$E$1:$E$349,$X94,_CALC_ALLOC!$F$1:$F$349,$Y94)</f>
        <v/>
      </c>
      <c r="M94" s="85">
        <f>IF(D94=0,0,L94/D94)</f>
        <v/>
      </c>
      <c r="T94" s="74" t="inlineStr">
        <is>
          <t>TUNON_LYO|BAC_TOU|B1|ALT</t>
        </is>
      </c>
      <c r="U94" s="74" t="inlineStr">
        <is>
          <t>TUNON_LYO</t>
        </is>
      </c>
      <c r="V94" s="74" t="inlineStr">
        <is>
          <t>TUNON</t>
        </is>
      </c>
      <c r="W94" s="74" t="inlineStr">
        <is>
          <t>BAC_TOU</t>
        </is>
      </c>
      <c r="X94" s="74" t="inlineStr">
        <is>
          <t>B1</t>
        </is>
      </c>
      <c r="Y94" s="74" t="inlineStr">
        <is>
          <t>ALT</t>
        </is>
      </c>
      <c r="Z94" s="74" t="n">
        <v>3</v>
      </c>
      <c r="BF94" s="0" t="inlineStr">
        <is>
          <t>2027BUD_V1</t>
        </is>
      </c>
      <c r="BG94" s="0" t="inlineStr">
        <is>
          <t>ACT</t>
        </is>
      </c>
      <c r="BH94" s="0" t="inlineStr">
        <is>
          <t>12</t>
        </is>
      </c>
      <c r="BI94" s="0" t="inlineStr">
        <is>
          <t>2025</t>
        </is>
      </c>
      <c r="BJ94" s="0" t="inlineStr">
        <is>
          <t>MBWAY_LYO</t>
        </is>
      </c>
      <c r="BK94" s="0" t="inlineStr">
        <is>
          <t>MBWAY</t>
        </is>
      </c>
      <c r="BL94" s="0" t="inlineStr">
        <is>
          <t>MAS_MGT</t>
        </is>
      </c>
      <c r="BM94" s="0" t="inlineStr">
        <is>
          <t>M1</t>
        </is>
      </c>
      <c r="BN94" s="0" t="inlineStr">
        <is>
          <t>ALT</t>
        </is>
      </c>
      <c r="BO94" s="0" t="n">
        <v>62</v>
      </c>
      <c r="BP94" s="0" t="n">
        <v>3</v>
      </c>
      <c r="BQ94" s="0" t="n">
        <v>493830</v>
      </c>
      <c r="BR94" s="0" t="n">
        <v>30247.661554</v>
      </c>
      <c r="BS94" s="0" t="n">
        <v>77076.908714</v>
      </c>
      <c r="BT94" s="0" t="n">
        <v>42460.069449</v>
      </c>
      <c r="BU94" s="0" t="n">
        <v>208376.715469</v>
      </c>
      <c r="BV94" s="0" t="n">
        <v>14330.377514</v>
      </c>
      <c r="BW94" s="0" t="n">
        <v>66021.133059</v>
      </c>
      <c r="BX94" s="0" t="n">
        <v>80351.51057300001</v>
      </c>
      <c r="BY94" s="0" t="n">
        <v>72707.73100299999</v>
      </c>
      <c r="BZ94" s="0" t="n">
        <v>365805.134756</v>
      </c>
      <c r="CA94" s="0" t="n">
        <v>438512.865759</v>
      </c>
      <c r="CB94" s="0" t="n">
        <v>55317.134241</v>
      </c>
      <c r="CC94" s="0" t="n">
        <v>62</v>
      </c>
      <c r="CD94" s="0" t="n">
        <v>149798</v>
      </c>
      <c r="CE94" s="0" t="n">
        <v>381714.36</v>
      </c>
      <c r="CF94" s="0" t="n">
        <v>115067</v>
      </c>
      <c r="CG94" s="0" t="n">
        <v>37985</v>
      </c>
      <c r="CH94" s="0" t="n">
        <v>902966.67</v>
      </c>
      <c r="CI94" s="0" t="n">
        <v>2760232</v>
      </c>
      <c r="CJ94" s="0" t="n">
        <v>580167</v>
      </c>
    </row>
    <row r="95" outlineLevel="2" ht="14.4975" customHeight="1" s="64">
      <c r="B95" s="80" t="inlineStr">
        <is>
          <t>Bachelor Tourisme, 2e année, alternance</t>
        </is>
      </c>
      <c r="C95" s="81">
        <f>SUMIFS(_CALC_ALLOC!$G$1:$G$349,_CALC_ALLOC!$AS$1:$AS$349,"2027|"&amp;$P$1,_CALC_ALLOC!$B$1:$B$349,$U95,_CALC_ALLOC!$D$1:$D$349,$W95,_CALC_ALLOC!$E$1:$E$349,$X95,_CALC_ALLOC!$F$1:$F$349,$Y95)</f>
        <v/>
      </c>
      <c r="D95" s="82">
        <f>SUMIFS(_CALC_ALLOC!$I$1:$I$349,_CALC_ALLOC!$AS$1:$AS$349,"2027|"&amp;$P$1,_CALC_ALLOC!$B$1:$B$349,$U95,_CALC_ALLOC!$D$1:$D$349,$W95,_CALC_ALLOC!$E$1:$E$349,$X95,_CALC_ALLOC!$F$1:$F$349,$Y95)</f>
        <v/>
      </c>
      <c r="E95" s="82">
        <f>SUMIFS(_CALC_ALLOC!$AI$1:$AI$349,_CALC_ALLOC!$AS$1:$AS$349,"2027|"&amp;$P$1,_CALC_ALLOC!$B$1:$B$349,$U95,_CALC_ALLOC!$D$1:$D$349,$W95,_CALC_ALLOC!$E$1:$E$349,$X95,_CALC_ALLOC!$F$1:$F$349,$Y95)</f>
        <v/>
      </c>
      <c r="F95" s="82">
        <f>SUMIFS(_CALC_ALLOC!$AJ$1:$AJ$349,_CALC_ALLOC!$AS$1:$AS$349,"2027|"&amp;$P$1,_CALC_ALLOC!$B$1:$B$349,$U95,_CALC_ALLOC!$D$1:$D$349,$W95,_CALC_ALLOC!$E$1:$E$349,$X95,_CALC_ALLOC!$F$1:$F$349,$Y95)</f>
        <v/>
      </c>
      <c r="G95" s="82">
        <f>SUMIFS(_CALC_ALLOC!$AK$1:$AK$349,_CALC_ALLOC!$AS$1:$AS$349,"2027|"&amp;$P$1,_CALC_ALLOC!$B$1:$B$349,$U95,_CALC_ALLOC!$D$1:$D$349,$W95,_CALC_ALLOC!$E$1:$E$349,$X95,_CALC_ALLOC!$F$1:$F$349,$Y95)</f>
        <v/>
      </c>
      <c r="H95" s="82">
        <f>SUMIFS(_CALC_ALLOC!$AL$1:$AL$349,_CALC_ALLOC!$AS$1:$AS$349,"2027|"&amp;$P$1,_CALC_ALLOC!$B$1:$B$349,$U95,_CALC_ALLOC!$D$1:$D$349,$W95,_CALC_ALLOC!$E$1:$E$349,$X95,_CALC_ALLOC!$F$1:$F$349,$Y95)</f>
        <v/>
      </c>
      <c r="I95" s="82">
        <f>SUMIFS(_CALC_ALLOC!$AR$1:$AR$349,_CALC_ALLOC!$AS$1:$AS$349,"2027|"&amp;$P$1,_CALC_ALLOC!$B$1:$B$349,$U95,_CALC_ALLOC!$D$1:$D$349,$W95,_CALC_ALLOC!$E$1:$E$349,$X95,_CALC_ALLOC!$F$1:$F$349,$Y95)</f>
        <v/>
      </c>
      <c r="J95" s="82">
        <f>SUMIFS(_CALC_ALLOC!$AM$1:$AM$349,_CALC_ALLOC!$AS$1:$AS$349,"2027|"&amp;$P$1,_CALC_ALLOC!$B$1:$B$349,$U95,_CALC_ALLOC!$D$1:$D$349,$W95,_CALC_ALLOC!$E$1:$E$349,$X95,_CALC_ALLOC!$F$1:$F$349,$Y95)</f>
        <v/>
      </c>
      <c r="K95" s="83">
        <f>E95+F95+G95+H95+I95+J95</f>
        <v/>
      </c>
      <c r="L95" s="84">
        <f>SUMIFS(_CALC_ALLOC!$AN$1:$AN$349,_CALC_ALLOC!$AS$1:$AS$349,"2027|"&amp;$P$1,_CALC_ALLOC!$B$1:$B$349,$U95,_CALC_ALLOC!$D$1:$D$349,$W95,_CALC_ALLOC!$E$1:$E$349,$X95,_CALC_ALLOC!$F$1:$F$349,$Y95)</f>
        <v/>
      </c>
      <c r="M95" s="85">
        <f>IF(D95=0,0,L95/D95)</f>
        <v/>
      </c>
      <c r="T95" s="74" t="inlineStr">
        <is>
          <t>TUNON_LYO|BAC_TOU|B2|ALT</t>
        </is>
      </c>
      <c r="U95" s="74" t="inlineStr">
        <is>
          <t>TUNON_LYO</t>
        </is>
      </c>
      <c r="V95" s="74" t="inlineStr">
        <is>
          <t>TUNON</t>
        </is>
      </c>
      <c r="W95" s="74" t="inlineStr">
        <is>
          <t>BAC_TOU</t>
        </is>
      </c>
      <c r="X95" s="74" t="inlineStr">
        <is>
          <t>B2</t>
        </is>
      </c>
      <c r="Y95" s="74" t="inlineStr">
        <is>
          <t>ALT</t>
        </is>
      </c>
      <c r="Z95" s="74" t="n">
        <v>3</v>
      </c>
      <c r="BF95" s="0" t="inlineStr">
        <is>
          <t>2027BUD_V1</t>
        </is>
      </c>
      <c r="BG95" s="0" t="inlineStr">
        <is>
          <t>ACT</t>
        </is>
      </c>
      <c r="BH95" s="0" t="inlineStr">
        <is>
          <t>12</t>
        </is>
      </c>
      <c r="BI95" s="0" t="inlineStr">
        <is>
          <t>2025</t>
        </is>
      </c>
      <c r="BJ95" s="0" t="inlineStr">
        <is>
          <t>MBWAY_LYO</t>
        </is>
      </c>
      <c r="BK95" s="0" t="inlineStr">
        <is>
          <t>MBWAY</t>
        </is>
      </c>
      <c r="BL95" s="0" t="inlineStr">
        <is>
          <t>MAS_MGT</t>
        </is>
      </c>
      <c r="BM95" s="0" t="inlineStr">
        <is>
          <t>M2</t>
        </is>
      </c>
      <c r="BN95" s="0" t="inlineStr">
        <is>
          <t>ALT</t>
        </is>
      </c>
      <c r="BO95" s="0" t="n">
        <v>61</v>
      </c>
      <c r="BP95" s="0" t="n">
        <v>3</v>
      </c>
      <c r="BQ95" s="0" t="n">
        <v>480375</v>
      </c>
      <c r="BR95" s="0" t="n">
        <v>30247.661554</v>
      </c>
      <c r="BS95" s="0" t="n">
        <v>77076.908714</v>
      </c>
      <c r="BT95" s="0" t="n">
        <v>23088.999019</v>
      </c>
      <c r="BU95" s="0" t="n">
        <v>208376.715469</v>
      </c>
      <c r="BV95" s="0" t="n">
        <v>14330.377514</v>
      </c>
      <c r="BW95" s="0" t="n">
        <v>66021.133059</v>
      </c>
      <c r="BX95" s="0" t="n">
        <v>80351.51057300001</v>
      </c>
      <c r="BY95" s="0" t="n">
        <v>53336.660573</v>
      </c>
      <c r="BZ95" s="0" t="n">
        <v>365805.134756</v>
      </c>
      <c r="CA95" s="0" t="n">
        <v>419141.795329</v>
      </c>
      <c r="CB95" s="0" t="n">
        <v>61233.204671</v>
      </c>
      <c r="CC95" s="0" t="n">
        <v>0</v>
      </c>
      <c r="CD95" s="0" t="n">
        <v>149798</v>
      </c>
      <c r="CE95" s="0" t="n">
        <v>381714.36</v>
      </c>
      <c r="CF95" s="0" t="n">
        <v>115067</v>
      </c>
      <c r="CG95" s="0" t="n">
        <v>37985</v>
      </c>
      <c r="CH95" s="0" t="n">
        <v>902966.67</v>
      </c>
      <c r="CI95" s="0" t="n">
        <v>2760232</v>
      </c>
      <c r="CJ95" s="0" t="n">
        <v>580167</v>
      </c>
    </row>
    <row r="96" outlineLevel="2" ht="14.4975" customHeight="1" s="64">
      <c r="B96" s="80" t="inlineStr">
        <is>
          <t>Bachelor Tourisme, 3e année, alternance</t>
        </is>
      </c>
      <c r="C96" s="81">
        <f>SUMIFS(_CALC_ALLOC!$G$1:$G$349,_CALC_ALLOC!$AS$1:$AS$349,"2027|"&amp;$P$1,_CALC_ALLOC!$B$1:$B$349,$U96,_CALC_ALLOC!$D$1:$D$349,$W96,_CALC_ALLOC!$E$1:$E$349,$X96,_CALC_ALLOC!$F$1:$F$349,$Y96)</f>
        <v/>
      </c>
      <c r="D96" s="82">
        <f>SUMIFS(_CALC_ALLOC!$I$1:$I$349,_CALC_ALLOC!$AS$1:$AS$349,"2027|"&amp;$P$1,_CALC_ALLOC!$B$1:$B$349,$U96,_CALC_ALLOC!$D$1:$D$349,$W96,_CALC_ALLOC!$E$1:$E$349,$X96,_CALC_ALLOC!$F$1:$F$349,$Y96)</f>
        <v/>
      </c>
      <c r="E96" s="82">
        <f>SUMIFS(_CALC_ALLOC!$AI$1:$AI$349,_CALC_ALLOC!$AS$1:$AS$349,"2027|"&amp;$P$1,_CALC_ALLOC!$B$1:$B$349,$U96,_CALC_ALLOC!$D$1:$D$349,$W96,_CALC_ALLOC!$E$1:$E$349,$X96,_CALC_ALLOC!$F$1:$F$349,$Y96)</f>
        <v/>
      </c>
      <c r="F96" s="82">
        <f>SUMIFS(_CALC_ALLOC!$AJ$1:$AJ$349,_CALC_ALLOC!$AS$1:$AS$349,"2027|"&amp;$P$1,_CALC_ALLOC!$B$1:$B$349,$U96,_CALC_ALLOC!$D$1:$D$349,$W96,_CALC_ALLOC!$E$1:$E$349,$X96,_CALC_ALLOC!$F$1:$F$349,$Y96)</f>
        <v/>
      </c>
      <c r="G96" s="82">
        <f>SUMIFS(_CALC_ALLOC!$AK$1:$AK$349,_CALC_ALLOC!$AS$1:$AS$349,"2027|"&amp;$P$1,_CALC_ALLOC!$B$1:$B$349,$U96,_CALC_ALLOC!$D$1:$D$349,$W96,_CALC_ALLOC!$E$1:$E$349,$X96,_CALC_ALLOC!$F$1:$F$349,$Y96)</f>
        <v/>
      </c>
      <c r="H96" s="82">
        <f>SUMIFS(_CALC_ALLOC!$AL$1:$AL$349,_CALC_ALLOC!$AS$1:$AS$349,"2027|"&amp;$P$1,_CALC_ALLOC!$B$1:$B$349,$U96,_CALC_ALLOC!$D$1:$D$349,$W96,_CALC_ALLOC!$E$1:$E$349,$X96,_CALC_ALLOC!$F$1:$F$349,$Y96)</f>
        <v/>
      </c>
      <c r="I96" s="82">
        <f>SUMIFS(_CALC_ALLOC!$AR$1:$AR$349,_CALC_ALLOC!$AS$1:$AS$349,"2027|"&amp;$P$1,_CALC_ALLOC!$B$1:$B$349,$U96,_CALC_ALLOC!$D$1:$D$349,$W96,_CALC_ALLOC!$E$1:$E$349,$X96,_CALC_ALLOC!$F$1:$F$349,$Y96)</f>
        <v/>
      </c>
      <c r="J96" s="82">
        <f>SUMIFS(_CALC_ALLOC!$AM$1:$AM$349,_CALC_ALLOC!$AS$1:$AS$349,"2027|"&amp;$P$1,_CALC_ALLOC!$B$1:$B$349,$U96,_CALC_ALLOC!$D$1:$D$349,$W96,_CALC_ALLOC!$E$1:$E$349,$X96,_CALC_ALLOC!$F$1:$F$349,$Y96)</f>
        <v/>
      </c>
      <c r="K96" s="83">
        <f>E96+F96+G96+H96+I96+J96</f>
        <v/>
      </c>
      <c r="L96" s="84">
        <f>SUMIFS(_CALC_ALLOC!$AN$1:$AN$349,_CALC_ALLOC!$AS$1:$AS$349,"2027|"&amp;$P$1,_CALC_ALLOC!$B$1:$B$349,$U96,_CALC_ALLOC!$D$1:$D$349,$W96,_CALC_ALLOC!$E$1:$E$349,$X96,_CALC_ALLOC!$F$1:$F$349,$Y96)</f>
        <v/>
      </c>
      <c r="M96" s="85">
        <f>IF(D96=0,0,L96/D96)</f>
        <v/>
      </c>
      <c r="T96" s="74" t="inlineStr">
        <is>
          <t>TUNON_LYO|BAC_TOU|B3|ALT</t>
        </is>
      </c>
      <c r="U96" s="74" t="inlineStr">
        <is>
          <t>TUNON_LYO</t>
        </is>
      </c>
      <c r="V96" s="74" t="inlineStr">
        <is>
          <t>TUNON</t>
        </is>
      </c>
      <c r="W96" s="74" t="inlineStr">
        <is>
          <t>BAC_TOU</t>
        </is>
      </c>
      <c r="X96" s="74" t="inlineStr">
        <is>
          <t>B3</t>
        </is>
      </c>
      <c r="Y96" s="74" t="inlineStr">
        <is>
          <t>ALT</t>
        </is>
      </c>
      <c r="Z96" s="74" t="n">
        <v>3</v>
      </c>
      <c r="BF96" s="0" t="inlineStr">
        <is>
          <t>2027BUD_V1</t>
        </is>
      </c>
      <c r="BG96" s="0" t="inlineStr">
        <is>
          <t>ACT</t>
        </is>
      </c>
      <c r="BH96" s="0" t="inlineStr">
        <is>
          <t>12</t>
        </is>
      </c>
      <c r="BI96" s="0" t="inlineStr">
        <is>
          <t>2025</t>
        </is>
      </c>
      <c r="BJ96" s="0" t="inlineStr">
        <is>
          <t>MBWAY_NAN</t>
        </is>
      </c>
      <c r="BK96" s="0" t="inlineStr">
        <is>
          <t>MBWAY</t>
        </is>
      </c>
      <c r="BL96" s="0" t="inlineStr">
        <is>
          <t>BAC_MGT</t>
        </is>
      </c>
      <c r="BM96" s="0" t="inlineStr">
        <is>
          <t>B1</t>
        </is>
      </c>
      <c r="BN96" s="0" t="inlineStr">
        <is>
          <t>INIT</t>
        </is>
      </c>
      <c r="BO96" s="0" t="n">
        <v>57</v>
      </c>
      <c r="BP96" s="0" t="n">
        <v>2</v>
      </c>
      <c r="BQ96" s="0" t="n">
        <v>432630</v>
      </c>
      <c r="BR96" s="0" t="n">
        <v>29420.080375</v>
      </c>
      <c r="BS96" s="0" t="n">
        <v>70856.80880300001</v>
      </c>
      <c r="BT96" s="0" t="n">
        <v>35664.476012</v>
      </c>
      <c r="BU96" s="0" t="n">
        <v>129791.150833</v>
      </c>
      <c r="BV96" s="0" t="n">
        <v>9498.57494</v>
      </c>
      <c r="BW96" s="0" t="n">
        <v>43760.653152</v>
      </c>
      <c r="BX96" s="0" t="n">
        <v>53259.228092</v>
      </c>
      <c r="BY96" s="0" t="n">
        <v>65084.556387</v>
      </c>
      <c r="BZ96" s="0" t="n">
        <v>253907.187728</v>
      </c>
      <c r="CA96" s="0" t="n">
        <v>318991.744115</v>
      </c>
      <c r="CB96" s="0" t="n">
        <v>113638.255885</v>
      </c>
      <c r="CC96" s="0" t="n">
        <v>57</v>
      </c>
      <c r="CD96" s="0" t="n">
        <v>138275</v>
      </c>
      <c r="CE96" s="0" t="n">
        <v>333028.5</v>
      </c>
      <c r="CF96" s="0" t="n">
        <v>104412</v>
      </c>
      <c r="CG96" s="0" t="n">
        <v>28666</v>
      </c>
      <c r="CH96" s="0" t="n">
        <v>778750.02</v>
      </c>
      <c r="CI96" s="0" t="n">
        <v>2760232</v>
      </c>
      <c r="CJ96" s="0" t="n">
        <v>580167</v>
      </c>
    </row>
    <row r="97" ht="14.4975" customHeight="1" s="64">
      <c r="B97" s="86" t="inlineStr">
        <is>
          <t>GROUPE</t>
        </is>
      </c>
      <c r="C97" s="87">
        <f>SUMIFS(_CALC_ALLOC!$G$1:$G$349,_CALC_ALLOC!$AS$1:$AS$349,"2027|"&amp;$P$1)</f>
        <v/>
      </c>
      <c r="D97" s="88">
        <f>SUMIFS(_CALC_ALLOC!$I$1:$I$349,_CALC_ALLOC!$AS$1:$AS$349,"2027|"&amp;$P$1)</f>
        <v/>
      </c>
      <c r="E97" s="88">
        <f>SUMIFS(_CALC_ALLOC!$AI$1:$AI$349,_CALC_ALLOC!$AS$1:$AS$349,"2027|"&amp;$P$1)</f>
        <v/>
      </c>
      <c r="F97" s="88">
        <f>SUMIFS(_CALC_ALLOC!$AJ$1:$AJ$349,_CALC_ALLOC!$AS$1:$AS$349,"2027|"&amp;$P$1)</f>
        <v/>
      </c>
      <c r="G97" s="88">
        <f>SUMIFS(_CALC_ALLOC!$AK$1:$AK$349,_CALC_ALLOC!$AS$1:$AS$349,"2027|"&amp;$P$1)</f>
        <v/>
      </c>
      <c r="H97" s="88">
        <f>SUMIFS(_CALC_ALLOC!$AL$1:$AL$349,_CALC_ALLOC!$AS$1:$AS$349,"2027|"&amp;$P$1)</f>
        <v/>
      </c>
      <c r="I97" s="88">
        <f>SUMIFS(_CALC_ALLOC!$AR$1:$AR$349,_CALC_ALLOC!$AS$1:$AS$349,"2027|"&amp;$P$1)</f>
        <v/>
      </c>
      <c r="J97" s="88">
        <f>SUMIFS(_CALC_ALLOC!$AM$1:$AM$349,_CALC_ALLOC!$AS$1:$AS$349,"2027|"&amp;$P$1)</f>
        <v/>
      </c>
      <c r="K97" s="88">
        <f>E97+F97+G97+H97+I97+J97</f>
        <v/>
      </c>
      <c r="L97" s="88">
        <f>SUMIFS(_CALC_ALLOC!$AN$1:$AN$349,_CALC_ALLOC!$AS$1:$AS$349,"2027|"&amp;$P$1)</f>
        <v/>
      </c>
      <c r="M97" s="89">
        <f>IF(D97=0,0,L97/D97)</f>
        <v/>
      </c>
      <c r="T97" s="74" t="inlineStr">
        <is>
          <t>GROUPE</t>
        </is>
      </c>
      <c r="V97" s="74" t="inlineStr"/>
      <c r="Z97" s="74" t="n">
        <v>0</v>
      </c>
      <c r="BF97" s="0" t="inlineStr">
        <is>
          <t>2027BUD_V1</t>
        </is>
      </c>
      <c r="BG97" s="0" t="inlineStr">
        <is>
          <t>ACT</t>
        </is>
      </c>
      <c r="BH97" s="0" t="inlineStr">
        <is>
          <t>12</t>
        </is>
      </c>
      <c r="BI97" s="0" t="inlineStr">
        <is>
          <t>2025</t>
        </is>
      </c>
      <c r="BJ97" s="0" t="inlineStr">
        <is>
          <t>MBWAY_NAN</t>
        </is>
      </c>
      <c r="BK97" s="0" t="inlineStr">
        <is>
          <t>MBWAY</t>
        </is>
      </c>
      <c r="BL97" s="0" t="inlineStr">
        <is>
          <t>BAC_MGT</t>
        </is>
      </c>
      <c r="BM97" s="0" t="inlineStr">
        <is>
          <t>B2</t>
        </is>
      </c>
      <c r="BN97" s="0" t="inlineStr">
        <is>
          <t>ALT</t>
        </is>
      </c>
      <c r="BO97" s="0" t="n">
        <v>55</v>
      </c>
      <c r="BP97" s="0" t="n">
        <v>2</v>
      </c>
      <c r="BQ97" s="0" t="n">
        <v>385000</v>
      </c>
      <c r="BR97" s="0" t="n">
        <v>23536.0643</v>
      </c>
      <c r="BS97" s="0" t="n">
        <v>56685.447042</v>
      </c>
      <c r="BT97" s="0" t="n">
        <v>20582.946384</v>
      </c>
      <c r="BU97" s="0" t="n">
        <v>129791.150833</v>
      </c>
      <c r="BV97" s="0" t="n">
        <v>9498.57494</v>
      </c>
      <c r="BW97" s="0" t="n">
        <v>43760.653152</v>
      </c>
      <c r="BX97" s="0" t="n">
        <v>53259.228092</v>
      </c>
      <c r="BY97" s="0" t="n">
        <v>44119.010684</v>
      </c>
      <c r="BZ97" s="0" t="n">
        <v>239735.825967</v>
      </c>
      <c r="CA97" s="0" t="n">
        <v>283854.836651</v>
      </c>
      <c r="CB97" s="0" t="n">
        <v>101145.163349</v>
      </c>
      <c r="CC97" s="0" t="n">
        <v>0</v>
      </c>
      <c r="CD97" s="0" t="n">
        <v>138275</v>
      </c>
      <c r="CE97" s="0" t="n">
        <v>333028.5</v>
      </c>
      <c r="CF97" s="0" t="n">
        <v>104412</v>
      </c>
      <c r="CG97" s="0" t="n">
        <v>28666</v>
      </c>
      <c r="CH97" s="0" t="n">
        <v>778750.02</v>
      </c>
      <c r="CI97" s="0" t="n">
        <v>2760232</v>
      </c>
      <c r="CJ97" s="0" t="n">
        <v>580167</v>
      </c>
    </row>
    <row r="98" ht="14.4975" customHeight="1" s="64">
      <c r="BF98" s="0" t="inlineStr">
        <is>
          <t>2027BUD_V1</t>
        </is>
      </c>
      <c r="BG98" s="0" t="inlineStr">
        <is>
          <t>ACT</t>
        </is>
      </c>
      <c r="BH98" s="0" t="inlineStr">
        <is>
          <t>12</t>
        </is>
      </c>
      <c r="BI98" s="0" t="inlineStr">
        <is>
          <t>2025</t>
        </is>
      </c>
      <c r="BJ98" s="0" t="inlineStr">
        <is>
          <t>MBWAY_NAN</t>
        </is>
      </c>
      <c r="BK98" s="0" t="inlineStr">
        <is>
          <t>MBWAY</t>
        </is>
      </c>
      <c r="BL98" s="0" t="inlineStr">
        <is>
          <t>BAC_MGT</t>
        </is>
      </c>
      <c r="BM98" s="0" t="inlineStr">
        <is>
          <t>B3</t>
        </is>
      </c>
      <c r="BN98" s="0" t="inlineStr">
        <is>
          <t>ALT</t>
        </is>
      </c>
      <c r="BO98" s="0" t="n">
        <v>54</v>
      </c>
      <c r="BP98" s="0" t="n">
        <v>2</v>
      </c>
      <c r="BQ98" s="0" t="n">
        <v>378000</v>
      </c>
      <c r="BR98" s="0" t="n">
        <v>23536.0643</v>
      </c>
      <c r="BS98" s="0" t="n">
        <v>56685.447042</v>
      </c>
      <c r="BT98" s="0" t="n">
        <v>20208.733776</v>
      </c>
      <c r="BU98" s="0" t="n">
        <v>129791.150833</v>
      </c>
      <c r="BV98" s="0" t="n">
        <v>9498.57494</v>
      </c>
      <c r="BW98" s="0" t="n">
        <v>43760.653152</v>
      </c>
      <c r="BX98" s="0" t="n">
        <v>53259.228092</v>
      </c>
      <c r="BY98" s="0" t="n">
        <v>43744.798076</v>
      </c>
      <c r="BZ98" s="0" t="n">
        <v>239735.825967</v>
      </c>
      <c r="CA98" s="0" t="n">
        <v>283480.624043</v>
      </c>
      <c r="CB98" s="0" t="n">
        <v>94519.375957</v>
      </c>
      <c r="CC98" s="0" t="n">
        <v>0</v>
      </c>
      <c r="CD98" s="0" t="n">
        <v>138275</v>
      </c>
      <c r="CE98" s="0" t="n">
        <v>333028.5</v>
      </c>
      <c r="CF98" s="0" t="n">
        <v>104412</v>
      </c>
      <c r="CG98" s="0" t="n">
        <v>28666</v>
      </c>
      <c r="CH98" s="0" t="n">
        <v>778750.02</v>
      </c>
      <c r="CI98" s="0" t="n">
        <v>2760232</v>
      </c>
      <c r="CJ98" s="0" t="n">
        <v>580167</v>
      </c>
    </row>
    <row r="99" ht="14.4975" customHeight="1" s="64">
      <c r="BF99" s="0" t="inlineStr">
        <is>
          <t>2027BUD_V1</t>
        </is>
      </c>
      <c r="BG99" s="0" t="inlineStr">
        <is>
          <t>ACT</t>
        </is>
      </c>
      <c r="BH99" s="0" t="inlineStr">
        <is>
          <t>12</t>
        </is>
      </c>
      <c r="BI99" s="0" t="inlineStr">
        <is>
          <t>2025</t>
        </is>
      </c>
      <c r="BJ99" s="0" t="inlineStr">
        <is>
          <t>MBWAY_NAN</t>
        </is>
      </c>
      <c r="BK99" s="0" t="inlineStr">
        <is>
          <t>MBWAY</t>
        </is>
      </c>
      <c r="BL99" s="0" t="inlineStr">
        <is>
          <t>MAS_MGT</t>
        </is>
      </c>
      <c r="BM99" s="0" t="inlineStr">
        <is>
          <t>M1</t>
        </is>
      </c>
      <c r="BN99" s="0" t="inlineStr">
        <is>
          <t>ALT</t>
        </is>
      </c>
      <c r="BO99" s="0" t="n">
        <v>57</v>
      </c>
      <c r="BP99" s="0" t="n">
        <v>3</v>
      </c>
      <c r="BQ99" s="0" t="n">
        <v>432630</v>
      </c>
      <c r="BR99" s="0" t="n">
        <v>30891.1881</v>
      </c>
      <c r="BS99" s="0" t="n">
        <v>74399.899014</v>
      </c>
      <c r="BT99" s="0" t="n">
        <v>35664.476012</v>
      </c>
      <c r="BU99" s="0" t="n">
        <v>194687.505</v>
      </c>
      <c r="BV99" s="0" t="n">
        <v>14247.919401</v>
      </c>
      <c r="BW99" s="0" t="n">
        <v>65641.242293</v>
      </c>
      <c r="BX99" s="0" t="n">
        <v>79889.16169399999</v>
      </c>
      <c r="BY99" s="0" t="n">
        <v>66555.664112</v>
      </c>
      <c r="BZ99" s="0" t="n">
        <v>348976.565708</v>
      </c>
      <c r="CA99" s="0" t="n">
        <v>415532.22982</v>
      </c>
      <c r="CB99" s="0" t="n">
        <v>17097.77018</v>
      </c>
      <c r="CC99" s="0" t="n">
        <v>57</v>
      </c>
      <c r="CD99" s="0" t="n">
        <v>138275</v>
      </c>
      <c r="CE99" s="0" t="n">
        <v>333028.5</v>
      </c>
      <c r="CF99" s="0" t="n">
        <v>104412</v>
      </c>
      <c r="CG99" s="0" t="n">
        <v>28666</v>
      </c>
      <c r="CH99" s="0" t="n">
        <v>778750.02</v>
      </c>
      <c r="CI99" s="0" t="n">
        <v>2760232</v>
      </c>
      <c r="CJ99" s="0" t="n">
        <v>580167</v>
      </c>
    </row>
    <row r="100" ht="14.4975" customHeight="1" s="64">
      <c r="BF100" s="0" t="inlineStr">
        <is>
          <t>2027BUD_V1</t>
        </is>
      </c>
      <c r="BG100" s="0" t="inlineStr">
        <is>
          <t>ACT</t>
        </is>
      </c>
      <c r="BH100" s="0" t="inlineStr">
        <is>
          <t>12</t>
        </is>
      </c>
      <c r="BI100" s="0" t="inlineStr">
        <is>
          <t>2025</t>
        </is>
      </c>
      <c r="BJ100" s="0" t="inlineStr">
        <is>
          <t>MBWAY_NAN</t>
        </is>
      </c>
      <c r="BK100" s="0" t="inlineStr">
        <is>
          <t>MBWAY</t>
        </is>
      </c>
      <c r="BL100" s="0" t="inlineStr">
        <is>
          <t>MAS_MGT</t>
        </is>
      </c>
      <c r="BM100" s="0" t="inlineStr">
        <is>
          <t>M2</t>
        </is>
      </c>
      <c r="BN100" s="0" t="inlineStr">
        <is>
          <t>ALT</t>
        </is>
      </c>
      <c r="BO100" s="0" t="n">
        <v>56</v>
      </c>
      <c r="BP100" s="0" t="n">
        <v>3</v>
      </c>
      <c r="BQ100" s="0" t="n">
        <v>420000</v>
      </c>
      <c r="BR100" s="0" t="n">
        <v>30891.1881</v>
      </c>
      <c r="BS100" s="0" t="n">
        <v>74399.899014</v>
      </c>
      <c r="BT100" s="0" t="n">
        <v>20957.158992</v>
      </c>
      <c r="BU100" s="0" t="n">
        <v>194687.505</v>
      </c>
      <c r="BV100" s="0" t="n">
        <v>14247.919401</v>
      </c>
      <c r="BW100" s="0" t="n">
        <v>65641.242293</v>
      </c>
      <c r="BX100" s="0" t="n">
        <v>79889.16169399999</v>
      </c>
      <c r="BY100" s="0" t="n">
        <v>51848.347092</v>
      </c>
      <c r="BZ100" s="0" t="n">
        <v>348976.565708</v>
      </c>
      <c r="CA100" s="0" t="n">
        <v>400824.9128</v>
      </c>
      <c r="CB100" s="0" t="n">
        <v>19175.0872</v>
      </c>
      <c r="CC100" s="0" t="n">
        <v>0</v>
      </c>
      <c r="CD100" s="0" t="n">
        <v>138275</v>
      </c>
      <c r="CE100" s="0" t="n">
        <v>333028.5</v>
      </c>
      <c r="CF100" s="0" t="n">
        <v>104412</v>
      </c>
      <c r="CG100" s="0" t="n">
        <v>28666</v>
      </c>
      <c r="CH100" s="0" t="n">
        <v>778750.02</v>
      </c>
      <c r="CI100" s="0" t="n">
        <v>2760232</v>
      </c>
      <c r="CJ100" s="0" t="n">
        <v>580167</v>
      </c>
    </row>
    <row r="101" ht="14.4975" customHeight="1" s="64">
      <c r="BF101" s="0" t="inlineStr">
        <is>
          <t>2027BUD_V1</t>
        </is>
      </c>
      <c r="BG101" s="0" t="inlineStr">
        <is>
          <t>ACT</t>
        </is>
      </c>
      <c r="BH101" s="0" t="inlineStr">
        <is>
          <t>12</t>
        </is>
      </c>
      <c r="BI101" s="0" t="inlineStr">
        <is>
          <t>2025</t>
        </is>
      </c>
      <c r="BJ101" s="0" t="inlineStr">
        <is>
          <t>MBWAY_PAR</t>
        </is>
      </c>
      <c r="BK101" s="0" t="inlineStr">
        <is>
          <t>MBWAY</t>
        </is>
      </c>
      <c r="BL101" s="0" t="inlineStr">
        <is>
          <t>BAC_MGT</t>
        </is>
      </c>
      <c r="BM101" s="0" t="inlineStr">
        <is>
          <t>B1</t>
        </is>
      </c>
      <c r="BN101" s="0" t="inlineStr">
        <is>
          <t>INIT</t>
        </is>
      </c>
      <c r="BO101" s="0" t="n">
        <v>74</v>
      </c>
      <c r="BP101" s="0" t="n">
        <v>3</v>
      </c>
      <c r="BQ101" s="0" t="n">
        <v>628260</v>
      </c>
      <c r="BR101" s="0" t="n">
        <v>43211</v>
      </c>
      <c r="BS101" s="0" t="n">
        <v>121216.6025</v>
      </c>
      <c r="BT101" s="0" t="n">
        <v>58773.503635</v>
      </c>
      <c r="BU101" s="0" t="n">
        <v>232782.046</v>
      </c>
      <c r="BV101" s="0" t="n">
        <v>14789.210407</v>
      </c>
      <c r="BW101" s="0" t="n">
        <v>68135.01089799999</v>
      </c>
      <c r="BX101" s="0" t="n">
        <v>82924.221305</v>
      </c>
      <c r="BY101" s="0" t="n">
        <v>101984.503635</v>
      </c>
      <c r="BZ101" s="0" t="n">
        <v>436922.869805</v>
      </c>
      <c r="CA101" s="0" t="n">
        <v>538907.37344</v>
      </c>
      <c r="CB101" s="0" t="n">
        <v>89352.62656</v>
      </c>
      <c r="CC101" s="0" t="n">
        <v>74</v>
      </c>
      <c r="CD101" s="0" t="n">
        <v>172844</v>
      </c>
      <c r="CE101" s="0" t="n">
        <v>484866.41</v>
      </c>
      <c r="CF101" s="0" t="n">
        <v>135665</v>
      </c>
      <c r="CG101" s="0" t="n">
        <v>62082</v>
      </c>
      <c r="CH101" s="0" t="n">
        <v>1163910.23</v>
      </c>
      <c r="CI101" s="0" t="n">
        <v>2760232</v>
      </c>
      <c r="CJ101" s="0" t="n">
        <v>580167</v>
      </c>
    </row>
    <row r="102" ht="14.4975" customHeight="1" s="64">
      <c r="BF102" s="0" t="inlineStr">
        <is>
          <t>2027BUD_V1</t>
        </is>
      </c>
      <c r="BG102" s="0" t="inlineStr">
        <is>
          <t>ACT</t>
        </is>
      </c>
      <c r="BH102" s="0" t="inlineStr">
        <is>
          <t>12</t>
        </is>
      </c>
      <c r="BI102" s="0" t="inlineStr">
        <is>
          <t>2025</t>
        </is>
      </c>
      <c r="BJ102" s="0" t="inlineStr">
        <is>
          <t>MBWAY_PAR</t>
        </is>
      </c>
      <c r="BK102" s="0" t="inlineStr">
        <is>
          <t>MBWAY</t>
        </is>
      </c>
      <c r="BL102" s="0" t="inlineStr">
        <is>
          <t>BAC_MGT</t>
        </is>
      </c>
      <c r="BM102" s="0" t="inlineStr">
        <is>
          <t>B2</t>
        </is>
      </c>
      <c r="BN102" s="0" t="inlineStr">
        <is>
          <t>ALT</t>
        </is>
      </c>
      <c r="BO102" s="0" t="n">
        <v>72</v>
      </c>
      <c r="BP102" s="0" t="n">
        <v>3</v>
      </c>
      <c r="BQ102" s="0" t="n">
        <v>564480</v>
      </c>
      <c r="BR102" s="0" t="n">
        <v>34568.8</v>
      </c>
      <c r="BS102" s="0" t="n">
        <v>96973.28200000001</v>
      </c>
      <c r="BT102" s="0" t="n">
        <v>26983.090175</v>
      </c>
      <c r="BU102" s="0" t="n">
        <v>232782.046</v>
      </c>
      <c r="BV102" s="0" t="n">
        <v>14789.210407</v>
      </c>
      <c r="BW102" s="0" t="n">
        <v>68135.01089799999</v>
      </c>
      <c r="BX102" s="0" t="n">
        <v>82924.221305</v>
      </c>
      <c r="BY102" s="0" t="n">
        <v>61551.890175</v>
      </c>
      <c r="BZ102" s="0" t="n">
        <v>412679.549305</v>
      </c>
      <c r="CA102" s="0" t="n">
        <v>474231.43948</v>
      </c>
      <c r="CB102" s="0" t="n">
        <v>90248.56052</v>
      </c>
      <c r="CC102" s="0" t="n">
        <v>0</v>
      </c>
      <c r="CD102" s="0" t="n">
        <v>172844</v>
      </c>
      <c r="CE102" s="0" t="n">
        <v>484866.41</v>
      </c>
      <c r="CF102" s="0" t="n">
        <v>135665</v>
      </c>
      <c r="CG102" s="0" t="n">
        <v>62082</v>
      </c>
      <c r="CH102" s="0" t="n">
        <v>1163910.23</v>
      </c>
      <c r="CI102" s="0" t="n">
        <v>2760232</v>
      </c>
      <c r="CJ102" s="0" t="n">
        <v>580167</v>
      </c>
    </row>
    <row r="103" ht="14.4975" customHeight="1" s="64">
      <c r="BF103" s="0" t="inlineStr">
        <is>
          <t>2027BUD_V1</t>
        </is>
      </c>
      <c r="BG103" s="0" t="inlineStr">
        <is>
          <t>ACT</t>
        </is>
      </c>
      <c r="BH103" s="0" t="inlineStr">
        <is>
          <t>12</t>
        </is>
      </c>
      <c r="BI103" s="0" t="inlineStr">
        <is>
          <t>2025</t>
        </is>
      </c>
      <c r="BJ103" s="0" t="inlineStr">
        <is>
          <t>MBWAY_PAR</t>
        </is>
      </c>
      <c r="BK103" s="0" t="inlineStr">
        <is>
          <t>MBWAY</t>
        </is>
      </c>
      <c r="BL103" s="0" t="inlineStr">
        <is>
          <t>BAC_MGT</t>
        </is>
      </c>
      <c r="BM103" s="0" t="inlineStr">
        <is>
          <t>B3</t>
        </is>
      </c>
      <c r="BN103" s="0" t="inlineStr">
        <is>
          <t>ALT</t>
        </is>
      </c>
      <c r="BO103" s="0" t="n">
        <v>70</v>
      </c>
      <c r="BP103" s="0" t="n">
        <v>3</v>
      </c>
      <c r="BQ103" s="0" t="n">
        <v>548800</v>
      </c>
      <c r="BR103" s="0" t="n">
        <v>34568.8</v>
      </c>
      <c r="BS103" s="0" t="n">
        <v>96973.28200000001</v>
      </c>
      <c r="BT103" s="0" t="n">
        <v>26233.54105</v>
      </c>
      <c r="BU103" s="0" t="n">
        <v>232782.046</v>
      </c>
      <c r="BV103" s="0" t="n">
        <v>14789.210407</v>
      </c>
      <c r="BW103" s="0" t="n">
        <v>68135.01089799999</v>
      </c>
      <c r="BX103" s="0" t="n">
        <v>82924.221305</v>
      </c>
      <c r="BY103" s="0" t="n">
        <v>60802.34105</v>
      </c>
      <c r="BZ103" s="0" t="n">
        <v>412679.549305</v>
      </c>
      <c r="CA103" s="0" t="n">
        <v>473481.890355</v>
      </c>
      <c r="CB103" s="0" t="n">
        <v>75318.109645</v>
      </c>
      <c r="CC103" s="0" t="n">
        <v>0</v>
      </c>
      <c r="CD103" s="0" t="n">
        <v>172844</v>
      </c>
      <c r="CE103" s="0" t="n">
        <v>484866.41</v>
      </c>
      <c r="CF103" s="0" t="n">
        <v>135665</v>
      </c>
      <c r="CG103" s="0" t="n">
        <v>62082</v>
      </c>
      <c r="CH103" s="0" t="n">
        <v>1163910.23</v>
      </c>
      <c r="CI103" s="0" t="n">
        <v>2760232</v>
      </c>
      <c r="CJ103" s="0" t="n">
        <v>580167</v>
      </c>
    </row>
    <row r="104" ht="14.4975" customHeight="1" s="64">
      <c r="BF104" s="0" t="inlineStr">
        <is>
          <t>2027BUD_V1</t>
        </is>
      </c>
      <c r="BG104" s="0" t="inlineStr">
        <is>
          <t>ACT</t>
        </is>
      </c>
      <c r="BH104" s="0" t="inlineStr">
        <is>
          <t>12</t>
        </is>
      </c>
      <c r="BI104" s="0" t="inlineStr">
        <is>
          <t>2025</t>
        </is>
      </c>
      <c r="BJ104" s="0" t="inlineStr">
        <is>
          <t>MBWAY_PAR</t>
        </is>
      </c>
      <c r="BK104" s="0" t="inlineStr">
        <is>
          <t>MBWAY</t>
        </is>
      </c>
      <c r="BL104" s="0" t="inlineStr">
        <is>
          <t>MAS_MGT</t>
        </is>
      </c>
      <c r="BM104" s="0" t="inlineStr">
        <is>
          <t>M1</t>
        </is>
      </c>
      <c r="BN104" s="0" t="inlineStr">
        <is>
          <t>ALT</t>
        </is>
      </c>
      <c r="BO104" s="0" t="n">
        <v>74</v>
      </c>
      <c r="BP104" s="0" t="n">
        <v>3</v>
      </c>
      <c r="BQ104" s="0" t="n">
        <v>628260</v>
      </c>
      <c r="BR104" s="0" t="n">
        <v>30247.7</v>
      </c>
      <c r="BS104" s="0" t="n">
        <v>84851.62175000001</v>
      </c>
      <c r="BT104" s="0" t="n">
        <v>58773.503635</v>
      </c>
      <c r="BU104" s="0" t="n">
        <v>232782.046</v>
      </c>
      <c r="BV104" s="0" t="n">
        <v>14789.210407</v>
      </c>
      <c r="BW104" s="0" t="n">
        <v>68135.01089799999</v>
      </c>
      <c r="BX104" s="0" t="n">
        <v>82924.221305</v>
      </c>
      <c r="BY104" s="0" t="n">
        <v>89021.203635</v>
      </c>
      <c r="BZ104" s="0" t="n">
        <v>400557.889055</v>
      </c>
      <c r="CA104" s="0" t="n">
        <v>489579.09269</v>
      </c>
      <c r="CB104" s="0" t="n">
        <v>138680.90731</v>
      </c>
      <c r="CC104" s="0" t="n">
        <v>74</v>
      </c>
      <c r="CD104" s="0" t="n">
        <v>172844</v>
      </c>
      <c r="CE104" s="0" t="n">
        <v>484866.41</v>
      </c>
      <c r="CF104" s="0" t="n">
        <v>135665</v>
      </c>
      <c r="CG104" s="0" t="n">
        <v>62082</v>
      </c>
      <c r="CH104" s="0" t="n">
        <v>1163910.23</v>
      </c>
      <c r="CI104" s="0" t="n">
        <v>2760232</v>
      </c>
      <c r="CJ104" s="0" t="n">
        <v>580167</v>
      </c>
    </row>
    <row r="105" ht="14.4975" customHeight="1" s="64">
      <c r="BF105" s="0" t="inlineStr">
        <is>
          <t>2027BUD_V1</t>
        </is>
      </c>
      <c r="BG105" s="0" t="inlineStr">
        <is>
          <t>ACT</t>
        </is>
      </c>
      <c r="BH105" s="0" t="inlineStr">
        <is>
          <t>12</t>
        </is>
      </c>
      <c r="BI105" s="0" t="inlineStr">
        <is>
          <t>2025</t>
        </is>
      </c>
      <c r="BJ105" s="0" t="inlineStr">
        <is>
          <t>MBWAY_PAR</t>
        </is>
      </c>
      <c r="BK105" s="0" t="inlineStr">
        <is>
          <t>MBWAY</t>
        </is>
      </c>
      <c r="BL105" s="0" t="inlineStr">
        <is>
          <t>MAS_MGT</t>
        </is>
      </c>
      <c r="BM105" s="0" t="inlineStr">
        <is>
          <t>M2</t>
        </is>
      </c>
      <c r="BN105" s="0" t="inlineStr">
        <is>
          <t>ALT</t>
        </is>
      </c>
      <c r="BO105" s="0" t="n">
        <v>72</v>
      </c>
      <c r="BP105" s="0" t="n">
        <v>3</v>
      </c>
      <c r="BQ105" s="0" t="n">
        <v>604800</v>
      </c>
      <c r="BR105" s="0" t="n">
        <v>30247.7</v>
      </c>
      <c r="BS105" s="0" t="n">
        <v>84851.62175000001</v>
      </c>
      <c r="BT105" s="0" t="n">
        <v>26983.090175</v>
      </c>
      <c r="BU105" s="0" t="n">
        <v>232782.046</v>
      </c>
      <c r="BV105" s="0" t="n">
        <v>14789.210407</v>
      </c>
      <c r="BW105" s="0" t="n">
        <v>68135.01089799999</v>
      </c>
      <c r="BX105" s="0" t="n">
        <v>82924.221305</v>
      </c>
      <c r="BY105" s="0" t="n">
        <v>57230.790175</v>
      </c>
      <c r="BZ105" s="0" t="n">
        <v>400557.889055</v>
      </c>
      <c r="CA105" s="0" t="n">
        <v>457788.67923</v>
      </c>
      <c r="CB105" s="0" t="n">
        <v>147011.32077</v>
      </c>
      <c r="CC105" s="0" t="n">
        <v>0</v>
      </c>
      <c r="CD105" s="0" t="n">
        <v>172844</v>
      </c>
      <c r="CE105" s="0" t="n">
        <v>484866.41</v>
      </c>
      <c r="CF105" s="0" t="n">
        <v>135665</v>
      </c>
      <c r="CG105" s="0" t="n">
        <v>62082</v>
      </c>
      <c r="CH105" s="0" t="n">
        <v>1163910.23</v>
      </c>
      <c r="CI105" s="0" t="n">
        <v>2760232</v>
      </c>
      <c r="CJ105" s="0" t="n">
        <v>580167</v>
      </c>
    </row>
    <row r="106" ht="14.4975" customHeight="1" s="64">
      <c r="BF106" s="0" t="inlineStr">
        <is>
          <t>2027BUD_V1</t>
        </is>
      </c>
      <c r="BG106" s="0" t="inlineStr">
        <is>
          <t>ACT</t>
        </is>
      </c>
      <c r="BH106" s="0" t="inlineStr">
        <is>
          <t>12</t>
        </is>
      </c>
      <c r="BI106" s="0" t="inlineStr">
        <is>
          <t>2025</t>
        </is>
      </c>
      <c r="BJ106" s="0" t="inlineStr">
        <is>
          <t>PIGIER_BOR</t>
        </is>
      </c>
      <c r="BK106" s="0" t="inlineStr">
        <is>
          <t>PIGIER</t>
        </is>
      </c>
      <c r="BL106" s="0" t="inlineStr">
        <is>
          <t>BAC_RH</t>
        </is>
      </c>
      <c r="BM106" s="0" t="inlineStr">
        <is>
          <t>B2</t>
        </is>
      </c>
      <c r="BN106" s="0" t="inlineStr">
        <is>
          <t>ALT</t>
        </is>
      </c>
      <c r="BO106" s="0" t="n">
        <v>33</v>
      </c>
      <c r="BP106" s="0" t="n">
        <v>2</v>
      </c>
      <c r="BQ106" s="0" t="n">
        <v>224070</v>
      </c>
      <c r="BR106" s="0" t="n">
        <v>15580.217562</v>
      </c>
      <c r="BS106" s="0" t="n">
        <v>29598.33168</v>
      </c>
      <c r="BT106" s="0" t="n">
        <v>10025.23185</v>
      </c>
      <c r="BU106" s="0" t="n">
        <v>66715.60400000001</v>
      </c>
      <c r="BV106" s="0" t="n">
        <v>5958.506131</v>
      </c>
      <c r="BW106" s="0" t="n">
        <v>31244.255539</v>
      </c>
      <c r="BX106" s="0" t="n">
        <v>37202.76167</v>
      </c>
      <c r="BY106" s="0" t="n">
        <v>25605.449412</v>
      </c>
      <c r="BZ106" s="0" t="n">
        <v>133516.69735</v>
      </c>
      <c r="CA106" s="0" t="n">
        <v>159122.146762</v>
      </c>
      <c r="CB106" s="0" t="n">
        <v>64947.853238</v>
      </c>
      <c r="CC106" s="0" t="n">
        <v>0</v>
      </c>
      <c r="CD106" s="0" t="n">
        <v>92183</v>
      </c>
      <c r="CE106" s="0" t="n">
        <v>175123.55</v>
      </c>
      <c r="CF106" s="0" t="n">
        <v>50430</v>
      </c>
      <c r="CG106" s="0" t="n">
        <v>19971</v>
      </c>
      <c r="CH106" s="0" t="n">
        <v>333578.02</v>
      </c>
      <c r="CI106" s="0" t="n">
        <v>2760232</v>
      </c>
      <c r="CJ106" s="0" t="n">
        <v>580167</v>
      </c>
    </row>
    <row r="107" ht="14.4975" customHeight="1" s="64">
      <c r="BF107" s="0" t="inlineStr">
        <is>
          <t>2027BUD_V1</t>
        </is>
      </c>
      <c r="BG107" s="0" t="inlineStr">
        <is>
          <t>ACT</t>
        </is>
      </c>
      <c r="BH107" s="0" t="inlineStr">
        <is>
          <t>12</t>
        </is>
      </c>
      <c r="BI107" s="0" t="inlineStr">
        <is>
          <t>2025</t>
        </is>
      </c>
      <c r="BJ107" s="0" t="inlineStr">
        <is>
          <t>PIGIER_BOR</t>
        </is>
      </c>
      <c r="BK107" s="0" t="inlineStr">
        <is>
          <t>PIGIER</t>
        </is>
      </c>
      <c r="BL107" s="0" t="inlineStr">
        <is>
          <t>BTS_GES</t>
        </is>
      </c>
      <c r="BM107" s="0" t="inlineStr">
        <is>
          <t>BTS1</t>
        </is>
      </c>
      <c r="BN107" s="0" t="inlineStr">
        <is>
          <t>ALT</t>
        </is>
      </c>
      <c r="BO107" s="0" t="n">
        <v>34</v>
      </c>
      <c r="BP107" s="0" t="n">
        <v>2</v>
      </c>
      <c r="BQ107" s="0" t="n">
        <v>200940</v>
      </c>
      <c r="BR107" s="0" t="n">
        <v>22721.081474</v>
      </c>
      <c r="BS107" s="0" t="n">
        <v>43164.102357</v>
      </c>
      <c r="BT107" s="0" t="n">
        <v>20314.52217</v>
      </c>
      <c r="BU107" s="0" t="n">
        <v>66715.60400000001</v>
      </c>
      <c r="BV107" s="0" t="n">
        <v>5958.506131</v>
      </c>
      <c r="BW107" s="0" t="n">
        <v>31244.255539</v>
      </c>
      <c r="BX107" s="0" t="n">
        <v>37202.76167</v>
      </c>
      <c r="BY107" s="0" t="n">
        <v>43035.603644</v>
      </c>
      <c r="BZ107" s="0" t="n">
        <v>147082.468027</v>
      </c>
      <c r="CA107" s="0" t="n">
        <v>190118.071671</v>
      </c>
      <c r="CB107" s="0" t="n">
        <v>10821.928329</v>
      </c>
      <c r="CC107" s="0" t="n">
        <v>34</v>
      </c>
      <c r="CD107" s="0" t="n">
        <v>92183</v>
      </c>
      <c r="CE107" s="0" t="n">
        <v>175123.55</v>
      </c>
      <c r="CF107" s="0" t="n">
        <v>50430</v>
      </c>
      <c r="CG107" s="0" t="n">
        <v>19971</v>
      </c>
      <c r="CH107" s="0" t="n">
        <v>333578.02</v>
      </c>
      <c r="CI107" s="0" t="n">
        <v>2760232</v>
      </c>
      <c r="CJ107" s="0" t="n">
        <v>580167</v>
      </c>
    </row>
    <row r="108" ht="14.4975" customHeight="1" s="64">
      <c r="BF108" s="0" t="inlineStr">
        <is>
          <t>2027BUD_V1</t>
        </is>
      </c>
      <c r="BG108" s="0" t="inlineStr">
        <is>
          <t>ACT</t>
        </is>
      </c>
      <c r="BH108" s="0" t="inlineStr">
        <is>
          <t>12</t>
        </is>
      </c>
      <c r="BI108" s="0" t="inlineStr">
        <is>
          <t>2025</t>
        </is>
      </c>
      <c r="BJ108" s="0" t="inlineStr">
        <is>
          <t>PIGIER_BOR</t>
        </is>
      </c>
      <c r="BK108" s="0" t="inlineStr">
        <is>
          <t>PIGIER</t>
        </is>
      </c>
      <c r="BL108" s="0" t="inlineStr">
        <is>
          <t>BTS_GES</t>
        </is>
      </c>
      <c r="BM108" s="0" t="inlineStr">
        <is>
          <t>BTS2</t>
        </is>
      </c>
      <c r="BN108" s="0" t="inlineStr">
        <is>
          <t>ALT</t>
        </is>
      </c>
      <c r="BO108" s="0" t="n">
        <v>33</v>
      </c>
      <c r="BP108" s="0" t="n">
        <v>2</v>
      </c>
      <c r="BQ108" s="0" t="n">
        <v>192060</v>
      </c>
      <c r="BR108" s="0" t="n">
        <v>22721.081474</v>
      </c>
      <c r="BS108" s="0" t="n">
        <v>43164.102357</v>
      </c>
      <c r="BT108" s="0" t="n">
        <v>10025.23185</v>
      </c>
      <c r="BU108" s="0" t="n">
        <v>66715.60400000001</v>
      </c>
      <c r="BV108" s="0" t="n">
        <v>5958.506131</v>
      </c>
      <c r="BW108" s="0" t="n">
        <v>31244.255539</v>
      </c>
      <c r="BX108" s="0" t="n">
        <v>37202.76167</v>
      </c>
      <c r="BY108" s="0" t="n">
        <v>32746.313324</v>
      </c>
      <c r="BZ108" s="0" t="n">
        <v>147082.468027</v>
      </c>
      <c r="CA108" s="0" t="n">
        <v>179828.781351</v>
      </c>
      <c r="CB108" s="0" t="n">
        <v>12231.218649</v>
      </c>
      <c r="CC108" s="0" t="n">
        <v>0</v>
      </c>
      <c r="CD108" s="0" t="n">
        <v>92183</v>
      </c>
      <c r="CE108" s="0" t="n">
        <v>175123.55</v>
      </c>
      <c r="CF108" s="0" t="n">
        <v>50430</v>
      </c>
      <c r="CG108" s="0" t="n">
        <v>19971</v>
      </c>
      <c r="CH108" s="0" t="n">
        <v>333578.02</v>
      </c>
      <c r="CI108" s="0" t="n">
        <v>2760232</v>
      </c>
      <c r="CJ108" s="0" t="n">
        <v>580167</v>
      </c>
    </row>
    <row r="109" ht="14.4975" customHeight="1" s="64">
      <c r="BF109" s="0" t="inlineStr">
        <is>
          <t>2027BUD_V1</t>
        </is>
      </c>
      <c r="BG109" s="0" t="inlineStr">
        <is>
          <t>ACT</t>
        </is>
      </c>
      <c r="BH109" s="0" t="inlineStr">
        <is>
          <t>12</t>
        </is>
      </c>
      <c r="BI109" s="0" t="inlineStr">
        <is>
          <t>2025</t>
        </is>
      </c>
      <c r="BJ109" s="0" t="inlineStr">
        <is>
          <t>PIGIER_BOR</t>
        </is>
      </c>
      <c r="BK109" s="0" t="inlineStr">
        <is>
          <t>PIGIER</t>
        </is>
      </c>
      <c r="BL109" s="0" t="inlineStr">
        <is>
          <t>BAC_RH</t>
        </is>
      </c>
      <c r="BM109" s="0" t="inlineStr">
        <is>
          <t>B1</t>
        </is>
      </c>
      <c r="BN109" s="0" t="inlineStr">
        <is>
          <t>ALT</t>
        </is>
      </c>
      <c r="BO109" s="0" t="n">
        <v>34</v>
      </c>
      <c r="BP109" s="0" t="n">
        <v>2</v>
      </c>
      <c r="BQ109" s="0" t="n">
        <v>233920</v>
      </c>
      <c r="BR109" s="0" t="n">
        <v>15580.217562</v>
      </c>
      <c r="BS109" s="0" t="n">
        <v>29598.33168</v>
      </c>
      <c r="BT109" s="0" t="n">
        <v>20314.52217</v>
      </c>
      <c r="BU109" s="0" t="n">
        <v>66715.60400000001</v>
      </c>
      <c r="BV109" s="0" t="n">
        <v>5958.506131</v>
      </c>
      <c r="BW109" s="0" t="n">
        <v>31244.255539</v>
      </c>
      <c r="BX109" s="0" t="n">
        <v>37202.76167</v>
      </c>
      <c r="BY109" s="0" t="n">
        <v>35894.739732</v>
      </c>
      <c r="BZ109" s="0" t="n">
        <v>133516.69735</v>
      </c>
      <c r="CA109" s="0" t="n">
        <v>169411.437082</v>
      </c>
      <c r="CB109" s="0" t="n">
        <v>64508.562918</v>
      </c>
      <c r="CC109" s="0" t="n">
        <v>34</v>
      </c>
      <c r="CD109" s="0" t="n">
        <v>92183</v>
      </c>
      <c r="CE109" s="0" t="n">
        <v>175123.55</v>
      </c>
      <c r="CF109" s="0" t="n">
        <v>50430</v>
      </c>
      <c r="CG109" s="0" t="n">
        <v>19971</v>
      </c>
      <c r="CH109" s="0" t="n">
        <v>333578.02</v>
      </c>
      <c r="CI109" s="0" t="n">
        <v>2760232</v>
      </c>
      <c r="CJ109" s="0" t="n">
        <v>580167</v>
      </c>
    </row>
    <row r="110" ht="14.4975" customHeight="1" s="64">
      <c r="BF110" s="0" t="inlineStr">
        <is>
          <t>2027BUD_V1</t>
        </is>
      </c>
      <c r="BG110" s="0" t="inlineStr">
        <is>
          <t>ACT</t>
        </is>
      </c>
      <c r="BH110" s="0" t="inlineStr">
        <is>
          <t>12</t>
        </is>
      </c>
      <c r="BI110" s="0" t="inlineStr">
        <is>
          <t>2025</t>
        </is>
      </c>
      <c r="BJ110" s="0" t="inlineStr">
        <is>
          <t>PIGIER_BOR</t>
        </is>
      </c>
      <c r="BK110" s="0" t="inlineStr">
        <is>
          <t>PIGIER</t>
        </is>
      </c>
      <c r="BL110" s="0" t="inlineStr">
        <is>
          <t>BAC_RH</t>
        </is>
      </c>
      <c r="BM110" s="0" t="inlineStr">
        <is>
          <t>B3</t>
        </is>
      </c>
      <c r="BN110" s="0" t="inlineStr">
        <is>
          <t>ALT</t>
        </is>
      </c>
      <c r="BO110" s="0" t="n">
        <v>32</v>
      </c>
      <c r="BP110" s="0" t="n">
        <v>2</v>
      </c>
      <c r="BQ110" s="0" t="n">
        <v>217280</v>
      </c>
      <c r="BR110" s="0" t="n">
        <v>15580.217562</v>
      </c>
      <c r="BS110" s="0" t="n">
        <v>29598.33168</v>
      </c>
      <c r="BT110" s="0" t="n">
        <v>9721.44153</v>
      </c>
      <c r="BU110" s="0" t="n">
        <v>66715.60400000001</v>
      </c>
      <c r="BV110" s="0" t="n">
        <v>5958.506131</v>
      </c>
      <c r="BW110" s="0" t="n">
        <v>31244.255539</v>
      </c>
      <c r="BX110" s="0" t="n">
        <v>37202.76167</v>
      </c>
      <c r="BY110" s="0" t="n">
        <v>25301.659092</v>
      </c>
      <c r="BZ110" s="0" t="n">
        <v>133516.69735</v>
      </c>
      <c r="CA110" s="0" t="n">
        <v>158818.356442</v>
      </c>
      <c r="CB110" s="0" t="n">
        <v>58461.643558</v>
      </c>
      <c r="CC110" s="0" t="n">
        <v>0</v>
      </c>
      <c r="CD110" s="0" t="n">
        <v>92183</v>
      </c>
      <c r="CE110" s="0" t="n">
        <v>175123.55</v>
      </c>
      <c r="CF110" s="0" t="n">
        <v>50430</v>
      </c>
      <c r="CG110" s="0" t="n">
        <v>19971</v>
      </c>
      <c r="CH110" s="0" t="n">
        <v>333578.02</v>
      </c>
      <c r="CI110" s="0" t="n">
        <v>2760232</v>
      </c>
      <c r="CJ110" s="0" t="n">
        <v>580167</v>
      </c>
    </row>
    <row r="111" ht="14.4975" customHeight="1" s="64">
      <c r="BF111" s="0" t="inlineStr">
        <is>
          <t>2027BUD_V1</t>
        </is>
      </c>
      <c r="BG111" s="0" t="inlineStr">
        <is>
          <t>ACT</t>
        </is>
      </c>
      <c r="BH111" s="0" t="inlineStr">
        <is>
          <t>12</t>
        </is>
      </c>
      <c r="BI111" s="0" t="inlineStr">
        <is>
          <t>2025</t>
        </is>
      </c>
      <c r="BJ111" s="0" t="inlineStr">
        <is>
          <t>PIGIER_LYO</t>
        </is>
      </c>
      <c r="BK111" s="0" t="inlineStr">
        <is>
          <t>PIGIER</t>
        </is>
      </c>
      <c r="BL111" s="0" t="inlineStr">
        <is>
          <t>BAC_RH</t>
        </is>
      </c>
      <c r="BM111" s="0" t="inlineStr">
        <is>
          <t>B3</t>
        </is>
      </c>
      <c r="BN111" s="0" t="inlineStr">
        <is>
          <t>ALT</t>
        </is>
      </c>
      <c r="BO111" s="0" t="n">
        <v>41</v>
      </c>
      <c r="BP111" s="0" t="n">
        <v>2</v>
      </c>
      <c r="BQ111" s="0" t="n">
        <v>301350</v>
      </c>
      <c r="BR111" s="0" t="n">
        <v>15580.217562</v>
      </c>
      <c r="BS111" s="0" t="n">
        <v>38579.49733</v>
      </c>
      <c r="BT111" s="0" t="n">
        <v>12559.550432</v>
      </c>
      <c r="BU111" s="0" t="n">
        <v>101621.484</v>
      </c>
      <c r="BV111" s="0" t="n">
        <v>7573.759578</v>
      </c>
      <c r="BW111" s="0" t="n">
        <v>39714.06162</v>
      </c>
      <c r="BX111" s="0" t="n">
        <v>47287.821198</v>
      </c>
      <c r="BY111" s="0" t="n">
        <v>28139.767994</v>
      </c>
      <c r="BZ111" s="0" t="n">
        <v>187488.802528</v>
      </c>
      <c r="CA111" s="0" t="n">
        <v>215628.570522</v>
      </c>
      <c r="CB111" s="0" t="n">
        <v>85721.42947800001</v>
      </c>
      <c r="CC111" s="0" t="n">
        <v>0</v>
      </c>
      <c r="CD111" s="0" t="n">
        <v>92183</v>
      </c>
      <c r="CE111" s="0" t="n">
        <v>228262.14</v>
      </c>
      <c r="CF111" s="0" t="n">
        <v>64636</v>
      </c>
      <c r="CG111" s="0" t="n">
        <v>33284</v>
      </c>
      <c r="CH111" s="0" t="n">
        <v>508107.42</v>
      </c>
      <c r="CI111" s="0" t="n">
        <v>2760232</v>
      </c>
      <c r="CJ111" s="0" t="n">
        <v>580167</v>
      </c>
    </row>
    <row r="112" ht="14.4975" customHeight="1" s="64">
      <c r="BF112" s="0" t="inlineStr">
        <is>
          <t>2027BUD_V1</t>
        </is>
      </c>
      <c r="BG112" s="0" t="inlineStr">
        <is>
          <t>ACT</t>
        </is>
      </c>
      <c r="BH112" s="0" t="inlineStr">
        <is>
          <t>12</t>
        </is>
      </c>
      <c r="BI112" s="0" t="inlineStr">
        <is>
          <t>2025</t>
        </is>
      </c>
      <c r="BJ112" s="0" t="inlineStr">
        <is>
          <t>PIGIER_LYO</t>
        </is>
      </c>
      <c r="BK112" s="0" t="inlineStr">
        <is>
          <t>PIGIER</t>
        </is>
      </c>
      <c r="BL112" s="0" t="inlineStr">
        <is>
          <t>BTS_GES</t>
        </is>
      </c>
      <c r="BM112" s="0" t="inlineStr">
        <is>
          <t>BTS1</t>
        </is>
      </c>
      <c r="BN112" s="0" t="inlineStr">
        <is>
          <t>ALT</t>
        </is>
      </c>
      <c r="BO112" s="0" t="n">
        <v>43</v>
      </c>
      <c r="BP112" s="0" t="n">
        <v>2</v>
      </c>
      <c r="BQ112" s="0" t="n">
        <v>274770</v>
      </c>
      <c r="BR112" s="0" t="n">
        <v>22721.081474</v>
      </c>
      <c r="BS112" s="0" t="n">
        <v>56261.595743</v>
      </c>
      <c r="BT112" s="0" t="n">
        <v>29814.235076</v>
      </c>
      <c r="BU112" s="0" t="n">
        <v>101621.484</v>
      </c>
      <c r="BV112" s="0" t="n">
        <v>7573.759578</v>
      </c>
      <c r="BW112" s="0" t="n">
        <v>39714.06162</v>
      </c>
      <c r="BX112" s="0" t="n">
        <v>47287.821198</v>
      </c>
      <c r="BY112" s="0" t="n">
        <v>52535.31655</v>
      </c>
      <c r="BZ112" s="0" t="n">
        <v>205170.900941</v>
      </c>
      <c r="CA112" s="0" t="n">
        <v>257706.217491</v>
      </c>
      <c r="CB112" s="0" t="n">
        <v>17063.782509</v>
      </c>
      <c r="CC112" s="0" t="n">
        <v>43</v>
      </c>
      <c r="CD112" s="0" t="n">
        <v>92183</v>
      </c>
      <c r="CE112" s="0" t="n">
        <v>228262.14</v>
      </c>
      <c r="CF112" s="0" t="n">
        <v>64636</v>
      </c>
      <c r="CG112" s="0" t="n">
        <v>33284</v>
      </c>
      <c r="CH112" s="0" t="n">
        <v>508107.42</v>
      </c>
      <c r="CI112" s="0" t="n">
        <v>2760232</v>
      </c>
      <c r="CJ112" s="0" t="n">
        <v>580167</v>
      </c>
    </row>
    <row r="113" ht="14.4975" customHeight="1" s="64">
      <c r="BF113" s="0" t="inlineStr">
        <is>
          <t>2027BUD_V1</t>
        </is>
      </c>
      <c r="BG113" s="0" t="inlineStr">
        <is>
          <t>ACT</t>
        </is>
      </c>
      <c r="BH113" s="0" t="inlineStr">
        <is>
          <t>12</t>
        </is>
      </c>
      <c r="BI113" s="0" t="inlineStr">
        <is>
          <t>2025</t>
        </is>
      </c>
      <c r="BJ113" s="0" t="inlineStr">
        <is>
          <t>PIGIER_LYO</t>
        </is>
      </c>
      <c r="BK113" s="0" t="inlineStr">
        <is>
          <t>PIGIER</t>
        </is>
      </c>
      <c r="BL113" s="0" t="inlineStr">
        <is>
          <t>BTS_GES</t>
        </is>
      </c>
      <c r="BM113" s="0" t="inlineStr">
        <is>
          <t>BTS2</t>
        </is>
      </c>
      <c r="BN113" s="0" t="inlineStr">
        <is>
          <t>ALT</t>
        </is>
      </c>
      <c r="BO113" s="0" t="n">
        <v>42</v>
      </c>
      <c r="BP113" s="0" t="n">
        <v>2</v>
      </c>
      <c r="BQ113" s="0" t="n">
        <v>264600</v>
      </c>
      <c r="BR113" s="0" t="n">
        <v>22721.081474</v>
      </c>
      <c r="BS113" s="0" t="n">
        <v>56261.595743</v>
      </c>
      <c r="BT113" s="0" t="n">
        <v>12865.925072</v>
      </c>
      <c r="BU113" s="0" t="n">
        <v>101621.484</v>
      </c>
      <c r="BV113" s="0" t="n">
        <v>7573.759578</v>
      </c>
      <c r="BW113" s="0" t="n">
        <v>39714.06162</v>
      </c>
      <c r="BX113" s="0" t="n">
        <v>47287.821198</v>
      </c>
      <c r="BY113" s="0" t="n">
        <v>35587.006546</v>
      </c>
      <c r="BZ113" s="0" t="n">
        <v>205170.900941</v>
      </c>
      <c r="CA113" s="0" t="n">
        <v>240757.907487</v>
      </c>
      <c r="CB113" s="0" t="n">
        <v>23842.092513</v>
      </c>
      <c r="CC113" s="0" t="n">
        <v>0</v>
      </c>
      <c r="CD113" s="0" t="n">
        <v>92183</v>
      </c>
      <c r="CE113" s="0" t="n">
        <v>228262.14</v>
      </c>
      <c r="CF113" s="0" t="n">
        <v>64636</v>
      </c>
      <c r="CG113" s="0" t="n">
        <v>33284</v>
      </c>
      <c r="CH113" s="0" t="n">
        <v>508107.42</v>
      </c>
      <c r="CI113" s="0" t="n">
        <v>2760232</v>
      </c>
      <c r="CJ113" s="0" t="n">
        <v>580167</v>
      </c>
    </row>
    <row r="114" ht="14.4975" customHeight="1" s="64">
      <c r="BF114" s="0" t="inlineStr">
        <is>
          <t>2027BUD_V1</t>
        </is>
      </c>
      <c r="BG114" s="0" t="inlineStr">
        <is>
          <t>ACT</t>
        </is>
      </c>
      <c r="BH114" s="0" t="inlineStr">
        <is>
          <t>12</t>
        </is>
      </c>
      <c r="BI114" s="0" t="inlineStr">
        <is>
          <t>2025</t>
        </is>
      </c>
      <c r="BJ114" s="0" t="inlineStr">
        <is>
          <t>PIGIER_LYO</t>
        </is>
      </c>
      <c r="BK114" s="0" t="inlineStr">
        <is>
          <t>PIGIER</t>
        </is>
      </c>
      <c r="BL114" s="0" t="inlineStr">
        <is>
          <t>BAC_RH</t>
        </is>
      </c>
      <c r="BM114" s="0" t="inlineStr">
        <is>
          <t>B1</t>
        </is>
      </c>
      <c r="BN114" s="0" t="inlineStr">
        <is>
          <t>ALT</t>
        </is>
      </c>
      <c r="BO114" s="0" t="n">
        <v>43</v>
      </c>
      <c r="BP114" s="0" t="n">
        <v>2</v>
      </c>
      <c r="BQ114" s="0" t="n">
        <v>319920</v>
      </c>
      <c r="BR114" s="0" t="n">
        <v>15580.217562</v>
      </c>
      <c r="BS114" s="0" t="n">
        <v>38579.49733</v>
      </c>
      <c r="BT114" s="0" t="n">
        <v>29814.235076</v>
      </c>
      <c r="BU114" s="0" t="n">
        <v>101621.484</v>
      </c>
      <c r="BV114" s="0" t="n">
        <v>7573.759578</v>
      </c>
      <c r="BW114" s="0" t="n">
        <v>39714.06162</v>
      </c>
      <c r="BX114" s="0" t="n">
        <v>47287.821198</v>
      </c>
      <c r="BY114" s="0" t="n">
        <v>45394.452638</v>
      </c>
      <c r="BZ114" s="0" t="n">
        <v>187488.802528</v>
      </c>
      <c r="CA114" s="0" t="n">
        <v>232883.255166</v>
      </c>
      <c r="CB114" s="0" t="n">
        <v>87036.744834</v>
      </c>
      <c r="CC114" s="0" t="n">
        <v>43</v>
      </c>
      <c r="CD114" s="0" t="n">
        <v>92183</v>
      </c>
      <c r="CE114" s="0" t="n">
        <v>228262.14</v>
      </c>
      <c r="CF114" s="0" t="n">
        <v>64636</v>
      </c>
      <c r="CG114" s="0" t="n">
        <v>33284</v>
      </c>
      <c r="CH114" s="0" t="n">
        <v>508107.42</v>
      </c>
      <c r="CI114" s="0" t="n">
        <v>2760232</v>
      </c>
      <c r="CJ114" s="0" t="n">
        <v>580167</v>
      </c>
    </row>
    <row r="115" ht="14.4975" customHeight="1" s="64">
      <c r="BF115" s="0" t="inlineStr">
        <is>
          <t>2027BUD_V1</t>
        </is>
      </c>
      <c r="BG115" s="0" t="inlineStr">
        <is>
          <t>ACT</t>
        </is>
      </c>
      <c r="BH115" s="0" t="inlineStr">
        <is>
          <t>12</t>
        </is>
      </c>
      <c r="BI115" s="0" t="inlineStr">
        <is>
          <t>2025</t>
        </is>
      </c>
      <c r="BJ115" s="0" t="inlineStr">
        <is>
          <t>PIGIER_LYO</t>
        </is>
      </c>
      <c r="BK115" s="0" t="inlineStr">
        <is>
          <t>PIGIER</t>
        </is>
      </c>
      <c r="BL115" s="0" t="inlineStr">
        <is>
          <t>BAC_RH</t>
        </is>
      </c>
      <c r="BM115" s="0" t="inlineStr">
        <is>
          <t>B2</t>
        </is>
      </c>
      <c r="BN115" s="0" t="inlineStr">
        <is>
          <t>ALT</t>
        </is>
      </c>
      <c r="BO115" s="0" t="n">
        <v>42</v>
      </c>
      <c r="BP115" s="0" t="n">
        <v>2</v>
      </c>
      <c r="BQ115" s="0" t="n">
        <v>308700</v>
      </c>
      <c r="BR115" s="0" t="n">
        <v>15580.217562</v>
      </c>
      <c r="BS115" s="0" t="n">
        <v>38579.49733</v>
      </c>
      <c r="BT115" s="0" t="n">
        <v>12865.925072</v>
      </c>
      <c r="BU115" s="0" t="n">
        <v>101621.484</v>
      </c>
      <c r="BV115" s="0" t="n">
        <v>7573.759578</v>
      </c>
      <c r="BW115" s="0" t="n">
        <v>39714.06162</v>
      </c>
      <c r="BX115" s="0" t="n">
        <v>47287.821198</v>
      </c>
      <c r="BY115" s="0" t="n">
        <v>28446.142634</v>
      </c>
      <c r="BZ115" s="0" t="n">
        <v>187488.802528</v>
      </c>
      <c r="CA115" s="0" t="n">
        <v>215934.945162</v>
      </c>
      <c r="CB115" s="0" t="n">
        <v>92765.054838</v>
      </c>
      <c r="CC115" s="0" t="n">
        <v>0</v>
      </c>
      <c r="CD115" s="0" t="n">
        <v>92183</v>
      </c>
      <c r="CE115" s="0" t="n">
        <v>228262.14</v>
      </c>
      <c r="CF115" s="0" t="n">
        <v>64636</v>
      </c>
      <c r="CG115" s="0" t="n">
        <v>33284</v>
      </c>
      <c r="CH115" s="0" t="n">
        <v>508107.42</v>
      </c>
      <c r="CI115" s="0" t="n">
        <v>2760232</v>
      </c>
      <c r="CJ115" s="0" t="n">
        <v>580167</v>
      </c>
    </row>
    <row r="116" ht="14.4975" customHeight="1" s="64">
      <c r="BF116" s="0" t="inlineStr">
        <is>
          <t>2027BUD_V1</t>
        </is>
      </c>
      <c r="BG116" s="0" t="inlineStr">
        <is>
          <t>ACT</t>
        </is>
      </c>
      <c r="BH116" s="0" t="inlineStr">
        <is>
          <t>12</t>
        </is>
      </c>
      <c r="BI116" s="0" t="inlineStr">
        <is>
          <t>2025</t>
        </is>
      </c>
      <c r="BJ116" s="0" t="inlineStr">
        <is>
          <t>TUNON_LYO</t>
        </is>
      </c>
      <c r="BK116" s="0" t="inlineStr">
        <is>
          <t>TUNON</t>
        </is>
      </c>
      <c r="BL116" s="0" t="inlineStr">
        <is>
          <t>BAC_TOU</t>
        </is>
      </c>
      <c r="BM116" s="0" t="inlineStr">
        <is>
          <t>B1</t>
        </is>
      </c>
      <c r="BN116" s="0" t="inlineStr">
        <is>
          <t>ALT</t>
        </is>
      </c>
      <c r="BO116" s="0" t="n">
        <v>38</v>
      </c>
      <c r="BP116" s="0" t="n">
        <v>2</v>
      </c>
      <c r="BQ116" s="0" t="n">
        <v>282720</v>
      </c>
      <c r="BR116" s="0" t="n">
        <v>23045.643621</v>
      </c>
      <c r="BS116" s="0" t="n">
        <v>57888.768778</v>
      </c>
      <c r="BT116" s="0" t="n">
        <v>31360.994784</v>
      </c>
      <c r="BU116" s="0" t="n">
        <v>116774.116559</v>
      </c>
      <c r="BV116" s="0" t="n">
        <v>7541.240026</v>
      </c>
      <c r="BW116" s="0" t="n">
        <v>34820.280359</v>
      </c>
      <c r="BX116" s="0" t="n">
        <v>42361.520385</v>
      </c>
      <c r="BY116" s="0" t="n">
        <v>54406.638405</v>
      </c>
      <c r="BZ116" s="0" t="n">
        <v>217024.405722</v>
      </c>
      <c r="CA116" s="0" t="n">
        <v>271431.044127</v>
      </c>
      <c r="CB116" s="0" t="n">
        <v>11288.955873</v>
      </c>
      <c r="CC116" s="0" t="n">
        <v>38</v>
      </c>
      <c r="CD116" s="0" t="n">
        <v>69137</v>
      </c>
      <c r="CE116" s="0" t="n">
        <v>173666.48</v>
      </c>
      <c r="CF116" s="0" t="n">
        <v>41552</v>
      </c>
      <c r="CG116" s="0" t="n">
        <v>17136</v>
      </c>
      <c r="CH116" s="0" t="n">
        <v>350322.7</v>
      </c>
      <c r="CI116" s="0" t="n">
        <v>2760232</v>
      </c>
      <c r="CJ116" s="0" t="n">
        <v>580167</v>
      </c>
    </row>
    <row r="117" ht="14.4975" customHeight="1" s="64">
      <c r="BF117" s="0" t="inlineStr">
        <is>
          <t>2027BUD_V1</t>
        </is>
      </c>
      <c r="BG117" s="0" t="inlineStr">
        <is>
          <t>ACT</t>
        </is>
      </c>
      <c r="BH117" s="0" t="inlineStr">
        <is>
          <t>12</t>
        </is>
      </c>
      <c r="BI117" s="0" t="inlineStr">
        <is>
          <t>2025</t>
        </is>
      </c>
      <c r="BJ117" s="0" t="inlineStr">
        <is>
          <t>TUNON_LYO</t>
        </is>
      </c>
      <c r="BK117" s="0" t="inlineStr">
        <is>
          <t>TUNON</t>
        </is>
      </c>
      <c r="BL117" s="0" t="inlineStr">
        <is>
          <t>BAC_TOU</t>
        </is>
      </c>
      <c r="BM117" s="0" t="inlineStr">
        <is>
          <t>B2</t>
        </is>
      </c>
      <c r="BN117" s="0" t="inlineStr">
        <is>
          <t>ALT</t>
        </is>
      </c>
      <c r="BO117" s="0" t="n">
        <v>37</v>
      </c>
      <c r="BP117" s="0" t="n">
        <v>2</v>
      </c>
      <c r="BQ117" s="0" t="n">
        <v>271950</v>
      </c>
      <c r="BR117" s="0" t="n">
        <v>23045.643621</v>
      </c>
      <c r="BS117" s="0" t="n">
        <v>57888.768778</v>
      </c>
      <c r="BT117" s="0" t="n">
        <v>13850.652816</v>
      </c>
      <c r="BU117" s="0" t="n">
        <v>116774.116559</v>
      </c>
      <c r="BV117" s="0" t="n">
        <v>7541.240026</v>
      </c>
      <c r="BW117" s="0" t="n">
        <v>34820.280359</v>
      </c>
      <c r="BX117" s="0" t="n">
        <v>42361.520385</v>
      </c>
      <c r="BY117" s="0" t="n">
        <v>36896.296437</v>
      </c>
      <c r="BZ117" s="0" t="n">
        <v>217024.405722</v>
      </c>
      <c r="CA117" s="0" t="n">
        <v>253920.702159</v>
      </c>
      <c r="CB117" s="0" t="n">
        <v>18029.297841</v>
      </c>
      <c r="CC117" s="0" t="n">
        <v>0</v>
      </c>
      <c r="CD117" s="0" t="n">
        <v>69137</v>
      </c>
      <c r="CE117" s="0" t="n">
        <v>173666.48</v>
      </c>
      <c r="CF117" s="0" t="n">
        <v>41552</v>
      </c>
      <c r="CG117" s="0" t="n">
        <v>17136</v>
      </c>
      <c r="CH117" s="0" t="n">
        <v>350322.7</v>
      </c>
      <c r="CI117" s="0" t="n">
        <v>2760232</v>
      </c>
      <c r="CJ117" s="0" t="n">
        <v>580167</v>
      </c>
    </row>
    <row r="118" ht="14.4975" customHeight="1" s="64">
      <c r="BF118" s="0" t="inlineStr">
        <is>
          <t>2027BUD_V1</t>
        </is>
      </c>
      <c r="BG118" s="0" t="inlineStr">
        <is>
          <t>ACT</t>
        </is>
      </c>
      <c r="BH118" s="0" t="inlineStr">
        <is>
          <t>12</t>
        </is>
      </c>
      <c r="BI118" s="0" t="inlineStr">
        <is>
          <t>2025</t>
        </is>
      </c>
      <c r="BJ118" s="0" t="inlineStr">
        <is>
          <t>TUNON_LYO</t>
        </is>
      </c>
      <c r="BK118" s="0" t="inlineStr">
        <is>
          <t>TUNON</t>
        </is>
      </c>
      <c r="BL118" s="0" t="inlineStr">
        <is>
          <t>BAC_TOU</t>
        </is>
      </c>
      <c r="BM118" s="0" t="inlineStr">
        <is>
          <t>B3</t>
        </is>
      </c>
      <c r="BN118" s="0" t="inlineStr">
        <is>
          <t>ALT</t>
        </is>
      </c>
      <c r="BO118" s="0" t="n">
        <v>36</v>
      </c>
      <c r="BP118" s="0" t="n">
        <v>2</v>
      </c>
      <c r="BQ118" s="0" t="n">
        <v>264600</v>
      </c>
      <c r="BR118" s="0" t="n">
        <v>23045.643621</v>
      </c>
      <c r="BS118" s="0" t="n">
        <v>57888.768778</v>
      </c>
      <c r="BT118" s="0" t="n">
        <v>13476.310848</v>
      </c>
      <c r="BU118" s="0" t="n">
        <v>116774.116559</v>
      </c>
      <c r="BV118" s="0" t="n">
        <v>7541.240026</v>
      </c>
      <c r="BW118" s="0" t="n">
        <v>34820.280359</v>
      </c>
      <c r="BX118" s="0" t="n">
        <v>42361.520385</v>
      </c>
      <c r="BY118" s="0" t="n">
        <v>36521.954469</v>
      </c>
      <c r="BZ118" s="0" t="n">
        <v>217024.405722</v>
      </c>
      <c r="CA118" s="0" t="n">
        <v>253546.360191</v>
      </c>
      <c r="CB118" s="0" t="n">
        <v>11053.639809</v>
      </c>
      <c r="CC118" s="0" t="n">
        <v>0</v>
      </c>
      <c r="CD118" s="0" t="n">
        <v>69137</v>
      </c>
      <c r="CE118" s="0" t="n">
        <v>173666.48</v>
      </c>
      <c r="CF118" s="0" t="n">
        <v>41552</v>
      </c>
      <c r="CG118" s="0" t="n">
        <v>17136</v>
      </c>
      <c r="CH118" s="0" t="n">
        <v>350322.7</v>
      </c>
      <c r="CI118" s="0" t="n">
        <v>2760232</v>
      </c>
      <c r="CJ118" s="0" t="n">
        <v>580167</v>
      </c>
    </row>
    <row r="119" ht="14.4975" customHeight="1" s="64">
      <c r="BF119" s="0" t="inlineStr">
        <is>
          <t>2027BUD_V1</t>
        </is>
      </c>
      <c r="BG119" s="0" t="inlineStr">
        <is>
          <t>ACT</t>
        </is>
      </c>
      <c r="BH119" s="0" t="inlineStr">
        <is>
          <t>12</t>
        </is>
      </c>
      <c r="BI119" s="0" t="inlineStr">
        <is>
          <t>2025</t>
        </is>
      </c>
      <c r="BJ119" s="0" t="inlineStr">
        <is>
          <t>TUNON_PAR</t>
        </is>
      </c>
      <c r="BK119" s="0" t="inlineStr">
        <is>
          <t>TUNON</t>
        </is>
      </c>
      <c r="BL119" s="0" t="inlineStr">
        <is>
          <t>BAC_TOU</t>
        </is>
      </c>
      <c r="BM119" s="0" t="inlineStr">
        <is>
          <t>B1</t>
        </is>
      </c>
      <c r="BN119" s="0" t="inlineStr">
        <is>
          <t>ALT</t>
        </is>
      </c>
      <c r="BO119" s="0" t="n">
        <v>44</v>
      </c>
      <c r="BP119" s="0" t="n">
        <v>2</v>
      </c>
      <c r="BQ119" s="0" t="n">
        <v>348920</v>
      </c>
      <c r="BR119" s="0" t="n">
        <v>23045.643621</v>
      </c>
      <c r="BS119" s="0" t="n">
        <v>68355.031645</v>
      </c>
      <c r="BT119" s="0" t="n">
        <v>44207.57585</v>
      </c>
      <c r="BU119" s="0" t="n">
        <v>153254.466745</v>
      </c>
      <c r="BV119" s="0" t="n">
        <v>8764.143813999999</v>
      </c>
      <c r="BW119" s="0" t="n">
        <v>40466.812309</v>
      </c>
      <c r="BX119" s="0" t="n">
        <v>49230.956123</v>
      </c>
      <c r="BY119" s="0" t="n">
        <v>67253.219471</v>
      </c>
      <c r="BZ119" s="0" t="n">
        <v>270840.454513</v>
      </c>
      <c r="CA119" s="0" t="n">
        <v>338093.673984</v>
      </c>
      <c r="CB119" s="0" t="n">
        <v>10826.326016</v>
      </c>
      <c r="CC119" s="0" t="n">
        <v>44</v>
      </c>
      <c r="CD119" s="0" t="n">
        <v>69137</v>
      </c>
      <c r="CE119" s="0" t="n">
        <v>205065.3</v>
      </c>
      <c r="CF119" s="0" t="n">
        <v>49010</v>
      </c>
      <c r="CG119" s="0" t="n">
        <v>27491</v>
      </c>
      <c r="CH119" s="0" t="n">
        <v>459763.86</v>
      </c>
      <c r="CI119" s="0" t="n">
        <v>2760232</v>
      </c>
      <c r="CJ119" s="0" t="n">
        <v>580167</v>
      </c>
    </row>
    <row r="120" ht="14.4975" customHeight="1" s="64">
      <c r="BF120" s="0" t="inlineStr">
        <is>
          <t>2027BUD_V1</t>
        </is>
      </c>
      <c r="BG120" s="0" t="inlineStr">
        <is>
          <t>ACT</t>
        </is>
      </c>
      <c r="BH120" s="0" t="inlineStr">
        <is>
          <t>12</t>
        </is>
      </c>
      <c r="BI120" s="0" t="inlineStr">
        <is>
          <t>2025</t>
        </is>
      </c>
      <c r="BJ120" s="0" t="inlineStr">
        <is>
          <t>TUNON_PAR</t>
        </is>
      </c>
      <c r="BK120" s="0" t="inlineStr">
        <is>
          <t>TUNON</t>
        </is>
      </c>
      <c r="BL120" s="0" t="inlineStr">
        <is>
          <t>BAC_TOU</t>
        </is>
      </c>
      <c r="BM120" s="0" t="inlineStr">
        <is>
          <t>B2</t>
        </is>
      </c>
      <c r="BN120" s="0" t="inlineStr">
        <is>
          <t>ALT</t>
        </is>
      </c>
      <c r="BO120" s="0" t="n">
        <v>43</v>
      </c>
      <c r="BP120" s="0" t="n">
        <v>2</v>
      </c>
      <c r="BQ120" s="0" t="n">
        <v>337120</v>
      </c>
      <c r="BR120" s="0" t="n">
        <v>23045.643621</v>
      </c>
      <c r="BS120" s="0" t="n">
        <v>68355.031645</v>
      </c>
      <c r="BT120" s="0" t="n">
        <v>16336.65033</v>
      </c>
      <c r="BU120" s="0" t="n">
        <v>153254.466745</v>
      </c>
      <c r="BV120" s="0" t="n">
        <v>8764.143813999999</v>
      </c>
      <c r="BW120" s="0" t="n">
        <v>40466.812309</v>
      </c>
      <c r="BX120" s="0" t="n">
        <v>49230.956123</v>
      </c>
      <c r="BY120" s="0" t="n">
        <v>39382.293951</v>
      </c>
      <c r="BZ120" s="0" t="n">
        <v>270840.454513</v>
      </c>
      <c r="CA120" s="0" t="n">
        <v>310222.748464</v>
      </c>
      <c r="CB120" s="0" t="n">
        <v>26897.251536</v>
      </c>
      <c r="CC120" s="0" t="n">
        <v>0</v>
      </c>
      <c r="CD120" s="0" t="n">
        <v>69137</v>
      </c>
      <c r="CE120" s="0" t="n">
        <v>205065.3</v>
      </c>
      <c r="CF120" s="0" t="n">
        <v>49010</v>
      </c>
      <c r="CG120" s="0" t="n">
        <v>27491</v>
      </c>
      <c r="CH120" s="0" t="n">
        <v>459763.86</v>
      </c>
      <c r="CI120" s="0" t="n">
        <v>2760232</v>
      </c>
      <c r="CJ120" s="0" t="n">
        <v>580167</v>
      </c>
    </row>
    <row r="121" ht="14.4975" customHeight="1" s="64">
      <c r="BF121" s="0" t="inlineStr">
        <is>
          <t>2027BUD_V1</t>
        </is>
      </c>
      <c r="BG121" s="0" t="inlineStr">
        <is>
          <t>ACT</t>
        </is>
      </c>
      <c r="BH121" s="0" t="inlineStr">
        <is>
          <t>12</t>
        </is>
      </c>
      <c r="BI121" s="0" t="inlineStr">
        <is>
          <t>2025</t>
        </is>
      </c>
      <c r="BJ121" s="0" t="inlineStr">
        <is>
          <t>TUNON_PAR</t>
        </is>
      </c>
      <c r="BK121" s="0" t="inlineStr">
        <is>
          <t>TUNON</t>
        </is>
      </c>
      <c r="BL121" s="0" t="inlineStr">
        <is>
          <t>BAC_TOU</t>
        </is>
      </c>
      <c r="BM121" s="0" t="inlineStr">
        <is>
          <t>B3</t>
        </is>
      </c>
      <c r="BN121" s="0" t="inlineStr">
        <is>
          <t>ALT</t>
        </is>
      </c>
      <c r="BO121" s="0" t="n">
        <v>42</v>
      </c>
      <c r="BP121" s="0" t="n">
        <v>2</v>
      </c>
      <c r="BQ121" s="0" t="n">
        <v>329280</v>
      </c>
      <c r="BR121" s="0" t="n">
        <v>23045.643621</v>
      </c>
      <c r="BS121" s="0" t="n">
        <v>68355.031645</v>
      </c>
      <c r="BT121" s="0" t="n">
        <v>15956.72481</v>
      </c>
      <c r="BU121" s="0" t="n">
        <v>153254.466745</v>
      </c>
      <c r="BV121" s="0" t="n">
        <v>8764.143813999999</v>
      </c>
      <c r="BW121" s="0" t="n">
        <v>40466.812309</v>
      </c>
      <c r="BX121" s="0" t="n">
        <v>49230.956123</v>
      </c>
      <c r="BY121" s="0" t="n">
        <v>39002.368431</v>
      </c>
      <c r="BZ121" s="0" t="n">
        <v>270840.454513</v>
      </c>
      <c r="CA121" s="0" t="n">
        <v>309842.822944</v>
      </c>
      <c r="CB121" s="0" t="n">
        <v>19437.177056</v>
      </c>
      <c r="CC121" s="0" t="n">
        <v>0</v>
      </c>
      <c r="CD121" s="0" t="n">
        <v>69137</v>
      </c>
      <c r="CE121" s="0" t="n">
        <v>205065.3</v>
      </c>
      <c r="CF121" s="0" t="n">
        <v>49010</v>
      </c>
      <c r="CG121" s="0" t="n">
        <v>27491</v>
      </c>
      <c r="CH121" s="0" t="n">
        <v>459763.86</v>
      </c>
      <c r="CI121" s="0" t="n">
        <v>2760232</v>
      </c>
      <c r="CJ121" s="0" t="n">
        <v>580167</v>
      </c>
    </row>
    <row r="122" ht="14.4975" customHeight="1" s="64">
      <c r="BF122" s="0" t="inlineStr">
        <is>
          <t>2027BUD_V1</t>
        </is>
      </c>
      <c r="BG122" s="0" t="inlineStr">
        <is>
          <t>ACT</t>
        </is>
      </c>
      <c r="BH122" s="0" t="inlineStr">
        <is>
          <t>12</t>
        </is>
      </c>
      <c r="BI122" s="0" t="inlineStr">
        <is>
          <t>2026</t>
        </is>
      </c>
      <c r="BJ122" s="0" t="inlineStr">
        <is>
          <t>IPAC_MTP</t>
        </is>
      </c>
      <c r="BK122" s="0" t="inlineStr">
        <is>
          <t>IPAC</t>
        </is>
      </c>
      <c r="BL122" s="0" t="inlineStr">
        <is>
          <t>BAC_CCE</t>
        </is>
      </c>
      <c r="BM122" s="0" t="inlineStr">
        <is>
          <t>B1</t>
        </is>
      </c>
      <c r="BN122" s="0" t="inlineStr">
        <is>
          <t>ALT</t>
        </is>
      </c>
      <c r="BO122" s="0" t="n">
        <v>40</v>
      </c>
      <c r="BP122" s="0" t="n">
        <v>2</v>
      </c>
      <c r="BQ122" s="0" t="n">
        <v>269600</v>
      </c>
      <c r="BR122" s="0" t="n">
        <v>24145.975854</v>
      </c>
      <c r="BS122" s="0" t="n">
        <v>45362.431304</v>
      </c>
      <c r="BT122" s="0" t="n">
        <v>30061.7458</v>
      </c>
      <c r="BU122" s="0" t="n">
        <v>91505.84849400001</v>
      </c>
      <c r="BV122" s="0" t="n">
        <v>7781.953189</v>
      </c>
      <c r="BW122" s="0" t="n">
        <v>36219.266412</v>
      </c>
      <c r="BX122" s="0" t="n">
        <v>44001.219601</v>
      </c>
      <c r="BY122" s="0" t="n">
        <v>54207.721654</v>
      </c>
      <c r="BZ122" s="0" t="n">
        <v>180869.499399</v>
      </c>
      <c r="CA122" s="0" t="n">
        <v>235077.221053</v>
      </c>
      <c r="CB122" s="0" t="n">
        <v>34522.778947</v>
      </c>
      <c r="CC122" s="0" t="n">
        <v>40</v>
      </c>
      <c r="CD122" s="0" t="n">
        <v>72438</v>
      </c>
      <c r="CE122" s="0" t="n">
        <v>136087.43</v>
      </c>
      <c r="CF122" s="0" t="n">
        <v>43535</v>
      </c>
      <c r="CG122" s="0" t="n">
        <v>15178</v>
      </c>
      <c r="CH122" s="0" t="n">
        <v>274517.82</v>
      </c>
      <c r="CI122" s="0" t="n">
        <v>2891983</v>
      </c>
      <c r="CJ122" s="0" t="n">
        <v>676344</v>
      </c>
    </row>
    <row r="123" ht="14.4975" customHeight="1" s="64">
      <c r="BF123" s="0" t="inlineStr">
        <is>
          <t>2027BUD_V1</t>
        </is>
      </c>
      <c r="BG123" s="0" t="inlineStr">
        <is>
          <t>ACT</t>
        </is>
      </c>
      <c r="BH123" s="0" t="inlineStr">
        <is>
          <t>12</t>
        </is>
      </c>
      <c r="BI123" s="0" t="inlineStr">
        <is>
          <t>2026</t>
        </is>
      </c>
      <c r="BJ123" s="0" t="inlineStr">
        <is>
          <t>IPAC_MTP</t>
        </is>
      </c>
      <c r="BK123" s="0" t="inlineStr">
        <is>
          <t>IPAC</t>
        </is>
      </c>
      <c r="BL123" s="0" t="inlineStr">
        <is>
          <t>BAC_CCE</t>
        </is>
      </c>
      <c r="BM123" s="0" t="inlineStr">
        <is>
          <t>B2</t>
        </is>
      </c>
      <c r="BN123" s="0" t="inlineStr">
        <is>
          <t>ALT</t>
        </is>
      </c>
      <c r="BO123" s="0" t="n">
        <v>39</v>
      </c>
      <c r="BP123" s="0" t="n">
        <v>2</v>
      </c>
      <c r="BQ123" s="0" t="n">
        <v>259350</v>
      </c>
      <c r="BR123" s="0" t="n">
        <v>24145.975854</v>
      </c>
      <c r="BS123" s="0" t="n">
        <v>45362.431304</v>
      </c>
      <c r="BT123" s="0" t="n">
        <v>14511.652155</v>
      </c>
      <c r="BU123" s="0" t="n">
        <v>91505.84849400001</v>
      </c>
      <c r="BV123" s="0" t="n">
        <v>7781.953189</v>
      </c>
      <c r="BW123" s="0" t="n">
        <v>36219.266412</v>
      </c>
      <c r="BX123" s="0" t="n">
        <v>44001.219601</v>
      </c>
      <c r="BY123" s="0" t="n">
        <v>38657.628009</v>
      </c>
      <c r="BZ123" s="0" t="n">
        <v>180869.499399</v>
      </c>
      <c r="CA123" s="0" t="n">
        <v>219527.127408</v>
      </c>
      <c r="CB123" s="0" t="n">
        <v>39822.872592</v>
      </c>
      <c r="CC123" s="0" t="n">
        <v>0</v>
      </c>
      <c r="CD123" s="0" t="n">
        <v>72438</v>
      </c>
      <c r="CE123" s="0" t="n">
        <v>136087.43</v>
      </c>
      <c r="CF123" s="0" t="n">
        <v>43535</v>
      </c>
      <c r="CG123" s="0" t="n">
        <v>15178</v>
      </c>
      <c r="CH123" s="0" t="n">
        <v>274517.82</v>
      </c>
      <c r="CI123" s="0" t="n">
        <v>2891983</v>
      </c>
      <c r="CJ123" s="0" t="n">
        <v>676344</v>
      </c>
    </row>
    <row r="124" ht="14.4975" customHeight="1" s="64">
      <c r="BF124" s="0" t="inlineStr">
        <is>
          <t>2027BUD_V1</t>
        </is>
      </c>
      <c r="BG124" s="0" t="inlineStr">
        <is>
          <t>ACT</t>
        </is>
      </c>
      <c r="BH124" s="0" t="inlineStr">
        <is>
          <t>12</t>
        </is>
      </c>
      <c r="BI124" s="0" t="inlineStr">
        <is>
          <t>2026</t>
        </is>
      </c>
      <c r="BJ124" s="0" t="inlineStr">
        <is>
          <t>IPAC_MTP</t>
        </is>
      </c>
      <c r="BK124" s="0" t="inlineStr">
        <is>
          <t>IPAC</t>
        </is>
      </c>
      <c r="BL124" s="0" t="inlineStr">
        <is>
          <t>BAC_CCE</t>
        </is>
      </c>
      <c r="BM124" s="0" t="inlineStr">
        <is>
          <t>B3</t>
        </is>
      </c>
      <c r="BN124" s="0" t="inlineStr">
        <is>
          <t>ALT</t>
        </is>
      </c>
      <c r="BO124" s="0" t="n">
        <v>38</v>
      </c>
      <c r="BP124" s="0" t="n">
        <v>2</v>
      </c>
      <c r="BQ124" s="0" t="n">
        <v>252700</v>
      </c>
      <c r="BR124" s="0" t="n">
        <v>24145.975854</v>
      </c>
      <c r="BS124" s="0" t="n">
        <v>45362.431304</v>
      </c>
      <c r="BT124" s="0" t="n">
        <v>14139.55851</v>
      </c>
      <c r="BU124" s="0" t="n">
        <v>91505.84849400001</v>
      </c>
      <c r="BV124" s="0" t="n">
        <v>7781.953189</v>
      </c>
      <c r="BW124" s="0" t="n">
        <v>36219.266412</v>
      </c>
      <c r="BX124" s="0" t="n">
        <v>44001.219601</v>
      </c>
      <c r="BY124" s="0" t="n">
        <v>38285.534364</v>
      </c>
      <c r="BZ124" s="0" t="n">
        <v>180869.499399</v>
      </c>
      <c r="CA124" s="0" t="n">
        <v>219155.033763</v>
      </c>
      <c r="CB124" s="0" t="n">
        <v>33544.966237</v>
      </c>
      <c r="CC124" s="0" t="n">
        <v>0</v>
      </c>
      <c r="CD124" s="0" t="n">
        <v>72438</v>
      </c>
      <c r="CE124" s="0" t="n">
        <v>136087.43</v>
      </c>
      <c r="CF124" s="0" t="n">
        <v>43535</v>
      </c>
      <c r="CG124" s="0" t="n">
        <v>15178</v>
      </c>
      <c r="CH124" s="0" t="n">
        <v>274517.82</v>
      </c>
      <c r="CI124" s="0" t="n">
        <v>2891983</v>
      </c>
      <c r="CJ124" s="0" t="n">
        <v>676344</v>
      </c>
    </row>
    <row r="125" ht="14.4975" customHeight="1" s="64">
      <c r="BF125" s="0" t="inlineStr">
        <is>
          <t>2027BUD_V1</t>
        </is>
      </c>
      <c r="BG125" s="0" t="inlineStr">
        <is>
          <t>ACT</t>
        </is>
      </c>
      <c r="BH125" s="0" t="inlineStr">
        <is>
          <t>12</t>
        </is>
      </c>
      <c r="BI125" s="0" t="inlineStr">
        <is>
          <t>2026</t>
        </is>
      </c>
      <c r="BJ125" s="0" t="inlineStr">
        <is>
          <t>IPAC_NAN</t>
        </is>
      </c>
      <c r="BK125" s="0" t="inlineStr">
        <is>
          <t>IPAC</t>
        </is>
      </c>
      <c r="BL125" s="0" t="inlineStr">
        <is>
          <t>BAC_CCE</t>
        </is>
      </c>
      <c r="BM125" s="0" t="inlineStr">
        <is>
          <t>B1</t>
        </is>
      </c>
      <c r="BN125" s="0" t="inlineStr">
        <is>
          <t>ALT</t>
        </is>
      </c>
      <c r="BO125" s="0" t="n">
        <v>50</v>
      </c>
      <c r="BP125" s="0" t="n">
        <v>2</v>
      </c>
      <c r="BQ125" s="0" t="n">
        <v>354500</v>
      </c>
      <c r="BR125" s="0" t="n">
        <v>24145.975854</v>
      </c>
      <c r="BS125" s="0" t="n">
        <v>56060.853939</v>
      </c>
      <c r="BT125" s="0" t="n">
        <v>40364.795958</v>
      </c>
      <c r="BU125" s="0" t="n">
        <v>129891.026776</v>
      </c>
      <c r="BV125" s="0" t="n">
        <v>9644.285878000001</v>
      </c>
      <c r="BW125" s="0" t="n">
        <v>44887.054846</v>
      </c>
      <c r="BX125" s="0" t="n">
        <v>54531.340724</v>
      </c>
      <c r="BY125" s="0" t="n">
        <v>64510.771812</v>
      </c>
      <c r="BZ125" s="0" t="n">
        <v>240483.221439</v>
      </c>
      <c r="CA125" s="0" t="n">
        <v>304993.993251</v>
      </c>
      <c r="CB125" s="0" t="n">
        <v>49506.006749</v>
      </c>
      <c r="CC125" s="0" t="n">
        <v>50</v>
      </c>
      <c r="CD125" s="0" t="n">
        <v>72438</v>
      </c>
      <c r="CE125" s="0" t="n">
        <v>168182.73</v>
      </c>
      <c r="CF125" s="0" t="n">
        <v>53954</v>
      </c>
      <c r="CG125" s="0" t="n">
        <v>21760</v>
      </c>
      <c r="CH125" s="0" t="n">
        <v>389673.47</v>
      </c>
      <c r="CI125" s="0" t="n">
        <v>2891983</v>
      </c>
      <c r="CJ125" s="0" t="n">
        <v>676344</v>
      </c>
    </row>
    <row r="126" ht="14.4975" customHeight="1" s="64">
      <c r="BF126" s="0" t="inlineStr">
        <is>
          <t>2027BUD_V1</t>
        </is>
      </c>
      <c r="BG126" s="0" t="inlineStr">
        <is>
          <t>ACT</t>
        </is>
      </c>
      <c r="BH126" s="0" t="inlineStr">
        <is>
          <t>12</t>
        </is>
      </c>
      <c r="BI126" s="0" t="inlineStr">
        <is>
          <t>2026</t>
        </is>
      </c>
      <c r="BJ126" s="0" t="inlineStr">
        <is>
          <t>IPAC_NAN</t>
        </is>
      </c>
      <c r="BK126" s="0" t="inlineStr">
        <is>
          <t>IPAC</t>
        </is>
      </c>
      <c r="BL126" s="0" t="inlineStr">
        <is>
          <t>BAC_CCE</t>
        </is>
      </c>
      <c r="BM126" s="0" t="inlineStr">
        <is>
          <t>B2</t>
        </is>
      </c>
      <c r="BN126" s="0" t="inlineStr">
        <is>
          <t>ALT</t>
        </is>
      </c>
      <c r="BO126" s="0" t="n">
        <v>48</v>
      </c>
      <c r="BP126" s="0" t="n">
        <v>2</v>
      </c>
      <c r="BQ126" s="0" t="n">
        <v>336000</v>
      </c>
      <c r="BR126" s="0" t="n">
        <v>24145.975854</v>
      </c>
      <c r="BS126" s="0" t="n">
        <v>56060.853939</v>
      </c>
      <c r="BT126" s="0" t="n">
        <v>17860.608436</v>
      </c>
      <c r="BU126" s="0" t="n">
        <v>129891.026776</v>
      </c>
      <c r="BV126" s="0" t="n">
        <v>9644.285878000001</v>
      </c>
      <c r="BW126" s="0" t="n">
        <v>44887.054846</v>
      </c>
      <c r="BX126" s="0" t="n">
        <v>54531.340724</v>
      </c>
      <c r="BY126" s="0" t="n">
        <v>42006.58429</v>
      </c>
      <c r="BZ126" s="0" t="n">
        <v>240483.221439</v>
      </c>
      <c r="CA126" s="0" t="n">
        <v>282489.805729</v>
      </c>
      <c r="CB126" s="0" t="n">
        <v>53510.194271</v>
      </c>
      <c r="CC126" s="0" t="n">
        <v>0</v>
      </c>
      <c r="CD126" s="0" t="n">
        <v>72438</v>
      </c>
      <c r="CE126" s="0" t="n">
        <v>168182.73</v>
      </c>
      <c r="CF126" s="0" t="n">
        <v>53954</v>
      </c>
      <c r="CG126" s="0" t="n">
        <v>21760</v>
      </c>
      <c r="CH126" s="0" t="n">
        <v>389673.47</v>
      </c>
      <c r="CI126" s="0" t="n">
        <v>2891983</v>
      </c>
      <c r="CJ126" s="0" t="n">
        <v>676344</v>
      </c>
    </row>
    <row r="127" ht="14.4975" customHeight="1" s="64">
      <c r="BF127" s="0" t="inlineStr">
        <is>
          <t>2027BUD_V1</t>
        </is>
      </c>
      <c r="BG127" s="0" t="inlineStr">
        <is>
          <t>ACT</t>
        </is>
      </c>
      <c r="BH127" s="0" t="inlineStr">
        <is>
          <t>12</t>
        </is>
      </c>
      <c r="BI127" s="0" t="inlineStr">
        <is>
          <t>2026</t>
        </is>
      </c>
      <c r="BJ127" s="0" t="inlineStr">
        <is>
          <t>IPAC_NAN</t>
        </is>
      </c>
      <c r="BK127" s="0" t="inlineStr">
        <is>
          <t>IPAC</t>
        </is>
      </c>
      <c r="BL127" s="0" t="inlineStr">
        <is>
          <t>BAC_CCE</t>
        </is>
      </c>
      <c r="BM127" s="0" t="inlineStr">
        <is>
          <t>B3</t>
        </is>
      </c>
      <c r="BN127" s="0" t="inlineStr">
        <is>
          <t>ALT</t>
        </is>
      </c>
      <c r="BO127" s="0" t="n">
        <v>47</v>
      </c>
      <c r="BP127" s="0" t="n">
        <v>2</v>
      </c>
      <c r="BQ127" s="0" t="n">
        <v>329000</v>
      </c>
      <c r="BR127" s="0" t="n">
        <v>24145.975854</v>
      </c>
      <c r="BS127" s="0" t="n">
        <v>56060.853939</v>
      </c>
      <c r="BT127" s="0" t="n">
        <v>17488.487698</v>
      </c>
      <c r="BU127" s="0" t="n">
        <v>129891.026776</v>
      </c>
      <c r="BV127" s="0" t="n">
        <v>9644.285878000001</v>
      </c>
      <c r="BW127" s="0" t="n">
        <v>44887.054846</v>
      </c>
      <c r="BX127" s="0" t="n">
        <v>54531.340724</v>
      </c>
      <c r="BY127" s="0" t="n">
        <v>41634.463552</v>
      </c>
      <c r="BZ127" s="0" t="n">
        <v>240483.221439</v>
      </c>
      <c r="CA127" s="0" t="n">
        <v>282117.684991</v>
      </c>
      <c r="CB127" s="0" t="n">
        <v>46882.315009</v>
      </c>
      <c r="CC127" s="0" t="n">
        <v>0</v>
      </c>
      <c r="CD127" s="0" t="n">
        <v>72438</v>
      </c>
      <c r="CE127" s="0" t="n">
        <v>168182.73</v>
      </c>
      <c r="CF127" s="0" t="n">
        <v>53954</v>
      </c>
      <c r="CG127" s="0" t="n">
        <v>21760</v>
      </c>
      <c r="CH127" s="0" t="n">
        <v>389673.47</v>
      </c>
      <c r="CI127" s="0" t="n">
        <v>2891983</v>
      </c>
      <c r="CJ127" s="0" t="n">
        <v>676344</v>
      </c>
    </row>
    <row r="128" ht="14.4975" customHeight="1" s="64">
      <c r="BF128" s="0" t="inlineStr">
        <is>
          <t>2027BUD_V1</t>
        </is>
      </c>
      <c r="BG128" s="0" t="inlineStr">
        <is>
          <t>ACT</t>
        </is>
      </c>
      <c r="BH128" s="0" t="inlineStr">
        <is>
          <t>12</t>
        </is>
      </c>
      <c r="BI128" s="0" t="inlineStr">
        <is>
          <t>2026</t>
        </is>
      </c>
      <c r="BJ128" s="0" t="inlineStr">
        <is>
          <t>IPAC_REN</t>
        </is>
      </c>
      <c r="BK128" s="0" t="inlineStr">
        <is>
          <t>IPAC</t>
        </is>
      </c>
      <c r="BL128" s="0" t="inlineStr">
        <is>
          <t>BAC_CCE</t>
        </is>
      </c>
      <c r="BM128" s="0" t="inlineStr">
        <is>
          <t>B1</t>
        </is>
      </c>
      <c r="BN128" s="0" t="inlineStr">
        <is>
          <t>ALT</t>
        </is>
      </c>
      <c r="BO128" s="0" t="n">
        <v>40</v>
      </c>
      <c r="BP128" s="0" t="n">
        <v>2</v>
      </c>
      <c r="BQ128" s="0" t="n">
        <v>269600</v>
      </c>
      <c r="BR128" s="0" t="n">
        <v>24145.975854</v>
      </c>
      <c r="BS128" s="0" t="n">
        <v>45389.497944</v>
      </c>
      <c r="BT128" s="0" t="n">
        <v>29816.7458</v>
      </c>
      <c r="BU128" s="0" t="n">
        <v>91560.448439</v>
      </c>
      <c r="BV128" s="0" t="n">
        <v>7781.953189</v>
      </c>
      <c r="BW128" s="0" t="n">
        <v>36219.266412</v>
      </c>
      <c r="BX128" s="0" t="n">
        <v>44001.219601</v>
      </c>
      <c r="BY128" s="0" t="n">
        <v>53962.721654</v>
      </c>
      <c r="BZ128" s="0" t="n">
        <v>180951.165984</v>
      </c>
      <c r="CA128" s="0" t="n">
        <v>234913.887638</v>
      </c>
      <c r="CB128" s="0" t="n">
        <v>34686.112362</v>
      </c>
      <c r="CC128" s="0" t="n">
        <v>40</v>
      </c>
      <c r="CD128" s="0" t="n">
        <v>72438</v>
      </c>
      <c r="CE128" s="0" t="n">
        <v>136168.63</v>
      </c>
      <c r="CF128" s="0" t="n">
        <v>43535</v>
      </c>
      <c r="CG128" s="0" t="n">
        <v>14933</v>
      </c>
      <c r="CH128" s="0" t="n">
        <v>274681.62</v>
      </c>
      <c r="CI128" s="0" t="n">
        <v>2891983</v>
      </c>
      <c r="CJ128" s="0" t="n">
        <v>676344</v>
      </c>
    </row>
    <row r="129" ht="14.4975" customHeight="1" s="64">
      <c r="BF129" s="0" t="inlineStr">
        <is>
          <t>2027BUD_V1</t>
        </is>
      </c>
      <c r="BG129" s="0" t="inlineStr">
        <is>
          <t>ACT</t>
        </is>
      </c>
      <c r="BH129" s="0" t="inlineStr">
        <is>
          <t>12</t>
        </is>
      </c>
      <c r="BI129" s="0" t="inlineStr">
        <is>
          <t>2026</t>
        </is>
      </c>
      <c r="BJ129" s="0" t="inlineStr">
        <is>
          <t>IPAC_REN</t>
        </is>
      </c>
      <c r="BK129" s="0" t="inlineStr">
        <is>
          <t>IPAC</t>
        </is>
      </c>
      <c r="BL129" s="0" t="inlineStr">
        <is>
          <t>BAC_CCE</t>
        </is>
      </c>
      <c r="BM129" s="0" t="inlineStr">
        <is>
          <t>B2</t>
        </is>
      </c>
      <c r="BN129" s="0" t="inlineStr">
        <is>
          <t>ALT</t>
        </is>
      </c>
      <c r="BO129" s="0" t="n">
        <v>39</v>
      </c>
      <c r="BP129" s="0" t="n">
        <v>2</v>
      </c>
      <c r="BQ129" s="0" t="n">
        <v>259350</v>
      </c>
      <c r="BR129" s="0" t="n">
        <v>24145.975854</v>
      </c>
      <c r="BS129" s="0" t="n">
        <v>45389.497944</v>
      </c>
      <c r="BT129" s="0" t="n">
        <v>14511.652155</v>
      </c>
      <c r="BU129" s="0" t="n">
        <v>91560.448439</v>
      </c>
      <c r="BV129" s="0" t="n">
        <v>7781.953189</v>
      </c>
      <c r="BW129" s="0" t="n">
        <v>36219.266412</v>
      </c>
      <c r="BX129" s="0" t="n">
        <v>44001.219601</v>
      </c>
      <c r="BY129" s="0" t="n">
        <v>38657.628009</v>
      </c>
      <c r="BZ129" s="0" t="n">
        <v>180951.165984</v>
      </c>
      <c r="CA129" s="0" t="n">
        <v>219608.793993</v>
      </c>
      <c r="CB129" s="0" t="n">
        <v>39741.206007</v>
      </c>
      <c r="CC129" s="0" t="n">
        <v>0</v>
      </c>
      <c r="CD129" s="0" t="n">
        <v>72438</v>
      </c>
      <c r="CE129" s="0" t="n">
        <v>136168.63</v>
      </c>
      <c r="CF129" s="0" t="n">
        <v>43535</v>
      </c>
      <c r="CG129" s="0" t="n">
        <v>14933</v>
      </c>
      <c r="CH129" s="0" t="n">
        <v>274681.62</v>
      </c>
      <c r="CI129" s="0" t="n">
        <v>2891983</v>
      </c>
      <c r="CJ129" s="0" t="n">
        <v>676344</v>
      </c>
    </row>
    <row r="130" ht="14.4975" customHeight="1" s="64">
      <c r="BF130" s="0" t="inlineStr">
        <is>
          <t>2027BUD_V1</t>
        </is>
      </c>
      <c r="BG130" s="0" t="inlineStr">
        <is>
          <t>ACT</t>
        </is>
      </c>
      <c r="BH130" s="0" t="inlineStr">
        <is>
          <t>12</t>
        </is>
      </c>
      <c r="BI130" s="0" t="inlineStr">
        <is>
          <t>2026</t>
        </is>
      </c>
      <c r="BJ130" s="0" t="inlineStr">
        <is>
          <t>IPAC_REN</t>
        </is>
      </c>
      <c r="BK130" s="0" t="inlineStr">
        <is>
          <t>IPAC</t>
        </is>
      </c>
      <c r="BL130" s="0" t="inlineStr">
        <is>
          <t>BAC_CCE</t>
        </is>
      </c>
      <c r="BM130" s="0" t="inlineStr">
        <is>
          <t>B3</t>
        </is>
      </c>
      <c r="BN130" s="0" t="inlineStr">
        <is>
          <t>ALT</t>
        </is>
      </c>
      <c r="BO130" s="0" t="n">
        <v>38</v>
      </c>
      <c r="BP130" s="0" t="n">
        <v>2</v>
      </c>
      <c r="BQ130" s="0" t="n">
        <v>252700</v>
      </c>
      <c r="BR130" s="0" t="n">
        <v>24145.975854</v>
      </c>
      <c r="BS130" s="0" t="n">
        <v>45389.497944</v>
      </c>
      <c r="BT130" s="0" t="n">
        <v>14139.55851</v>
      </c>
      <c r="BU130" s="0" t="n">
        <v>91560.448439</v>
      </c>
      <c r="BV130" s="0" t="n">
        <v>7781.953189</v>
      </c>
      <c r="BW130" s="0" t="n">
        <v>36219.266412</v>
      </c>
      <c r="BX130" s="0" t="n">
        <v>44001.219601</v>
      </c>
      <c r="BY130" s="0" t="n">
        <v>38285.534364</v>
      </c>
      <c r="BZ130" s="0" t="n">
        <v>180951.165984</v>
      </c>
      <c r="CA130" s="0" t="n">
        <v>219236.700348</v>
      </c>
      <c r="CB130" s="0" t="n">
        <v>33463.299652</v>
      </c>
      <c r="CC130" s="0" t="n">
        <v>0</v>
      </c>
      <c r="CD130" s="0" t="n">
        <v>72438</v>
      </c>
      <c r="CE130" s="0" t="n">
        <v>136168.63</v>
      </c>
      <c r="CF130" s="0" t="n">
        <v>43535</v>
      </c>
      <c r="CG130" s="0" t="n">
        <v>14933</v>
      </c>
      <c r="CH130" s="0" t="n">
        <v>274681.62</v>
      </c>
      <c r="CI130" s="0" t="n">
        <v>2891983</v>
      </c>
      <c r="CJ130" s="0" t="n">
        <v>676344</v>
      </c>
    </row>
    <row r="131" ht="14.4975" customHeight="1" s="64">
      <c r="BF131" s="0" t="inlineStr">
        <is>
          <t>2027BUD_V1</t>
        </is>
      </c>
      <c r="BG131" s="0" t="inlineStr">
        <is>
          <t>ACT</t>
        </is>
      </c>
      <c r="BH131" s="0" t="inlineStr">
        <is>
          <t>12</t>
        </is>
      </c>
      <c r="BI131" s="0" t="inlineStr">
        <is>
          <t>2026</t>
        </is>
      </c>
      <c r="BJ131" s="0" t="inlineStr">
        <is>
          <t>ISCOM_LIL</t>
        </is>
      </c>
      <c r="BK131" s="0" t="inlineStr">
        <is>
          <t>ISCOM</t>
        </is>
      </c>
      <c r="BL131" s="0" t="inlineStr">
        <is>
          <t>BAC_COM</t>
        </is>
      </c>
      <c r="BM131" s="0" t="inlineStr">
        <is>
          <t>B1</t>
        </is>
      </c>
      <c r="BN131" s="0" t="inlineStr">
        <is>
          <t>INIT</t>
        </is>
      </c>
      <c r="BO131" s="0" t="n">
        <v>50</v>
      </c>
      <c r="BP131" s="0" t="n">
        <v>2</v>
      </c>
      <c r="BQ131" s="0" t="n">
        <v>372000</v>
      </c>
      <c r="BR131" s="0" t="n">
        <v>30182.25</v>
      </c>
      <c r="BS131" s="0" t="n">
        <v>71167.2925</v>
      </c>
      <c r="BT131" s="0" t="n">
        <v>31214.710138</v>
      </c>
      <c r="BU131" s="0" t="n">
        <v>132767.424</v>
      </c>
      <c r="BV131" s="0" t="n">
        <v>10845.879611</v>
      </c>
      <c r="BW131" s="0" t="n">
        <v>45320.641325</v>
      </c>
      <c r="BX131" s="0" t="n">
        <v>56166.520936</v>
      </c>
      <c r="BY131" s="0" t="n">
        <v>61396.960138</v>
      </c>
      <c r="BZ131" s="0" t="n">
        <v>260101.237436</v>
      </c>
      <c r="CA131" s="0" t="n">
        <v>321498.197574</v>
      </c>
      <c r="CB131" s="0" t="n">
        <v>50501.802426</v>
      </c>
      <c r="CC131" s="0" t="n">
        <v>50</v>
      </c>
      <c r="CD131" s="0" t="n">
        <v>120729</v>
      </c>
      <c r="CE131" s="0" t="n">
        <v>284669.17</v>
      </c>
      <c r="CF131" s="0" t="n">
        <v>90791</v>
      </c>
      <c r="CG131" s="0" t="n">
        <v>25220</v>
      </c>
      <c r="CH131" s="0" t="n">
        <v>663837.12</v>
      </c>
      <c r="CI131" s="0" t="n">
        <v>2891983</v>
      </c>
      <c r="CJ131" s="0" t="n">
        <v>676344</v>
      </c>
    </row>
    <row r="132" ht="14.4975" customHeight="1" s="64">
      <c r="BF132" s="0" t="inlineStr">
        <is>
          <t>2027BUD_V1</t>
        </is>
      </c>
      <c r="BG132" s="0" t="inlineStr">
        <is>
          <t>ACT</t>
        </is>
      </c>
      <c r="BH132" s="0" t="inlineStr">
        <is>
          <t>12</t>
        </is>
      </c>
      <c r="BI132" s="0" t="inlineStr">
        <is>
          <t>2026</t>
        </is>
      </c>
      <c r="BJ132" s="0" t="inlineStr">
        <is>
          <t>ISCOM_LIL</t>
        </is>
      </c>
      <c r="BK132" s="0" t="inlineStr">
        <is>
          <t>ISCOM</t>
        </is>
      </c>
      <c r="BL132" s="0" t="inlineStr">
        <is>
          <t>BAC_COM</t>
        </is>
      </c>
      <c r="BM132" s="0" t="inlineStr">
        <is>
          <t>B2</t>
        </is>
      </c>
      <c r="BN132" s="0" t="inlineStr">
        <is>
          <t>ALT</t>
        </is>
      </c>
      <c r="BO132" s="0" t="n">
        <v>48</v>
      </c>
      <c r="BP132" s="0" t="n">
        <v>2</v>
      </c>
      <c r="BQ132" s="0" t="n">
        <v>329280</v>
      </c>
      <c r="BR132" s="0" t="n">
        <v>24145.8</v>
      </c>
      <c r="BS132" s="0" t="n">
        <v>56933.834</v>
      </c>
      <c r="BT132" s="0" t="n">
        <v>17860.496311</v>
      </c>
      <c r="BU132" s="0" t="n">
        <v>132767.424</v>
      </c>
      <c r="BV132" s="0" t="n">
        <v>10845.879611</v>
      </c>
      <c r="BW132" s="0" t="n">
        <v>45320.641325</v>
      </c>
      <c r="BX132" s="0" t="n">
        <v>56166.520936</v>
      </c>
      <c r="BY132" s="0" t="n">
        <v>42006.296311</v>
      </c>
      <c r="BZ132" s="0" t="n">
        <v>245867.778936</v>
      </c>
      <c r="CA132" s="0" t="n">
        <v>287874.075247</v>
      </c>
      <c r="CB132" s="0" t="n">
        <v>41405.924753</v>
      </c>
      <c r="CC132" s="0" t="n">
        <v>0</v>
      </c>
      <c r="CD132" s="0" t="n">
        <v>120729</v>
      </c>
      <c r="CE132" s="0" t="n">
        <v>284669.17</v>
      </c>
      <c r="CF132" s="0" t="n">
        <v>90791</v>
      </c>
      <c r="CG132" s="0" t="n">
        <v>25220</v>
      </c>
      <c r="CH132" s="0" t="n">
        <v>663837.12</v>
      </c>
      <c r="CI132" s="0" t="n">
        <v>2891983</v>
      </c>
      <c r="CJ132" s="0" t="n">
        <v>676344</v>
      </c>
    </row>
    <row r="133" ht="14.4975" customHeight="1" s="64">
      <c r="BF133" s="0" t="inlineStr">
        <is>
          <t>2027BUD_V1</t>
        </is>
      </c>
      <c r="BG133" s="0" t="inlineStr">
        <is>
          <t>ACT</t>
        </is>
      </c>
      <c r="BH133" s="0" t="inlineStr">
        <is>
          <t>12</t>
        </is>
      </c>
      <c r="BI133" s="0" t="inlineStr">
        <is>
          <t>2026</t>
        </is>
      </c>
      <c r="BJ133" s="0" t="inlineStr">
        <is>
          <t>ISCOM_LIL</t>
        </is>
      </c>
      <c r="BK133" s="0" t="inlineStr">
        <is>
          <t>ISCOM</t>
        </is>
      </c>
      <c r="BL133" s="0" t="inlineStr">
        <is>
          <t>BAC_COM</t>
        </is>
      </c>
      <c r="BM133" s="0" t="inlineStr">
        <is>
          <t>B3</t>
        </is>
      </c>
      <c r="BN133" s="0" t="inlineStr">
        <is>
          <t>ALT</t>
        </is>
      </c>
      <c r="BO133" s="0" t="n">
        <v>47</v>
      </c>
      <c r="BP133" s="0" t="n">
        <v>2</v>
      </c>
      <c r="BQ133" s="0" t="n">
        <v>322420</v>
      </c>
      <c r="BR133" s="0" t="n">
        <v>24145.8</v>
      </c>
      <c r="BS133" s="0" t="n">
        <v>56933.834</v>
      </c>
      <c r="BT133" s="0" t="n">
        <v>17488.344002</v>
      </c>
      <c r="BU133" s="0" t="n">
        <v>132767.424</v>
      </c>
      <c r="BV133" s="0" t="n">
        <v>10845.879611</v>
      </c>
      <c r="BW133" s="0" t="n">
        <v>45320.641325</v>
      </c>
      <c r="BX133" s="0" t="n">
        <v>56166.520936</v>
      </c>
      <c r="BY133" s="0" t="n">
        <v>41634.144002</v>
      </c>
      <c r="BZ133" s="0" t="n">
        <v>245867.778936</v>
      </c>
      <c r="CA133" s="0" t="n">
        <v>287501.922938</v>
      </c>
      <c r="CB133" s="0" t="n">
        <v>34918.077062</v>
      </c>
      <c r="CC133" s="0" t="n">
        <v>0</v>
      </c>
      <c r="CD133" s="0" t="n">
        <v>120729</v>
      </c>
      <c r="CE133" s="0" t="n">
        <v>284669.17</v>
      </c>
      <c r="CF133" s="0" t="n">
        <v>90791</v>
      </c>
      <c r="CG133" s="0" t="n">
        <v>25220</v>
      </c>
      <c r="CH133" s="0" t="n">
        <v>663837.12</v>
      </c>
      <c r="CI133" s="0" t="n">
        <v>2891983</v>
      </c>
      <c r="CJ133" s="0" t="n">
        <v>676344</v>
      </c>
    </row>
    <row r="134" ht="14.4975" customHeight="1" s="64">
      <c r="BF134" s="0" t="inlineStr">
        <is>
          <t>2027BUD_V1</t>
        </is>
      </c>
      <c r="BG134" s="0" t="inlineStr">
        <is>
          <t>ACT</t>
        </is>
      </c>
      <c r="BH134" s="0" t="inlineStr">
        <is>
          <t>12</t>
        </is>
      </c>
      <c r="BI134" s="0" t="inlineStr">
        <is>
          <t>2026</t>
        </is>
      </c>
      <c r="BJ134" s="0" t="inlineStr">
        <is>
          <t>ISCOM_LIL</t>
        </is>
      </c>
      <c r="BK134" s="0" t="inlineStr">
        <is>
          <t>ISCOM</t>
        </is>
      </c>
      <c r="BL134" s="0" t="inlineStr">
        <is>
          <t>MAS_COM</t>
        </is>
      </c>
      <c r="BM134" s="0" t="inlineStr">
        <is>
          <t>M1</t>
        </is>
      </c>
      <c r="BN134" s="0" t="inlineStr">
        <is>
          <t>ALT</t>
        </is>
      </c>
      <c r="BO134" s="0" t="n">
        <v>50</v>
      </c>
      <c r="BP134" s="0" t="n">
        <v>2</v>
      </c>
      <c r="BQ134" s="0" t="n">
        <v>372000</v>
      </c>
      <c r="BR134" s="0" t="n">
        <v>21127.575</v>
      </c>
      <c r="BS134" s="0" t="n">
        <v>49817.10475</v>
      </c>
      <c r="BT134" s="0" t="n">
        <v>31214.710138</v>
      </c>
      <c r="BU134" s="0" t="n">
        <v>132767.424</v>
      </c>
      <c r="BV134" s="0" t="n">
        <v>10845.879611</v>
      </c>
      <c r="BW134" s="0" t="n">
        <v>45320.641325</v>
      </c>
      <c r="BX134" s="0" t="n">
        <v>56166.520936</v>
      </c>
      <c r="BY134" s="0" t="n">
        <v>52342.285138</v>
      </c>
      <c r="BZ134" s="0" t="n">
        <v>238751.049686</v>
      </c>
      <c r="CA134" s="0" t="n">
        <v>291093.334824</v>
      </c>
      <c r="CB134" s="0" t="n">
        <v>80906.66517599999</v>
      </c>
      <c r="CC134" s="0" t="n">
        <v>50</v>
      </c>
      <c r="CD134" s="0" t="n">
        <v>120729</v>
      </c>
      <c r="CE134" s="0" t="n">
        <v>284669.17</v>
      </c>
      <c r="CF134" s="0" t="n">
        <v>90791</v>
      </c>
      <c r="CG134" s="0" t="n">
        <v>25220</v>
      </c>
      <c r="CH134" s="0" t="n">
        <v>663837.12</v>
      </c>
      <c r="CI134" s="0" t="n">
        <v>2891983</v>
      </c>
      <c r="CJ134" s="0" t="n">
        <v>676344</v>
      </c>
    </row>
    <row r="135" ht="14.4975" customHeight="1" s="64">
      <c r="BF135" s="0" t="inlineStr">
        <is>
          <t>2027BUD_V1</t>
        </is>
      </c>
      <c r="BG135" s="0" t="inlineStr">
        <is>
          <t>ACT</t>
        </is>
      </c>
      <c r="BH135" s="0" t="inlineStr">
        <is>
          <t>12</t>
        </is>
      </c>
      <c r="BI135" s="0" t="inlineStr">
        <is>
          <t>2026</t>
        </is>
      </c>
      <c r="BJ135" s="0" t="inlineStr">
        <is>
          <t>ISCOM_LIL</t>
        </is>
      </c>
      <c r="BK135" s="0" t="inlineStr">
        <is>
          <t>ISCOM</t>
        </is>
      </c>
      <c r="BL135" s="0" t="inlineStr">
        <is>
          <t>MAS_COM</t>
        </is>
      </c>
      <c r="BM135" s="0" t="inlineStr">
        <is>
          <t>M2</t>
        </is>
      </c>
      <c r="BN135" s="0" t="inlineStr">
        <is>
          <t>ALT</t>
        </is>
      </c>
      <c r="BO135" s="0" t="n">
        <v>49</v>
      </c>
      <c r="BP135" s="0" t="n">
        <v>2</v>
      </c>
      <c r="BQ135" s="0" t="n">
        <v>360150</v>
      </c>
      <c r="BR135" s="0" t="n">
        <v>21127.575</v>
      </c>
      <c r="BS135" s="0" t="n">
        <v>49817.10475</v>
      </c>
      <c r="BT135" s="0" t="n">
        <v>18232.557829</v>
      </c>
      <c r="BU135" s="0" t="n">
        <v>132767.424</v>
      </c>
      <c r="BV135" s="0" t="n">
        <v>10845.879611</v>
      </c>
      <c r="BW135" s="0" t="n">
        <v>45320.641325</v>
      </c>
      <c r="BX135" s="0" t="n">
        <v>56166.520936</v>
      </c>
      <c r="BY135" s="0" t="n">
        <v>39360.132829</v>
      </c>
      <c r="BZ135" s="0" t="n">
        <v>238751.049686</v>
      </c>
      <c r="CA135" s="0" t="n">
        <v>278111.182515</v>
      </c>
      <c r="CB135" s="0" t="n">
        <v>82038.81748500001</v>
      </c>
      <c r="CC135" s="0" t="n">
        <v>0</v>
      </c>
      <c r="CD135" s="0" t="n">
        <v>120729</v>
      </c>
      <c r="CE135" s="0" t="n">
        <v>284669.17</v>
      </c>
      <c r="CF135" s="0" t="n">
        <v>90791</v>
      </c>
      <c r="CG135" s="0" t="n">
        <v>25220</v>
      </c>
      <c r="CH135" s="0" t="n">
        <v>663837.12</v>
      </c>
      <c r="CI135" s="0" t="n">
        <v>2891983</v>
      </c>
      <c r="CJ135" s="0" t="n">
        <v>676344</v>
      </c>
    </row>
    <row r="136" ht="14.4975" customHeight="1" s="64">
      <c r="BF136" s="0" t="inlineStr">
        <is>
          <t>2027BUD_V1</t>
        </is>
      </c>
      <c r="BG136" s="0" t="inlineStr">
        <is>
          <t>ACT</t>
        </is>
      </c>
      <c r="BH136" s="0" t="inlineStr">
        <is>
          <t>12</t>
        </is>
      </c>
      <c r="BI136" s="0" t="inlineStr">
        <is>
          <t>2026</t>
        </is>
      </c>
      <c r="BJ136" s="0" t="inlineStr">
        <is>
          <t>ISCOM_PAR</t>
        </is>
      </c>
      <c r="BK136" s="0" t="inlineStr">
        <is>
          <t>ISCOM</t>
        </is>
      </c>
      <c r="BL136" s="0" t="inlineStr">
        <is>
          <t>BAC_COM</t>
        </is>
      </c>
      <c r="BM136" s="0" t="inlineStr">
        <is>
          <t>B1</t>
        </is>
      </c>
      <c r="BN136" s="0" t="inlineStr">
        <is>
          <t>INIT</t>
        </is>
      </c>
      <c r="BO136" s="0" t="n">
        <v>72</v>
      </c>
      <c r="BP136" s="0" t="n">
        <v>3</v>
      </c>
      <c r="BQ136" s="0" t="n">
        <v>611280</v>
      </c>
      <c r="BR136" s="0" t="n">
        <v>45273.5</v>
      </c>
      <c r="BS136" s="0" t="n">
        <v>122012.62</v>
      </c>
      <c r="BT136" s="0" t="n">
        <v>57190.805858</v>
      </c>
      <c r="BU136" s="0" t="n">
        <v>222607.06</v>
      </c>
      <c r="BV136" s="0" t="n">
        <v>15735.424562</v>
      </c>
      <c r="BW136" s="0" t="n">
        <v>65752.115852</v>
      </c>
      <c r="BX136" s="0" t="n">
        <v>81487.540414</v>
      </c>
      <c r="BY136" s="0" t="n">
        <v>102464.305858</v>
      </c>
      <c r="BZ136" s="0" t="n">
        <v>426107.220414</v>
      </c>
      <c r="CA136" s="0" t="n">
        <v>528571.526272</v>
      </c>
      <c r="CB136" s="0" t="n">
        <v>82708.473728</v>
      </c>
      <c r="CC136" s="0" t="n">
        <v>72</v>
      </c>
      <c r="CD136" s="0" t="n">
        <v>181094</v>
      </c>
      <c r="CE136" s="0" t="n">
        <v>488050.48</v>
      </c>
      <c r="CF136" s="0" t="n">
        <v>131722</v>
      </c>
      <c r="CG136" s="0" t="n">
        <v>60800</v>
      </c>
      <c r="CH136" s="0" t="n">
        <v>1113035.3</v>
      </c>
      <c r="CI136" s="0" t="n">
        <v>2891983</v>
      </c>
      <c r="CJ136" s="0" t="n">
        <v>676344</v>
      </c>
    </row>
    <row r="137" ht="14.4975" customHeight="1" s="64">
      <c r="BF137" s="0" t="inlineStr">
        <is>
          <t>2027BUD_V1</t>
        </is>
      </c>
      <c r="BG137" s="0" t="inlineStr">
        <is>
          <t>ACT</t>
        </is>
      </c>
      <c r="BH137" s="0" t="inlineStr">
        <is>
          <t>12</t>
        </is>
      </c>
      <c r="BI137" s="0" t="inlineStr">
        <is>
          <t>2026</t>
        </is>
      </c>
      <c r="BJ137" s="0" t="inlineStr">
        <is>
          <t>ISCOM_PAR</t>
        </is>
      </c>
      <c r="BK137" s="0" t="inlineStr">
        <is>
          <t>ISCOM</t>
        </is>
      </c>
      <c r="BL137" s="0" t="inlineStr">
        <is>
          <t>BAC_COM</t>
        </is>
      </c>
      <c r="BM137" s="0" t="inlineStr">
        <is>
          <t>B2</t>
        </is>
      </c>
      <c r="BN137" s="0" t="inlineStr">
        <is>
          <t>ALT</t>
        </is>
      </c>
      <c r="BO137" s="0" t="n">
        <v>70</v>
      </c>
      <c r="BP137" s="0" t="n">
        <v>3</v>
      </c>
      <c r="BQ137" s="0" t="n">
        <v>548800</v>
      </c>
      <c r="BR137" s="0" t="n">
        <v>36218.8</v>
      </c>
      <c r="BS137" s="0" t="n">
        <v>97610.09600000001</v>
      </c>
      <c r="BT137" s="0" t="n">
        <v>26046.70828</v>
      </c>
      <c r="BU137" s="0" t="n">
        <v>222607.06</v>
      </c>
      <c r="BV137" s="0" t="n">
        <v>15735.424562</v>
      </c>
      <c r="BW137" s="0" t="n">
        <v>65752.115852</v>
      </c>
      <c r="BX137" s="0" t="n">
        <v>81487.540414</v>
      </c>
      <c r="BY137" s="0" t="n">
        <v>62265.50828</v>
      </c>
      <c r="BZ137" s="0" t="n">
        <v>401704.696414</v>
      </c>
      <c r="CA137" s="0" t="n">
        <v>463970.204694</v>
      </c>
      <c r="CB137" s="0" t="n">
        <v>84829.795306</v>
      </c>
      <c r="CC137" s="0" t="n">
        <v>0</v>
      </c>
      <c r="CD137" s="0" t="n">
        <v>181094</v>
      </c>
      <c r="CE137" s="0" t="n">
        <v>488050.48</v>
      </c>
      <c r="CF137" s="0" t="n">
        <v>131722</v>
      </c>
      <c r="CG137" s="0" t="n">
        <v>60800</v>
      </c>
      <c r="CH137" s="0" t="n">
        <v>1113035.3</v>
      </c>
      <c r="CI137" s="0" t="n">
        <v>2891983</v>
      </c>
      <c r="CJ137" s="0" t="n">
        <v>676344</v>
      </c>
    </row>
    <row r="138" ht="14.4975" customHeight="1" s="64">
      <c r="BF138" s="0" t="inlineStr">
        <is>
          <t>2027BUD_V1</t>
        </is>
      </c>
      <c r="BG138" s="0" t="inlineStr">
        <is>
          <t>ACT</t>
        </is>
      </c>
      <c r="BH138" s="0" t="inlineStr">
        <is>
          <t>12</t>
        </is>
      </c>
      <c r="BI138" s="0" t="inlineStr">
        <is>
          <t>2026</t>
        </is>
      </c>
      <c r="BJ138" s="0" t="inlineStr">
        <is>
          <t>ISCOM_PAR</t>
        </is>
      </c>
      <c r="BK138" s="0" t="inlineStr">
        <is>
          <t>ISCOM</t>
        </is>
      </c>
      <c r="BL138" s="0" t="inlineStr">
        <is>
          <t>BAC_COM</t>
        </is>
      </c>
      <c r="BM138" s="0" t="inlineStr">
        <is>
          <t>B3</t>
        </is>
      </c>
      <c r="BN138" s="0" t="inlineStr">
        <is>
          <t>ALT</t>
        </is>
      </c>
      <c r="BO138" s="0" t="n">
        <v>69</v>
      </c>
      <c r="BP138" s="0" t="n">
        <v>3</v>
      </c>
      <c r="BQ138" s="0" t="n">
        <v>540960</v>
      </c>
      <c r="BR138" s="0" t="n">
        <v>36218.8</v>
      </c>
      <c r="BS138" s="0" t="n">
        <v>97610.09600000001</v>
      </c>
      <c r="BT138" s="0" t="n">
        <v>25674.59363</v>
      </c>
      <c r="BU138" s="0" t="n">
        <v>222607.06</v>
      </c>
      <c r="BV138" s="0" t="n">
        <v>15735.424562</v>
      </c>
      <c r="BW138" s="0" t="n">
        <v>65752.115852</v>
      </c>
      <c r="BX138" s="0" t="n">
        <v>81487.540414</v>
      </c>
      <c r="BY138" s="0" t="n">
        <v>61893.39363</v>
      </c>
      <c r="BZ138" s="0" t="n">
        <v>401704.696414</v>
      </c>
      <c r="CA138" s="0" t="n">
        <v>463598.090044</v>
      </c>
      <c r="CB138" s="0" t="n">
        <v>77361.909956</v>
      </c>
      <c r="CC138" s="0" t="n">
        <v>0</v>
      </c>
      <c r="CD138" s="0" t="n">
        <v>181094</v>
      </c>
      <c r="CE138" s="0" t="n">
        <v>488050.48</v>
      </c>
      <c r="CF138" s="0" t="n">
        <v>131722</v>
      </c>
      <c r="CG138" s="0" t="n">
        <v>60800</v>
      </c>
      <c r="CH138" s="0" t="n">
        <v>1113035.3</v>
      </c>
      <c r="CI138" s="0" t="n">
        <v>2891983</v>
      </c>
      <c r="CJ138" s="0" t="n">
        <v>676344</v>
      </c>
    </row>
    <row r="139" ht="14.4975" customHeight="1" s="64">
      <c r="BF139" s="0" t="inlineStr">
        <is>
          <t>2027BUD_V1</t>
        </is>
      </c>
      <c r="BG139" s="0" t="inlineStr">
        <is>
          <t>ACT</t>
        </is>
      </c>
      <c r="BH139" s="0" t="inlineStr">
        <is>
          <t>12</t>
        </is>
      </c>
      <c r="BI139" s="0" t="inlineStr">
        <is>
          <t>2026</t>
        </is>
      </c>
      <c r="BJ139" s="0" t="inlineStr">
        <is>
          <t>ISCOM_PAR</t>
        </is>
      </c>
      <c r="BK139" s="0" t="inlineStr">
        <is>
          <t>ISCOM</t>
        </is>
      </c>
      <c r="BL139" s="0" t="inlineStr">
        <is>
          <t>MAS_COM</t>
        </is>
      </c>
      <c r="BM139" s="0" t="inlineStr">
        <is>
          <t>M1</t>
        </is>
      </c>
      <c r="BN139" s="0" t="inlineStr">
        <is>
          <t>ALT</t>
        </is>
      </c>
      <c r="BO139" s="0" t="n">
        <v>72</v>
      </c>
      <c r="BP139" s="0" t="n">
        <v>3</v>
      </c>
      <c r="BQ139" s="0" t="n">
        <v>611280</v>
      </c>
      <c r="BR139" s="0" t="n">
        <v>31691.45</v>
      </c>
      <c r="BS139" s="0" t="n">
        <v>85408.834</v>
      </c>
      <c r="BT139" s="0" t="n">
        <v>57190.805858</v>
      </c>
      <c r="BU139" s="0" t="n">
        <v>222607.06</v>
      </c>
      <c r="BV139" s="0" t="n">
        <v>15735.424562</v>
      </c>
      <c r="BW139" s="0" t="n">
        <v>65752.115852</v>
      </c>
      <c r="BX139" s="0" t="n">
        <v>81487.540414</v>
      </c>
      <c r="BY139" s="0" t="n">
        <v>88882.255858</v>
      </c>
      <c r="BZ139" s="0" t="n">
        <v>389503.434414</v>
      </c>
      <c r="CA139" s="0" t="n">
        <v>478385.690272</v>
      </c>
      <c r="CB139" s="0" t="n">
        <v>132894.309728</v>
      </c>
      <c r="CC139" s="0" t="n">
        <v>72</v>
      </c>
      <c r="CD139" s="0" t="n">
        <v>181094</v>
      </c>
      <c r="CE139" s="0" t="n">
        <v>488050.48</v>
      </c>
      <c r="CF139" s="0" t="n">
        <v>131722</v>
      </c>
      <c r="CG139" s="0" t="n">
        <v>60800</v>
      </c>
      <c r="CH139" s="0" t="n">
        <v>1113035.3</v>
      </c>
      <c r="CI139" s="0" t="n">
        <v>2891983</v>
      </c>
      <c r="CJ139" s="0" t="n">
        <v>676344</v>
      </c>
    </row>
    <row r="140" ht="14.4975" customHeight="1" s="64">
      <c r="BF140" s="0" t="inlineStr">
        <is>
          <t>2027BUD_V1</t>
        </is>
      </c>
      <c r="BG140" s="0" t="inlineStr">
        <is>
          <t>ACT</t>
        </is>
      </c>
      <c r="BH140" s="0" t="inlineStr">
        <is>
          <t>12</t>
        </is>
      </c>
      <c r="BI140" s="0" t="inlineStr">
        <is>
          <t>2026</t>
        </is>
      </c>
      <c r="BJ140" s="0" t="inlineStr">
        <is>
          <t>ISCOM_PAR</t>
        </is>
      </c>
      <c r="BK140" s="0" t="inlineStr">
        <is>
          <t>ISCOM</t>
        </is>
      </c>
      <c r="BL140" s="0" t="inlineStr">
        <is>
          <t>MAS_COM</t>
        </is>
      </c>
      <c r="BM140" s="0" t="inlineStr">
        <is>
          <t>M2</t>
        </is>
      </c>
      <c r="BN140" s="0" t="inlineStr">
        <is>
          <t>ALT</t>
        </is>
      </c>
      <c r="BO140" s="0" t="n">
        <v>71</v>
      </c>
      <c r="BP140" s="0" t="n">
        <v>3</v>
      </c>
      <c r="BQ140" s="0" t="n">
        <v>596400</v>
      </c>
      <c r="BR140" s="0" t="n">
        <v>31691.45</v>
      </c>
      <c r="BS140" s="0" t="n">
        <v>85408.834</v>
      </c>
      <c r="BT140" s="0" t="n">
        <v>26418.691208</v>
      </c>
      <c r="BU140" s="0" t="n">
        <v>222607.06</v>
      </c>
      <c r="BV140" s="0" t="n">
        <v>15735.424562</v>
      </c>
      <c r="BW140" s="0" t="n">
        <v>65752.115852</v>
      </c>
      <c r="BX140" s="0" t="n">
        <v>81487.540414</v>
      </c>
      <c r="BY140" s="0" t="n">
        <v>58110.141208</v>
      </c>
      <c r="BZ140" s="0" t="n">
        <v>389503.434414</v>
      </c>
      <c r="CA140" s="0" t="n">
        <v>447613.575622</v>
      </c>
      <c r="CB140" s="0" t="n">
        <v>148786.424378</v>
      </c>
      <c r="CC140" s="0" t="n">
        <v>0</v>
      </c>
      <c r="CD140" s="0" t="n">
        <v>181094</v>
      </c>
      <c r="CE140" s="0" t="n">
        <v>488050.48</v>
      </c>
      <c r="CF140" s="0" t="n">
        <v>131722</v>
      </c>
      <c r="CG140" s="0" t="n">
        <v>60800</v>
      </c>
      <c r="CH140" s="0" t="n">
        <v>1113035.3</v>
      </c>
      <c r="CI140" s="0" t="n">
        <v>2891983</v>
      </c>
      <c r="CJ140" s="0" t="n">
        <v>676344</v>
      </c>
    </row>
    <row r="141" ht="14.4975" customHeight="1" s="64">
      <c r="BF141" s="0" t="inlineStr">
        <is>
          <t>2027BUD_V1</t>
        </is>
      </c>
      <c r="BG141" s="0" t="inlineStr">
        <is>
          <t>ACT</t>
        </is>
      </c>
      <c r="BH141" s="0" t="inlineStr">
        <is>
          <t>12</t>
        </is>
      </c>
      <c r="BI141" s="0" t="inlineStr">
        <is>
          <t>2026</t>
        </is>
      </c>
      <c r="BJ141" s="0" t="inlineStr">
        <is>
          <t>ISCOM_TLS</t>
        </is>
      </c>
      <c r="BK141" s="0" t="inlineStr">
        <is>
          <t>ISCOM</t>
        </is>
      </c>
      <c r="BL141" s="0" t="inlineStr">
        <is>
          <t>BAC_COM</t>
        </is>
      </c>
      <c r="BM141" s="0" t="inlineStr">
        <is>
          <t>B1</t>
        </is>
      </c>
      <c r="BN141" s="0" t="inlineStr">
        <is>
          <t>INIT</t>
        </is>
      </c>
      <c r="BO141" s="0" t="n">
        <v>47</v>
      </c>
      <c r="BP141" s="0" t="n">
        <v>2</v>
      </c>
      <c r="BQ141" s="0" t="n">
        <v>342630</v>
      </c>
      <c r="BR141" s="0" t="n">
        <v>30182.25</v>
      </c>
      <c r="BS141" s="0" t="n">
        <v>66920.9675</v>
      </c>
      <c r="BT141" s="0" t="n">
        <v>28529.958702</v>
      </c>
      <c r="BU141" s="0" t="n">
        <v>120375.282</v>
      </c>
      <c r="BV141" s="0" t="n">
        <v>10268.007549</v>
      </c>
      <c r="BW141" s="0" t="n">
        <v>42905.942527</v>
      </c>
      <c r="BX141" s="0" t="n">
        <v>53173.950076</v>
      </c>
      <c r="BY141" s="0" t="n">
        <v>58712.208702</v>
      </c>
      <c r="BZ141" s="0" t="n">
        <v>240470.199576</v>
      </c>
      <c r="CA141" s="0" t="n">
        <v>299182.408278</v>
      </c>
      <c r="CB141" s="0" t="n">
        <v>43447.591722</v>
      </c>
      <c r="CC141" s="0" t="n">
        <v>47</v>
      </c>
      <c r="CD141" s="0" t="n">
        <v>120729</v>
      </c>
      <c r="CE141" s="0" t="n">
        <v>267683.87</v>
      </c>
      <c r="CF141" s="0" t="n">
        <v>85954</v>
      </c>
      <c r="CG141" s="0" t="n">
        <v>22083</v>
      </c>
      <c r="CH141" s="0" t="n">
        <v>601876.41</v>
      </c>
      <c r="CI141" s="0" t="n">
        <v>2891983</v>
      </c>
      <c r="CJ141" s="0" t="n">
        <v>676344</v>
      </c>
    </row>
    <row r="142" ht="14.4975" customHeight="1" s="64">
      <c r="BF142" s="0" t="inlineStr">
        <is>
          <t>2027BUD_V1</t>
        </is>
      </c>
      <c r="BG142" s="0" t="inlineStr">
        <is>
          <t>ACT</t>
        </is>
      </c>
      <c r="BH142" s="0" t="inlineStr">
        <is>
          <t>12</t>
        </is>
      </c>
      <c r="BI142" s="0" t="inlineStr">
        <is>
          <t>2026</t>
        </is>
      </c>
      <c r="BJ142" s="0" t="inlineStr">
        <is>
          <t>ISCOM_TLS</t>
        </is>
      </c>
      <c r="BK142" s="0" t="inlineStr">
        <is>
          <t>ISCOM</t>
        </is>
      </c>
      <c r="BL142" s="0" t="inlineStr">
        <is>
          <t>BAC_COM</t>
        </is>
      </c>
      <c r="BM142" s="0" t="inlineStr">
        <is>
          <t>B2</t>
        </is>
      </c>
      <c r="BN142" s="0" t="inlineStr">
        <is>
          <t>ALT</t>
        </is>
      </c>
      <c r="BO142" s="0" t="n">
        <v>46</v>
      </c>
      <c r="BP142" s="0" t="n">
        <v>2</v>
      </c>
      <c r="BQ142" s="0" t="n">
        <v>309120</v>
      </c>
      <c r="BR142" s="0" t="n">
        <v>24145.8</v>
      </c>
      <c r="BS142" s="0" t="n">
        <v>53536.774</v>
      </c>
      <c r="BT142" s="0" t="n">
        <v>17116.363836</v>
      </c>
      <c r="BU142" s="0" t="n">
        <v>120375.282</v>
      </c>
      <c r="BV142" s="0" t="n">
        <v>10268.007549</v>
      </c>
      <c r="BW142" s="0" t="n">
        <v>42905.942527</v>
      </c>
      <c r="BX142" s="0" t="n">
        <v>53173.950076</v>
      </c>
      <c r="BY142" s="0" t="n">
        <v>41262.163836</v>
      </c>
      <c r="BZ142" s="0" t="n">
        <v>227086.006076</v>
      </c>
      <c r="CA142" s="0" t="n">
        <v>268348.169912</v>
      </c>
      <c r="CB142" s="0" t="n">
        <v>40771.830088</v>
      </c>
      <c r="CC142" s="0" t="n">
        <v>0</v>
      </c>
      <c r="CD142" s="0" t="n">
        <v>120729</v>
      </c>
      <c r="CE142" s="0" t="n">
        <v>267683.87</v>
      </c>
      <c r="CF142" s="0" t="n">
        <v>85954</v>
      </c>
      <c r="CG142" s="0" t="n">
        <v>22083</v>
      </c>
      <c r="CH142" s="0" t="n">
        <v>601876.41</v>
      </c>
      <c r="CI142" s="0" t="n">
        <v>2891983</v>
      </c>
      <c r="CJ142" s="0" t="n">
        <v>676344</v>
      </c>
    </row>
    <row r="143" ht="14.4975" customHeight="1" s="64">
      <c r="BF143" s="0" t="inlineStr">
        <is>
          <t>2027BUD_V1</t>
        </is>
      </c>
      <c r="BG143" s="0" t="inlineStr">
        <is>
          <t>ACT</t>
        </is>
      </c>
      <c r="BH143" s="0" t="inlineStr">
        <is>
          <t>12</t>
        </is>
      </c>
      <c r="BI143" s="0" t="inlineStr">
        <is>
          <t>2026</t>
        </is>
      </c>
      <c r="BJ143" s="0" t="inlineStr">
        <is>
          <t>ISCOM_TLS</t>
        </is>
      </c>
      <c r="BK143" s="0" t="inlineStr">
        <is>
          <t>ISCOM</t>
        </is>
      </c>
      <c r="BL143" s="0" t="inlineStr">
        <is>
          <t>BAC_COM</t>
        </is>
      </c>
      <c r="BM143" s="0" t="inlineStr">
        <is>
          <t>B3</t>
        </is>
      </c>
      <c r="BN143" s="0" t="inlineStr">
        <is>
          <t>ALT</t>
        </is>
      </c>
      <c r="BO143" s="0" t="n">
        <v>45</v>
      </c>
      <c r="BP143" s="0" t="n">
        <v>2</v>
      </c>
      <c r="BQ143" s="0" t="n">
        <v>302400</v>
      </c>
      <c r="BR143" s="0" t="n">
        <v>24145.8</v>
      </c>
      <c r="BS143" s="0" t="n">
        <v>53536.774</v>
      </c>
      <c r="BT143" s="0" t="n">
        <v>16744.26897</v>
      </c>
      <c r="BU143" s="0" t="n">
        <v>120375.282</v>
      </c>
      <c r="BV143" s="0" t="n">
        <v>10268.007549</v>
      </c>
      <c r="BW143" s="0" t="n">
        <v>42905.942527</v>
      </c>
      <c r="BX143" s="0" t="n">
        <v>53173.950076</v>
      </c>
      <c r="BY143" s="0" t="n">
        <v>40890.06897</v>
      </c>
      <c r="BZ143" s="0" t="n">
        <v>227086.006076</v>
      </c>
      <c r="CA143" s="0" t="n">
        <v>267976.075046</v>
      </c>
      <c r="CB143" s="0" t="n">
        <v>34423.924954</v>
      </c>
      <c r="CC143" s="0" t="n">
        <v>0</v>
      </c>
      <c r="CD143" s="0" t="n">
        <v>120729</v>
      </c>
      <c r="CE143" s="0" t="n">
        <v>267683.87</v>
      </c>
      <c r="CF143" s="0" t="n">
        <v>85954</v>
      </c>
      <c r="CG143" s="0" t="n">
        <v>22083</v>
      </c>
      <c r="CH143" s="0" t="n">
        <v>601876.41</v>
      </c>
      <c r="CI143" s="0" t="n">
        <v>2891983</v>
      </c>
      <c r="CJ143" s="0" t="n">
        <v>676344</v>
      </c>
    </row>
    <row r="144" ht="14.4975" customHeight="1" s="64">
      <c r="BF144" s="0" t="inlineStr">
        <is>
          <t>2027BUD_V1</t>
        </is>
      </c>
      <c r="BG144" s="0" t="inlineStr">
        <is>
          <t>ACT</t>
        </is>
      </c>
      <c r="BH144" s="0" t="inlineStr">
        <is>
          <t>12</t>
        </is>
      </c>
      <c r="BI144" s="0" t="inlineStr">
        <is>
          <t>2026</t>
        </is>
      </c>
      <c r="BJ144" s="0" t="inlineStr">
        <is>
          <t>ISCOM_TLS</t>
        </is>
      </c>
      <c r="BK144" s="0" t="inlineStr">
        <is>
          <t>ISCOM</t>
        </is>
      </c>
      <c r="BL144" s="0" t="inlineStr">
        <is>
          <t>MAS_COM</t>
        </is>
      </c>
      <c r="BM144" s="0" t="inlineStr">
        <is>
          <t>M1</t>
        </is>
      </c>
      <c r="BN144" s="0" t="inlineStr">
        <is>
          <t>ALT</t>
        </is>
      </c>
      <c r="BO144" s="0" t="n">
        <v>47</v>
      </c>
      <c r="BP144" s="0" t="n">
        <v>2</v>
      </c>
      <c r="BQ144" s="0" t="n">
        <v>342630</v>
      </c>
      <c r="BR144" s="0" t="n">
        <v>21127.575</v>
      </c>
      <c r="BS144" s="0" t="n">
        <v>46844.67725</v>
      </c>
      <c r="BT144" s="0" t="n">
        <v>28529.958702</v>
      </c>
      <c r="BU144" s="0" t="n">
        <v>120375.282</v>
      </c>
      <c r="BV144" s="0" t="n">
        <v>10268.007549</v>
      </c>
      <c r="BW144" s="0" t="n">
        <v>42905.942527</v>
      </c>
      <c r="BX144" s="0" t="n">
        <v>53173.950076</v>
      </c>
      <c r="BY144" s="0" t="n">
        <v>49657.533702</v>
      </c>
      <c r="BZ144" s="0" t="n">
        <v>220393.909326</v>
      </c>
      <c r="CA144" s="0" t="n">
        <v>270051.443028</v>
      </c>
      <c r="CB144" s="0" t="n">
        <v>72578.55697200001</v>
      </c>
      <c r="CC144" s="0" t="n">
        <v>47</v>
      </c>
      <c r="CD144" s="0" t="n">
        <v>120729</v>
      </c>
      <c r="CE144" s="0" t="n">
        <v>267683.87</v>
      </c>
      <c r="CF144" s="0" t="n">
        <v>85954</v>
      </c>
      <c r="CG144" s="0" t="n">
        <v>22083</v>
      </c>
      <c r="CH144" s="0" t="n">
        <v>601876.41</v>
      </c>
      <c r="CI144" s="0" t="n">
        <v>2891983</v>
      </c>
      <c r="CJ144" s="0" t="n">
        <v>676344</v>
      </c>
    </row>
    <row r="145" ht="14.4975" customHeight="1" s="64">
      <c r="BF145" s="0" t="inlineStr">
        <is>
          <t>2027BUD_V1</t>
        </is>
      </c>
      <c r="BG145" s="0" t="inlineStr">
        <is>
          <t>ACT</t>
        </is>
      </c>
      <c r="BH145" s="0" t="inlineStr">
        <is>
          <t>12</t>
        </is>
      </c>
      <c r="BI145" s="0" t="inlineStr">
        <is>
          <t>2026</t>
        </is>
      </c>
      <c r="BJ145" s="0" t="inlineStr">
        <is>
          <t>ISCOM_TLS</t>
        </is>
      </c>
      <c r="BK145" s="0" t="inlineStr">
        <is>
          <t>ISCOM</t>
        </is>
      </c>
      <c r="BL145" s="0" t="inlineStr">
        <is>
          <t>MAS_COM</t>
        </is>
      </c>
      <c r="BM145" s="0" t="inlineStr">
        <is>
          <t>M2</t>
        </is>
      </c>
      <c r="BN145" s="0" t="inlineStr">
        <is>
          <t>ALT</t>
        </is>
      </c>
      <c r="BO145" s="0" t="n">
        <v>46</v>
      </c>
      <c r="BP145" s="0" t="n">
        <v>2</v>
      </c>
      <c r="BQ145" s="0" t="n">
        <v>331200</v>
      </c>
      <c r="BR145" s="0" t="n">
        <v>21127.575</v>
      </c>
      <c r="BS145" s="0" t="n">
        <v>46844.67725</v>
      </c>
      <c r="BT145" s="0" t="n">
        <v>17116.363836</v>
      </c>
      <c r="BU145" s="0" t="n">
        <v>120375.282</v>
      </c>
      <c r="BV145" s="0" t="n">
        <v>10268.007549</v>
      </c>
      <c r="BW145" s="0" t="n">
        <v>42905.942527</v>
      </c>
      <c r="BX145" s="0" t="n">
        <v>53173.950076</v>
      </c>
      <c r="BY145" s="0" t="n">
        <v>38243.938836</v>
      </c>
      <c r="BZ145" s="0" t="n">
        <v>220393.909326</v>
      </c>
      <c r="CA145" s="0" t="n">
        <v>258637.848162</v>
      </c>
      <c r="CB145" s="0" t="n">
        <v>72562.15183800001</v>
      </c>
      <c r="CC145" s="0" t="n">
        <v>0</v>
      </c>
      <c r="CD145" s="0" t="n">
        <v>120729</v>
      </c>
      <c r="CE145" s="0" t="n">
        <v>267683.87</v>
      </c>
      <c r="CF145" s="0" t="n">
        <v>85954</v>
      </c>
      <c r="CG145" s="0" t="n">
        <v>22083</v>
      </c>
      <c r="CH145" s="0" t="n">
        <v>601876.41</v>
      </c>
      <c r="CI145" s="0" t="n">
        <v>2891983</v>
      </c>
      <c r="CJ145" s="0" t="n">
        <v>676344</v>
      </c>
    </row>
    <row r="146" ht="14.4975" customHeight="1" s="64">
      <c r="BF146" s="0" t="inlineStr">
        <is>
          <t>2027BUD_V1</t>
        </is>
      </c>
      <c r="BG146" s="0" t="inlineStr">
        <is>
          <t>ACT</t>
        </is>
      </c>
      <c r="BH146" s="0" t="inlineStr">
        <is>
          <t>12</t>
        </is>
      </c>
      <c r="BI146" s="0" t="inlineStr">
        <is>
          <t>2026</t>
        </is>
      </c>
      <c r="BJ146" s="0" t="inlineStr">
        <is>
          <t>MBWAY_BOR</t>
        </is>
      </c>
      <c r="BK146" s="0" t="inlineStr">
        <is>
          <t>MBWAY</t>
        </is>
      </c>
      <c r="BL146" s="0" t="inlineStr">
        <is>
          <t>BAC_MGT</t>
        </is>
      </c>
      <c r="BM146" s="0" t="inlineStr">
        <is>
          <t>B1</t>
        </is>
      </c>
      <c r="BN146" s="0" t="inlineStr">
        <is>
          <t>INIT</t>
        </is>
      </c>
      <c r="BO146" s="0" t="n">
        <v>51</v>
      </c>
      <c r="BP146" s="0" t="n">
        <v>2</v>
      </c>
      <c r="BQ146" s="0" t="n">
        <v>375615</v>
      </c>
      <c r="BR146" s="0" t="n">
        <v>30182.25</v>
      </c>
      <c r="BS146" s="0" t="n">
        <v>70084.27250000001</v>
      </c>
      <c r="BT146" s="0" t="n">
        <v>31438.389988</v>
      </c>
      <c r="BU146" s="0" t="n">
        <v>132547.764</v>
      </c>
      <c r="BV146" s="0" t="n">
        <v>11169.564459</v>
      </c>
      <c r="BW146" s="0" t="n">
        <v>46249.228759</v>
      </c>
      <c r="BX146" s="0" t="n">
        <v>57418.793218</v>
      </c>
      <c r="BY146" s="0" t="n">
        <v>61620.639988</v>
      </c>
      <c r="BZ146" s="0" t="n">
        <v>260050.829718</v>
      </c>
      <c r="CA146" s="0" t="n">
        <v>321671.469706</v>
      </c>
      <c r="CB146" s="0" t="n">
        <v>53943.530294</v>
      </c>
      <c r="CC146" s="0" t="n">
        <v>51</v>
      </c>
      <c r="CD146" s="0" t="n">
        <v>120729</v>
      </c>
      <c r="CE146" s="0" t="n">
        <v>280337.09</v>
      </c>
      <c r="CF146" s="0" t="n">
        <v>92652</v>
      </c>
      <c r="CG146" s="0" t="n">
        <v>24923</v>
      </c>
      <c r="CH146" s="0" t="n">
        <v>662738.8199999999</v>
      </c>
      <c r="CI146" s="0" t="n">
        <v>2891983</v>
      </c>
      <c r="CJ146" s="0" t="n">
        <v>676344</v>
      </c>
    </row>
    <row r="147" ht="14.4975" customHeight="1" s="64">
      <c r="BF147" s="0" t="inlineStr">
        <is>
          <t>2027BUD_V1</t>
        </is>
      </c>
      <c r="BG147" s="0" t="inlineStr">
        <is>
          <t>ACT</t>
        </is>
      </c>
      <c r="BH147" s="0" t="inlineStr">
        <is>
          <t>12</t>
        </is>
      </c>
      <c r="BI147" s="0" t="inlineStr">
        <is>
          <t>2026</t>
        </is>
      </c>
      <c r="BJ147" s="0" t="inlineStr">
        <is>
          <t>MBWAY_BOR</t>
        </is>
      </c>
      <c r="BK147" s="0" t="inlineStr">
        <is>
          <t>MBWAY</t>
        </is>
      </c>
      <c r="BL147" s="0" t="inlineStr">
        <is>
          <t>BAC_MGT</t>
        </is>
      </c>
      <c r="BM147" s="0" t="inlineStr">
        <is>
          <t>B2</t>
        </is>
      </c>
      <c r="BN147" s="0" t="inlineStr">
        <is>
          <t>ALT</t>
        </is>
      </c>
      <c r="BO147" s="0" t="n">
        <v>49</v>
      </c>
      <c r="BP147" s="0" t="n">
        <v>2</v>
      </c>
      <c r="BQ147" s="0" t="n">
        <v>332710</v>
      </c>
      <c r="BR147" s="0" t="n">
        <v>24145.8</v>
      </c>
      <c r="BS147" s="0" t="n">
        <v>56067.418</v>
      </c>
      <c r="BT147" s="0" t="n">
        <v>18232.709124</v>
      </c>
      <c r="BU147" s="0" t="n">
        <v>132547.764</v>
      </c>
      <c r="BV147" s="0" t="n">
        <v>11169.564459</v>
      </c>
      <c r="BW147" s="0" t="n">
        <v>46249.228759</v>
      </c>
      <c r="BX147" s="0" t="n">
        <v>57418.793218</v>
      </c>
      <c r="BY147" s="0" t="n">
        <v>42378.509124</v>
      </c>
      <c r="BZ147" s="0" t="n">
        <v>246033.975218</v>
      </c>
      <c r="CA147" s="0" t="n">
        <v>288412.484342</v>
      </c>
      <c r="CB147" s="0" t="n">
        <v>44297.515658</v>
      </c>
      <c r="CC147" s="0" t="n">
        <v>0</v>
      </c>
      <c r="CD147" s="0" t="n">
        <v>120729</v>
      </c>
      <c r="CE147" s="0" t="n">
        <v>280337.09</v>
      </c>
      <c r="CF147" s="0" t="n">
        <v>92652</v>
      </c>
      <c r="CG147" s="0" t="n">
        <v>24923</v>
      </c>
      <c r="CH147" s="0" t="n">
        <v>662738.8199999999</v>
      </c>
      <c r="CI147" s="0" t="n">
        <v>2891983</v>
      </c>
      <c r="CJ147" s="0" t="n">
        <v>676344</v>
      </c>
    </row>
    <row r="148" ht="14.4975" customHeight="1" s="64">
      <c r="BF148" s="0" t="inlineStr">
        <is>
          <t>2027BUD_V1</t>
        </is>
      </c>
      <c r="BG148" s="0" t="inlineStr">
        <is>
          <t>ACT</t>
        </is>
      </c>
      <c r="BH148" s="0" t="inlineStr">
        <is>
          <t>12</t>
        </is>
      </c>
      <c r="BI148" s="0" t="inlineStr">
        <is>
          <t>2026</t>
        </is>
      </c>
      <c r="BJ148" s="0" t="inlineStr">
        <is>
          <t>MBWAY_BOR</t>
        </is>
      </c>
      <c r="BK148" s="0" t="inlineStr">
        <is>
          <t>MBWAY</t>
        </is>
      </c>
      <c r="BL148" s="0" t="inlineStr">
        <is>
          <t>BAC_MGT</t>
        </is>
      </c>
      <c r="BM148" s="0" t="inlineStr">
        <is>
          <t>B3</t>
        </is>
      </c>
      <c r="BN148" s="0" t="inlineStr">
        <is>
          <t>ALT</t>
        </is>
      </c>
      <c r="BO148" s="0" t="n">
        <v>48</v>
      </c>
      <c r="BP148" s="0" t="n">
        <v>2</v>
      </c>
      <c r="BQ148" s="0" t="n">
        <v>325920</v>
      </c>
      <c r="BR148" s="0" t="n">
        <v>24145.8</v>
      </c>
      <c r="BS148" s="0" t="n">
        <v>56067.418</v>
      </c>
      <c r="BT148" s="0" t="n">
        <v>17860.618692</v>
      </c>
      <c r="BU148" s="0" t="n">
        <v>132547.764</v>
      </c>
      <c r="BV148" s="0" t="n">
        <v>11169.564459</v>
      </c>
      <c r="BW148" s="0" t="n">
        <v>46249.228759</v>
      </c>
      <c r="BX148" s="0" t="n">
        <v>57418.793218</v>
      </c>
      <c r="BY148" s="0" t="n">
        <v>42006.418692</v>
      </c>
      <c r="BZ148" s="0" t="n">
        <v>246033.975218</v>
      </c>
      <c r="CA148" s="0" t="n">
        <v>288040.39391</v>
      </c>
      <c r="CB148" s="0" t="n">
        <v>37879.60609</v>
      </c>
      <c r="CC148" s="0" t="n">
        <v>0</v>
      </c>
      <c r="CD148" s="0" t="n">
        <v>120729</v>
      </c>
      <c r="CE148" s="0" t="n">
        <v>280337.09</v>
      </c>
      <c r="CF148" s="0" t="n">
        <v>92652</v>
      </c>
      <c r="CG148" s="0" t="n">
        <v>24923</v>
      </c>
      <c r="CH148" s="0" t="n">
        <v>662738.8199999999</v>
      </c>
      <c r="CI148" s="0" t="n">
        <v>2891983</v>
      </c>
      <c r="CJ148" s="0" t="n">
        <v>676344</v>
      </c>
    </row>
    <row r="149" ht="14.4975" customHeight="1" s="64">
      <c r="BF149" s="0" t="inlineStr">
        <is>
          <t>2027BUD_V1</t>
        </is>
      </c>
      <c r="BG149" s="0" t="inlineStr">
        <is>
          <t>ACT</t>
        </is>
      </c>
      <c r="BH149" s="0" t="inlineStr">
        <is>
          <t>12</t>
        </is>
      </c>
      <c r="BI149" s="0" t="inlineStr">
        <is>
          <t>2026</t>
        </is>
      </c>
      <c r="BJ149" s="0" t="inlineStr">
        <is>
          <t>MBWAY_BOR</t>
        </is>
      </c>
      <c r="BK149" s="0" t="inlineStr">
        <is>
          <t>MBWAY</t>
        </is>
      </c>
      <c r="BL149" s="0" t="inlineStr">
        <is>
          <t>MAS_MGT</t>
        </is>
      </c>
      <c r="BM149" s="0" t="inlineStr">
        <is>
          <t>M1</t>
        </is>
      </c>
      <c r="BN149" s="0" t="inlineStr">
        <is>
          <t>ALT</t>
        </is>
      </c>
      <c r="BO149" s="0" t="n">
        <v>51</v>
      </c>
      <c r="BP149" s="0" t="n">
        <v>2</v>
      </c>
      <c r="BQ149" s="0" t="n">
        <v>375615</v>
      </c>
      <c r="BR149" s="0" t="n">
        <v>21127.575</v>
      </c>
      <c r="BS149" s="0" t="n">
        <v>49058.99075</v>
      </c>
      <c r="BT149" s="0" t="n">
        <v>31438.389988</v>
      </c>
      <c r="BU149" s="0" t="n">
        <v>132547.764</v>
      </c>
      <c r="BV149" s="0" t="n">
        <v>11169.564459</v>
      </c>
      <c r="BW149" s="0" t="n">
        <v>46249.228759</v>
      </c>
      <c r="BX149" s="0" t="n">
        <v>57418.793218</v>
      </c>
      <c r="BY149" s="0" t="n">
        <v>52565.964988</v>
      </c>
      <c r="BZ149" s="0" t="n">
        <v>239025.547968</v>
      </c>
      <c r="CA149" s="0" t="n">
        <v>291591.512956</v>
      </c>
      <c r="CB149" s="0" t="n">
        <v>84023.48704399999</v>
      </c>
      <c r="CC149" s="0" t="n">
        <v>51</v>
      </c>
      <c r="CD149" s="0" t="n">
        <v>120729</v>
      </c>
      <c r="CE149" s="0" t="n">
        <v>280337.09</v>
      </c>
      <c r="CF149" s="0" t="n">
        <v>92652</v>
      </c>
      <c r="CG149" s="0" t="n">
        <v>24923</v>
      </c>
      <c r="CH149" s="0" t="n">
        <v>662738.8199999999</v>
      </c>
      <c r="CI149" s="0" t="n">
        <v>2891983</v>
      </c>
      <c r="CJ149" s="0" t="n">
        <v>676344</v>
      </c>
    </row>
    <row r="150" ht="14.4975" customHeight="1" s="64">
      <c r="BF150" s="0" t="inlineStr">
        <is>
          <t>2027BUD_V1</t>
        </is>
      </c>
      <c r="BG150" s="0" t="inlineStr">
        <is>
          <t>ACT</t>
        </is>
      </c>
      <c r="BH150" s="0" t="inlineStr">
        <is>
          <t>12</t>
        </is>
      </c>
      <c r="BI150" s="0" t="inlineStr">
        <is>
          <t>2026</t>
        </is>
      </c>
      <c r="BJ150" s="0" t="inlineStr">
        <is>
          <t>MBWAY_BOR</t>
        </is>
      </c>
      <c r="BK150" s="0" t="inlineStr">
        <is>
          <t>MBWAY</t>
        </is>
      </c>
      <c r="BL150" s="0" t="inlineStr">
        <is>
          <t>MAS_MGT</t>
        </is>
      </c>
      <c r="BM150" s="0" t="inlineStr">
        <is>
          <t>M2</t>
        </is>
      </c>
      <c r="BN150" s="0" t="inlineStr">
        <is>
          <t>ALT</t>
        </is>
      </c>
      <c r="BO150" s="0" t="n">
        <v>50</v>
      </c>
      <c r="BP150" s="0" t="n">
        <v>2</v>
      </c>
      <c r="BQ150" s="0" t="n">
        <v>363750</v>
      </c>
      <c r="BR150" s="0" t="n">
        <v>21127.575</v>
      </c>
      <c r="BS150" s="0" t="n">
        <v>49058.99075</v>
      </c>
      <c r="BT150" s="0" t="n">
        <v>18604.799556</v>
      </c>
      <c r="BU150" s="0" t="n">
        <v>132547.764</v>
      </c>
      <c r="BV150" s="0" t="n">
        <v>11169.564459</v>
      </c>
      <c r="BW150" s="0" t="n">
        <v>46249.228759</v>
      </c>
      <c r="BX150" s="0" t="n">
        <v>57418.793218</v>
      </c>
      <c r="BY150" s="0" t="n">
        <v>39732.374556</v>
      </c>
      <c r="BZ150" s="0" t="n">
        <v>239025.547968</v>
      </c>
      <c r="CA150" s="0" t="n">
        <v>278757.922524</v>
      </c>
      <c r="CB150" s="0" t="n">
        <v>84992.07747600001</v>
      </c>
      <c r="CC150" s="0" t="n">
        <v>0</v>
      </c>
      <c r="CD150" s="0" t="n">
        <v>120729</v>
      </c>
      <c r="CE150" s="0" t="n">
        <v>280337.09</v>
      </c>
      <c r="CF150" s="0" t="n">
        <v>92652</v>
      </c>
      <c r="CG150" s="0" t="n">
        <v>24923</v>
      </c>
      <c r="CH150" s="0" t="n">
        <v>662738.8199999999</v>
      </c>
      <c r="CI150" s="0" t="n">
        <v>2891983</v>
      </c>
      <c r="CJ150" s="0" t="n">
        <v>676344</v>
      </c>
    </row>
    <row r="151" ht="14.4975" customHeight="1" s="64">
      <c r="BF151" s="0" t="inlineStr">
        <is>
          <t>2027BUD_V1</t>
        </is>
      </c>
      <c r="BG151" s="0" t="inlineStr">
        <is>
          <t>ACT</t>
        </is>
      </c>
      <c r="BH151" s="0" t="inlineStr">
        <is>
          <t>12</t>
        </is>
      </c>
      <c r="BI151" s="0" t="inlineStr">
        <is>
          <t>2026</t>
        </is>
      </c>
      <c r="BJ151" s="0" t="inlineStr">
        <is>
          <t>MBWAY_LYO</t>
        </is>
      </c>
      <c r="BK151" s="0" t="inlineStr">
        <is>
          <t>MBWAY</t>
        </is>
      </c>
      <c r="BL151" s="0" t="inlineStr">
        <is>
          <t>BAC_MGT</t>
        </is>
      </c>
      <c r="BM151" s="0" t="inlineStr">
        <is>
          <t>B1</t>
        </is>
      </c>
      <c r="BN151" s="0" t="inlineStr">
        <is>
          <t>INIT</t>
        </is>
      </c>
      <c r="BO151" s="0" t="n">
        <v>66</v>
      </c>
      <c r="BP151" s="0" t="n">
        <v>3</v>
      </c>
      <c r="BQ151" s="0" t="n">
        <v>525690</v>
      </c>
      <c r="BR151" s="0" t="n">
        <v>45273.377028</v>
      </c>
      <c r="BS151" s="0" t="n">
        <v>115440.015281</v>
      </c>
      <c r="BT151" s="0" t="n">
        <v>45449.729977</v>
      </c>
      <c r="BU151" s="0" t="n">
        <v>218464.295382</v>
      </c>
      <c r="BV151" s="0" t="n">
        <v>16769.864589</v>
      </c>
      <c r="BW151" s="0" t="n">
        <v>69438.09729799999</v>
      </c>
      <c r="BX151" s="0" t="n">
        <v>86207.961887</v>
      </c>
      <c r="BY151" s="0" t="n">
        <v>90723.107005</v>
      </c>
      <c r="BZ151" s="0" t="n">
        <v>420112.27255</v>
      </c>
      <c r="CA151" s="0" t="n">
        <v>510835.379555</v>
      </c>
      <c r="CB151" s="0" t="n">
        <v>14854.620445</v>
      </c>
      <c r="CC151" s="0" t="n">
        <v>66</v>
      </c>
      <c r="CD151" s="0" t="n">
        <v>156948</v>
      </c>
      <c r="CE151" s="0" t="n">
        <v>400192.8</v>
      </c>
      <c r="CF151" s="0" t="n">
        <v>120559</v>
      </c>
      <c r="CG151" s="0" t="n">
        <v>41783</v>
      </c>
      <c r="CH151" s="0" t="n">
        <v>946679.5600000001</v>
      </c>
      <c r="CI151" s="0" t="n">
        <v>2891983</v>
      </c>
      <c r="CJ151" s="0" t="n">
        <v>676344</v>
      </c>
    </row>
    <row r="152" ht="14.4975" customHeight="1" s="64">
      <c r="BF152" s="0" t="inlineStr">
        <is>
          <t>2027BUD_V1</t>
        </is>
      </c>
      <c r="BG152" s="0" t="inlineStr">
        <is>
          <t>ACT</t>
        </is>
      </c>
      <c r="BH152" s="0" t="inlineStr">
        <is>
          <t>12</t>
        </is>
      </c>
      <c r="BI152" s="0" t="inlineStr">
        <is>
          <t>2026</t>
        </is>
      </c>
      <c r="BJ152" s="0" t="inlineStr">
        <is>
          <t>MBWAY_LYO</t>
        </is>
      </c>
      <c r="BK152" s="0" t="inlineStr">
        <is>
          <t>MBWAY</t>
        </is>
      </c>
      <c r="BL152" s="0" t="inlineStr">
        <is>
          <t>BAC_MGT</t>
        </is>
      </c>
      <c r="BM152" s="0" t="inlineStr">
        <is>
          <t>B2</t>
        </is>
      </c>
      <c r="BN152" s="0" t="inlineStr">
        <is>
          <t>ALT</t>
        </is>
      </c>
      <c r="BO152" s="0" t="n">
        <v>64</v>
      </c>
      <c r="BP152" s="0" t="n">
        <v>2</v>
      </c>
      <c r="BQ152" s="0" t="n">
        <v>470400</v>
      </c>
      <c r="BR152" s="0" t="n">
        <v>24145.822008</v>
      </c>
      <c r="BS152" s="0" t="n">
        <v>61568.061509</v>
      </c>
      <c r="BT152" s="0" t="n">
        <v>23814.01927</v>
      </c>
      <c r="BU152" s="0" t="n">
        <v>145642.863588</v>
      </c>
      <c r="BV152" s="0" t="n">
        <v>11179.909726</v>
      </c>
      <c r="BW152" s="0" t="n">
        <v>46292.064865</v>
      </c>
      <c r="BX152" s="0" t="n">
        <v>57471.974591</v>
      </c>
      <c r="BY152" s="0" t="n">
        <v>47959.841278</v>
      </c>
      <c r="BZ152" s="0" t="n">
        <v>264682.899688</v>
      </c>
      <c r="CA152" s="0" t="n">
        <v>312642.740966</v>
      </c>
      <c r="CB152" s="0" t="n">
        <v>157757.259034</v>
      </c>
      <c r="CC152" s="0" t="n">
        <v>0</v>
      </c>
      <c r="CD152" s="0" t="n">
        <v>156948</v>
      </c>
      <c r="CE152" s="0" t="n">
        <v>400192.8</v>
      </c>
      <c r="CF152" s="0" t="n">
        <v>120559</v>
      </c>
      <c r="CG152" s="0" t="n">
        <v>41783</v>
      </c>
      <c r="CH152" s="0" t="n">
        <v>946679.5600000001</v>
      </c>
      <c r="CI152" s="0" t="n">
        <v>2891983</v>
      </c>
      <c r="CJ152" s="0" t="n">
        <v>676344</v>
      </c>
    </row>
    <row r="153" ht="14.4975" customHeight="1" s="64">
      <c r="BF153" s="0" t="inlineStr">
        <is>
          <t>2027BUD_V1</t>
        </is>
      </c>
      <c r="BG153" s="0" t="inlineStr">
        <is>
          <t>ACT</t>
        </is>
      </c>
      <c r="BH153" s="0" t="inlineStr">
        <is>
          <t>12</t>
        </is>
      </c>
      <c r="BI153" s="0" t="inlineStr">
        <is>
          <t>2026</t>
        </is>
      </c>
      <c r="BJ153" s="0" t="inlineStr">
        <is>
          <t>MBWAY_LYO</t>
        </is>
      </c>
      <c r="BK153" s="0" t="inlineStr">
        <is>
          <t>MBWAY</t>
        </is>
      </c>
      <c r="BL153" s="0" t="inlineStr">
        <is>
          <t>BAC_MGT</t>
        </is>
      </c>
      <c r="BM153" s="0" t="inlineStr">
        <is>
          <t>B3</t>
        </is>
      </c>
      <c r="BN153" s="0" t="inlineStr">
        <is>
          <t>ALT</t>
        </is>
      </c>
      <c r="BO153" s="0" t="n">
        <v>63</v>
      </c>
      <c r="BP153" s="0" t="n">
        <v>2</v>
      </c>
      <c r="BQ153" s="0" t="n">
        <v>463050</v>
      </c>
      <c r="BR153" s="0" t="n">
        <v>24145.822008</v>
      </c>
      <c r="BS153" s="0" t="n">
        <v>61568.061509</v>
      </c>
      <c r="BT153" s="0" t="n">
        <v>23441.974196</v>
      </c>
      <c r="BU153" s="0" t="n">
        <v>145642.863588</v>
      </c>
      <c r="BV153" s="0" t="n">
        <v>11179.909726</v>
      </c>
      <c r="BW153" s="0" t="n">
        <v>46292.064865</v>
      </c>
      <c r="BX153" s="0" t="n">
        <v>57471.974591</v>
      </c>
      <c r="BY153" s="0" t="n">
        <v>47587.796204</v>
      </c>
      <c r="BZ153" s="0" t="n">
        <v>264682.899688</v>
      </c>
      <c r="CA153" s="0" t="n">
        <v>312270.695892</v>
      </c>
      <c r="CB153" s="0" t="n">
        <v>150779.304108</v>
      </c>
      <c r="CC153" s="0" t="n">
        <v>0</v>
      </c>
      <c r="CD153" s="0" t="n">
        <v>156948</v>
      </c>
      <c r="CE153" s="0" t="n">
        <v>400192.8</v>
      </c>
      <c r="CF153" s="0" t="n">
        <v>120559</v>
      </c>
      <c r="CG153" s="0" t="n">
        <v>41783</v>
      </c>
      <c r="CH153" s="0" t="n">
        <v>946679.5600000001</v>
      </c>
      <c r="CI153" s="0" t="n">
        <v>2891983</v>
      </c>
      <c r="CJ153" s="0" t="n">
        <v>676344</v>
      </c>
    </row>
    <row r="154" ht="14.4975" customHeight="1" s="64">
      <c r="BF154" s="0" t="inlineStr">
        <is>
          <t>2027BUD_V1</t>
        </is>
      </c>
      <c r="BG154" s="0" t="inlineStr">
        <is>
          <t>ACT</t>
        </is>
      </c>
      <c r="BH154" s="0" t="inlineStr">
        <is>
          <t>12</t>
        </is>
      </c>
      <c r="BI154" s="0" t="inlineStr">
        <is>
          <t>2026</t>
        </is>
      </c>
      <c r="BJ154" s="0" t="inlineStr">
        <is>
          <t>MBWAY_LYO</t>
        </is>
      </c>
      <c r="BK154" s="0" t="inlineStr">
        <is>
          <t>MBWAY</t>
        </is>
      </c>
      <c r="BL154" s="0" t="inlineStr">
        <is>
          <t>MAS_MGT</t>
        </is>
      </c>
      <c r="BM154" s="0" t="inlineStr">
        <is>
          <t>M1</t>
        </is>
      </c>
      <c r="BN154" s="0" t="inlineStr">
        <is>
          <t>ALT</t>
        </is>
      </c>
      <c r="BO154" s="0" t="n">
        <v>66</v>
      </c>
      <c r="BP154" s="0" t="n">
        <v>3</v>
      </c>
      <c r="BQ154" s="0" t="n">
        <v>525690</v>
      </c>
      <c r="BR154" s="0" t="n">
        <v>31691.411004</v>
      </c>
      <c r="BS154" s="0" t="n">
        <v>80808.130754</v>
      </c>
      <c r="BT154" s="0" t="n">
        <v>45449.729977</v>
      </c>
      <c r="BU154" s="0" t="n">
        <v>218464.295382</v>
      </c>
      <c r="BV154" s="0" t="n">
        <v>16769.864589</v>
      </c>
      <c r="BW154" s="0" t="n">
        <v>69438.09729799999</v>
      </c>
      <c r="BX154" s="0" t="n">
        <v>86207.961887</v>
      </c>
      <c r="BY154" s="0" t="n">
        <v>77141.140981</v>
      </c>
      <c r="BZ154" s="0" t="n">
        <v>385480.388023</v>
      </c>
      <c r="CA154" s="0" t="n">
        <v>462621.529004</v>
      </c>
      <c r="CB154" s="0" t="n">
        <v>63068.470996</v>
      </c>
      <c r="CC154" s="0" t="n">
        <v>66</v>
      </c>
      <c r="CD154" s="0" t="n">
        <v>156948</v>
      </c>
      <c r="CE154" s="0" t="n">
        <v>400192.8</v>
      </c>
      <c r="CF154" s="0" t="n">
        <v>120559</v>
      </c>
      <c r="CG154" s="0" t="n">
        <v>41783</v>
      </c>
      <c r="CH154" s="0" t="n">
        <v>946679.5600000001</v>
      </c>
      <c r="CI154" s="0" t="n">
        <v>2891983</v>
      </c>
      <c r="CJ154" s="0" t="n">
        <v>676344</v>
      </c>
    </row>
    <row r="155" ht="14.4975" customHeight="1" s="64">
      <c r="BF155" s="0" t="inlineStr">
        <is>
          <t>2027BUD_V1</t>
        </is>
      </c>
      <c r="BG155" s="0" t="inlineStr">
        <is>
          <t>ACT</t>
        </is>
      </c>
      <c r="BH155" s="0" t="inlineStr">
        <is>
          <t>12</t>
        </is>
      </c>
      <c r="BI155" s="0" t="inlineStr">
        <is>
          <t>2026</t>
        </is>
      </c>
      <c r="BJ155" s="0" t="inlineStr">
        <is>
          <t>MBWAY_LYO</t>
        </is>
      </c>
      <c r="BK155" s="0" t="inlineStr">
        <is>
          <t>MBWAY</t>
        </is>
      </c>
      <c r="BL155" s="0" t="inlineStr">
        <is>
          <t>MAS_MGT</t>
        </is>
      </c>
      <c r="BM155" s="0" t="inlineStr">
        <is>
          <t>M2</t>
        </is>
      </c>
      <c r="BN155" s="0" t="inlineStr">
        <is>
          <t>ALT</t>
        </is>
      </c>
      <c r="BO155" s="0" t="n">
        <v>65</v>
      </c>
      <c r="BP155" s="0" t="n">
        <v>3</v>
      </c>
      <c r="BQ155" s="0" t="n">
        <v>511875</v>
      </c>
      <c r="BR155" s="0" t="n">
        <v>31691.411004</v>
      </c>
      <c r="BS155" s="0" t="n">
        <v>80808.130754</v>
      </c>
      <c r="BT155" s="0" t="n">
        <v>24186.184903</v>
      </c>
      <c r="BU155" s="0" t="n">
        <v>218464.295382</v>
      </c>
      <c r="BV155" s="0" t="n">
        <v>16769.864589</v>
      </c>
      <c r="BW155" s="0" t="n">
        <v>69438.09729799999</v>
      </c>
      <c r="BX155" s="0" t="n">
        <v>86207.961887</v>
      </c>
      <c r="BY155" s="0" t="n">
        <v>55877.595907</v>
      </c>
      <c r="BZ155" s="0" t="n">
        <v>385480.388023</v>
      </c>
      <c r="CA155" s="0" t="n">
        <v>441357.98393</v>
      </c>
      <c r="CB155" s="0" t="n">
        <v>70517.01607</v>
      </c>
      <c r="CC155" s="0" t="n">
        <v>0</v>
      </c>
      <c r="CD155" s="0" t="n">
        <v>156948</v>
      </c>
      <c r="CE155" s="0" t="n">
        <v>400192.8</v>
      </c>
      <c r="CF155" s="0" t="n">
        <v>120559</v>
      </c>
      <c r="CG155" s="0" t="n">
        <v>41783</v>
      </c>
      <c r="CH155" s="0" t="n">
        <v>946679.5600000001</v>
      </c>
      <c r="CI155" s="0" t="n">
        <v>2891983</v>
      </c>
      <c r="CJ155" s="0" t="n">
        <v>676344</v>
      </c>
    </row>
    <row r="156" ht="14.4975" customHeight="1" s="64">
      <c r="BF156" s="0" t="inlineStr">
        <is>
          <t>2027BUD_V1</t>
        </is>
      </c>
      <c r="BG156" s="0" t="inlineStr">
        <is>
          <t>ACT</t>
        </is>
      </c>
      <c r="BH156" s="0" t="inlineStr">
        <is>
          <t>12</t>
        </is>
      </c>
      <c r="BI156" s="0" t="inlineStr">
        <is>
          <t>2026</t>
        </is>
      </c>
      <c r="BJ156" s="0" t="inlineStr">
        <is>
          <t>MBWAY_NAN</t>
        </is>
      </c>
      <c r="BK156" s="0" t="inlineStr">
        <is>
          <t>MBWAY</t>
        </is>
      </c>
      <c r="BL156" s="0" t="inlineStr">
        <is>
          <t>BAC_MGT</t>
        </is>
      </c>
      <c r="BM156" s="0" t="inlineStr">
        <is>
          <t>B1</t>
        </is>
      </c>
      <c r="BN156" s="0" t="inlineStr">
        <is>
          <t>INIT</t>
        </is>
      </c>
      <c r="BO156" s="0" t="n">
        <v>60</v>
      </c>
      <c r="BP156" s="0" t="n">
        <v>2</v>
      </c>
      <c r="BQ156" s="0" t="n">
        <v>455400</v>
      </c>
      <c r="BR156" s="0" t="n">
        <v>30824.329375</v>
      </c>
      <c r="BS156" s="0" t="n">
        <v>73244.861886</v>
      </c>
      <c r="BT156" s="0" t="n">
        <v>38092.145076</v>
      </c>
      <c r="BU156" s="0" t="n">
        <v>134165.151671</v>
      </c>
      <c r="BV156" s="0" t="n">
        <v>10990.102119</v>
      </c>
      <c r="BW156" s="0" t="n">
        <v>45506.138479</v>
      </c>
      <c r="BX156" s="0" t="n">
        <v>56496.240598</v>
      </c>
      <c r="BY156" s="0" t="n">
        <v>68916.474451</v>
      </c>
      <c r="BZ156" s="0" t="n">
        <v>263906.254155</v>
      </c>
      <c r="CA156" s="0" t="n">
        <v>332822.728606</v>
      </c>
      <c r="CB156" s="0" t="n">
        <v>122577.271394</v>
      </c>
      <c r="CC156" s="0" t="n">
        <v>60</v>
      </c>
      <c r="CD156" s="0" t="n">
        <v>144875</v>
      </c>
      <c r="CE156" s="0" t="n">
        <v>344252.4</v>
      </c>
      <c r="CF156" s="0" t="n">
        <v>109396</v>
      </c>
      <c r="CG156" s="0" t="n">
        <v>31533</v>
      </c>
      <c r="CH156" s="0" t="n">
        <v>804994.13</v>
      </c>
      <c r="CI156" s="0" t="n">
        <v>2891983</v>
      </c>
      <c r="CJ156" s="0" t="n">
        <v>676344</v>
      </c>
    </row>
    <row r="157" ht="14.4975" customHeight="1" s="64">
      <c r="BF157" s="0" t="inlineStr">
        <is>
          <t>2027BUD_V1</t>
        </is>
      </c>
      <c r="BG157" s="0" t="inlineStr">
        <is>
          <t>ACT</t>
        </is>
      </c>
      <c r="BH157" s="0" t="inlineStr">
        <is>
          <t>12</t>
        </is>
      </c>
      <c r="BI157" s="0" t="inlineStr">
        <is>
          <t>2026</t>
        </is>
      </c>
      <c r="BJ157" s="0" t="inlineStr">
        <is>
          <t>MBWAY_NAN</t>
        </is>
      </c>
      <c r="BK157" s="0" t="inlineStr">
        <is>
          <t>MBWAY</t>
        </is>
      </c>
      <c r="BL157" s="0" t="inlineStr">
        <is>
          <t>BAC_MGT</t>
        </is>
      </c>
      <c r="BM157" s="0" t="inlineStr">
        <is>
          <t>B2</t>
        </is>
      </c>
      <c r="BN157" s="0" t="inlineStr">
        <is>
          <t>ALT</t>
        </is>
      </c>
      <c r="BO157" s="0" t="n">
        <v>58</v>
      </c>
      <c r="BP157" s="0" t="n">
        <v>2</v>
      </c>
      <c r="BQ157" s="0" t="n">
        <v>406000</v>
      </c>
      <c r="BR157" s="0" t="n">
        <v>24659.4635</v>
      </c>
      <c r="BS157" s="0" t="n">
        <v>58595.889509</v>
      </c>
      <c r="BT157" s="0" t="n">
        <v>21581.424088</v>
      </c>
      <c r="BU157" s="0" t="n">
        <v>134165.151671</v>
      </c>
      <c r="BV157" s="0" t="n">
        <v>10990.102119</v>
      </c>
      <c r="BW157" s="0" t="n">
        <v>45506.138479</v>
      </c>
      <c r="BX157" s="0" t="n">
        <v>56496.240598</v>
      </c>
      <c r="BY157" s="0" t="n">
        <v>46240.887588</v>
      </c>
      <c r="BZ157" s="0" t="n">
        <v>249257.281778</v>
      </c>
      <c r="CA157" s="0" t="n">
        <v>295498.169366</v>
      </c>
      <c r="CB157" s="0" t="n">
        <v>110501.830634</v>
      </c>
      <c r="CC157" s="0" t="n">
        <v>0</v>
      </c>
      <c r="CD157" s="0" t="n">
        <v>144875</v>
      </c>
      <c r="CE157" s="0" t="n">
        <v>344252.4</v>
      </c>
      <c r="CF157" s="0" t="n">
        <v>109396</v>
      </c>
      <c r="CG157" s="0" t="n">
        <v>31533</v>
      </c>
      <c r="CH157" s="0" t="n">
        <v>804994.13</v>
      </c>
      <c r="CI157" s="0" t="n">
        <v>2891983</v>
      </c>
      <c r="CJ157" s="0" t="n">
        <v>676344</v>
      </c>
    </row>
    <row r="158" ht="14.4975" customHeight="1" s="64">
      <c r="BF158" s="0" t="inlineStr">
        <is>
          <t>2027BUD_V1</t>
        </is>
      </c>
      <c r="BG158" s="0" t="inlineStr">
        <is>
          <t>ACT</t>
        </is>
      </c>
      <c r="BH158" s="0" t="inlineStr">
        <is>
          <t>12</t>
        </is>
      </c>
      <c r="BI158" s="0" t="inlineStr">
        <is>
          <t>2026</t>
        </is>
      </c>
      <c r="BJ158" s="0" t="inlineStr">
        <is>
          <t>MBWAY_NAN</t>
        </is>
      </c>
      <c r="BK158" s="0" t="inlineStr">
        <is>
          <t>MBWAY</t>
        </is>
      </c>
      <c r="BL158" s="0" t="inlineStr">
        <is>
          <t>BAC_MGT</t>
        </is>
      </c>
      <c r="BM158" s="0" t="inlineStr">
        <is>
          <t>B3</t>
        </is>
      </c>
      <c r="BN158" s="0" t="inlineStr">
        <is>
          <t>ALT</t>
        </is>
      </c>
      <c r="BO158" s="0" t="n">
        <v>57</v>
      </c>
      <c r="BP158" s="0" t="n">
        <v>2</v>
      </c>
      <c r="BQ158" s="0" t="n">
        <v>399000</v>
      </c>
      <c r="BR158" s="0" t="n">
        <v>24659.4635</v>
      </c>
      <c r="BS158" s="0" t="n">
        <v>58595.889509</v>
      </c>
      <c r="BT158" s="0" t="n">
        <v>21209.368292</v>
      </c>
      <c r="BU158" s="0" t="n">
        <v>134165.151671</v>
      </c>
      <c r="BV158" s="0" t="n">
        <v>10990.102119</v>
      </c>
      <c r="BW158" s="0" t="n">
        <v>45506.138479</v>
      </c>
      <c r="BX158" s="0" t="n">
        <v>56496.240598</v>
      </c>
      <c r="BY158" s="0" t="n">
        <v>45868.831792</v>
      </c>
      <c r="BZ158" s="0" t="n">
        <v>249257.281778</v>
      </c>
      <c r="CA158" s="0" t="n">
        <v>295126.11357</v>
      </c>
      <c r="CB158" s="0" t="n">
        <v>103873.88643</v>
      </c>
      <c r="CC158" s="0" t="n">
        <v>0</v>
      </c>
      <c r="CD158" s="0" t="n">
        <v>144875</v>
      </c>
      <c r="CE158" s="0" t="n">
        <v>344252.4</v>
      </c>
      <c r="CF158" s="0" t="n">
        <v>109396</v>
      </c>
      <c r="CG158" s="0" t="n">
        <v>31533</v>
      </c>
      <c r="CH158" s="0" t="n">
        <v>804994.13</v>
      </c>
      <c r="CI158" s="0" t="n">
        <v>2891983</v>
      </c>
      <c r="CJ158" s="0" t="n">
        <v>676344</v>
      </c>
    </row>
    <row r="159" ht="14.4975" customHeight="1" s="64">
      <c r="BF159" s="0" t="inlineStr">
        <is>
          <t>2027BUD_V1</t>
        </is>
      </c>
      <c r="BG159" s="0" t="inlineStr">
        <is>
          <t>ACT</t>
        </is>
      </c>
      <c r="BH159" s="0" t="inlineStr">
        <is>
          <t>12</t>
        </is>
      </c>
      <c r="BI159" s="0" t="inlineStr">
        <is>
          <t>2026</t>
        </is>
      </c>
      <c r="BJ159" s="0" t="inlineStr">
        <is>
          <t>MBWAY_NAN</t>
        </is>
      </c>
      <c r="BK159" s="0" t="inlineStr">
        <is>
          <t>MBWAY</t>
        </is>
      </c>
      <c r="BL159" s="0" t="inlineStr">
        <is>
          <t>MAS_MGT</t>
        </is>
      </c>
      <c r="BM159" s="0" t="inlineStr">
        <is>
          <t>M1</t>
        </is>
      </c>
      <c r="BN159" s="0" t="inlineStr">
        <is>
          <t>ALT</t>
        </is>
      </c>
      <c r="BO159" s="0" t="n">
        <v>60</v>
      </c>
      <c r="BP159" s="0" t="n">
        <v>3</v>
      </c>
      <c r="BQ159" s="0" t="n">
        <v>455400</v>
      </c>
      <c r="BR159" s="0" t="n">
        <v>32365.6545</v>
      </c>
      <c r="BS159" s="0" t="n">
        <v>76907.36317</v>
      </c>
      <c r="BT159" s="0" t="n">
        <v>38092.145076</v>
      </c>
      <c r="BU159" s="0" t="n">
        <v>201248.5325</v>
      </c>
      <c r="BV159" s="0" t="n">
        <v>16485.21912</v>
      </c>
      <c r="BW159" s="0" t="n">
        <v>68259.480756</v>
      </c>
      <c r="BX159" s="0" t="n">
        <v>84744.699876</v>
      </c>
      <c r="BY159" s="0" t="n">
        <v>70457.799576</v>
      </c>
      <c r="BZ159" s="0" t="n">
        <v>362900.595546</v>
      </c>
      <c r="CA159" s="0" t="n">
        <v>433358.395122</v>
      </c>
      <c r="CB159" s="0" t="n">
        <v>22041.604878</v>
      </c>
      <c r="CC159" s="0" t="n">
        <v>60</v>
      </c>
      <c r="CD159" s="0" t="n">
        <v>144875</v>
      </c>
      <c r="CE159" s="0" t="n">
        <v>344252.4</v>
      </c>
      <c r="CF159" s="0" t="n">
        <v>109396</v>
      </c>
      <c r="CG159" s="0" t="n">
        <v>31533</v>
      </c>
      <c r="CH159" s="0" t="n">
        <v>804994.13</v>
      </c>
      <c r="CI159" s="0" t="n">
        <v>2891983</v>
      </c>
      <c r="CJ159" s="0" t="n">
        <v>676344</v>
      </c>
    </row>
    <row r="160" ht="14.4975" customHeight="1" s="64">
      <c r="BF160" s="0" t="inlineStr">
        <is>
          <t>2027BUD_V1</t>
        </is>
      </c>
      <c r="BG160" s="0" t="inlineStr">
        <is>
          <t>ACT</t>
        </is>
      </c>
      <c r="BH160" s="0" t="inlineStr">
        <is>
          <t>12</t>
        </is>
      </c>
      <c r="BI160" s="0" t="inlineStr">
        <is>
          <t>2026</t>
        </is>
      </c>
      <c r="BJ160" s="0" t="inlineStr">
        <is>
          <t>MBWAY_NAN</t>
        </is>
      </c>
      <c r="BK160" s="0" t="inlineStr">
        <is>
          <t>MBWAY</t>
        </is>
      </c>
      <c r="BL160" s="0" t="inlineStr">
        <is>
          <t>MAS_MGT</t>
        </is>
      </c>
      <c r="BM160" s="0" t="inlineStr">
        <is>
          <t>M2</t>
        </is>
      </c>
      <c r="BN160" s="0" t="inlineStr">
        <is>
          <t>ALT</t>
        </is>
      </c>
      <c r="BO160" s="0" t="n">
        <v>59</v>
      </c>
      <c r="BP160" s="0" t="n">
        <v>3</v>
      </c>
      <c r="BQ160" s="0" t="n">
        <v>442500</v>
      </c>
      <c r="BR160" s="0" t="n">
        <v>32365.6545</v>
      </c>
      <c r="BS160" s="0" t="n">
        <v>76907.36317</v>
      </c>
      <c r="BT160" s="0" t="n">
        <v>21953.58928</v>
      </c>
      <c r="BU160" s="0" t="n">
        <v>201248.5325</v>
      </c>
      <c r="BV160" s="0" t="n">
        <v>16485.21912</v>
      </c>
      <c r="BW160" s="0" t="n">
        <v>68259.480756</v>
      </c>
      <c r="BX160" s="0" t="n">
        <v>84744.699876</v>
      </c>
      <c r="BY160" s="0" t="n">
        <v>54319.24378</v>
      </c>
      <c r="BZ160" s="0" t="n">
        <v>362900.595546</v>
      </c>
      <c r="CA160" s="0" t="n">
        <v>417219.839326</v>
      </c>
      <c r="CB160" s="0" t="n">
        <v>25280.160674</v>
      </c>
      <c r="CC160" s="0" t="n">
        <v>0</v>
      </c>
      <c r="CD160" s="0" t="n">
        <v>144875</v>
      </c>
      <c r="CE160" s="0" t="n">
        <v>344252.4</v>
      </c>
      <c r="CF160" s="0" t="n">
        <v>109396</v>
      </c>
      <c r="CG160" s="0" t="n">
        <v>31533</v>
      </c>
      <c r="CH160" s="0" t="n">
        <v>804994.13</v>
      </c>
      <c r="CI160" s="0" t="n">
        <v>2891983</v>
      </c>
      <c r="CJ160" s="0" t="n">
        <v>676344</v>
      </c>
    </row>
    <row r="161" ht="14.4975" customHeight="1" s="64">
      <c r="BF161" s="0" t="inlineStr">
        <is>
          <t>2027BUD_V1</t>
        </is>
      </c>
      <c r="BG161" s="0" t="inlineStr">
        <is>
          <t>ACT</t>
        </is>
      </c>
      <c r="BH161" s="0" t="inlineStr">
        <is>
          <t>12</t>
        </is>
      </c>
      <c r="BI161" s="0" t="inlineStr">
        <is>
          <t>2026</t>
        </is>
      </c>
      <c r="BJ161" s="0" t="inlineStr">
        <is>
          <t>MBWAY_PAR</t>
        </is>
      </c>
      <c r="BK161" s="0" t="inlineStr">
        <is>
          <t>MBWAY</t>
        </is>
      </c>
      <c r="BL161" s="0" t="inlineStr">
        <is>
          <t>BAC_MGT</t>
        </is>
      </c>
      <c r="BM161" s="0" t="inlineStr">
        <is>
          <t>B1</t>
        </is>
      </c>
      <c r="BN161" s="0" t="inlineStr">
        <is>
          <t>INIT</t>
        </is>
      </c>
      <c r="BO161" s="0" t="n">
        <v>78</v>
      </c>
      <c r="BP161" s="0" t="n">
        <v>3</v>
      </c>
      <c r="BQ161" s="0" t="n">
        <v>662220</v>
      </c>
      <c r="BR161" s="0" t="n">
        <v>45273.5</v>
      </c>
      <c r="BS161" s="0" t="n">
        <v>125515.74</v>
      </c>
      <c r="BT161" s="0" t="n">
        <v>63168.78232</v>
      </c>
      <c r="BU161" s="0" t="n">
        <v>241037.706</v>
      </c>
      <c r="BV161" s="0" t="n">
        <v>17135.641091</v>
      </c>
      <c r="BW161" s="0" t="n">
        <v>70952.648843</v>
      </c>
      <c r="BX161" s="0" t="n">
        <v>88088.289934</v>
      </c>
      <c r="BY161" s="0" t="n">
        <v>108442.28232</v>
      </c>
      <c r="BZ161" s="0" t="n">
        <v>454641.735934</v>
      </c>
      <c r="CA161" s="0" t="n">
        <v>563084.018254</v>
      </c>
      <c r="CB161" s="0" t="n">
        <v>99135.981746</v>
      </c>
      <c r="CC161" s="0" t="n">
        <v>78</v>
      </c>
      <c r="CD161" s="0" t="n">
        <v>181094</v>
      </c>
      <c r="CE161" s="0" t="n">
        <v>502062.96</v>
      </c>
      <c r="CF161" s="0" t="n">
        <v>142140</v>
      </c>
      <c r="CG161" s="0" t="n">
        <v>68291</v>
      </c>
      <c r="CH161" s="0" t="n">
        <v>1205188.53</v>
      </c>
      <c r="CI161" s="0" t="n">
        <v>2891983</v>
      </c>
      <c r="CJ161" s="0" t="n">
        <v>676344</v>
      </c>
    </row>
    <row r="162" ht="14.4975" customHeight="1" s="64">
      <c r="BF162" s="0" t="inlineStr">
        <is>
          <t>2027BUD_V1</t>
        </is>
      </c>
      <c r="BG162" s="0" t="inlineStr">
        <is>
          <t>ACT</t>
        </is>
      </c>
      <c r="BH162" s="0" t="inlineStr">
        <is>
          <t>12</t>
        </is>
      </c>
      <c r="BI162" s="0" t="inlineStr">
        <is>
          <t>2026</t>
        </is>
      </c>
      <c r="BJ162" s="0" t="inlineStr">
        <is>
          <t>MBWAY_PAR</t>
        </is>
      </c>
      <c r="BK162" s="0" t="inlineStr">
        <is>
          <t>MBWAY</t>
        </is>
      </c>
      <c r="BL162" s="0" t="inlineStr">
        <is>
          <t>BAC_MGT</t>
        </is>
      </c>
      <c r="BM162" s="0" t="inlineStr">
        <is>
          <t>B2</t>
        </is>
      </c>
      <c r="BN162" s="0" t="inlineStr">
        <is>
          <t>ALT</t>
        </is>
      </c>
      <c r="BO162" s="0" t="n">
        <v>76</v>
      </c>
      <c r="BP162" s="0" t="n">
        <v>3</v>
      </c>
      <c r="BQ162" s="0" t="n">
        <v>595840</v>
      </c>
      <c r="BR162" s="0" t="n">
        <v>36218.8</v>
      </c>
      <c r="BS162" s="0" t="n">
        <v>100412.592</v>
      </c>
      <c r="BT162" s="0" t="n">
        <v>28279.03728</v>
      </c>
      <c r="BU162" s="0" t="n">
        <v>241037.706</v>
      </c>
      <c r="BV162" s="0" t="n">
        <v>17135.641091</v>
      </c>
      <c r="BW162" s="0" t="n">
        <v>70952.648843</v>
      </c>
      <c r="BX162" s="0" t="n">
        <v>88088.289934</v>
      </c>
      <c r="BY162" s="0" t="n">
        <v>64497.83728</v>
      </c>
      <c r="BZ162" s="0" t="n">
        <v>429538.587934</v>
      </c>
      <c r="CA162" s="0" t="n">
        <v>494036.425214</v>
      </c>
      <c r="CB162" s="0" t="n">
        <v>101803.574786</v>
      </c>
      <c r="CC162" s="0" t="n">
        <v>0</v>
      </c>
      <c r="CD162" s="0" t="n">
        <v>181094</v>
      </c>
      <c r="CE162" s="0" t="n">
        <v>502062.96</v>
      </c>
      <c r="CF162" s="0" t="n">
        <v>142140</v>
      </c>
      <c r="CG162" s="0" t="n">
        <v>68291</v>
      </c>
      <c r="CH162" s="0" t="n">
        <v>1205188.53</v>
      </c>
      <c r="CI162" s="0" t="n">
        <v>2891983</v>
      </c>
      <c r="CJ162" s="0" t="n">
        <v>676344</v>
      </c>
    </row>
    <row r="163" ht="14.4975" customHeight="1" s="64">
      <c r="BF163" s="0" t="inlineStr">
        <is>
          <t>2027BUD_V1</t>
        </is>
      </c>
      <c r="BG163" s="0" t="inlineStr">
        <is>
          <t>ACT</t>
        </is>
      </c>
      <c r="BH163" s="0" t="inlineStr">
        <is>
          <t>12</t>
        </is>
      </c>
      <c r="BI163" s="0" t="inlineStr">
        <is>
          <t>2026</t>
        </is>
      </c>
      <c r="BJ163" s="0" t="inlineStr">
        <is>
          <t>MBWAY_PAR</t>
        </is>
      </c>
      <c r="BK163" s="0" t="inlineStr">
        <is>
          <t>MBWAY</t>
        </is>
      </c>
      <c r="BL163" s="0" t="inlineStr">
        <is>
          <t>BAC_MGT</t>
        </is>
      </c>
      <c r="BM163" s="0" t="inlineStr">
        <is>
          <t>B3</t>
        </is>
      </c>
      <c r="BN163" s="0" t="inlineStr">
        <is>
          <t>ALT</t>
        </is>
      </c>
      <c r="BO163" s="0" t="n">
        <v>74</v>
      </c>
      <c r="BP163" s="0" t="n">
        <v>3</v>
      </c>
      <c r="BQ163" s="0" t="n">
        <v>580160</v>
      </c>
      <c r="BR163" s="0" t="n">
        <v>36218.8</v>
      </c>
      <c r="BS163" s="0" t="n">
        <v>100412.592</v>
      </c>
      <c r="BT163" s="0" t="n">
        <v>27534.93438</v>
      </c>
      <c r="BU163" s="0" t="n">
        <v>241037.706</v>
      </c>
      <c r="BV163" s="0" t="n">
        <v>17135.641091</v>
      </c>
      <c r="BW163" s="0" t="n">
        <v>70952.648843</v>
      </c>
      <c r="BX163" s="0" t="n">
        <v>88088.289934</v>
      </c>
      <c r="BY163" s="0" t="n">
        <v>63753.73438</v>
      </c>
      <c r="BZ163" s="0" t="n">
        <v>429538.587934</v>
      </c>
      <c r="CA163" s="0" t="n">
        <v>493292.322314</v>
      </c>
      <c r="CB163" s="0" t="n">
        <v>86867.677686</v>
      </c>
      <c r="CC163" s="0" t="n">
        <v>0</v>
      </c>
      <c r="CD163" s="0" t="n">
        <v>181094</v>
      </c>
      <c r="CE163" s="0" t="n">
        <v>502062.96</v>
      </c>
      <c r="CF163" s="0" t="n">
        <v>142140</v>
      </c>
      <c r="CG163" s="0" t="n">
        <v>68291</v>
      </c>
      <c r="CH163" s="0" t="n">
        <v>1205188.53</v>
      </c>
      <c r="CI163" s="0" t="n">
        <v>2891983</v>
      </c>
      <c r="CJ163" s="0" t="n">
        <v>676344</v>
      </c>
    </row>
    <row r="164" ht="14.4975" customHeight="1" s="64">
      <c r="BF164" s="0" t="inlineStr">
        <is>
          <t>2027BUD_V1</t>
        </is>
      </c>
      <c r="BG164" s="0" t="inlineStr">
        <is>
          <t>ACT</t>
        </is>
      </c>
      <c r="BH164" s="0" t="inlineStr">
        <is>
          <t>12</t>
        </is>
      </c>
      <c r="BI164" s="0" t="inlineStr">
        <is>
          <t>2026</t>
        </is>
      </c>
      <c r="BJ164" s="0" t="inlineStr">
        <is>
          <t>MBWAY_PAR</t>
        </is>
      </c>
      <c r="BK164" s="0" t="inlineStr">
        <is>
          <t>MBWAY</t>
        </is>
      </c>
      <c r="BL164" s="0" t="inlineStr">
        <is>
          <t>MAS_MGT</t>
        </is>
      </c>
      <c r="BM164" s="0" t="inlineStr">
        <is>
          <t>M1</t>
        </is>
      </c>
      <c r="BN164" s="0" t="inlineStr">
        <is>
          <t>ALT</t>
        </is>
      </c>
      <c r="BO164" s="0" t="n">
        <v>78</v>
      </c>
      <c r="BP164" s="0" t="n">
        <v>3</v>
      </c>
      <c r="BQ164" s="0" t="n">
        <v>662220</v>
      </c>
      <c r="BR164" s="0" t="n">
        <v>31691.45</v>
      </c>
      <c r="BS164" s="0" t="n">
        <v>87861.018</v>
      </c>
      <c r="BT164" s="0" t="n">
        <v>63168.78232</v>
      </c>
      <c r="BU164" s="0" t="n">
        <v>241037.706</v>
      </c>
      <c r="BV164" s="0" t="n">
        <v>17135.641091</v>
      </c>
      <c r="BW164" s="0" t="n">
        <v>70952.648843</v>
      </c>
      <c r="BX164" s="0" t="n">
        <v>88088.289934</v>
      </c>
      <c r="BY164" s="0" t="n">
        <v>94860.23232</v>
      </c>
      <c r="BZ164" s="0" t="n">
        <v>416987.013934</v>
      </c>
      <c r="CA164" s="0" t="n">
        <v>511847.246254</v>
      </c>
      <c r="CB164" s="0" t="n">
        <v>150372.753746</v>
      </c>
      <c r="CC164" s="0" t="n">
        <v>78</v>
      </c>
      <c r="CD164" s="0" t="n">
        <v>181094</v>
      </c>
      <c r="CE164" s="0" t="n">
        <v>502062.96</v>
      </c>
      <c r="CF164" s="0" t="n">
        <v>142140</v>
      </c>
      <c r="CG164" s="0" t="n">
        <v>68291</v>
      </c>
      <c r="CH164" s="0" t="n">
        <v>1205188.53</v>
      </c>
      <c r="CI164" s="0" t="n">
        <v>2891983</v>
      </c>
      <c r="CJ164" s="0" t="n">
        <v>676344</v>
      </c>
    </row>
    <row r="165" ht="14.4975" customHeight="1" s="64">
      <c r="BF165" s="0" t="inlineStr">
        <is>
          <t>2027BUD_V1</t>
        </is>
      </c>
      <c r="BG165" s="0" t="inlineStr">
        <is>
          <t>ACT</t>
        </is>
      </c>
      <c r="BH165" s="0" t="inlineStr">
        <is>
          <t>12</t>
        </is>
      </c>
      <c r="BI165" s="0" t="inlineStr">
        <is>
          <t>2026</t>
        </is>
      </c>
      <c r="BJ165" s="0" t="inlineStr">
        <is>
          <t>MBWAY_PAR</t>
        </is>
      </c>
      <c r="BK165" s="0" t="inlineStr">
        <is>
          <t>MBWAY</t>
        </is>
      </c>
      <c r="BL165" s="0" t="inlineStr">
        <is>
          <t>MAS_MGT</t>
        </is>
      </c>
      <c r="BM165" s="0" t="inlineStr">
        <is>
          <t>M2</t>
        </is>
      </c>
      <c r="BN165" s="0" t="inlineStr">
        <is>
          <t>ALT</t>
        </is>
      </c>
      <c r="BO165" s="0" t="n">
        <v>76</v>
      </c>
      <c r="BP165" s="0" t="n">
        <v>3</v>
      </c>
      <c r="BQ165" s="0" t="n">
        <v>638400</v>
      </c>
      <c r="BR165" s="0" t="n">
        <v>31691.45</v>
      </c>
      <c r="BS165" s="0" t="n">
        <v>87861.018</v>
      </c>
      <c r="BT165" s="0" t="n">
        <v>28279.03728</v>
      </c>
      <c r="BU165" s="0" t="n">
        <v>241037.706</v>
      </c>
      <c r="BV165" s="0" t="n">
        <v>17135.641091</v>
      </c>
      <c r="BW165" s="0" t="n">
        <v>70952.648843</v>
      </c>
      <c r="BX165" s="0" t="n">
        <v>88088.289934</v>
      </c>
      <c r="BY165" s="0" t="n">
        <v>59970.48728</v>
      </c>
      <c r="BZ165" s="0" t="n">
        <v>416987.013934</v>
      </c>
      <c r="CA165" s="0" t="n">
        <v>476957.501214</v>
      </c>
      <c r="CB165" s="0" t="n">
        <v>161442.498786</v>
      </c>
      <c r="CC165" s="0" t="n">
        <v>0</v>
      </c>
      <c r="CD165" s="0" t="n">
        <v>181094</v>
      </c>
      <c r="CE165" s="0" t="n">
        <v>502062.96</v>
      </c>
      <c r="CF165" s="0" t="n">
        <v>142140</v>
      </c>
      <c r="CG165" s="0" t="n">
        <v>68291</v>
      </c>
      <c r="CH165" s="0" t="n">
        <v>1205188.53</v>
      </c>
      <c r="CI165" s="0" t="n">
        <v>2891983</v>
      </c>
      <c r="CJ165" s="0" t="n">
        <v>676344</v>
      </c>
    </row>
    <row r="166" ht="14.4975" customHeight="1" s="64">
      <c r="BF166" s="0" t="inlineStr">
        <is>
          <t>2027BUD_V1</t>
        </is>
      </c>
      <c r="BG166" s="0" t="inlineStr">
        <is>
          <t>ACT</t>
        </is>
      </c>
      <c r="BH166" s="0" t="inlineStr">
        <is>
          <t>12</t>
        </is>
      </c>
      <c r="BI166" s="0" t="inlineStr">
        <is>
          <t>2026</t>
        </is>
      </c>
      <c r="BJ166" s="0" t="inlineStr">
        <is>
          <t>PIGIER_BOR</t>
        </is>
      </c>
      <c r="BK166" s="0" t="inlineStr">
        <is>
          <t>PIGIER</t>
        </is>
      </c>
      <c r="BL166" s="0" t="inlineStr">
        <is>
          <t>BTS_GES</t>
        </is>
      </c>
      <c r="BM166" s="0" t="inlineStr">
        <is>
          <t>BTS1</t>
        </is>
      </c>
      <c r="BN166" s="0" t="inlineStr">
        <is>
          <t>ALT</t>
        </is>
      </c>
      <c r="BO166" s="0" t="n">
        <v>36</v>
      </c>
      <c r="BP166" s="0" t="n">
        <v>2</v>
      </c>
      <c r="BQ166" s="0" t="n">
        <v>212760</v>
      </c>
      <c r="BR166" s="0" t="n">
        <v>23805.584674</v>
      </c>
      <c r="BS166" s="0" t="n">
        <v>45045.419635</v>
      </c>
      <c r="BT166" s="0" t="n">
        <v>21791.74871</v>
      </c>
      <c r="BU166" s="0" t="n">
        <v>69623.28200000001</v>
      </c>
      <c r="BV166" s="0" t="n">
        <v>6938.927201</v>
      </c>
      <c r="BW166" s="0" t="n">
        <v>32690.191607</v>
      </c>
      <c r="BX166" s="0" t="n">
        <v>39629.118808</v>
      </c>
      <c r="BY166" s="0" t="n">
        <v>45597.333384</v>
      </c>
      <c r="BZ166" s="0" t="n">
        <v>154297.820443</v>
      </c>
      <c r="CA166" s="0" t="n">
        <v>199895.153827</v>
      </c>
      <c r="CB166" s="0" t="n">
        <v>12864.846173</v>
      </c>
      <c r="CC166" s="0" t="n">
        <v>36</v>
      </c>
      <c r="CD166" s="0" t="n">
        <v>96583</v>
      </c>
      <c r="CE166" s="0" t="n">
        <v>182756.35</v>
      </c>
      <c r="CF166" s="0" t="n">
        <v>52838</v>
      </c>
      <c r="CG166" s="0" t="n">
        <v>21968</v>
      </c>
      <c r="CH166" s="0" t="n">
        <v>348116.41</v>
      </c>
      <c r="CI166" s="0" t="n">
        <v>2891983</v>
      </c>
      <c r="CJ166" s="0" t="n">
        <v>676344</v>
      </c>
    </row>
    <row r="167" ht="14.4975" customHeight="1" s="64">
      <c r="BF167" s="0" t="inlineStr">
        <is>
          <t>2027BUD_V1</t>
        </is>
      </c>
      <c r="BG167" s="0" t="inlineStr">
        <is>
          <t>ACT</t>
        </is>
      </c>
      <c r="BH167" s="0" t="inlineStr">
        <is>
          <t>12</t>
        </is>
      </c>
      <c r="BI167" s="0" t="inlineStr">
        <is>
          <t>2026</t>
        </is>
      </c>
      <c r="BJ167" s="0" t="inlineStr">
        <is>
          <t>PIGIER_BOR</t>
        </is>
      </c>
      <c r="BK167" s="0" t="inlineStr">
        <is>
          <t>PIGIER</t>
        </is>
      </c>
      <c r="BL167" s="0" t="inlineStr">
        <is>
          <t>BTS_GES</t>
        </is>
      </c>
      <c r="BM167" s="0" t="inlineStr">
        <is>
          <t>BTS2</t>
        </is>
      </c>
      <c r="BN167" s="0" t="inlineStr">
        <is>
          <t>ALT</t>
        </is>
      </c>
      <c r="BO167" s="0" t="n">
        <v>35</v>
      </c>
      <c r="BP167" s="0" t="n">
        <v>2</v>
      </c>
      <c r="BQ167" s="0" t="n">
        <v>203700</v>
      </c>
      <c r="BR167" s="0" t="n">
        <v>23805.584674</v>
      </c>
      <c r="BS167" s="0" t="n">
        <v>45045.419635</v>
      </c>
      <c r="BT167" s="0" t="n">
        <v>10507.523194</v>
      </c>
      <c r="BU167" s="0" t="n">
        <v>69623.28200000001</v>
      </c>
      <c r="BV167" s="0" t="n">
        <v>6938.927201</v>
      </c>
      <c r="BW167" s="0" t="n">
        <v>32690.191607</v>
      </c>
      <c r="BX167" s="0" t="n">
        <v>39629.118808</v>
      </c>
      <c r="BY167" s="0" t="n">
        <v>34313.107868</v>
      </c>
      <c r="BZ167" s="0" t="n">
        <v>154297.820443</v>
      </c>
      <c r="CA167" s="0" t="n">
        <v>188610.928311</v>
      </c>
      <c r="CB167" s="0" t="n">
        <v>15089.071689</v>
      </c>
      <c r="CC167" s="0" t="n">
        <v>0</v>
      </c>
      <c r="CD167" s="0" t="n">
        <v>96583</v>
      </c>
      <c r="CE167" s="0" t="n">
        <v>182756.35</v>
      </c>
      <c r="CF167" s="0" t="n">
        <v>52838</v>
      </c>
      <c r="CG167" s="0" t="n">
        <v>21968</v>
      </c>
      <c r="CH167" s="0" t="n">
        <v>348116.41</v>
      </c>
      <c r="CI167" s="0" t="n">
        <v>2891983</v>
      </c>
      <c r="CJ167" s="0" t="n">
        <v>676344</v>
      </c>
    </row>
    <row r="168" ht="14.4975" customHeight="1" s="64">
      <c r="BF168" s="0" t="inlineStr">
        <is>
          <t>2027BUD_V1</t>
        </is>
      </c>
      <c r="BG168" s="0" t="inlineStr">
        <is>
          <t>ACT</t>
        </is>
      </c>
      <c r="BH168" s="0" t="inlineStr">
        <is>
          <t>12</t>
        </is>
      </c>
      <c r="BI168" s="0" t="inlineStr">
        <is>
          <t>2026</t>
        </is>
      </c>
      <c r="BJ168" s="0" t="inlineStr">
        <is>
          <t>PIGIER_BOR</t>
        </is>
      </c>
      <c r="BK168" s="0" t="inlineStr">
        <is>
          <t>PIGIER</t>
        </is>
      </c>
      <c r="BL168" s="0" t="inlineStr">
        <is>
          <t>BAC_RH</t>
        </is>
      </c>
      <c r="BM168" s="0" t="inlineStr">
        <is>
          <t>B1</t>
        </is>
      </c>
      <c r="BN168" s="0" t="inlineStr">
        <is>
          <t>ALT</t>
        </is>
      </c>
      <c r="BO168" s="0" t="n">
        <v>36</v>
      </c>
      <c r="BP168" s="0" t="n">
        <v>2</v>
      </c>
      <c r="BQ168" s="0" t="n">
        <v>247680</v>
      </c>
      <c r="BR168" s="0" t="n">
        <v>16323.879162</v>
      </c>
      <c r="BS168" s="0" t="n">
        <v>30888.381739</v>
      </c>
      <c r="BT168" s="0" t="n">
        <v>21791.74871</v>
      </c>
      <c r="BU168" s="0" t="n">
        <v>69623.28200000001</v>
      </c>
      <c r="BV168" s="0" t="n">
        <v>6938.927201</v>
      </c>
      <c r="BW168" s="0" t="n">
        <v>32690.191607</v>
      </c>
      <c r="BX168" s="0" t="n">
        <v>39629.118808</v>
      </c>
      <c r="BY168" s="0" t="n">
        <v>38115.627872</v>
      </c>
      <c r="BZ168" s="0" t="n">
        <v>140140.782547</v>
      </c>
      <c r="CA168" s="0" t="n">
        <v>178256.410419</v>
      </c>
      <c r="CB168" s="0" t="n">
        <v>69423.58958099999</v>
      </c>
      <c r="CC168" s="0" t="n">
        <v>36</v>
      </c>
      <c r="CD168" s="0" t="n">
        <v>96583</v>
      </c>
      <c r="CE168" s="0" t="n">
        <v>182756.35</v>
      </c>
      <c r="CF168" s="0" t="n">
        <v>52838</v>
      </c>
      <c r="CG168" s="0" t="n">
        <v>21968</v>
      </c>
      <c r="CH168" s="0" t="n">
        <v>348116.41</v>
      </c>
      <c r="CI168" s="0" t="n">
        <v>2891983</v>
      </c>
      <c r="CJ168" s="0" t="n">
        <v>676344</v>
      </c>
    </row>
    <row r="169" ht="14.4975" customHeight="1" s="64">
      <c r="BF169" s="0" t="inlineStr">
        <is>
          <t>2027BUD_V1</t>
        </is>
      </c>
      <c r="BG169" s="0" t="inlineStr">
        <is>
          <t>ACT</t>
        </is>
      </c>
      <c r="BH169" s="0" t="inlineStr">
        <is>
          <t>12</t>
        </is>
      </c>
      <c r="BI169" s="0" t="inlineStr">
        <is>
          <t>2026</t>
        </is>
      </c>
      <c r="BJ169" s="0" t="inlineStr">
        <is>
          <t>PIGIER_BOR</t>
        </is>
      </c>
      <c r="BK169" s="0" t="inlineStr">
        <is>
          <t>PIGIER</t>
        </is>
      </c>
      <c r="BL169" s="0" t="inlineStr">
        <is>
          <t>BAC_RH</t>
        </is>
      </c>
      <c r="BM169" s="0" t="inlineStr">
        <is>
          <t>B2</t>
        </is>
      </c>
      <c r="BN169" s="0" t="inlineStr">
        <is>
          <t>ALT</t>
        </is>
      </c>
      <c r="BO169" s="0" t="n">
        <v>35</v>
      </c>
      <c r="BP169" s="0" t="n">
        <v>2</v>
      </c>
      <c r="BQ169" s="0" t="n">
        <v>237650</v>
      </c>
      <c r="BR169" s="0" t="n">
        <v>16323.879162</v>
      </c>
      <c r="BS169" s="0" t="n">
        <v>30888.381739</v>
      </c>
      <c r="BT169" s="0" t="n">
        <v>10507.523194</v>
      </c>
      <c r="BU169" s="0" t="n">
        <v>69623.28200000001</v>
      </c>
      <c r="BV169" s="0" t="n">
        <v>6938.927201</v>
      </c>
      <c r="BW169" s="0" t="n">
        <v>32690.191607</v>
      </c>
      <c r="BX169" s="0" t="n">
        <v>39629.118808</v>
      </c>
      <c r="BY169" s="0" t="n">
        <v>26831.402356</v>
      </c>
      <c r="BZ169" s="0" t="n">
        <v>140140.782547</v>
      </c>
      <c r="CA169" s="0" t="n">
        <v>166972.184903</v>
      </c>
      <c r="CB169" s="0" t="n">
        <v>70677.815097</v>
      </c>
      <c r="CC169" s="0" t="n">
        <v>0</v>
      </c>
      <c r="CD169" s="0" t="n">
        <v>96583</v>
      </c>
      <c r="CE169" s="0" t="n">
        <v>182756.35</v>
      </c>
      <c r="CF169" s="0" t="n">
        <v>52838</v>
      </c>
      <c r="CG169" s="0" t="n">
        <v>21968</v>
      </c>
      <c r="CH169" s="0" t="n">
        <v>348116.41</v>
      </c>
      <c r="CI169" s="0" t="n">
        <v>2891983</v>
      </c>
      <c r="CJ169" s="0" t="n">
        <v>676344</v>
      </c>
    </row>
    <row r="170" ht="14.4975" customHeight="1" s="64">
      <c r="BF170" s="0" t="inlineStr">
        <is>
          <t>2027BUD_V1</t>
        </is>
      </c>
      <c r="BG170" s="0" t="inlineStr">
        <is>
          <t>ACT</t>
        </is>
      </c>
      <c r="BH170" s="0" t="inlineStr">
        <is>
          <t>12</t>
        </is>
      </c>
      <c r="BI170" s="0" t="inlineStr">
        <is>
          <t>2026</t>
        </is>
      </c>
      <c r="BJ170" s="0" t="inlineStr">
        <is>
          <t>PIGIER_BOR</t>
        </is>
      </c>
      <c r="BK170" s="0" t="inlineStr">
        <is>
          <t>PIGIER</t>
        </is>
      </c>
      <c r="BL170" s="0" t="inlineStr">
        <is>
          <t>BAC_RH</t>
        </is>
      </c>
      <c r="BM170" s="0" t="inlineStr">
        <is>
          <t>B3</t>
        </is>
      </c>
      <c r="BN170" s="0" t="inlineStr">
        <is>
          <t>ALT</t>
        </is>
      </c>
      <c r="BO170" s="0" t="n">
        <v>34</v>
      </c>
      <c r="BP170" s="0" t="n">
        <v>2</v>
      </c>
      <c r="BQ170" s="0" t="n">
        <v>230860</v>
      </c>
      <c r="BR170" s="0" t="n">
        <v>16323.879162</v>
      </c>
      <c r="BS170" s="0" t="n">
        <v>30888.381739</v>
      </c>
      <c r="BT170" s="0" t="n">
        <v>10207.297678</v>
      </c>
      <c r="BU170" s="0" t="n">
        <v>69623.28200000001</v>
      </c>
      <c r="BV170" s="0" t="n">
        <v>6938.927201</v>
      </c>
      <c r="BW170" s="0" t="n">
        <v>32690.191607</v>
      </c>
      <c r="BX170" s="0" t="n">
        <v>39629.118808</v>
      </c>
      <c r="BY170" s="0" t="n">
        <v>26531.17684</v>
      </c>
      <c r="BZ170" s="0" t="n">
        <v>140140.782547</v>
      </c>
      <c r="CA170" s="0" t="n">
        <v>166671.959387</v>
      </c>
      <c r="CB170" s="0" t="n">
        <v>64188.040613</v>
      </c>
      <c r="CC170" s="0" t="n">
        <v>0</v>
      </c>
      <c r="CD170" s="0" t="n">
        <v>96583</v>
      </c>
      <c r="CE170" s="0" t="n">
        <v>182756.35</v>
      </c>
      <c r="CF170" s="0" t="n">
        <v>52838</v>
      </c>
      <c r="CG170" s="0" t="n">
        <v>21968</v>
      </c>
      <c r="CH170" s="0" t="n">
        <v>348116.41</v>
      </c>
      <c r="CI170" s="0" t="n">
        <v>2891983</v>
      </c>
      <c r="CJ170" s="0" t="n">
        <v>676344</v>
      </c>
    </row>
    <row r="171" ht="14.4975" customHeight="1" s="64">
      <c r="BF171" s="0" t="inlineStr">
        <is>
          <t>2027BUD_V1</t>
        </is>
      </c>
      <c r="BG171" s="0" t="inlineStr">
        <is>
          <t>ACT</t>
        </is>
      </c>
      <c r="BH171" s="0" t="inlineStr">
        <is>
          <t>12</t>
        </is>
      </c>
      <c r="BI171" s="0" t="inlineStr">
        <is>
          <t>2026</t>
        </is>
      </c>
      <c r="BJ171" s="0" t="inlineStr">
        <is>
          <t>PIGIER_LYO</t>
        </is>
      </c>
      <c r="BK171" s="0" t="inlineStr">
        <is>
          <t>PIGIER</t>
        </is>
      </c>
      <c r="BL171" s="0" t="inlineStr">
        <is>
          <t>BAC_RH</t>
        </is>
      </c>
      <c r="BM171" s="0" t="inlineStr">
        <is>
          <t>B3</t>
        </is>
      </c>
      <c r="BN171" s="0" t="inlineStr">
        <is>
          <t>ALT</t>
        </is>
      </c>
      <c r="BO171" s="0" t="n">
        <v>44</v>
      </c>
      <c r="BP171" s="0" t="n">
        <v>2</v>
      </c>
      <c r="BQ171" s="0" t="n">
        <v>323400</v>
      </c>
      <c r="BR171" s="0" t="n">
        <v>16323.879162</v>
      </c>
      <c r="BS171" s="0" t="n">
        <v>40784.548622</v>
      </c>
      <c r="BT171" s="0" t="n">
        <v>13184.79618</v>
      </c>
      <c r="BU171" s="0" t="n">
        <v>107429.642</v>
      </c>
      <c r="BV171" s="0" t="n">
        <v>8910.231707999999</v>
      </c>
      <c r="BW171" s="0" t="n">
        <v>41977.264406</v>
      </c>
      <c r="BX171" s="0" t="n">
        <v>50887.496114</v>
      </c>
      <c r="BY171" s="0" t="n">
        <v>29508.675342</v>
      </c>
      <c r="BZ171" s="0" t="n">
        <v>199101.686736</v>
      </c>
      <c r="CA171" s="0" t="n">
        <v>228610.362078</v>
      </c>
      <c r="CB171" s="0" t="n">
        <v>94789.63792199999</v>
      </c>
      <c r="CC171" s="0" t="n">
        <v>0</v>
      </c>
      <c r="CD171" s="0" t="n">
        <v>96583</v>
      </c>
      <c r="CE171" s="0" t="n">
        <v>241308.7</v>
      </c>
      <c r="CF171" s="0" t="n">
        <v>67722</v>
      </c>
      <c r="CG171" s="0" t="n">
        <v>36612</v>
      </c>
      <c r="CH171" s="0" t="n">
        <v>537148.21</v>
      </c>
      <c r="CI171" s="0" t="n">
        <v>2891983</v>
      </c>
      <c r="CJ171" s="0" t="n">
        <v>676344</v>
      </c>
    </row>
    <row r="172" ht="14.4975" customHeight="1" s="64">
      <c r="BF172" s="0" t="inlineStr">
        <is>
          <t>2027BUD_V1</t>
        </is>
      </c>
      <c r="BG172" s="0" t="inlineStr">
        <is>
          <t>ACT</t>
        </is>
      </c>
      <c r="BH172" s="0" t="inlineStr">
        <is>
          <t>12</t>
        </is>
      </c>
      <c r="BI172" s="0" t="inlineStr">
        <is>
          <t>2026</t>
        </is>
      </c>
      <c r="BJ172" s="0" t="inlineStr">
        <is>
          <t>PIGIER_LYO</t>
        </is>
      </c>
      <c r="BK172" s="0" t="inlineStr">
        <is>
          <t>PIGIER</t>
        </is>
      </c>
      <c r="BL172" s="0" t="inlineStr">
        <is>
          <t>BAC_RH</t>
        </is>
      </c>
      <c r="BM172" s="0" t="inlineStr">
        <is>
          <t>B2</t>
        </is>
      </c>
      <c r="BN172" s="0" t="inlineStr">
        <is>
          <t>ALT</t>
        </is>
      </c>
      <c r="BO172" s="0" t="n">
        <v>45</v>
      </c>
      <c r="BP172" s="0" t="n">
        <v>2</v>
      </c>
      <c r="BQ172" s="0" t="n">
        <v>330750</v>
      </c>
      <c r="BR172" s="0" t="n">
        <v>16323.879162</v>
      </c>
      <c r="BS172" s="0" t="n">
        <v>40784.548622</v>
      </c>
      <c r="BT172" s="0" t="n">
        <v>13484.46603</v>
      </c>
      <c r="BU172" s="0" t="n">
        <v>107429.642</v>
      </c>
      <c r="BV172" s="0" t="n">
        <v>8910.231707999999</v>
      </c>
      <c r="BW172" s="0" t="n">
        <v>41977.264406</v>
      </c>
      <c r="BX172" s="0" t="n">
        <v>50887.496114</v>
      </c>
      <c r="BY172" s="0" t="n">
        <v>29808.345192</v>
      </c>
      <c r="BZ172" s="0" t="n">
        <v>199101.686736</v>
      </c>
      <c r="CA172" s="0" t="n">
        <v>228910.031928</v>
      </c>
      <c r="CB172" s="0" t="n">
        <v>101839.968072</v>
      </c>
      <c r="CC172" s="0" t="n">
        <v>0</v>
      </c>
      <c r="CD172" s="0" t="n">
        <v>96583</v>
      </c>
      <c r="CE172" s="0" t="n">
        <v>241308.7</v>
      </c>
      <c r="CF172" s="0" t="n">
        <v>67722</v>
      </c>
      <c r="CG172" s="0" t="n">
        <v>36612</v>
      </c>
      <c r="CH172" s="0" t="n">
        <v>537148.21</v>
      </c>
      <c r="CI172" s="0" t="n">
        <v>2891983</v>
      </c>
      <c r="CJ172" s="0" t="n">
        <v>676344</v>
      </c>
    </row>
    <row r="173" ht="14.4975" customHeight="1" s="64">
      <c r="BF173" s="0" t="inlineStr">
        <is>
          <t>2027BUD_V1</t>
        </is>
      </c>
      <c r="BG173" s="0" t="inlineStr">
        <is>
          <t>ACT</t>
        </is>
      </c>
      <c r="BH173" s="0" t="inlineStr">
        <is>
          <t>12</t>
        </is>
      </c>
      <c r="BI173" s="0" t="inlineStr">
        <is>
          <t>2026</t>
        </is>
      </c>
      <c r="BJ173" s="0" t="inlineStr">
        <is>
          <t>PIGIER_LYO</t>
        </is>
      </c>
      <c r="BK173" s="0" t="inlineStr">
        <is>
          <t>PIGIER</t>
        </is>
      </c>
      <c r="BL173" s="0" t="inlineStr">
        <is>
          <t>BTS_GES</t>
        </is>
      </c>
      <c r="BM173" s="0" t="inlineStr">
        <is>
          <t>BTS1</t>
        </is>
      </c>
      <c r="BN173" s="0" t="inlineStr">
        <is>
          <t>ALT</t>
        </is>
      </c>
      <c r="BO173" s="0" t="n">
        <v>46</v>
      </c>
      <c r="BP173" s="0" t="n">
        <v>2</v>
      </c>
      <c r="BQ173" s="0" t="n">
        <v>293940</v>
      </c>
      <c r="BR173" s="0" t="n">
        <v>23805.584674</v>
      </c>
      <c r="BS173" s="0" t="n">
        <v>59477.285759</v>
      </c>
      <c r="BT173" s="0" t="n">
        <v>32090.068158</v>
      </c>
      <c r="BU173" s="0" t="n">
        <v>107429.642</v>
      </c>
      <c r="BV173" s="0" t="n">
        <v>8910.231707999999</v>
      </c>
      <c r="BW173" s="0" t="n">
        <v>41977.264406</v>
      </c>
      <c r="BX173" s="0" t="n">
        <v>50887.496114</v>
      </c>
      <c r="BY173" s="0" t="n">
        <v>55895.652832</v>
      </c>
      <c r="BZ173" s="0" t="n">
        <v>217794.423873</v>
      </c>
      <c r="CA173" s="0" t="n">
        <v>273690.076705</v>
      </c>
      <c r="CB173" s="0" t="n">
        <v>20249.923295</v>
      </c>
      <c r="CC173" s="0" t="n">
        <v>46</v>
      </c>
      <c r="CD173" s="0" t="n">
        <v>96583</v>
      </c>
      <c r="CE173" s="0" t="n">
        <v>241308.7</v>
      </c>
      <c r="CF173" s="0" t="n">
        <v>67722</v>
      </c>
      <c r="CG173" s="0" t="n">
        <v>36612</v>
      </c>
      <c r="CH173" s="0" t="n">
        <v>537148.21</v>
      </c>
      <c r="CI173" s="0" t="n">
        <v>2891983</v>
      </c>
      <c r="CJ173" s="0" t="n">
        <v>676344</v>
      </c>
    </row>
    <row r="174" ht="14.4975" customHeight="1" s="64">
      <c r="BF174" s="0" t="inlineStr">
        <is>
          <t>2027BUD_V1</t>
        </is>
      </c>
      <c r="BG174" s="0" t="inlineStr">
        <is>
          <t>ACT</t>
        </is>
      </c>
      <c r="BH174" s="0" t="inlineStr">
        <is>
          <t>12</t>
        </is>
      </c>
      <c r="BI174" s="0" t="inlineStr">
        <is>
          <t>2026</t>
        </is>
      </c>
      <c r="BJ174" s="0" t="inlineStr">
        <is>
          <t>PIGIER_LYO</t>
        </is>
      </c>
      <c r="BK174" s="0" t="inlineStr">
        <is>
          <t>PIGIER</t>
        </is>
      </c>
      <c r="BL174" s="0" t="inlineStr">
        <is>
          <t>BTS_GES</t>
        </is>
      </c>
      <c r="BM174" s="0" t="inlineStr">
        <is>
          <t>BTS2</t>
        </is>
      </c>
      <c r="BN174" s="0" t="inlineStr">
        <is>
          <t>ALT</t>
        </is>
      </c>
      <c r="BO174" s="0" t="n">
        <v>45</v>
      </c>
      <c r="BP174" s="0" t="n">
        <v>2</v>
      </c>
      <c r="BQ174" s="0" t="n">
        <v>283500</v>
      </c>
      <c r="BR174" s="0" t="n">
        <v>23805.584674</v>
      </c>
      <c r="BS174" s="0" t="n">
        <v>59477.285759</v>
      </c>
      <c r="BT174" s="0" t="n">
        <v>13484.46603</v>
      </c>
      <c r="BU174" s="0" t="n">
        <v>107429.642</v>
      </c>
      <c r="BV174" s="0" t="n">
        <v>8910.231707999999</v>
      </c>
      <c r="BW174" s="0" t="n">
        <v>41977.264406</v>
      </c>
      <c r="BX174" s="0" t="n">
        <v>50887.496114</v>
      </c>
      <c r="BY174" s="0" t="n">
        <v>37290.050704</v>
      </c>
      <c r="BZ174" s="0" t="n">
        <v>217794.423873</v>
      </c>
      <c r="CA174" s="0" t="n">
        <v>255084.474577</v>
      </c>
      <c r="CB174" s="0" t="n">
        <v>28415.525423</v>
      </c>
      <c r="CC174" s="0" t="n">
        <v>0</v>
      </c>
      <c r="CD174" s="0" t="n">
        <v>96583</v>
      </c>
      <c r="CE174" s="0" t="n">
        <v>241308.7</v>
      </c>
      <c r="CF174" s="0" t="n">
        <v>67722</v>
      </c>
      <c r="CG174" s="0" t="n">
        <v>36612</v>
      </c>
      <c r="CH174" s="0" t="n">
        <v>537148.21</v>
      </c>
      <c r="CI174" s="0" t="n">
        <v>2891983</v>
      </c>
      <c r="CJ174" s="0" t="n">
        <v>676344</v>
      </c>
    </row>
    <row r="175" ht="14.4975" customHeight="1" s="64">
      <c r="BF175" s="0" t="inlineStr">
        <is>
          <t>2027BUD_V1</t>
        </is>
      </c>
      <c r="BG175" s="0" t="inlineStr">
        <is>
          <t>ACT</t>
        </is>
      </c>
      <c r="BH175" s="0" t="inlineStr">
        <is>
          <t>12</t>
        </is>
      </c>
      <c r="BI175" s="0" t="inlineStr">
        <is>
          <t>2026</t>
        </is>
      </c>
      <c r="BJ175" s="0" t="inlineStr">
        <is>
          <t>PIGIER_LYO</t>
        </is>
      </c>
      <c r="BK175" s="0" t="inlineStr">
        <is>
          <t>PIGIER</t>
        </is>
      </c>
      <c r="BL175" s="0" t="inlineStr">
        <is>
          <t>BAC_RH</t>
        </is>
      </c>
      <c r="BM175" s="0" t="inlineStr">
        <is>
          <t>B1</t>
        </is>
      </c>
      <c r="BN175" s="0" t="inlineStr">
        <is>
          <t>ALT</t>
        </is>
      </c>
      <c r="BO175" s="0" t="n">
        <v>46</v>
      </c>
      <c r="BP175" s="0" t="n">
        <v>2</v>
      </c>
      <c r="BQ175" s="0" t="n">
        <v>342240</v>
      </c>
      <c r="BR175" s="0" t="n">
        <v>16323.879162</v>
      </c>
      <c r="BS175" s="0" t="n">
        <v>40784.548622</v>
      </c>
      <c r="BT175" s="0" t="n">
        <v>32090.068158</v>
      </c>
      <c r="BU175" s="0" t="n">
        <v>107429.642</v>
      </c>
      <c r="BV175" s="0" t="n">
        <v>8910.231707999999</v>
      </c>
      <c r="BW175" s="0" t="n">
        <v>41977.264406</v>
      </c>
      <c r="BX175" s="0" t="n">
        <v>50887.496114</v>
      </c>
      <c r="BY175" s="0" t="n">
        <v>48413.94732</v>
      </c>
      <c r="BZ175" s="0" t="n">
        <v>199101.686736</v>
      </c>
      <c r="CA175" s="0" t="n">
        <v>247515.634056</v>
      </c>
      <c r="CB175" s="0" t="n">
        <v>94724.365944</v>
      </c>
      <c r="CC175" s="0" t="n">
        <v>46</v>
      </c>
      <c r="CD175" s="0" t="n">
        <v>96583</v>
      </c>
      <c r="CE175" s="0" t="n">
        <v>241308.7</v>
      </c>
      <c r="CF175" s="0" t="n">
        <v>67722</v>
      </c>
      <c r="CG175" s="0" t="n">
        <v>36612</v>
      </c>
      <c r="CH175" s="0" t="n">
        <v>537148.21</v>
      </c>
      <c r="CI175" s="0" t="n">
        <v>2891983</v>
      </c>
      <c r="CJ175" s="0" t="n">
        <v>676344</v>
      </c>
    </row>
    <row r="176" ht="14.4975" customHeight="1" s="64">
      <c r="BF176" s="0" t="inlineStr">
        <is>
          <t>2027BUD_V1</t>
        </is>
      </c>
      <c r="BG176" s="0" t="inlineStr">
        <is>
          <t>ACT</t>
        </is>
      </c>
      <c r="BH176" s="0" t="inlineStr">
        <is>
          <t>12</t>
        </is>
      </c>
      <c r="BI176" s="0" t="inlineStr">
        <is>
          <t>2026</t>
        </is>
      </c>
      <c r="BJ176" s="0" t="inlineStr">
        <is>
          <t>TUNON_LYO</t>
        </is>
      </c>
      <c r="BK176" s="0" t="inlineStr">
        <is>
          <t>TUNON</t>
        </is>
      </c>
      <c r="BL176" s="0" t="inlineStr">
        <is>
          <t>BAC_TOU</t>
        </is>
      </c>
      <c r="BM176" s="0" t="inlineStr">
        <is>
          <t>B1</t>
        </is>
      </c>
      <c r="BN176" s="0" t="inlineStr">
        <is>
          <t>ALT</t>
        </is>
      </c>
      <c r="BO176" s="0" t="n">
        <v>40</v>
      </c>
      <c r="BP176" s="0" t="n">
        <v>2</v>
      </c>
      <c r="BQ176" s="0" t="n">
        <v>297600</v>
      </c>
      <c r="BR176" s="0" t="n">
        <v>24145.975854</v>
      </c>
      <c r="BS176" s="0" t="n">
        <v>61982.511351</v>
      </c>
      <c r="BT176" s="0" t="n">
        <v>33733.7458</v>
      </c>
      <c r="BU176" s="0" t="n">
        <v>125032.7283</v>
      </c>
      <c r="BV176" s="0" t="n">
        <v>8731.009332</v>
      </c>
      <c r="BW176" s="0" t="n">
        <v>36219.253174</v>
      </c>
      <c r="BX176" s="0" t="n">
        <v>44950.262506</v>
      </c>
      <c r="BY176" s="0" t="n">
        <v>57879.721654</v>
      </c>
      <c r="BZ176" s="0" t="n">
        <v>231965.502157</v>
      </c>
      <c r="CA176" s="0" t="n">
        <v>289845.223811</v>
      </c>
      <c r="CB176" s="0" t="n">
        <v>7754.776189</v>
      </c>
      <c r="CC176" s="0" t="n">
        <v>40</v>
      </c>
      <c r="CD176" s="0" t="n">
        <v>72438</v>
      </c>
      <c r="CE176" s="0" t="n">
        <v>185947.72</v>
      </c>
      <c r="CF176" s="0" t="n">
        <v>43535</v>
      </c>
      <c r="CG176" s="0" t="n">
        <v>18850</v>
      </c>
      <c r="CH176" s="0" t="n">
        <v>375098.56</v>
      </c>
      <c r="CI176" s="0" t="n">
        <v>2891983</v>
      </c>
      <c r="CJ176" s="0" t="n">
        <v>676344</v>
      </c>
    </row>
    <row r="177" ht="14.4975" customHeight="1" s="64">
      <c r="BF177" s="0" t="inlineStr">
        <is>
          <t>2027BUD_V1</t>
        </is>
      </c>
      <c r="BG177" s="0" t="inlineStr">
        <is>
          <t>ACT</t>
        </is>
      </c>
      <c r="BH177" s="0" t="inlineStr">
        <is>
          <t>12</t>
        </is>
      </c>
      <c r="BI177" s="0" t="inlineStr">
        <is>
          <t>2026</t>
        </is>
      </c>
      <c r="BJ177" s="0" t="inlineStr">
        <is>
          <t>TUNON_LYO</t>
        </is>
      </c>
      <c r="BK177" s="0" t="inlineStr">
        <is>
          <t>TUNON</t>
        </is>
      </c>
      <c r="BL177" s="0" t="inlineStr">
        <is>
          <t>BAC_TOU</t>
        </is>
      </c>
      <c r="BM177" s="0" t="inlineStr">
        <is>
          <t>B2</t>
        </is>
      </c>
      <c r="BN177" s="0" t="inlineStr">
        <is>
          <t>ALT</t>
        </is>
      </c>
      <c r="BO177" s="0" t="n">
        <v>39</v>
      </c>
      <c r="BP177" s="0" t="n">
        <v>2</v>
      </c>
      <c r="BQ177" s="0" t="n">
        <v>286650</v>
      </c>
      <c r="BR177" s="0" t="n">
        <v>24145.975854</v>
      </c>
      <c r="BS177" s="0" t="n">
        <v>61982.511351</v>
      </c>
      <c r="BT177" s="0" t="n">
        <v>14511.652155</v>
      </c>
      <c r="BU177" s="0" t="n">
        <v>125032.7283</v>
      </c>
      <c r="BV177" s="0" t="n">
        <v>8731.009332</v>
      </c>
      <c r="BW177" s="0" t="n">
        <v>36219.253174</v>
      </c>
      <c r="BX177" s="0" t="n">
        <v>44950.262506</v>
      </c>
      <c r="BY177" s="0" t="n">
        <v>38657.628009</v>
      </c>
      <c r="BZ177" s="0" t="n">
        <v>231965.502157</v>
      </c>
      <c r="CA177" s="0" t="n">
        <v>270623.130166</v>
      </c>
      <c r="CB177" s="0" t="n">
        <v>16026.869834</v>
      </c>
      <c r="CC177" s="0" t="n">
        <v>0</v>
      </c>
      <c r="CD177" s="0" t="n">
        <v>72438</v>
      </c>
      <c r="CE177" s="0" t="n">
        <v>185947.72</v>
      </c>
      <c r="CF177" s="0" t="n">
        <v>43535</v>
      </c>
      <c r="CG177" s="0" t="n">
        <v>18850</v>
      </c>
      <c r="CH177" s="0" t="n">
        <v>375098.56</v>
      </c>
      <c r="CI177" s="0" t="n">
        <v>2891983</v>
      </c>
      <c r="CJ177" s="0" t="n">
        <v>676344</v>
      </c>
    </row>
    <row r="178" ht="14.4975" customHeight="1" s="64">
      <c r="BF178" s="0" t="inlineStr">
        <is>
          <t>2027BUD_V1</t>
        </is>
      </c>
      <c r="BG178" s="0" t="inlineStr">
        <is>
          <t>ACT</t>
        </is>
      </c>
      <c r="BH178" s="0" t="inlineStr">
        <is>
          <t>12</t>
        </is>
      </c>
      <c r="BI178" s="0" t="inlineStr">
        <is>
          <t>2026</t>
        </is>
      </c>
      <c r="BJ178" s="0" t="inlineStr">
        <is>
          <t>TUNON_LYO</t>
        </is>
      </c>
      <c r="BK178" s="0" t="inlineStr">
        <is>
          <t>TUNON</t>
        </is>
      </c>
      <c r="BL178" s="0" t="inlineStr">
        <is>
          <t>BAC_TOU</t>
        </is>
      </c>
      <c r="BM178" s="0" t="inlineStr">
        <is>
          <t>B3</t>
        </is>
      </c>
      <c r="BN178" s="0" t="inlineStr">
        <is>
          <t>ALT</t>
        </is>
      </c>
      <c r="BO178" s="0" t="n">
        <v>38</v>
      </c>
      <c r="BP178" s="0" t="n">
        <v>2</v>
      </c>
      <c r="BQ178" s="0" t="n">
        <v>279300</v>
      </c>
      <c r="BR178" s="0" t="n">
        <v>24145.975854</v>
      </c>
      <c r="BS178" s="0" t="n">
        <v>61982.511351</v>
      </c>
      <c r="BT178" s="0" t="n">
        <v>14139.55851</v>
      </c>
      <c r="BU178" s="0" t="n">
        <v>125032.7283</v>
      </c>
      <c r="BV178" s="0" t="n">
        <v>8731.009332</v>
      </c>
      <c r="BW178" s="0" t="n">
        <v>36219.253174</v>
      </c>
      <c r="BX178" s="0" t="n">
        <v>44950.262506</v>
      </c>
      <c r="BY178" s="0" t="n">
        <v>38285.534364</v>
      </c>
      <c r="BZ178" s="0" t="n">
        <v>231965.502157</v>
      </c>
      <c r="CA178" s="0" t="n">
        <v>270251.036521</v>
      </c>
      <c r="CB178" s="0" t="n">
        <v>9048.963479</v>
      </c>
      <c r="CC178" s="0" t="n">
        <v>0</v>
      </c>
      <c r="CD178" s="0" t="n">
        <v>72438</v>
      </c>
      <c r="CE178" s="0" t="n">
        <v>185947.72</v>
      </c>
      <c r="CF178" s="0" t="n">
        <v>43535</v>
      </c>
      <c r="CG178" s="0" t="n">
        <v>18850</v>
      </c>
      <c r="CH178" s="0" t="n">
        <v>375098.56</v>
      </c>
      <c r="CI178" s="0" t="n">
        <v>2891983</v>
      </c>
      <c r="CJ178" s="0" t="n">
        <v>676344</v>
      </c>
    </row>
    <row r="179" ht="14.4975" customHeight="1" s="64">
      <c r="BF179" s="0" t="inlineStr">
        <is>
          <t>2027BUD_V1</t>
        </is>
      </c>
      <c r="BG179" s="0" t="inlineStr">
        <is>
          <t>ACT</t>
        </is>
      </c>
      <c r="BH179" s="0" t="inlineStr">
        <is>
          <t>12</t>
        </is>
      </c>
      <c r="BI179" s="0" t="inlineStr">
        <is>
          <t>2026</t>
        </is>
      </c>
      <c r="BJ179" s="0" t="inlineStr">
        <is>
          <t>TUNON_PAR</t>
        </is>
      </c>
      <c r="BK179" s="0" t="inlineStr">
        <is>
          <t>TUNON</t>
        </is>
      </c>
      <c r="BL179" s="0" t="inlineStr">
        <is>
          <t>BAC_TOU</t>
        </is>
      </c>
      <c r="BM179" s="0" t="inlineStr">
        <is>
          <t>B1</t>
        </is>
      </c>
      <c r="BN179" s="0" t="inlineStr">
        <is>
          <t>ALT</t>
        </is>
      </c>
      <c r="BO179" s="0" t="n">
        <v>47</v>
      </c>
      <c r="BP179" s="0" t="n">
        <v>2</v>
      </c>
      <c r="BQ179" s="0" t="n">
        <v>372710</v>
      </c>
      <c r="BR179" s="0" t="n">
        <v>24145.975854</v>
      </c>
      <c r="BS179" s="0" t="n">
        <v>74456.428877</v>
      </c>
      <c r="BT179" s="0" t="n">
        <v>47728.391071</v>
      </c>
      <c r="BU179" s="0" t="n">
        <v>166933.896399</v>
      </c>
      <c r="BV179" s="0" t="n">
        <v>10298.116498</v>
      </c>
      <c r="BW179" s="0" t="n">
        <v>42720.156914</v>
      </c>
      <c r="BX179" s="0" t="n">
        <v>53018.273412</v>
      </c>
      <c r="BY179" s="0" t="n">
        <v>71874.36692499999</v>
      </c>
      <c r="BZ179" s="0" t="n">
        <v>294408.598688</v>
      </c>
      <c r="CA179" s="0" t="n">
        <v>366282.965613</v>
      </c>
      <c r="CB179" s="0" t="n">
        <v>6427.034387</v>
      </c>
      <c r="CC179" s="0" t="n">
        <v>47</v>
      </c>
      <c r="CD179" s="0" t="n">
        <v>72438</v>
      </c>
      <c r="CE179" s="0" t="n">
        <v>223369.51</v>
      </c>
      <c r="CF179" s="0" t="n">
        <v>51349</v>
      </c>
      <c r="CG179" s="0" t="n">
        <v>30240</v>
      </c>
      <c r="CH179" s="0" t="n">
        <v>500802.19</v>
      </c>
      <c r="CI179" s="0" t="n">
        <v>2891983</v>
      </c>
      <c r="CJ179" s="0" t="n">
        <v>676344</v>
      </c>
    </row>
    <row r="180" ht="14.4975" customHeight="1" s="64">
      <c r="BF180" s="0" t="inlineStr">
        <is>
          <t>2027BUD_V1</t>
        </is>
      </c>
      <c r="BG180" s="0" t="inlineStr">
        <is>
          <t>ACT</t>
        </is>
      </c>
      <c r="BH180" s="0" t="inlineStr">
        <is>
          <t>12</t>
        </is>
      </c>
      <c r="BI180" s="0" t="inlineStr">
        <is>
          <t>2026</t>
        </is>
      </c>
      <c r="BJ180" s="0" t="inlineStr">
        <is>
          <t>TUNON_PAR</t>
        </is>
      </c>
      <c r="BK180" s="0" t="inlineStr">
        <is>
          <t>TUNON</t>
        </is>
      </c>
      <c r="BL180" s="0" t="inlineStr">
        <is>
          <t>BAC_TOU</t>
        </is>
      </c>
      <c r="BM180" s="0" t="inlineStr">
        <is>
          <t>B2</t>
        </is>
      </c>
      <c r="BN180" s="0" t="inlineStr">
        <is>
          <t>ALT</t>
        </is>
      </c>
      <c r="BO180" s="0" t="n">
        <v>46</v>
      </c>
      <c r="BP180" s="0" t="n">
        <v>2</v>
      </c>
      <c r="BQ180" s="0" t="n">
        <v>360640</v>
      </c>
      <c r="BR180" s="0" t="n">
        <v>24145.975854</v>
      </c>
      <c r="BS180" s="0" t="n">
        <v>74456.428877</v>
      </c>
      <c r="BT180" s="0" t="n">
        <v>17116.316217</v>
      </c>
      <c r="BU180" s="0" t="n">
        <v>166933.896399</v>
      </c>
      <c r="BV180" s="0" t="n">
        <v>10298.116498</v>
      </c>
      <c r="BW180" s="0" t="n">
        <v>42720.156914</v>
      </c>
      <c r="BX180" s="0" t="n">
        <v>53018.273412</v>
      </c>
      <c r="BY180" s="0" t="n">
        <v>41262.292071</v>
      </c>
      <c r="BZ180" s="0" t="n">
        <v>294408.598688</v>
      </c>
      <c r="CA180" s="0" t="n">
        <v>335670.890759</v>
      </c>
      <c r="CB180" s="0" t="n">
        <v>24969.109241</v>
      </c>
      <c r="CC180" s="0" t="n">
        <v>0</v>
      </c>
      <c r="CD180" s="0" t="n">
        <v>72438</v>
      </c>
      <c r="CE180" s="0" t="n">
        <v>223369.51</v>
      </c>
      <c r="CF180" s="0" t="n">
        <v>51349</v>
      </c>
      <c r="CG180" s="0" t="n">
        <v>30240</v>
      </c>
      <c r="CH180" s="0" t="n">
        <v>500802.19</v>
      </c>
      <c r="CI180" s="0" t="n">
        <v>2891983</v>
      </c>
      <c r="CJ180" s="0" t="n">
        <v>676344</v>
      </c>
    </row>
    <row r="181" ht="14.4975" customHeight="1" s="64">
      <c r="BF181" s="0" t="inlineStr">
        <is>
          <t>2027BUD_V1</t>
        </is>
      </c>
      <c r="BG181" s="0" t="inlineStr">
        <is>
          <t>ACT</t>
        </is>
      </c>
      <c r="BH181" s="0" t="inlineStr">
        <is>
          <t>12</t>
        </is>
      </c>
      <c r="BI181" s="0" t="inlineStr">
        <is>
          <t>2026</t>
        </is>
      </c>
      <c r="BJ181" s="0" t="inlineStr">
        <is>
          <t>TUNON_PAR</t>
        </is>
      </c>
      <c r="BK181" s="0" t="inlineStr">
        <is>
          <t>TUNON</t>
        </is>
      </c>
      <c r="BL181" s="0" t="inlineStr">
        <is>
          <t>BAC_TOU</t>
        </is>
      </c>
      <c r="BM181" s="0" t="inlineStr">
        <is>
          <t>B3</t>
        </is>
      </c>
      <c r="BN181" s="0" t="inlineStr">
        <is>
          <t>ALT</t>
        </is>
      </c>
      <c r="BO181" s="0" t="n">
        <v>45</v>
      </c>
      <c r="BP181" s="0" t="n">
        <v>2</v>
      </c>
      <c r="BQ181" s="0" t="n">
        <v>352800</v>
      </c>
      <c r="BR181" s="0" t="n">
        <v>24145.975854</v>
      </c>
      <c r="BS181" s="0" t="n">
        <v>74456.428877</v>
      </c>
      <c r="BT181" s="0" t="n">
        <v>16744.190014</v>
      </c>
      <c r="BU181" s="0" t="n">
        <v>166933.896399</v>
      </c>
      <c r="BV181" s="0" t="n">
        <v>10298.116498</v>
      </c>
      <c r="BW181" s="0" t="n">
        <v>42720.156914</v>
      </c>
      <c r="BX181" s="0" t="n">
        <v>53018.273412</v>
      </c>
      <c r="BY181" s="0" t="n">
        <v>40890.165868</v>
      </c>
      <c r="BZ181" s="0" t="n">
        <v>294408.598688</v>
      </c>
      <c r="CA181" s="0" t="n">
        <v>335298.764556</v>
      </c>
      <c r="CB181" s="0" t="n">
        <v>17501.235444</v>
      </c>
      <c r="CC181" s="0" t="n">
        <v>0</v>
      </c>
      <c r="CD181" s="0" t="n">
        <v>72438</v>
      </c>
      <c r="CE181" s="0" t="n">
        <v>223369.51</v>
      </c>
      <c r="CF181" s="0" t="n">
        <v>51349</v>
      </c>
      <c r="CG181" s="0" t="n">
        <v>30240</v>
      </c>
      <c r="CH181" s="0" t="n">
        <v>500802.19</v>
      </c>
      <c r="CI181" s="0" t="n">
        <v>2891983</v>
      </c>
      <c r="CJ181" s="0" t="n">
        <v>676344</v>
      </c>
    </row>
    <row r="182" ht="14.4975" customHeight="1" s="64">
      <c r="BF182" s="0" t="inlineStr">
        <is>
          <t>2027BUD_V1</t>
        </is>
      </c>
      <c r="BG182" s="0" t="inlineStr">
        <is>
          <t>V01</t>
        </is>
      </c>
      <c r="BH182" s="0" t="inlineStr">
        <is>
          <t>12</t>
        </is>
      </c>
      <c r="BI182" s="0" t="inlineStr">
        <is>
          <t>2027</t>
        </is>
      </c>
      <c r="BJ182" s="0" t="inlineStr">
        <is>
          <t>IPAC_MTP</t>
        </is>
      </c>
      <c r="BK182" s="0" t="inlineStr">
        <is>
          <t>IPAC</t>
        </is>
      </c>
      <c r="BL182" s="0" t="inlineStr">
        <is>
          <t>BAC_CCE</t>
        </is>
      </c>
      <c r="BM182" s="0" t="inlineStr">
        <is>
          <t>B1</t>
        </is>
      </c>
      <c r="BN182" s="0" t="inlineStr">
        <is>
          <t>ALT</t>
        </is>
      </c>
      <c r="BO182" s="0" t="n">
        <v>44.737599</v>
      </c>
      <c r="BP182" s="0" t="n">
        <v>2</v>
      </c>
      <c r="BQ182" s="0" t="n">
        <v>302351.043627</v>
      </c>
      <c r="BR182" s="0" t="n">
        <v>24861.416664</v>
      </c>
      <c r="BS182" s="0" t="n">
        <v>48356.35177</v>
      </c>
      <c r="BT182" s="0" t="n">
        <v>32811.747806</v>
      </c>
      <c r="BU182" s="0" t="n">
        <v>94933.626046</v>
      </c>
      <c r="BV182" s="0" t="n">
        <v>8544.051324</v>
      </c>
      <c r="BW182" s="0" t="n">
        <v>37235.150178</v>
      </c>
      <c r="BX182" s="0" t="n">
        <v>45779.201502</v>
      </c>
      <c r="BY182" s="0" t="n">
        <v>57673.16447</v>
      </c>
      <c r="BZ182" s="0" t="n">
        <v>189069.179318</v>
      </c>
      <c r="CA182" s="0" t="n">
        <v>246742.343788</v>
      </c>
      <c r="CB182" s="0" t="n">
        <v>55608.699839</v>
      </c>
      <c r="CC182" s="0" t="n">
        <v>44.737599</v>
      </c>
      <c r="CD182" s="0" t="n">
        <v>74584.32457500001</v>
      </c>
      <c r="CE182" s="0" t="n">
        <v>145069.20038</v>
      </c>
      <c r="CF182" s="0" t="n">
        <v>44824.934018</v>
      </c>
      <c r="CG182" s="0" t="n">
        <v>16392.24</v>
      </c>
      <c r="CH182" s="0" t="n">
        <v>284801.162938</v>
      </c>
      <c r="CI182" s="0" t="n">
        <v>2975861.58142</v>
      </c>
      <c r="CJ182" s="0" t="n">
        <v>743978.4</v>
      </c>
    </row>
    <row r="183" ht="14.4975" customHeight="1" s="64">
      <c r="BF183" s="0" t="inlineStr">
        <is>
          <t>2027BUD_V1</t>
        </is>
      </c>
      <c r="BG183" s="0" t="inlineStr">
        <is>
          <t>V01</t>
        </is>
      </c>
      <c r="BH183" s="0" t="inlineStr">
        <is>
          <t>12</t>
        </is>
      </c>
      <c r="BI183" s="0" t="inlineStr">
        <is>
          <t>2027</t>
        </is>
      </c>
      <c r="BJ183" s="0" t="inlineStr">
        <is>
          <t>IPAC_MTP</t>
        </is>
      </c>
      <c r="BK183" s="0" t="inlineStr">
        <is>
          <t>IPAC</t>
        </is>
      </c>
      <c r="BL183" s="0" t="inlineStr">
        <is>
          <t>BAC_CCE</t>
        </is>
      </c>
      <c r="BM183" s="0" t="inlineStr">
        <is>
          <t>B2</t>
        </is>
      </c>
      <c r="BN183" s="0" t="inlineStr">
        <is>
          <t>ALT</t>
        </is>
      </c>
      <c r="BO183" s="0" t="n">
        <v>39.2</v>
      </c>
      <c r="BP183" s="0" t="n">
        <v>2</v>
      </c>
      <c r="BQ183" s="0" t="n">
        <v>261398.1734</v>
      </c>
      <c r="BR183" s="0" t="n">
        <v>24861.416664</v>
      </c>
      <c r="BS183" s="0" t="n">
        <v>48356.35177</v>
      </c>
      <c r="BT183" s="0" t="n">
        <v>14387.100472</v>
      </c>
      <c r="BU183" s="0" t="n">
        <v>94933.626046</v>
      </c>
      <c r="BV183" s="0" t="n">
        <v>8544.051324</v>
      </c>
      <c r="BW183" s="0" t="n">
        <v>37235.150178</v>
      </c>
      <c r="BX183" s="0" t="n">
        <v>45779.201502</v>
      </c>
      <c r="BY183" s="0" t="n">
        <v>39248.517136</v>
      </c>
      <c r="BZ183" s="0" t="n">
        <v>189069.179318</v>
      </c>
      <c r="CA183" s="0" t="n">
        <v>228317.696454</v>
      </c>
      <c r="CB183" s="0" t="n">
        <v>33080.476946</v>
      </c>
      <c r="CC183" s="0" t="n">
        <v>0</v>
      </c>
      <c r="CD183" s="0" t="n">
        <v>74584.32457500001</v>
      </c>
      <c r="CE183" s="0" t="n">
        <v>145069.20038</v>
      </c>
      <c r="CF183" s="0" t="n">
        <v>44824.934018</v>
      </c>
      <c r="CG183" s="0" t="n">
        <v>16392.24</v>
      </c>
      <c r="CH183" s="0" t="n">
        <v>284801.162938</v>
      </c>
      <c r="CI183" s="0" t="n">
        <v>2975861.58142</v>
      </c>
      <c r="CJ183" s="0" t="n">
        <v>743978.4</v>
      </c>
    </row>
    <row r="184" ht="14.4975" customHeight="1" s="64">
      <c r="BF184" s="0" t="inlineStr">
        <is>
          <t>2027BUD_V1</t>
        </is>
      </c>
      <c r="BG184" s="0" t="inlineStr">
        <is>
          <t>V01</t>
        </is>
      </c>
      <c r="BH184" s="0" t="inlineStr">
        <is>
          <t>12</t>
        </is>
      </c>
      <c r="BI184" s="0" t="inlineStr">
        <is>
          <t>2027</t>
        </is>
      </c>
      <c r="BJ184" s="0" t="inlineStr">
        <is>
          <t>IPAC_MTP</t>
        </is>
      </c>
      <c r="BK184" s="0" t="inlineStr">
        <is>
          <t>IPAC</t>
        </is>
      </c>
      <c r="BL184" s="0" t="inlineStr">
        <is>
          <t>BAC_CCE</t>
        </is>
      </c>
      <c r="BM184" s="0" t="inlineStr">
        <is>
          <t>B3</t>
        </is>
      </c>
      <c r="BN184" s="0" t="inlineStr">
        <is>
          <t>ALT</t>
        </is>
      </c>
      <c r="BO184" s="0" t="n">
        <v>38.195</v>
      </c>
      <c r="BP184" s="0" t="n">
        <v>2</v>
      </c>
      <c r="BQ184" s="0" t="n">
        <v>254696.511046</v>
      </c>
      <c r="BR184" s="0" t="n">
        <v>24861.416664</v>
      </c>
      <c r="BS184" s="0" t="n">
        <v>48356.35177</v>
      </c>
      <c r="BT184" s="0" t="n">
        <v>14018.23609</v>
      </c>
      <c r="BU184" s="0" t="n">
        <v>94933.626046</v>
      </c>
      <c r="BV184" s="0" t="n">
        <v>8544.051324</v>
      </c>
      <c r="BW184" s="0" t="n">
        <v>37235.150178</v>
      </c>
      <c r="BX184" s="0" t="n">
        <v>45779.201502</v>
      </c>
      <c r="BY184" s="0" t="n">
        <v>38879.652754</v>
      </c>
      <c r="BZ184" s="0" t="n">
        <v>189069.179318</v>
      </c>
      <c r="CA184" s="0" t="n">
        <v>227948.832072</v>
      </c>
      <c r="CB184" s="0" t="n">
        <v>26747.678974</v>
      </c>
      <c r="CC184" s="0" t="n">
        <v>0</v>
      </c>
      <c r="CD184" s="0" t="n">
        <v>74584.32457500001</v>
      </c>
      <c r="CE184" s="0" t="n">
        <v>145069.20038</v>
      </c>
      <c r="CF184" s="0" t="n">
        <v>44824.934018</v>
      </c>
      <c r="CG184" s="0" t="n">
        <v>16392.24</v>
      </c>
      <c r="CH184" s="0" t="n">
        <v>284801.162938</v>
      </c>
      <c r="CI184" s="0" t="n">
        <v>2975861.58142</v>
      </c>
      <c r="CJ184" s="0" t="n">
        <v>743978.4</v>
      </c>
    </row>
    <row r="185" ht="14.4975" customHeight="1" s="64">
      <c r="BF185" s="0" t="inlineStr">
        <is>
          <t>2027BUD_V1</t>
        </is>
      </c>
      <c r="BG185" s="0" t="inlineStr">
        <is>
          <t>V01</t>
        </is>
      </c>
      <c r="BH185" s="0" t="inlineStr">
        <is>
          <t>12</t>
        </is>
      </c>
      <c r="BI185" s="0" t="inlineStr">
        <is>
          <t>2027</t>
        </is>
      </c>
      <c r="BJ185" s="0" t="inlineStr">
        <is>
          <t>IPAC_NAN</t>
        </is>
      </c>
      <c r="BK185" s="0" t="inlineStr">
        <is>
          <t>IPAC</t>
        </is>
      </c>
      <c r="BL185" s="0" t="inlineStr">
        <is>
          <t>BAC_CCE</t>
        </is>
      </c>
      <c r="BM185" s="0" t="inlineStr">
        <is>
          <t>B1</t>
        </is>
      </c>
      <c r="BN185" s="0" t="inlineStr">
        <is>
          <t>ALT</t>
        </is>
      </c>
      <c r="BO185" s="0" t="n">
        <v>55.832531</v>
      </c>
      <c r="BP185" s="0" t="n">
        <v>2</v>
      </c>
      <c r="BQ185" s="0" t="n">
        <v>396929.37515</v>
      </c>
      <c r="BR185" s="0" t="n">
        <v>24861.416664</v>
      </c>
      <c r="BS185" s="0" t="n">
        <v>59760.870299</v>
      </c>
      <c r="BT185" s="0" t="n">
        <v>43997.671319</v>
      </c>
      <c r="BU185" s="0" t="n">
        <v>135129.425383</v>
      </c>
      <c r="BV185" s="0" t="n">
        <v>10586.105742</v>
      </c>
      <c r="BW185" s="0" t="n">
        <v>46134.46504</v>
      </c>
      <c r="BX185" s="0" t="n">
        <v>56720.570782</v>
      </c>
      <c r="BY185" s="0" t="n">
        <v>68859.087983</v>
      </c>
      <c r="BZ185" s="0" t="n">
        <v>251610.866464</v>
      </c>
      <c r="CA185" s="0" t="n">
        <v>320469.954447</v>
      </c>
      <c r="CB185" s="0" t="n">
        <v>76459.420703</v>
      </c>
      <c r="CC185" s="0" t="n">
        <v>55.832531</v>
      </c>
      <c r="CD185" s="0" t="n">
        <v>74584.32457500001</v>
      </c>
      <c r="CE185" s="0" t="n">
        <v>179282.79018</v>
      </c>
      <c r="CF185" s="0" t="n">
        <v>55552.647065</v>
      </c>
      <c r="CG185" s="0" t="n">
        <v>23500.8</v>
      </c>
      <c r="CH185" s="0" t="n">
        <v>405388.681538</v>
      </c>
      <c r="CI185" s="0" t="n">
        <v>2975861.58142</v>
      </c>
      <c r="CJ185" s="0" t="n">
        <v>743978.4</v>
      </c>
    </row>
    <row r="186" ht="14.4975" customHeight="1" s="64">
      <c r="BF186" s="0" t="inlineStr">
        <is>
          <t>2027BUD_V1</t>
        </is>
      </c>
      <c r="BG186" s="0" t="inlineStr">
        <is>
          <t>V01</t>
        </is>
      </c>
      <c r="BH186" s="0" t="inlineStr">
        <is>
          <t>12</t>
        </is>
      </c>
      <c r="BI186" s="0" t="inlineStr">
        <is>
          <t>2027</t>
        </is>
      </c>
      <c r="BJ186" s="0" t="inlineStr">
        <is>
          <t>IPAC_NAN</t>
        </is>
      </c>
      <c r="BK186" s="0" t="inlineStr">
        <is>
          <t>IPAC</t>
        </is>
      </c>
      <c r="BL186" s="0" t="inlineStr">
        <is>
          <t>BAC_CCE</t>
        </is>
      </c>
      <c r="BM186" s="0" t="inlineStr">
        <is>
          <t>B2</t>
        </is>
      </c>
      <c r="BN186" s="0" t="inlineStr">
        <is>
          <t>ALT</t>
        </is>
      </c>
      <c r="BO186" s="0" t="n">
        <v>48.25</v>
      </c>
      <c r="BP186" s="0" t="n">
        <v>2</v>
      </c>
      <c r="BQ186" s="0" t="n">
        <v>338680.50125</v>
      </c>
      <c r="BR186" s="0" t="n">
        <v>24861.416664</v>
      </c>
      <c r="BS186" s="0" t="n">
        <v>59760.870299</v>
      </c>
      <c r="BT186" s="0" t="n">
        <v>17713.23928</v>
      </c>
      <c r="BU186" s="0" t="n">
        <v>135129.425383</v>
      </c>
      <c r="BV186" s="0" t="n">
        <v>10586.105742</v>
      </c>
      <c r="BW186" s="0" t="n">
        <v>46134.46504</v>
      </c>
      <c r="BX186" s="0" t="n">
        <v>56720.570782</v>
      </c>
      <c r="BY186" s="0" t="n">
        <v>42574.655944</v>
      </c>
      <c r="BZ186" s="0" t="n">
        <v>251610.866464</v>
      </c>
      <c r="CA186" s="0" t="n">
        <v>294185.522408</v>
      </c>
      <c r="CB186" s="0" t="n">
        <v>44494.978842</v>
      </c>
      <c r="CC186" s="0" t="n">
        <v>0</v>
      </c>
      <c r="CD186" s="0" t="n">
        <v>74584.32457500001</v>
      </c>
      <c r="CE186" s="0" t="n">
        <v>179282.79018</v>
      </c>
      <c r="CF186" s="0" t="n">
        <v>55552.647065</v>
      </c>
      <c r="CG186" s="0" t="n">
        <v>23500.8</v>
      </c>
      <c r="CH186" s="0" t="n">
        <v>405388.681538</v>
      </c>
      <c r="CI186" s="0" t="n">
        <v>2975861.58142</v>
      </c>
      <c r="CJ186" s="0" t="n">
        <v>743978.4</v>
      </c>
    </row>
    <row r="187" ht="14.4975" customHeight="1" s="64">
      <c r="BF187" s="0" t="inlineStr">
        <is>
          <t>2027BUD_V1</t>
        </is>
      </c>
      <c r="BG187" s="0" t="inlineStr">
        <is>
          <t>V01</t>
        </is>
      </c>
      <c r="BH187" s="0" t="inlineStr">
        <is>
          <t>12</t>
        </is>
      </c>
      <c r="BI187" s="0" t="inlineStr">
        <is>
          <t>2027</t>
        </is>
      </c>
      <c r="BJ187" s="0" t="inlineStr">
        <is>
          <t>IPAC_NAN</t>
        </is>
      </c>
      <c r="BK187" s="0" t="inlineStr">
        <is>
          <t>IPAC</t>
        </is>
      </c>
      <c r="BL187" s="0" t="inlineStr">
        <is>
          <t>BAC_CCE</t>
        </is>
      </c>
      <c r="BM187" s="0" t="inlineStr">
        <is>
          <t>B3</t>
        </is>
      </c>
      <c r="BN187" s="0" t="inlineStr">
        <is>
          <t>ALT</t>
        </is>
      </c>
      <c r="BO187" s="0" t="n">
        <v>47.24</v>
      </c>
      <c r="BP187" s="0" t="n">
        <v>2</v>
      </c>
      <c r="BQ187" s="0" t="n">
        <v>331591.0234</v>
      </c>
      <c r="BR187" s="0" t="n">
        <v>24861.416664</v>
      </c>
      <c r="BS187" s="0" t="n">
        <v>59760.870299</v>
      </c>
      <c r="BT187" s="0" t="n">
        <v>17342.425361</v>
      </c>
      <c r="BU187" s="0" t="n">
        <v>135129.425383</v>
      </c>
      <c r="BV187" s="0" t="n">
        <v>10586.105742</v>
      </c>
      <c r="BW187" s="0" t="n">
        <v>46134.46504</v>
      </c>
      <c r="BX187" s="0" t="n">
        <v>56720.570782</v>
      </c>
      <c r="BY187" s="0" t="n">
        <v>42203.842025</v>
      </c>
      <c r="BZ187" s="0" t="n">
        <v>251610.866464</v>
      </c>
      <c r="CA187" s="0" t="n">
        <v>293814.708489</v>
      </c>
      <c r="CB187" s="0" t="n">
        <v>37776.314911</v>
      </c>
      <c r="CC187" s="0" t="n">
        <v>0</v>
      </c>
      <c r="CD187" s="0" t="n">
        <v>74584.32457500001</v>
      </c>
      <c r="CE187" s="0" t="n">
        <v>179282.79018</v>
      </c>
      <c r="CF187" s="0" t="n">
        <v>55552.647065</v>
      </c>
      <c r="CG187" s="0" t="n">
        <v>23500.8</v>
      </c>
      <c r="CH187" s="0" t="n">
        <v>405388.681538</v>
      </c>
      <c r="CI187" s="0" t="n">
        <v>2975861.58142</v>
      </c>
      <c r="CJ187" s="0" t="n">
        <v>743978.4</v>
      </c>
    </row>
    <row r="188" ht="14.4975" customHeight="1" s="64">
      <c r="BF188" s="0" t="inlineStr">
        <is>
          <t>2027BUD_V1</t>
        </is>
      </c>
      <c r="BG188" s="0" t="inlineStr">
        <is>
          <t>V01</t>
        </is>
      </c>
      <c r="BH188" s="0" t="inlineStr">
        <is>
          <t>12</t>
        </is>
      </c>
      <c r="BI188" s="0" t="inlineStr">
        <is>
          <t>2027</t>
        </is>
      </c>
      <c r="BJ188" s="0" t="inlineStr">
        <is>
          <t>IPAC_REN</t>
        </is>
      </c>
      <c r="BK188" s="0" t="inlineStr">
        <is>
          <t>IPAC</t>
        </is>
      </c>
      <c r="BL188" s="0" t="inlineStr">
        <is>
          <t>BAC_CCE</t>
        </is>
      </c>
      <c r="BM188" s="0" t="inlineStr">
        <is>
          <t>B1</t>
        </is>
      </c>
      <c r="BN188" s="0" t="inlineStr">
        <is>
          <t>ALT</t>
        </is>
      </c>
      <c r="BO188" s="0" t="n">
        <v>44.726592</v>
      </c>
      <c r="BP188" s="0" t="n">
        <v>2</v>
      </c>
      <c r="BQ188" s="0" t="n">
        <v>302276.65479</v>
      </c>
      <c r="BR188" s="0" t="n">
        <v>24861.416664</v>
      </c>
      <c r="BS188" s="0" t="n">
        <v>48385.204808</v>
      </c>
      <c r="BT188" s="0" t="n">
        <v>32544.592784</v>
      </c>
      <c r="BU188" s="0" t="n">
        <v>94990.271412</v>
      </c>
      <c r="BV188" s="0" t="n">
        <v>8543.276465999999</v>
      </c>
      <c r="BW188" s="0" t="n">
        <v>37231.773333</v>
      </c>
      <c r="BX188" s="0" t="n">
        <v>45775.049799</v>
      </c>
      <c r="BY188" s="0" t="n">
        <v>57406.009448</v>
      </c>
      <c r="BZ188" s="0" t="n">
        <v>189150.526019</v>
      </c>
      <c r="CA188" s="0" t="n">
        <v>246556.535467</v>
      </c>
      <c r="CB188" s="0" t="n">
        <v>55720.119323</v>
      </c>
      <c r="CC188" s="0" t="n">
        <v>44.726592</v>
      </c>
      <c r="CD188" s="0" t="n">
        <v>74584.32457500001</v>
      </c>
      <c r="CE188" s="0" t="n">
        <v>145155.75958</v>
      </c>
      <c r="CF188" s="0" t="n">
        <v>44824.934018</v>
      </c>
      <c r="CG188" s="0" t="n">
        <v>16127.64</v>
      </c>
      <c r="CH188" s="0" t="n">
        <v>284971.099207</v>
      </c>
      <c r="CI188" s="0" t="n">
        <v>2975861.58142</v>
      </c>
      <c r="CJ188" s="0" t="n">
        <v>743978.4</v>
      </c>
    </row>
    <row r="189" ht="14.4975" customHeight="1" s="64">
      <c r="BF189" s="0" t="inlineStr">
        <is>
          <t>2027BUD_V1</t>
        </is>
      </c>
      <c r="BG189" s="0" t="inlineStr">
        <is>
          <t>V01</t>
        </is>
      </c>
      <c r="BH189" s="0" t="inlineStr">
        <is>
          <t>12</t>
        </is>
      </c>
      <c r="BI189" s="0" t="inlineStr">
        <is>
          <t>2027</t>
        </is>
      </c>
      <c r="BJ189" s="0" t="inlineStr">
        <is>
          <t>IPAC_REN</t>
        </is>
      </c>
      <c r="BK189" s="0" t="inlineStr">
        <is>
          <t>IPAC</t>
        </is>
      </c>
      <c r="BL189" s="0" t="inlineStr">
        <is>
          <t>BAC_CCE</t>
        </is>
      </c>
      <c r="BM189" s="0" t="inlineStr">
        <is>
          <t>B2</t>
        </is>
      </c>
      <c r="BN189" s="0" t="inlineStr">
        <is>
          <t>ALT</t>
        </is>
      </c>
      <c r="BO189" s="0" t="n">
        <v>39.2</v>
      </c>
      <c r="BP189" s="0" t="n">
        <v>2</v>
      </c>
      <c r="BQ189" s="0" t="n">
        <v>261398.1734</v>
      </c>
      <c r="BR189" s="0" t="n">
        <v>24861.416664</v>
      </c>
      <c r="BS189" s="0" t="n">
        <v>48385.204808</v>
      </c>
      <c r="BT189" s="0" t="n">
        <v>14388.400395</v>
      </c>
      <c r="BU189" s="0" t="n">
        <v>94990.271412</v>
      </c>
      <c r="BV189" s="0" t="n">
        <v>8543.276465999999</v>
      </c>
      <c r="BW189" s="0" t="n">
        <v>37231.773333</v>
      </c>
      <c r="BX189" s="0" t="n">
        <v>45775.049799</v>
      </c>
      <c r="BY189" s="0" t="n">
        <v>39249.817059</v>
      </c>
      <c r="BZ189" s="0" t="n">
        <v>189150.526019</v>
      </c>
      <c r="CA189" s="0" t="n">
        <v>228400.343078</v>
      </c>
      <c r="CB189" s="0" t="n">
        <v>32997.830322</v>
      </c>
      <c r="CC189" s="0" t="n">
        <v>0</v>
      </c>
      <c r="CD189" s="0" t="n">
        <v>74584.32457500001</v>
      </c>
      <c r="CE189" s="0" t="n">
        <v>145155.75958</v>
      </c>
      <c r="CF189" s="0" t="n">
        <v>44824.934018</v>
      </c>
      <c r="CG189" s="0" t="n">
        <v>16127.64</v>
      </c>
      <c r="CH189" s="0" t="n">
        <v>284971.099207</v>
      </c>
      <c r="CI189" s="0" t="n">
        <v>2975861.58142</v>
      </c>
      <c r="CJ189" s="0" t="n">
        <v>743978.4</v>
      </c>
    </row>
    <row r="190" ht="14.4975" customHeight="1" s="64">
      <c r="BF190" s="0" t="inlineStr">
        <is>
          <t>2027BUD_V1</t>
        </is>
      </c>
      <c r="BG190" s="0" t="inlineStr">
        <is>
          <t>V01</t>
        </is>
      </c>
      <c r="BH190" s="0" t="inlineStr">
        <is>
          <t>12</t>
        </is>
      </c>
      <c r="BI190" s="0" t="inlineStr">
        <is>
          <t>2027</t>
        </is>
      </c>
      <c r="BJ190" s="0" t="inlineStr">
        <is>
          <t>IPAC_REN</t>
        </is>
      </c>
      <c r="BK190" s="0" t="inlineStr">
        <is>
          <t>IPAC</t>
        </is>
      </c>
      <c r="BL190" s="0" t="inlineStr">
        <is>
          <t>BAC_CCE</t>
        </is>
      </c>
      <c r="BM190" s="0" t="inlineStr">
        <is>
          <t>B3</t>
        </is>
      </c>
      <c r="BN190" s="0" t="inlineStr">
        <is>
          <t>ALT</t>
        </is>
      </c>
      <c r="BO190" s="0" t="n">
        <v>38.195</v>
      </c>
      <c r="BP190" s="0" t="n">
        <v>2</v>
      </c>
      <c r="BQ190" s="0" t="n">
        <v>254696.511046</v>
      </c>
      <c r="BR190" s="0" t="n">
        <v>24861.416664</v>
      </c>
      <c r="BS190" s="0" t="n">
        <v>48385.204808</v>
      </c>
      <c r="BT190" s="0" t="n">
        <v>14019.536013</v>
      </c>
      <c r="BU190" s="0" t="n">
        <v>94990.271412</v>
      </c>
      <c r="BV190" s="0" t="n">
        <v>8543.276465999999</v>
      </c>
      <c r="BW190" s="0" t="n">
        <v>37231.773333</v>
      </c>
      <c r="BX190" s="0" t="n">
        <v>45775.049799</v>
      </c>
      <c r="BY190" s="0" t="n">
        <v>38880.952677</v>
      </c>
      <c r="BZ190" s="0" t="n">
        <v>189150.526019</v>
      </c>
      <c r="CA190" s="0" t="n">
        <v>228031.478696</v>
      </c>
      <c r="CB190" s="0" t="n">
        <v>26665.03235</v>
      </c>
      <c r="CC190" s="0" t="n">
        <v>0</v>
      </c>
      <c r="CD190" s="0" t="n">
        <v>74584.32457500001</v>
      </c>
      <c r="CE190" s="0" t="n">
        <v>145155.75958</v>
      </c>
      <c r="CF190" s="0" t="n">
        <v>44824.934018</v>
      </c>
      <c r="CG190" s="0" t="n">
        <v>16127.64</v>
      </c>
      <c r="CH190" s="0" t="n">
        <v>284971.099207</v>
      </c>
      <c r="CI190" s="0" t="n">
        <v>2975861.58142</v>
      </c>
      <c r="CJ190" s="0" t="n">
        <v>743978.4</v>
      </c>
    </row>
    <row r="191" ht="14.4975" customHeight="1" s="64">
      <c r="BF191" s="0" t="inlineStr">
        <is>
          <t>2027BUD_V1</t>
        </is>
      </c>
      <c r="BG191" s="0" t="inlineStr">
        <is>
          <t>V01</t>
        </is>
      </c>
      <c r="BH191" s="0" t="inlineStr">
        <is>
          <t>12</t>
        </is>
      </c>
      <c r="BI191" s="0" t="inlineStr">
        <is>
          <t>2027</t>
        </is>
      </c>
      <c r="BJ191" s="0" t="inlineStr">
        <is>
          <t>ISCOM_LIL</t>
        </is>
      </c>
      <c r="BK191" s="0" t="inlineStr">
        <is>
          <t>ISCOM</t>
        </is>
      </c>
      <c r="BL191" s="0" t="inlineStr">
        <is>
          <t>BAC_COM</t>
        </is>
      </c>
      <c r="BM191" s="0" t="inlineStr">
        <is>
          <t>B1</t>
        </is>
      </c>
      <c r="BN191" s="0" t="inlineStr">
        <is>
          <t>INIT</t>
        </is>
      </c>
      <c r="BO191" s="0" t="n">
        <v>54.601406</v>
      </c>
      <c r="BP191" s="0" t="n">
        <v>2</v>
      </c>
      <c r="BQ191" s="0" t="n">
        <v>407572.863954</v>
      </c>
      <c r="BR191" s="0" t="n">
        <v>31076.544499</v>
      </c>
      <c r="BS191" s="0" t="n">
        <v>75864.333805</v>
      </c>
      <c r="BT191" s="0" t="n">
        <v>33487.261379</v>
      </c>
      <c r="BU191" s="0" t="n">
        <v>138138.310356</v>
      </c>
      <c r="BV191" s="0" t="n">
        <v>11943.305594</v>
      </c>
      <c r="BW191" s="0" t="n">
        <v>46661.858225</v>
      </c>
      <c r="BX191" s="0" t="n">
        <v>58605.163819</v>
      </c>
      <c r="BY191" s="0" t="n">
        <v>64563.805878</v>
      </c>
      <c r="BZ191" s="0" t="n">
        <v>272607.80798</v>
      </c>
      <c r="CA191" s="0" t="n">
        <v>337171.613858</v>
      </c>
      <c r="CB191" s="0" t="n">
        <v>70401.250096</v>
      </c>
      <c r="CC191" s="0" t="n">
        <v>54.601406</v>
      </c>
      <c r="CD191" s="0" t="n">
        <v>124306.177995</v>
      </c>
      <c r="CE191" s="0" t="n">
        <v>303457.33522</v>
      </c>
      <c r="CF191" s="0" t="n">
        <v>93481.12057899999</v>
      </c>
      <c r="CG191" s="0" t="n">
        <v>27237.6</v>
      </c>
      <c r="CH191" s="0" t="n">
        <v>690691.551778</v>
      </c>
      <c r="CI191" s="0" t="n">
        <v>2975861.58142</v>
      </c>
      <c r="CJ191" s="0" t="n">
        <v>743978.4</v>
      </c>
    </row>
    <row r="192" ht="14.4975" customHeight="1" s="64">
      <c r="BF192" s="0" t="inlineStr">
        <is>
          <t>2027BUD_V1</t>
        </is>
      </c>
      <c r="BG192" s="0" t="inlineStr">
        <is>
          <t>V01</t>
        </is>
      </c>
      <c r="BH192" s="0" t="inlineStr">
        <is>
          <t>12</t>
        </is>
      </c>
      <c r="BI192" s="0" t="inlineStr">
        <is>
          <t>2027</t>
        </is>
      </c>
      <c r="BJ192" s="0" t="inlineStr">
        <is>
          <t>ISCOM_LIL</t>
        </is>
      </c>
      <c r="BK192" s="0" t="inlineStr">
        <is>
          <t>ISCOM</t>
        </is>
      </c>
      <c r="BL192" s="0" t="inlineStr">
        <is>
          <t>BAC_COM</t>
        </is>
      </c>
      <c r="BM192" s="0" t="inlineStr">
        <is>
          <t>B2</t>
        </is>
      </c>
      <c r="BN192" s="0" t="inlineStr">
        <is>
          <t>ALT</t>
        </is>
      </c>
      <c r="BO192" s="0" t="n">
        <v>48.25</v>
      </c>
      <c r="BP192" s="0" t="n">
        <v>2</v>
      </c>
      <c r="BQ192" s="0" t="n">
        <v>332098.868325</v>
      </c>
      <c r="BR192" s="0" t="n">
        <v>24861.235599</v>
      </c>
      <c r="BS192" s="0" t="n">
        <v>60691.467044</v>
      </c>
      <c r="BT192" s="0" t="n">
        <v>17682.047439</v>
      </c>
      <c r="BU192" s="0" t="n">
        <v>138138.310356</v>
      </c>
      <c r="BV192" s="0" t="n">
        <v>11943.305594</v>
      </c>
      <c r="BW192" s="0" t="n">
        <v>46661.858225</v>
      </c>
      <c r="BX192" s="0" t="n">
        <v>58605.163819</v>
      </c>
      <c r="BY192" s="0" t="n">
        <v>42543.283038</v>
      </c>
      <c r="BZ192" s="0" t="n">
        <v>257434.941219</v>
      </c>
      <c r="CA192" s="0" t="n">
        <v>299978.224257</v>
      </c>
      <c r="CB192" s="0" t="n">
        <v>32120.644068</v>
      </c>
      <c r="CC192" s="0" t="n">
        <v>0</v>
      </c>
      <c r="CD192" s="0" t="n">
        <v>124306.177995</v>
      </c>
      <c r="CE192" s="0" t="n">
        <v>303457.33522</v>
      </c>
      <c r="CF192" s="0" t="n">
        <v>93481.12057899999</v>
      </c>
      <c r="CG192" s="0" t="n">
        <v>27237.6</v>
      </c>
      <c r="CH192" s="0" t="n">
        <v>690691.551778</v>
      </c>
      <c r="CI192" s="0" t="n">
        <v>2975861.58142</v>
      </c>
      <c r="CJ192" s="0" t="n">
        <v>743978.4</v>
      </c>
    </row>
    <row r="193" ht="14.4975" customHeight="1" s="64">
      <c r="BF193" s="0" t="inlineStr">
        <is>
          <t>2027BUD_V1</t>
        </is>
      </c>
      <c r="BG193" s="0" t="inlineStr">
        <is>
          <t>V01</t>
        </is>
      </c>
      <c r="BH193" s="0" t="inlineStr">
        <is>
          <t>12</t>
        </is>
      </c>
      <c r="BI193" s="0" t="inlineStr">
        <is>
          <t>2027</t>
        </is>
      </c>
      <c r="BJ193" s="0" t="inlineStr">
        <is>
          <t>ISCOM_LIL</t>
        </is>
      </c>
      <c r="BK193" s="0" t="inlineStr">
        <is>
          <t>ISCOM</t>
        </is>
      </c>
      <c r="BL193" s="0" t="inlineStr">
        <is>
          <t>BAC_COM</t>
        </is>
      </c>
      <c r="BM193" s="0" t="inlineStr">
        <is>
          <t>B3</t>
        </is>
      </c>
      <c r="BN193" s="0" t="inlineStr">
        <is>
          <t>ALT</t>
        </is>
      </c>
      <c r="BO193" s="0" t="n">
        <v>47.24</v>
      </c>
      <c r="BP193" s="0" t="n">
        <v>2</v>
      </c>
      <c r="BQ193" s="0" t="n">
        <v>325147.161444</v>
      </c>
      <c r="BR193" s="0" t="n">
        <v>24861.235599</v>
      </c>
      <c r="BS193" s="0" t="n">
        <v>60691.467044</v>
      </c>
      <c r="BT193" s="0" t="n">
        <v>17311.862201</v>
      </c>
      <c r="BU193" s="0" t="n">
        <v>138138.310356</v>
      </c>
      <c r="BV193" s="0" t="n">
        <v>11943.305594</v>
      </c>
      <c r="BW193" s="0" t="n">
        <v>46661.858225</v>
      </c>
      <c r="BX193" s="0" t="n">
        <v>58605.163819</v>
      </c>
      <c r="BY193" s="0" t="n">
        <v>42173.0978</v>
      </c>
      <c r="BZ193" s="0" t="n">
        <v>257434.941219</v>
      </c>
      <c r="CA193" s="0" t="n">
        <v>299608.039019</v>
      </c>
      <c r="CB193" s="0" t="n">
        <v>25539.122425</v>
      </c>
      <c r="CC193" s="0" t="n">
        <v>0</v>
      </c>
      <c r="CD193" s="0" t="n">
        <v>124306.177995</v>
      </c>
      <c r="CE193" s="0" t="n">
        <v>303457.33522</v>
      </c>
      <c r="CF193" s="0" t="n">
        <v>93481.12057899999</v>
      </c>
      <c r="CG193" s="0" t="n">
        <v>27237.6</v>
      </c>
      <c r="CH193" s="0" t="n">
        <v>690691.551778</v>
      </c>
      <c r="CI193" s="0" t="n">
        <v>2975861.58142</v>
      </c>
      <c r="CJ193" s="0" t="n">
        <v>743978.4</v>
      </c>
    </row>
    <row r="194" ht="14.4975" customHeight="1" s="64">
      <c r="BF194" s="0" t="inlineStr">
        <is>
          <t>2027BUD_V1</t>
        </is>
      </c>
      <c r="BG194" s="0" t="inlineStr">
        <is>
          <t>V01</t>
        </is>
      </c>
      <c r="BH194" s="0" t="inlineStr">
        <is>
          <t>12</t>
        </is>
      </c>
      <c r="BI194" s="0" t="inlineStr">
        <is>
          <t>2027</t>
        </is>
      </c>
      <c r="BJ194" s="0" t="inlineStr">
        <is>
          <t>ISCOM_LIL</t>
        </is>
      </c>
      <c r="BK194" s="0" t="inlineStr">
        <is>
          <t>ISCOM</t>
        </is>
      </c>
      <c r="BL194" s="0" t="inlineStr">
        <is>
          <t>MAS_COM</t>
        </is>
      </c>
      <c r="BM194" s="0" t="inlineStr">
        <is>
          <t>M1</t>
        </is>
      </c>
      <c r="BN194" s="0" t="inlineStr">
        <is>
          <t>ALT</t>
        </is>
      </c>
      <c r="BO194" s="0" t="n">
        <v>55.745236</v>
      </c>
      <c r="BP194" s="0" t="n">
        <v>2</v>
      </c>
      <c r="BQ194" s="0" t="n">
        <v>416110.997001</v>
      </c>
      <c r="BR194" s="0" t="n">
        <v>21753.581149</v>
      </c>
      <c r="BS194" s="0" t="n">
        <v>53105.033664</v>
      </c>
      <c r="BT194" s="0" t="n">
        <v>34188.748448</v>
      </c>
      <c r="BU194" s="0" t="n">
        <v>138138.310356</v>
      </c>
      <c r="BV194" s="0" t="n">
        <v>11943.305594</v>
      </c>
      <c r="BW194" s="0" t="n">
        <v>46661.858225</v>
      </c>
      <c r="BX194" s="0" t="n">
        <v>58605.163819</v>
      </c>
      <c r="BY194" s="0" t="n">
        <v>55942.329597</v>
      </c>
      <c r="BZ194" s="0" t="n">
        <v>249848.507839</v>
      </c>
      <c r="CA194" s="0" t="n">
        <v>305790.837436</v>
      </c>
      <c r="CB194" s="0" t="n">
        <v>110320.159565</v>
      </c>
      <c r="CC194" s="0" t="n">
        <v>55.745236</v>
      </c>
      <c r="CD194" s="0" t="n">
        <v>124306.177995</v>
      </c>
      <c r="CE194" s="0" t="n">
        <v>303457.33522</v>
      </c>
      <c r="CF194" s="0" t="n">
        <v>93481.12057899999</v>
      </c>
      <c r="CG194" s="0" t="n">
        <v>27237.6</v>
      </c>
      <c r="CH194" s="0" t="n">
        <v>690691.551778</v>
      </c>
      <c r="CI194" s="0" t="n">
        <v>2975861.58142</v>
      </c>
      <c r="CJ194" s="0" t="n">
        <v>743978.4</v>
      </c>
    </row>
    <row r="195" ht="14.4975" customHeight="1" s="64">
      <c r="BF195" s="0" t="inlineStr">
        <is>
          <t>2027BUD_V1</t>
        </is>
      </c>
      <c r="BG195" s="0" t="inlineStr">
        <is>
          <t>V01</t>
        </is>
      </c>
      <c r="BH195" s="0" t="inlineStr">
        <is>
          <t>12</t>
        </is>
      </c>
      <c r="BI195" s="0" t="inlineStr">
        <is>
          <t>2027</t>
        </is>
      </c>
      <c r="BJ195" s="0" t="inlineStr">
        <is>
          <t>ISCOM_LIL</t>
        </is>
      </c>
      <c r="BK195" s="0" t="inlineStr">
        <is>
          <t>ISCOM</t>
        </is>
      </c>
      <c r="BL195" s="0" t="inlineStr">
        <is>
          <t>MAS_COM</t>
        </is>
      </c>
      <c r="BM195" s="0" t="inlineStr">
        <is>
          <t>M2</t>
        </is>
      </c>
      <c r="BN195" s="0" t="inlineStr">
        <is>
          <t>ALT</t>
        </is>
      </c>
      <c r="BO195" s="0" t="n">
        <v>49.25</v>
      </c>
      <c r="BP195" s="0" t="n">
        <v>2</v>
      </c>
      <c r="BQ195" s="0" t="n">
        <v>363194.728313</v>
      </c>
      <c r="BR195" s="0" t="n">
        <v>21753.581149</v>
      </c>
      <c r="BS195" s="0" t="n">
        <v>53105.033664</v>
      </c>
      <c r="BT195" s="0" t="n">
        <v>18048.493431</v>
      </c>
      <c r="BU195" s="0" t="n">
        <v>138138.310356</v>
      </c>
      <c r="BV195" s="0" t="n">
        <v>11943.305594</v>
      </c>
      <c r="BW195" s="0" t="n">
        <v>46661.858225</v>
      </c>
      <c r="BX195" s="0" t="n">
        <v>58605.163819</v>
      </c>
      <c r="BY195" s="0" t="n">
        <v>39802.07458</v>
      </c>
      <c r="BZ195" s="0" t="n">
        <v>249848.507839</v>
      </c>
      <c r="CA195" s="0" t="n">
        <v>289650.582419</v>
      </c>
      <c r="CB195" s="0" t="n">
        <v>73544.145894</v>
      </c>
      <c r="CC195" s="0" t="n">
        <v>0</v>
      </c>
      <c r="CD195" s="0" t="n">
        <v>124306.177995</v>
      </c>
      <c r="CE195" s="0" t="n">
        <v>303457.33522</v>
      </c>
      <c r="CF195" s="0" t="n">
        <v>93481.12057899999</v>
      </c>
      <c r="CG195" s="0" t="n">
        <v>27237.6</v>
      </c>
      <c r="CH195" s="0" t="n">
        <v>690691.551778</v>
      </c>
      <c r="CI195" s="0" t="n">
        <v>2975861.58142</v>
      </c>
      <c r="CJ195" s="0" t="n">
        <v>743978.4</v>
      </c>
    </row>
    <row r="196" ht="14.4975" customHeight="1" s="64">
      <c r="BF196" s="0" t="inlineStr">
        <is>
          <t>2027BUD_V1</t>
        </is>
      </c>
      <c r="BG196" s="0" t="inlineStr">
        <is>
          <t>V01</t>
        </is>
      </c>
      <c r="BH196" s="0" t="inlineStr">
        <is>
          <t>12</t>
        </is>
      </c>
      <c r="BI196" s="0" t="inlineStr">
        <is>
          <t>2027</t>
        </is>
      </c>
      <c r="BJ196" s="0" t="inlineStr">
        <is>
          <t>ISCOM_PAR</t>
        </is>
      </c>
      <c r="BK196" s="0" t="inlineStr">
        <is>
          <t>ISCOM</t>
        </is>
      </c>
      <c r="BL196" s="0" t="inlineStr">
        <is>
          <t>BAC_COM</t>
        </is>
      </c>
      <c r="BM196" s="0" t="inlineStr">
        <is>
          <t>B1</t>
        </is>
      </c>
      <c r="BN196" s="0" t="inlineStr">
        <is>
          <t>INIT</t>
        </is>
      </c>
      <c r="BO196" s="0" t="n">
        <v>78.323408</v>
      </c>
      <c r="BP196" s="0" t="n">
        <v>3</v>
      </c>
      <c r="BQ196" s="0" t="n">
        <v>667159.885872</v>
      </c>
      <c r="BR196" s="0" t="n">
        <v>46614.945452</v>
      </c>
      <c r="BS196" s="0" t="n">
        <v>130065.45292</v>
      </c>
      <c r="BT196" s="0" t="n">
        <v>61252.7876</v>
      </c>
      <c r="BU196" s="0" t="n">
        <v>231516.014631</v>
      </c>
      <c r="BV196" s="0" t="n">
        <v>17293.313276</v>
      </c>
      <c r="BW196" s="0" t="n">
        <v>67564.053013</v>
      </c>
      <c r="BX196" s="0" t="n">
        <v>84857.366289</v>
      </c>
      <c r="BY196" s="0" t="n">
        <v>107867.733052</v>
      </c>
      <c r="BZ196" s="0" t="n">
        <v>446438.83384</v>
      </c>
      <c r="CA196" s="0" t="n">
        <v>554306.566892</v>
      </c>
      <c r="CB196" s="0" t="n">
        <v>112853.31898</v>
      </c>
      <c r="CC196" s="0" t="n">
        <v>78.323408</v>
      </c>
      <c r="CD196" s="0" t="n">
        <v>186459.781808</v>
      </c>
      <c r="CE196" s="0" t="n">
        <v>520261.81168</v>
      </c>
      <c r="CF196" s="0" t="n">
        <v>135624.898557</v>
      </c>
      <c r="CG196" s="0" t="n">
        <v>65664</v>
      </c>
      <c r="CH196" s="0" t="n">
        <v>1157580.073157</v>
      </c>
      <c r="CI196" s="0" t="n">
        <v>2975861.58142</v>
      </c>
      <c r="CJ196" s="0" t="n">
        <v>743978.4</v>
      </c>
    </row>
    <row r="197" ht="14.4975" customHeight="1" s="64">
      <c r="BF197" s="0" t="inlineStr">
        <is>
          <t>2027BUD_V1</t>
        </is>
      </c>
      <c r="BG197" s="0" t="inlineStr">
        <is>
          <t>V01</t>
        </is>
      </c>
      <c r="BH197" s="0" t="inlineStr">
        <is>
          <t>12</t>
        </is>
      </c>
      <c r="BI197" s="0" t="inlineStr">
        <is>
          <t>2027</t>
        </is>
      </c>
      <c r="BJ197" s="0" t="inlineStr">
        <is>
          <t>ISCOM_PAR</t>
        </is>
      </c>
      <c r="BK197" s="0" t="inlineStr">
        <is>
          <t>ISCOM</t>
        </is>
      </c>
      <c r="BL197" s="0" t="inlineStr">
        <is>
          <t>BAC_COM</t>
        </is>
      </c>
      <c r="BM197" s="0" t="inlineStr">
        <is>
          <t>B2</t>
        </is>
      </c>
      <c r="BN197" s="0" t="inlineStr">
        <is>
          <t>ALT</t>
        </is>
      </c>
      <c r="BO197" s="0" t="n">
        <v>70.36</v>
      </c>
      <c r="BP197" s="0" t="n">
        <v>3</v>
      </c>
      <c r="BQ197" s="0" t="n">
        <v>553462.0607039999</v>
      </c>
      <c r="BR197" s="0" t="n">
        <v>37291.956362</v>
      </c>
      <c r="BS197" s="0" t="n">
        <v>104052.362336</v>
      </c>
      <c r="BT197" s="0" t="n">
        <v>25835.865051</v>
      </c>
      <c r="BU197" s="0" t="n">
        <v>231516.014631</v>
      </c>
      <c r="BV197" s="0" t="n">
        <v>17293.313276</v>
      </c>
      <c r="BW197" s="0" t="n">
        <v>67564.053013</v>
      </c>
      <c r="BX197" s="0" t="n">
        <v>84857.366289</v>
      </c>
      <c r="BY197" s="0" t="n">
        <v>63127.821413</v>
      </c>
      <c r="BZ197" s="0" t="n">
        <v>420425.743256</v>
      </c>
      <c r="CA197" s="0" t="n">
        <v>483553.564669</v>
      </c>
      <c r="CB197" s="0" t="n">
        <v>69908.496035</v>
      </c>
      <c r="CC197" s="0" t="n">
        <v>0</v>
      </c>
      <c r="CD197" s="0" t="n">
        <v>186459.781808</v>
      </c>
      <c r="CE197" s="0" t="n">
        <v>520261.81168</v>
      </c>
      <c r="CF197" s="0" t="n">
        <v>135624.898557</v>
      </c>
      <c r="CG197" s="0" t="n">
        <v>65664</v>
      </c>
      <c r="CH197" s="0" t="n">
        <v>1157580.073157</v>
      </c>
      <c r="CI197" s="0" t="n">
        <v>2975861.58142</v>
      </c>
      <c r="CJ197" s="0" t="n">
        <v>743978.4</v>
      </c>
    </row>
    <row r="198" ht="14.4975" customHeight="1" s="64">
      <c r="BF198" s="0" t="inlineStr">
        <is>
          <t>2027BUD_V1</t>
        </is>
      </c>
      <c r="BG198" s="0" t="inlineStr">
        <is>
          <t>V01</t>
        </is>
      </c>
      <c r="BH198" s="0" t="inlineStr">
        <is>
          <t>12</t>
        </is>
      </c>
      <c r="BI198" s="0" t="inlineStr">
        <is>
          <t>2027</t>
        </is>
      </c>
      <c r="BJ198" s="0" t="inlineStr">
        <is>
          <t>ISCOM_PAR</t>
        </is>
      </c>
      <c r="BK198" s="0" t="inlineStr">
        <is>
          <t>ISCOM</t>
        </is>
      </c>
      <c r="BL198" s="0" t="inlineStr">
        <is>
          <t>BAC_COM</t>
        </is>
      </c>
      <c r="BM198" s="0" t="inlineStr">
        <is>
          <t>B3</t>
        </is>
      </c>
      <c r="BN198" s="0" t="inlineStr">
        <is>
          <t>ALT</t>
        </is>
      </c>
      <c r="BO198" s="0" t="n">
        <v>69.34999999999999</v>
      </c>
      <c r="BP198" s="0" t="n">
        <v>3</v>
      </c>
      <c r="BQ198" s="0" t="n">
        <v>545517.25284</v>
      </c>
      <c r="BR198" s="0" t="n">
        <v>37291.956362</v>
      </c>
      <c r="BS198" s="0" t="n">
        <v>104052.362336</v>
      </c>
      <c r="BT198" s="0" t="n">
        <v>25465.066578</v>
      </c>
      <c r="BU198" s="0" t="n">
        <v>231516.014631</v>
      </c>
      <c r="BV198" s="0" t="n">
        <v>17293.313276</v>
      </c>
      <c r="BW198" s="0" t="n">
        <v>67564.053013</v>
      </c>
      <c r="BX198" s="0" t="n">
        <v>84857.366289</v>
      </c>
      <c r="BY198" s="0" t="n">
        <v>62757.02294</v>
      </c>
      <c r="BZ198" s="0" t="n">
        <v>420425.743256</v>
      </c>
      <c r="CA198" s="0" t="n">
        <v>483182.766196</v>
      </c>
      <c r="CB198" s="0" t="n">
        <v>62334.486644</v>
      </c>
      <c r="CC198" s="0" t="n">
        <v>0</v>
      </c>
      <c r="CD198" s="0" t="n">
        <v>186459.781808</v>
      </c>
      <c r="CE198" s="0" t="n">
        <v>520261.81168</v>
      </c>
      <c r="CF198" s="0" t="n">
        <v>135624.898557</v>
      </c>
      <c r="CG198" s="0" t="n">
        <v>65664</v>
      </c>
      <c r="CH198" s="0" t="n">
        <v>1157580.073157</v>
      </c>
      <c r="CI198" s="0" t="n">
        <v>2975861.58142</v>
      </c>
      <c r="CJ198" s="0" t="n">
        <v>743978.4</v>
      </c>
    </row>
    <row r="199" ht="14.4975" customHeight="1" s="64">
      <c r="BF199" s="0" t="inlineStr">
        <is>
          <t>2027BUD_V1</t>
        </is>
      </c>
      <c r="BG199" s="0" t="inlineStr">
        <is>
          <t>V01</t>
        </is>
      </c>
      <c r="BH199" s="0" t="inlineStr">
        <is>
          <t>12</t>
        </is>
      </c>
      <c r="BI199" s="0" t="inlineStr">
        <is>
          <t>2027</t>
        </is>
      </c>
      <c r="BJ199" s="0" t="inlineStr">
        <is>
          <t>ISCOM_PAR</t>
        </is>
      </c>
      <c r="BK199" s="0" t="inlineStr">
        <is>
          <t>ISCOM</t>
        </is>
      </c>
      <c r="BL199" s="0" t="inlineStr">
        <is>
          <t>MAS_COM</t>
        </is>
      </c>
      <c r="BM199" s="0" t="inlineStr">
        <is>
          <t>M1</t>
        </is>
      </c>
      <c r="BN199" s="0" t="inlineStr">
        <is>
          <t>ALT</t>
        </is>
      </c>
      <c r="BO199" s="0" t="n">
        <v>79.958935</v>
      </c>
      <c r="BP199" s="0" t="n">
        <v>3</v>
      </c>
      <c r="BQ199" s="0" t="n">
        <v>681091.327755</v>
      </c>
      <c r="BR199" s="0" t="n">
        <v>32630.461816</v>
      </c>
      <c r="BS199" s="0" t="n">
        <v>91045.817044</v>
      </c>
      <c r="BT199" s="0" t="n">
        <v>62531.840763</v>
      </c>
      <c r="BU199" s="0" t="n">
        <v>231516.014631</v>
      </c>
      <c r="BV199" s="0" t="n">
        <v>17293.313276</v>
      </c>
      <c r="BW199" s="0" t="n">
        <v>67564.053013</v>
      </c>
      <c r="BX199" s="0" t="n">
        <v>84857.366289</v>
      </c>
      <c r="BY199" s="0" t="n">
        <v>95162.302579</v>
      </c>
      <c r="BZ199" s="0" t="n">
        <v>407419.197964</v>
      </c>
      <c r="CA199" s="0" t="n">
        <v>502581.500543</v>
      </c>
      <c r="CB199" s="0" t="n">
        <v>178509.827212</v>
      </c>
      <c r="CC199" s="0" t="n">
        <v>79.958935</v>
      </c>
      <c r="CD199" s="0" t="n">
        <v>186459.781808</v>
      </c>
      <c r="CE199" s="0" t="n">
        <v>520261.81168</v>
      </c>
      <c r="CF199" s="0" t="n">
        <v>135624.898557</v>
      </c>
      <c r="CG199" s="0" t="n">
        <v>65664</v>
      </c>
      <c r="CH199" s="0" t="n">
        <v>1157580.073157</v>
      </c>
      <c r="CI199" s="0" t="n">
        <v>2975861.58142</v>
      </c>
      <c r="CJ199" s="0" t="n">
        <v>743978.4</v>
      </c>
    </row>
    <row r="200" ht="14.4975" customHeight="1" s="64">
      <c r="BF200" s="0" t="inlineStr">
        <is>
          <t>2027BUD_V1</t>
        </is>
      </c>
      <c r="BG200" s="0" t="inlineStr">
        <is>
          <t>V01</t>
        </is>
      </c>
      <c r="BH200" s="0" t="inlineStr">
        <is>
          <t>12</t>
        </is>
      </c>
      <c r="BI200" s="0" t="inlineStr">
        <is>
          <t>2027</t>
        </is>
      </c>
      <c r="BJ200" s="0" t="inlineStr">
        <is>
          <t>ISCOM_PAR</t>
        </is>
      </c>
      <c r="BK200" s="0" t="inlineStr">
        <is>
          <t>ISCOM</t>
        </is>
      </c>
      <c r="BL200" s="0" t="inlineStr">
        <is>
          <t>MAS_COM</t>
        </is>
      </c>
      <c r="BM200" s="0" t="inlineStr">
        <is>
          <t>M2</t>
        </is>
      </c>
      <c r="BN200" s="0" t="inlineStr">
        <is>
          <t>ALT</t>
        </is>
      </c>
      <c r="BO200" s="0" t="n">
        <v>71.36</v>
      </c>
      <c r="BP200" s="0" t="n">
        <v>3</v>
      </c>
      <c r="BQ200" s="0" t="n">
        <v>601423.07904</v>
      </c>
      <c r="BR200" s="0" t="n">
        <v>32630.461816</v>
      </c>
      <c r="BS200" s="0" t="n">
        <v>91045.817044</v>
      </c>
      <c r="BT200" s="0" t="n">
        <v>26203.137276</v>
      </c>
      <c r="BU200" s="0" t="n">
        <v>231516.014631</v>
      </c>
      <c r="BV200" s="0" t="n">
        <v>17293.313276</v>
      </c>
      <c r="BW200" s="0" t="n">
        <v>67564.053013</v>
      </c>
      <c r="BX200" s="0" t="n">
        <v>84857.366289</v>
      </c>
      <c r="BY200" s="0" t="n">
        <v>58833.599092</v>
      </c>
      <c r="BZ200" s="0" t="n">
        <v>407419.197964</v>
      </c>
      <c r="CA200" s="0" t="n">
        <v>466252.797056</v>
      </c>
      <c r="CB200" s="0" t="n">
        <v>135170.281984</v>
      </c>
      <c r="CC200" s="0" t="n">
        <v>0</v>
      </c>
      <c r="CD200" s="0" t="n">
        <v>186459.781808</v>
      </c>
      <c r="CE200" s="0" t="n">
        <v>520261.81168</v>
      </c>
      <c r="CF200" s="0" t="n">
        <v>135624.898557</v>
      </c>
      <c r="CG200" s="0" t="n">
        <v>65664</v>
      </c>
      <c r="CH200" s="0" t="n">
        <v>1157580.073157</v>
      </c>
      <c r="CI200" s="0" t="n">
        <v>2975861.58142</v>
      </c>
      <c r="CJ200" s="0" t="n">
        <v>743978.4</v>
      </c>
    </row>
    <row r="201" ht="14.4975" customHeight="1" s="64">
      <c r="BF201" s="0" t="inlineStr">
        <is>
          <t>2027BUD_V1</t>
        </is>
      </c>
      <c r="BG201" s="0" t="inlineStr">
        <is>
          <t>V01</t>
        </is>
      </c>
      <c r="BH201" s="0" t="inlineStr">
        <is>
          <t>12</t>
        </is>
      </c>
      <c r="BI201" s="0" t="inlineStr">
        <is>
          <t>2027</t>
        </is>
      </c>
      <c r="BJ201" s="0" t="inlineStr">
        <is>
          <t>ISCOM_TLS</t>
        </is>
      </c>
      <c r="BK201" s="0" t="inlineStr">
        <is>
          <t>ISCOM</t>
        </is>
      </c>
      <c r="BL201" s="0" t="inlineStr">
        <is>
          <t>BAC_COM</t>
        </is>
      </c>
      <c r="BM201" s="0" t="inlineStr">
        <is>
          <t>B1</t>
        </is>
      </c>
      <c r="BN201" s="0" t="inlineStr">
        <is>
          <t>INIT</t>
        </is>
      </c>
      <c r="BO201" s="0" t="n">
        <v>51.351967</v>
      </c>
      <c r="BP201" s="0" t="n">
        <v>2</v>
      </c>
      <c r="BQ201" s="0" t="n">
        <v>375588.902862</v>
      </c>
      <c r="BR201" s="0" t="n">
        <v>31076.544499</v>
      </c>
      <c r="BS201" s="0" t="n">
        <v>71337.751355</v>
      </c>
      <c r="BT201" s="0" t="n">
        <v>30620.977389</v>
      </c>
      <c r="BU201" s="0" t="n">
        <v>125159.088605</v>
      </c>
      <c r="BV201" s="0" t="n">
        <v>11306.294699</v>
      </c>
      <c r="BW201" s="0" t="n">
        <v>44173.090619</v>
      </c>
      <c r="BX201" s="0" t="n">
        <v>55479.385318</v>
      </c>
      <c r="BY201" s="0" t="n">
        <v>61697.521888</v>
      </c>
      <c r="BZ201" s="0" t="n">
        <v>251976.225278</v>
      </c>
      <c r="CA201" s="0" t="n">
        <v>313673.747166</v>
      </c>
      <c r="CB201" s="0" t="n">
        <v>61915.155696</v>
      </c>
      <c r="CC201" s="0" t="n">
        <v>51.351967</v>
      </c>
      <c r="CD201" s="0" t="n">
        <v>124306.177995</v>
      </c>
      <c r="CE201" s="0" t="n">
        <v>285351.00542</v>
      </c>
      <c r="CF201" s="0" t="n">
        <v>88500.801162</v>
      </c>
      <c r="CG201" s="0" t="n">
        <v>23849.64</v>
      </c>
      <c r="CH201" s="0" t="n">
        <v>625795.4430260001</v>
      </c>
      <c r="CI201" s="0" t="n">
        <v>2975861.58142</v>
      </c>
      <c r="CJ201" s="0" t="n">
        <v>743978.4</v>
      </c>
    </row>
    <row r="202" ht="14.4975" customHeight="1" s="64">
      <c r="BF202" s="0" t="inlineStr">
        <is>
          <t>2027BUD_V1</t>
        </is>
      </c>
      <c r="BG202" s="0" t="inlineStr">
        <is>
          <t>V01</t>
        </is>
      </c>
      <c r="BH202" s="0" t="inlineStr">
        <is>
          <t>12</t>
        </is>
      </c>
      <c r="BI202" s="0" t="inlineStr">
        <is>
          <t>2027</t>
        </is>
      </c>
      <c r="BJ202" s="0" t="inlineStr">
        <is>
          <t>ISCOM_TLS</t>
        </is>
      </c>
      <c r="BK202" s="0" t="inlineStr">
        <is>
          <t>ISCOM</t>
        </is>
      </c>
      <c r="BL202" s="0" t="inlineStr">
        <is>
          <t>BAC_COM</t>
        </is>
      </c>
      <c r="BM202" s="0" t="inlineStr">
        <is>
          <t>B2</t>
        </is>
      </c>
      <c r="BN202" s="0" t="inlineStr">
        <is>
          <t>ALT</t>
        </is>
      </c>
      <c r="BO202" s="0" t="n">
        <v>46.235</v>
      </c>
      <c r="BP202" s="0" t="n">
        <v>2</v>
      </c>
      <c r="BQ202" s="0" t="n">
        <v>311735.381832</v>
      </c>
      <c r="BR202" s="0" t="n">
        <v>24861.235599</v>
      </c>
      <c r="BS202" s="0" t="n">
        <v>57070.201084</v>
      </c>
      <c r="BT202" s="0" t="n">
        <v>16944.717394</v>
      </c>
      <c r="BU202" s="0" t="n">
        <v>125159.088605</v>
      </c>
      <c r="BV202" s="0" t="n">
        <v>11306.294699</v>
      </c>
      <c r="BW202" s="0" t="n">
        <v>44173.090619</v>
      </c>
      <c r="BX202" s="0" t="n">
        <v>55479.385318</v>
      </c>
      <c r="BY202" s="0" t="n">
        <v>41805.952993</v>
      </c>
      <c r="BZ202" s="0" t="n">
        <v>237708.675007</v>
      </c>
      <c r="CA202" s="0" t="n">
        <v>279514.628</v>
      </c>
      <c r="CB202" s="0" t="n">
        <v>32220.753832</v>
      </c>
      <c r="CC202" s="0" t="n">
        <v>0</v>
      </c>
      <c r="CD202" s="0" t="n">
        <v>124306.177995</v>
      </c>
      <c r="CE202" s="0" t="n">
        <v>285351.00542</v>
      </c>
      <c r="CF202" s="0" t="n">
        <v>88500.801162</v>
      </c>
      <c r="CG202" s="0" t="n">
        <v>23849.64</v>
      </c>
      <c r="CH202" s="0" t="n">
        <v>625795.4430260001</v>
      </c>
      <c r="CI202" s="0" t="n">
        <v>2975861.58142</v>
      </c>
      <c r="CJ202" s="0" t="n">
        <v>743978.4</v>
      </c>
    </row>
    <row r="203" ht="14.4975" customHeight="1" s="64">
      <c r="BF203" s="0" t="inlineStr">
        <is>
          <t>2027BUD_V1</t>
        </is>
      </c>
      <c r="BG203" s="0" t="inlineStr">
        <is>
          <t>V01</t>
        </is>
      </c>
      <c r="BH203" s="0" t="inlineStr">
        <is>
          <t>12</t>
        </is>
      </c>
      <c r="BI203" s="0" t="inlineStr">
        <is>
          <t>2027</t>
        </is>
      </c>
      <c r="BJ203" s="0" t="inlineStr">
        <is>
          <t>ISCOM_TLS</t>
        </is>
      </c>
      <c r="BK203" s="0" t="inlineStr">
        <is>
          <t>ISCOM</t>
        </is>
      </c>
      <c r="BL203" s="0" t="inlineStr">
        <is>
          <t>BAC_COM</t>
        </is>
      </c>
      <c r="BM203" s="0" t="inlineStr">
        <is>
          <t>B3</t>
        </is>
      </c>
      <c r="BN203" s="0" t="inlineStr">
        <is>
          <t>ALT</t>
        </is>
      </c>
      <c r="BO203" s="0" t="n">
        <v>45.23</v>
      </c>
      <c r="BP203" s="0" t="n">
        <v>2</v>
      </c>
      <c r="BQ203" s="0" t="n">
        <v>304959.258576</v>
      </c>
      <c r="BR203" s="0" t="n">
        <v>24861.235599</v>
      </c>
      <c r="BS203" s="0" t="n">
        <v>57070.201084</v>
      </c>
      <c r="BT203" s="0" t="n">
        <v>16576.377059</v>
      </c>
      <c r="BU203" s="0" t="n">
        <v>125159.088605</v>
      </c>
      <c r="BV203" s="0" t="n">
        <v>11306.294699</v>
      </c>
      <c r="BW203" s="0" t="n">
        <v>44173.090619</v>
      </c>
      <c r="BX203" s="0" t="n">
        <v>55479.385318</v>
      </c>
      <c r="BY203" s="0" t="n">
        <v>41437.612658</v>
      </c>
      <c r="BZ203" s="0" t="n">
        <v>237708.675007</v>
      </c>
      <c r="CA203" s="0" t="n">
        <v>279146.287665</v>
      </c>
      <c r="CB203" s="0" t="n">
        <v>25812.970911</v>
      </c>
      <c r="CC203" s="0" t="n">
        <v>0</v>
      </c>
      <c r="CD203" s="0" t="n">
        <v>124306.177995</v>
      </c>
      <c r="CE203" s="0" t="n">
        <v>285351.00542</v>
      </c>
      <c r="CF203" s="0" t="n">
        <v>88500.801162</v>
      </c>
      <c r="CG203" s="0" t="n">
        <v>23849.64</v>
      </c>
      <c r="CH203" s="0" t="n">
        <v>625795.4430260001</v>
      </c>
      <c r="CI203" s="0" t="n">
        <v>2975861.58142</v>
      </c>
      <c r="CJ203" s="0" t="n">
        <v>743978.4</v>
      </c>
    </row>
    <row r="204" ht="14.4975" customHeight="1" s="64">
      <c r="BF204" s="0" t="inlineStr">
        <is>
          <t>2027BUD_V1</t>
        </is>
      </c>
      <c r="BG204" s="0" t="inlineStr">
        <is>
          <t>V01</t>
        </is>
      </c>
      <c r="BH204" s="0" t="inlineStr">
        <is>
          <t>12</t>
        </is>
      </c>
      <c r="BI204" s="0" t="inlineStr">
        <is>
          <t>2027</t>
        </is>
      </c>
      <c r="BJ204" s="0" t="inlineStr">
        <is>
          <t>ISCOM_TLS</t>
        </is>
      </c>
      <c r="BK204" s="0" t="inlineStr">
        <is>
          <t>ISCOM</t>
        </is>
      </c>
      <c r="BL204" s="0" t="inlineStr">
        <is>
          <t>MAS_COM</t>
        </is>
      </c>
      <c r="BM204" s="0" t="inlineStr">
        <is>
          <t>M1</t>
        </is>
      </c>
      <c r="BN204" s="0" t="inlineStr">
        <is>
          <t>ALT</t>
        </is>
      </c>
      <c r="BO204" s="0" t="n">
        <v>52.42939</v>
      </c>
      <c r="BP204" s="0" t="n">
        <v>2</v>
      </c>
      <c r="BQ204" s="0" t="n">
        <v>383469.187613</v>
      </c>
      <c r="BR204" s="0" t="n">
        <v>21753.581149</v>
      </c>
      <c r="BS204" s="0" t="n">
        <v>49936.425949</v>
      </c>
      <c r="BT204" s="0" t="n">
        <v>31263.451076</v>
      </c>
      <c r="BU204" s="0" t="n">
        <v>125159.088605</v>
      </c>
      <c r="BV204" s="0" t="n">
        <v>11306.294699</v>
      </c>
      <c r="BW204" s="0" t="n">
        <v>44173.090619</v>
      </c>
      <c r="BX204" s="0" t="n">
        <v>55479.385318</v>
      </c>
      <c r="BY204" s="0" t="n">
        <v>53017.032225</v>
      </c>
      <c r="BZ204" s="0" t="n">
        <v>230574.899872</v>
      </c>
      <c r="CA204" s="0" t="n">
        <v>283591.932097</v>
      </c>
      <c r="CB204" s="0" t="n">
        <v>99877.255516</v>
      </c>
      <c r="CC204" s="0" t="n">
        <v>52.42939</v>
      </c>
      <c r="CD204" s="0" t="n">
        <v>124306.177995</v>
      </c>
      <c r="CE204" s="0" t="n">
        <v>285351.00542</v>
      </c>
      <c r="CF204" s="0" t="n">
        <v>88500.801162</v>
      </c>
      <c r="CG204" s="0" t="n">
        <v>23849.64</v>
      </c>
      <c r="CH204" s="0" t="n">
        <v>625795.4430260001</v>
      </c>
      <c r="CI204" s="0" t="n">
        <v>2975861.58142</v>
      </c>
      <c r="CJ204" s="0" t="n">
        <v>743978.4</v>
      </c>
    </row>
    <row r="205" ht="14.4975" customHeight="1" s="64">
      <c r="BF205" s="0" t="inlineStr">
        <is>
          <t>2027BUD_V1</t>
        </is>
      </c>
      <c r="BG205" s="0" t="inlineStr">
        <is>
          <t>V01</t>
        </is>
      </c>
      <c r="BH205" s="0" t="inlineStr">
        <is>
          <t>12</t>
        </is>
      </c>
      <c r="BI205" s="0" t="inlineStr">
        <is>
          <t>2027</t>
        </is>
      </c>
      <c r="BJ205" s="0" t="inlineStr">
        <is>
          <t>ISCOM_TLS</t>
        </is>
      </c>
      <c r="BK205" s="0" t="inlineStr">
        <is>
          <t>ISCOM</t>
        </is>
      </c>
      <c r="BL205" s="0" t="inlineStr">
        <is>
          <t>MAS_COM</t>
        </is>
      </c>
      <c r="BM205" s="0" t="inlineStr">
        <is>
          <t>M2</t>
        </is>
      </c>
      <c r="BN205" s="0" t="inlineStr">
        <is>
          <t>ALT</t>
        </is>
      </c>
      <c r="BO205" s="0" t="n">
        <v>46.235</v>
      </c>
      <c r="BP205" s="0" t="n">
        <v>2</v>
      </c>
      <c r="BQ205" s="0" t="n">
        <v>334002.19482</v>
      </c>
      <c r="BR205" s="0" t="n">
        <v>21753.581149</v>
      </c>
      <c r="BS205" s="0" t="n">
        <v>49936.425949</v>
      </c>
      <c r="BT205" s="0" t="n">
        <v>16944.717394</v>
      </c>
      <c r="BU205" s="0" t="n">
        <v>125159.088605</v>
      </c>
      <c r="BV205" s="0" t="n">
        <v>11306.294699</v>
      </c>
      <c r="BW205" s="0" t="n">
        <v>44173.090619</v>
      </c>
      <c r="BX205" s="0" t="n">
        <v>55479.385318</v>
      </c>
      <c r="BY205" s="0" t="n">
        <v>38698.298543</v>
      </c>
      <c r="BZ205" s="0" t="n">
        <v>230574.899872</v>
      </c>
      <c r="CA205" s="0" t="n">
        <v>269273.198415</v>
      </c>
      <c r="CB205" s="0" t="n">
        <v>64728.996405</v>
      </c>
      <c r="CC205" s="0" t="n">
        <v>0</v>
      </c>
      <c r="CD205" s="0" t="n">
        <v>124306.177995</v>
      </c>
      <c r="CE205" s="0" t="n">
        <v>285351.00542</v>
      </c>
      <c r="CF205" s="0" t="n">
        <v>88500.801162</v>
      </c>
      <c r="CG205" s="0" t="n">
        <v>23849.64</v>
      </c>
      <c r="CH205" s="0" t="n">
        <v>625795.4430260001</v>
      </c>
      <c r="CI205" s="0" t="n">
        <v>2975861.58142</v>
      </c>
      <c r="CJ205" s="0" t="n">
        <v>743978.4</v>
      </c>
    </row>
    <row r="206" ht="14.4975" customHeight="1" s="64">
      <c r="BF206" s="0" t="inlineStr">
        <is>
          <t>2027BUD_V1</t>
        </is>
      </c>
      <c r="BG206" s="0" t="inlineStr">
        <is>
          <t>V01</t>
        </is>
      </c>
      <c r="BH206" s="0" t="inlineStr">
        <is>
          <t>12</t>
        </is>
      </c>
      <c r="BI206" s="0" t="inlineStr">
        <is>
          <t>2027</t>
        </is>
      </c>
      <c r="BJ206" s="0" t="inlineStr">
        <is>
          <t>MBWAY_BOR</t>
        </is>
      </c>
      <c r="BK206" s="0" t="inlineStr">
        <is>
          <t>MBWAY</t>
        </is>
      </c>
      <c r="BL206" s="0" t="inlineStr">
        <is>
          <t>BAC_MGT</t>
        </is>
      </c>
      <c r="BM206" s="0" t="inlineStr">
        <is>
          <t>B1</t>
        </is>
      </c>
      <c r="BN206" s="0" t="inlineStr">
        <is>
          <t>INIT</t>
        </is>
      </c>
      <c r="BO206" s="0" t="n">
        <v>55.74675</v>
      </c>
      <c r="BP206" s="0" t="n">
        <v>2</v>
      </c>
      <c r="BQ206" s="0" t="n">
        <v>411986.15422</v>
      </c>
      <c r="BR206" s="0" t="n">
        <v>31076.544499</v>
      </c>
      <c r="BS206" s="0" t="n">
        <v>74709.834485</v>
      </c>
      <c r="BT206" s="0" t="n">
        <v>33741.20864</v>
      </c>
      <c r="BU206" s="0" t="n">
        <v>137944.302785</v>
      </c>
      <c r="BV206" s="0" t="n">
        <v>12306.590042</v>
      </c>
      <c r="BW206" s="0" t="n">
        <v>47635.864045</v>
      </c>
      <c r="BX206" s="0" t="n">
        <v>59942.454087</v>
      </c>
      <c r="BY206" s="0" t="n">
        <v>64817.753139</v>
      </c>
      <c r="BZ206" s="0" t="n">
        <v>272596.591357</v>
      </c>
      <c r="CA206" s="0" t="n">
        <v>337414.344496</v>
      </c>
      <c r="CB206" s="0" t="n">
        <v>74571.80972400001</v>
      </c>
      <c r="CC206" s="0" t="n">
        <v>55.74675</v>
      </c>
      <c r="CD206" s="0" t="n">
        <v>124306.177995</v>
      </c>
      <c r="CE206" s="0" t="n">
        <v>298839.33794</v>
      </c>
      <c r="CF206" s="0" t="n">
        <v>95397.261665</v>
      </c>
      <c r="CG206" s="0" t="n">
        <v>26916.84</v>
      </c>
      <c r="CH206" s="0" t="n">
        <v>689721.513923</v>
      </c>
      <c r="CI206" s="0" t="n">
        <v>2975861.58142</v>
      </c>
      <c r="CJ206" s="0" t="n">
        <v>743978.4</v>
      </c>
    </row>
    <row r="207" ht="14.4975" customHeight="1" s="64">
      <c r="BF207" s="0" t="inlineStr">
        <is>
          <t>2027BUD_V1</t>
        </is>
      </c>
      <c r="BG207" s="0" t="inlineStr">
        <is>
          <t>V01</t>
        </is>
      </c>
      <c r="BH207" s="0" t="inlineStr">
        <is>
          <t>12</t>
        </is>
      </c>
      <c r="BI207" s="0" t="inlineStr">
        <is>
          <t>2027</t>
        </is>
      </c>
      <c r="BJ207" s="0" t="inlineStr">
        <is>
          <t>MBWAY_BOR</t>
        </is>
      </c>
      <c r="BK207" s="0" t="inlineStr">
        <is>
          <t>MBWAY</t>
        </is>
      </c>
      <c r="BL207" s="0" t="inlineStr">
        <is>
          <t>BAC_MGT</t>
        </is>
      </c>
      <c r="BM207" s="0" t="inlineStr">
        <is>
          <t>B2</t>
        </is>
      </c>
      <c r="BN207" s="0" t="inlineStr">
        <is>
          <t>ALT</t>
        </is>
      </c>
      <c r="BO207" s="0" t="n">
        <v>49.255</v>
      </c>
      <c r="BP207" s="0" t="n">
        <v>2</v>
      </c>
      <c r="BQ207" s="0" t="n">
        <v>335605.306246</v>
      </c>
      <c r="BR207" s="0" t="n">
        <v>24861.235599</v>
      </c>
      <c r="BS207" s="0" t="n">
        <v>59767.867588</v>
      </c>
      <c r="BT207" s="0" t="n">
        <v>18043.628866</v>
      </c>
      <c r="BU207" s="0" t="n">
        <v>137944.302785</v>
      </c>
      <c r="BV207" s="0" t="n">
        <v>12306.590042</v>
      </c>
      <c r="BW207" s="0" t="n">
        <v>47635.864045</v>
      </c>
      <c r="BX207" s="0" t="n">
        <v>59942.454087</v>
      </c>
      <c r="BY207" s="0" t="n">
        <v>42904.864465</v>
      </c>
      <c r="BZ207" s="0" t="n">
        <v>257654.62446</v>
      </c>
      <c r="CA207" s="0" t="n">
        <v>300559.488925</v>
      </c>
      <c r="CB207" s="0" t="n">
        <v>35045.817321</v>
      </c>
      <c r="CC207" s="0" t="n">
        <v>0</v>
      </c>
      <c r="CD207" s="0" t="n">
        <v>124306.177995</v>
      </c>
      <c r="CE207" s="0" t="n">
        <v>298839.33794</v>
      </c>
      <c r="CF207" s="0" t="n">
        <v>95397.261665</v>
      </c>
      <c r="CG207" s="0" t="n">
        <v>26916.84</v>
      </c>
      <c r="CH207" s="0" t="n">
        <v>689721.513923</v>
      </c>
      <c r="CI207" s="0" t="n">
        <v>2975861.58142</v>
      </c>
      <c r="CJ207" s="0" t="n">
        <v>743978.4</v>
      </c>
    </row>
    <row r="208" ht="14.4975" customHeight="1" s="64">
      <c r="BF208" s="0" t="inlineStr">
        <is>
          <t>2027BUD_V1</t>
        </is>
      </c>
      <c r="BG208" s="0" t="inlineStr">
        <is>
          <t>V01</t>
        </is>
      </c>
      <c r="BH208" s="0" t="inlineStr">
        <is>
          <t>12</t>
        </is>
      </c>
      <c r="BI208" s="0" t="inlineStr">
        <is>
          <t>2027</t>
        </is>
      </c>
      <c r="BJ208" s="0" t="inlineStr">
        <is>
          <t>MBWAY_BOR</t>
        </is>
      </c>
      <c r="BK208" s="0" t="inlineStr">
        <is>
          <t>MBWAY</t>
        </is>
      </c>
      <c r="BL208" s="0" t="inlineStr">
        <is>
          <t>BAC_MGT</t>
        </is>
      </c>
      <c r="BM208" s="0" t="inlineStr">
        <is>
          <t>B3</t>
        </is>
      </c>
      <c r="BN208" s="0" t="inlineStr">
        <is>
          <t>ALT</t>
        </is>
      </c>
      <c r="BO208" s="0" t="n">
        <v>48.245</v>
      </c>
      <c r="BP208" s="0" t="n">
        <v>2</v>
      </c>
      <c r="BQ208" s="0" t="n">
        <v>328723.540754</v>
      </c>
      <c r="BR208" s="0" t="n">
        <v>24861.235599</v>
      </c>
      <c r="BS208" s="0" t="n">
        <v>59767.867588</v>
      </c>
      <c r="BT208" s="0" t="n">
        <v>17673.678285</v>
      </c>
      <c r="BU208" s="0" t="n">
        <v>137944.302785</v>
      </c>
      <c r="BV208" s="0" t="n">
        <v>12306.590042</v>
      </c>
      <c r="BW208" s="0" t="n">
        <v>47635.864045</v>
      </c>
      <c r="BX208" s="0" t="n">
        <v>59942.454087</v>
      </c>
      <c r="BY208" s="0" t="n">
        <v>42534.913884</v>
      </c>
      <c r="BZ208" s="0" t="n">
        <v>257654.62446</v>
      </c>
      <c r="CA208" s="0" t="n">
        <v>300189.538344</v>
      </c>
      <c r="CB208" s="0" t="n">
        <v>28534.00241</v>
      </c>
      <c r="CC208" s="0" t="n">
        <v>0</v>
      </c>
      <c r="CD208" s="0" t="n">
        <v>124306.177995</v>
      </c>
      <c r="CE208" s="0" t="n">
        <v>298839.33794</v>
      </c>
      <c r="CF208" s="0" t="n">
        <v>95397.261665</v>
      </c>
      <c r="CG208" s="0" t="n">
        <v>26916.84</v>
      </c>
      <c r="CH208" s="0" t="n">
        <v>689721.513923</v>
      </c>
      <c r="CI208" s="0" t="n">
        <v>2975861.58142</v>
      </c>
      <c r="CJ208" s="0" t="n">
        <v>743978.4</v>
      </c>
    </row>
    <row r="209" ht="14.4975" customHeight="1" s="64">
      <c r="BF209" s="0" t="inlineStr">
        <is>
          <t>2027BUD_V1</t>
        </is>
      </c>
      <c r="BG209" s="0" t="inlineStr">
        <is>
          <t>V01</t>
        </is>
      </c>
      <c r="BH209" s="0" t="inlineStr">
        <is>
          <t>12</t>
        </is>
      </c>
      <c r="BI209" s="0" t="inlineStr">
        <is>
          <t>2027</t>
        </is>
      </c>
      <c r="BJ209" s="0" t="inlineStr">
        <is>
          <t>MBWAY_BOR</t>
        </is>
      </c>
      <c r="BK209" s="0" t="inlineStr">
        <is>
          <t>MBWAY</t>
        </is>
      </c>
      <c r="BL209" s="0" t="inlineStr">
        <is>
          <t>MAS_MGT</t>
        </is>
      </c>
      <c r="BM209" s="0" t="inlineStr">
        <is>
          <t>M1</t>
        </is>
      </c>
      <c r="BN209" s="0" t="inlineStr">
        <is>
          <t>ALT</t>
        </is>
      </c>
      <c r="BO209" s="0" t="n">
        <v>56.91006</v>
      </c>
      <c r="BP209" s="0" t="n">
        <v>2</v>
      </c>
      <c r="BQ209" s="0" t="n">
        <v>420583.383889</v>
      </c>
      <c r="BR209" s="0" t="n">
        <v>21753.581149</v>
      </c>
      <c r="BS209" s="0" t="n">
        <v>52296.88414</v>
      </c>
      <c r="BT209" s="0" t="n">
        <v>34445.318415</v>
      </c>
      <c r="BU209" s="0" t="n">
        <v>137944.302785</v>
      </c>
      <c r="BV209" s="0" t="n">
        <v>12306.590042</v>
      </c>
      <c r="BW209" s="0" t="n">
        <v>47635.864045</v>
      </c>
      <c r="BX209" s="0" t="n">
        <v>59942.454087</v>
      </c>
      <c r="BY209" s="0" t="n">
        <v>56198.899564</v>
      </c>
      <c r="BZ209" s="0" t="n">
        <v>250183.641012</v>
      </c>
      <c r="CA209" s="0" t="n">
        <v>306382.540576</v>
      </c>
      <c r="CB209" s="0" t="n">
        <v>114200.843313</v>
      </c>
      <c r="CC209" s="0" t="n">
        <v>56.91006</v>
      </c>
      <c r="CD209" s="0" t="n">
        <v>124306.177995</v>
      </c>
      <c r="CE209" s="0" t="n">
        <v>298839.33794</v>
      </c>
      <c r="CF209" s="0" t="n">
        <v>95397.261665</v>
      </c>
      <c r="CG209" s="0" t="n">
        <v>26916.84</v>
      </c>
      <c r="CH209" s="0" t="n">
        <v>689721.513923</v>
      </c>
      <c r="CI209" s="0" t="n">
        <v>2975861.58142</v>
      </c>
      <c r="CJ209" s="0" t="n">
        <v>743978.4</v>
      </c>
    </row>
    <row r="210" ht="14.4975" customHeight="1" s="64">
      <c r="BF210" s="0" t="inlineStr">
        <is>
          <t>2027BUD_V1</t>
        </is>
      </c>
      <c r="BG210" s="0" t="inlineStr">
        <is>
          <t>V01</t>
        </is>
      </c>
      <c r="BH210" s="0" t="inlineStr">
        <is>
          <t>12</t>
        </is>
      </c>
      <c r="BI210" s="0" t="inlineStr">
        <is>
          <t>2027</t>
        </is>
      </c>
      <c r="BJ210" s="0" t="inlineStr">
        <is>
          <t>MBWAY_BOR</t>
        </is>
      </c>
      <c r="BK210" s="0" t="inlineStr">
        <is>
          <t>MBWAY</t>
        </is>
      </c>
      <c r="BL210" s="0" t="inlineStr">
        <is>
          <t>MAS_MGT</t>
        </is>
      </c>
      <c r="BM210" s="0" t="inlineStr">
        <is>
          <t>M2</t>
        </is>
      </c>
      <c r="BN210" s="0" t="inlineStr">
        <is>
          <t>ALT</t>
        </is>
      </c>
      <c r="BO210" s="0" t="n">
        <v>50.255</v>
      </c>
      <c r="BP210" s="0" t="n">
        <v>2</v>
      </c>
      <c r="BQ210" s="0" t="n">
        <v>366877.430835</v>
      </c>
      <c r="BR210" s="0" t="n">
        <v>21753.581149</v>
      </c>
      <c r="BS210" s="0" t="n">
        <v>52296.88414</v>
      </c>
      <c r="BT210" s="0" t="n">
        <v>18409.954351</v>
      </c>
      <c r="BU210" s="0" t="n">
        <v>137944.302785</v>
      </c>
      <c r="BV210" s="0" t="n">
        <v>12306.590042</v>
      </c>
      <c r="BW210" s="0" t="n">
        <v>47635.864045</v>
      </c>
      <c r="BX210" s="0" t="n">
        <v>59942.454087</v>
      </c>
      <c r="BY210" s="0" t="n">
        <v>40163.5355</v>
      </c>
      <c r="BZ210" s="0" t="n">
        <v>250183.641012</v>
      </c>
      <c r="CA210" s="0" t="n">
        <v>290347.176512</v>
      </c>
      <c r="CB210" s="0" t="n">
        <v>76530.254323</v>
      </c>
      <c r="CC210" s="0" t="n">
        <v>0</v>
      </c>
      <c r="CD210" s="0" t="n">
        <v>124306.177995</v>
      </c>
      <c r="CE210" s="0" t="n">
        <v>298839.33794</v>
      </c>
      <c r="CF210" s="0" t="n">
        <v>95397.261665</v>
      </c>
      <c r="CG210" s="0" t="n">
        <v>26916.84</v>
      </c>
      <c r="CH210" s="0" t="n">
        <v>689721.513923</v>
      </c>
      <c r="CI210" s="0" t="n">
        <v>2975861.58142</v>
      </c>
      <c r="CJ210" s="0" t="n">
        <v>743978.4</v>
      </c>
    </row>
    <row r="211" ht="14.4975" customHeight="1" s="64">
      <c r="BF211" s="0" t="inlineStr">
        <is>
          <t>2027BUD_V1</t>
        </is>
      </c>
      <c r="BG211" s="0" t="inlineStr">
        <is>
          <t>V01</t>
        </is>
      </c>
      <c r="BH211" s="0" t="inlineStr">
        <is>
          <t>12</t>
        </is>
      </c>
      <c r="BI211" s="0" t="inlineStr">
        <is>
          <t>2027</t>
        </is>
      </c>
      <c r="BJ211" s="0" t="inlineStr">
        <is>
          <t>MBWAY_LYO</t>
        </is>
      </c>
      <c r="BK211" s="0" t="inlineStr">
        <is>
          <t>MBWAY</t>
        </is>
      </c>
      <c r="BL211" s="0" t="inlineStr">
        <is>
          <t>BAC_MGT</t>
        </is>
      </c>
      <c r="BM211" s="0" t="inlineStr">
        <is>
          <t>B1</t>
        </is>
      </c>
      <c r="BN211" s="0" t="inlineStr">
        <is>
          <t>INIT</t>
        </is>
      </c>
      <c r="BO211" s="0" t="n">
        <v>72.005855</v>
      </c>
      <c r="BP211" s="0" t="n">
        <v>3</v>
      </c>
      <c r="BQ211" s="0" t="n">
        <v>575499.955531</v>
      </c>
      <c r="BR211" s="0" t="n">
        <v>46614.818836</v>
      </c>
      <c r="BS211" s="0" t="n">
        <v>123059.056289</v>
      </c>
      <c r="BT211" s="0" t="n">
        <v>48734.504991</v>
      </c>
      <c r="BU211" s="0" t="n">
        <v>227361.435796</v>
      </c>
      <c r="BV211" s="0" t="n">
        <v>18457.881181</v>
      </c>
      <c r="BW211" s="0" t="n">
        <v>71446.039519</v>
      </c>
      <c r="BX211" s="0" t="n">
        <v>89903.9207</v>
      </c>
      <c r="BY211" s="0" t="n">
        <v>95349.323827</v>
      </c>
      <c r="BZ211" s="0" t="n">
        <v>440324.412785</v>
      </c>
      <c r="CA211" s="0" t="n">
        <v>535673.736612</v>
      </c>
      <c r="CB211" s="0" t="n">
        <v>39826.218919</v>
      </c>
      <c r="CC211" s="0" t="n">
        <v>72.005855</v>
      </c>
      <c r="CD211" s="0" t="n">
        <v>161598.340283</v>
      </c>
      <c r="CE211" s="0" t="n">
        <v>426605.5248</v>
      </c>
      <c r="CF211" s="0" t="n">
        <v>124131.140927</v>
      </c>
      <c r="CG211" s="0" t="n">
        <v>45125.64</v>
      </c>
      <c r="CH211" s="0" t="n">
        <v>985233.873682</v>
      </c>
      <c r="CI211" s="0" t="n">
        <v>2975861.58142</v>
      </c>
      <c r="CJ211" s="0" t="n">
        <v>743978.4</v>
      </c>
    </row>
    <row r="212" ht="14.4975" customHeight="1" s="64">
      <c r="BF212" s="0" t="inlineStr">
        <is>
          <t>2027BUD_V1</t>
        </is>
      </c>
      <c r="BG212" s="0" t="inlineStr">
        <is>
          <t>V01</t>
        </is>
      </c>
      <c r="BH212" s="0" t="inlineStr">
        <is>
          <t>12</t>
        </is>
      </c>
      <c r="BI212" s="0" t="inlineStr">
        <is>
          <t>2027</t>
        </is>
      </c>
      <c r="BJ212" s="0" t="inlineStr">
        <is>
          <t>MBWAY_LYO</t>
        </is>
      </c>
      <c r="BK212" s="0" t="inlineStr">
        <is>
          <t>MBWAY</t>
        </is>
      </c>
      <c r="BL212" s="0" t="inlineStr">
        <is>
          <t>BAC_MGT</t>
        </is>
      </c>
      <c r="BM212" s="0" t="inlineStr">
        <is>
          <t>B2</t>
        </is>
      </c>
      <c r="BN212" s="0" t="inlineStr">
        <is>
          <t>ALT</t>
        </is>
      </c>
      <c r="BO212" s="0" t="n">
        <v>64.33</v>
      </c>
      <c r="BP212" s="0" t="n">
        <v>2</v>
      </c>
      <c r="BQ212" s="0" t="n">
        <v>474470.93274</v>
      </c>
      <c r="BR212" s="0" t="n">
        <v>24861.258259</v>
      </c>
      <c r="BS212" s="0" t="n">
        <v>65631.553568</v>
      </c>
      <c r="BT212" s="0" t="n">
        <v>23590.502677</v>
      </c>
      <c r="BU212" s="0" t="n">
        <v>151574.29053</v>
      </c>
      <c r="BV212" s="0" t="n">
        <v>12305.254121</v>
      </c>
      <c r="BW212" s="0" t="n">
        <v>47630.693012</v>
      </c>
      <c r="BX212" s="0" t="n">
        <v>59935.947133</v>
      </c>
      <c r="BY212" s="0" t="n">
        <v>48451.760936</v>
      </c>
      <c r="BZ212" s="0" t="n">
        <v>277141.791231</v>
      </c>
      <c r="CA212" s="0" t="n">
        <v>325593.552167</v>
      </c>
      <c r="CB212" s="0" t="n">
        <v>148877.380573</v>
      </c>
      <c r="CC212" s="0" t="n">
        <v>0</v>
      </c>
      <c r="CD212" s="0" t="n">
        <v>161598.340283</v>
      </c>
      <c r="CE212" s="0" t="n">
        <v>426605.5248</v>
      </c>
      <c r="CF212" s="0" t="n">
        <v>124131.140927</v>
      </c>
      <c r="CG212" s="0" t="n">
        <v>45125.64</v>
      </c>
      <c r="CH212" s="0" t="n">
        <v>985233.873682</v>
      </c>
      <c r="CI212" s="0" t="n">
        <v>2975861.58142</v>
      </c>
      <c r="CJ212" s="0" t="n">
        <v>743978.4</v>
      </c>
    </row>
    <row r="213" ht="14.4975" customHeight="1" s="64">
      <c r="BF213" s="0" t="inlineStr">
        <is>
          <t>2027BUD_V1</t>
        </is>
      </c>
      <c r="BG213" s="0" t="inlineStr">
        <is>
          <t>V01</t>
        </is>
      </c>
      <c r="BH213" s="0" t="inlineStr">
        <is>
          <t>12</t>
        </is>
      </c>
      <c r="BI213" s="0" t="inlineStr">
        <is>
          <t>2027</t>
        </is>
      </c>
      <c r="BJ213" s="0" t="inlineStr">
        <is>
          <t>MBWAY_LYO</t>
        </is>
      </c>
      <c r="BK213" s="0" t="inlineStr">
        <is>
          <t>MBWAY</t>
        </is>
      </c>
      <c r="BL213" s="0" t="inlineStr">
        <is>
          <t>BAC_MGT</t>
        </is>
      </c>
      <c r="BM213" s="0" t="inlineStr">
        <is>
          <t>B3</t>
        </is>
      </c>
      <c r="BN213" s="0" t="inlineStr">
        <is>
          <t>ALT</t>
        </is>
      </c>
      <c r="BO213" s="0" t="n">
        <v>63.32</v>
      </c>
      <c r="BP213" s="0" t="n">
        <v>2</v>
      </c>
      <c r="BQ213" s="0" t="n">
        <v>467021.59896</v>
      </c>
      <c r="BR213" s="0" t="n">
        <v>24861.258259</v>
      </c>
      <c r="BS213" s="0" t="n">
        <v>65631.553568</v>
      </c>
      <c r="BT213" s="0" t="n">
        <v>23220.095353</v>
      </c>
      <c r="BU213" s="0" t="n">
        <v>151574.29053</v>
      </c>
      <c r="BV213" s="0" t="n">
        <v>12305.254121</v>
      </c>
      <c r="BW213" s="0" t="n">
        <v>47630.693012</v>
      </c>
      <c r="BX213" s="0" t="n">
        <v>59935.947133</v>
      </c>
      <c r="BY213" s="0" t="n">
        <v>48081.353612</v>
      </c>
      <c r="BZ213" s="0" t="n">
        <v>277141.791231</v>
      </c>
      <c r="CA213" s="0" t="n">
        <v>325223.144843</v>
      </c>
      <c r="CB213" s="0" t="n">
        <v>141798.454117</v>
      </c>
      <c r="CC213" s="0" t="n">
        <v>0</v>
      </c>
      <c r="CD213" s="0" t="n">
        <v>161598.340283</v>
      </c>
      <c r="CE213" s="0" t="n">
        <v>426605.5248</v>
      </c>
      <c r="CF213" s="0" t="n">
        <v>124131.140927</v>
      </c>
      <c r="CG213" s="0" t="n">
        <v>45125.64</v>
      </c>
      <c r="CH213" s="0" t="n">
        <v>985233.873682</v>
      </c>
      <c r="CI213" s="0" t="n">
        <v>2975861.58142</v>
      </c>
      <c r="CJ213" s="0" t="n">
        <v>743978.4</v>
      </c>
    </row>
    <row r="214" ht="14.4975" customHeight="1" s="64">
      <c r="BF214" s="0" t="inlineStr">
        <is>
          <t>2027BUD_V1</t>
        </is>
      </c>
      <c r="BG214" s="0" t="inlineStr">
        <is>
          <t>V01</t>
        </is>
      </c>
      <c r="BH214" s="0" t="inlineStr">
        <is>
          <t>12</t>
        </is>
      </c>
      <c r="BI214" s="0" t="inlineStr">
        <is>
          <t>2027</t>
        </is>
      </c>
      <c r="BJ214" s="0" t="inlineStr">
        <is>
          <t>MBWAY_LYO</t>
        </is>
      </c>
      <c r="BK214" s="0" t="inlineStr">
        <is>
          <t>MBWAY</t>
        </is>
      </c>
      <c r="BL214" s="0" t="inlineStr">
        <is>
          <t>MAS_MGT</t>
        </is>
      </c>
      <c r="BM214" s="0" t="inlineStr">
        <is>
          <t>M1</t>
        </is>
      </c>
      <c r="BN214" s="0" t="inlineStr">
        <is>
          <t>ALT</t>
        </is>
      </c>
      <c r="BO214" s="0" t="n">
        <v>73.51234700000001</v>
      </c>
      <c r="BP214" s="0" t="n">
        <v>3</v>
      </c>
      <c r="BQ214" s="0" t="n">
        <v>587540.449725</v>
      </c>
      <c r="BR214" s="0" t="n">
        <v>32630.421665</v>
      </c>
      <c r="BS214" s="0" t="n">
        <v>86141.467384</v>
      </c>
      <c r="BT214" s="0" t="n">
        <v>49754.19845</v>
      </c>
      <c r="BU214" s="0" t="n">
        <v>227361.435796</v>
      </c>
      <c r="BV214" s="0" t="n">
        <v>18457.881181</v>
      </c>
      <c r="BW214" s="0" t="n">
        <v>71446.039519</v>
      </c>
      <c r="BX214" s="0" t="n">
        <v>89903.9207</v>
      </c>
      <c r="BY214" s="0" t="n">
        <v>82384.620115</v>
      </c>
      <c r="BZ214" s="0" t="n">
        <v>403406.82388</v>
      </c>
      <c r="CA214" s="0" t="n">
        <v>485791.443995</v>
      </c>
      <c r="CB214" s="0" t="n">
        <v>101749.00573</v>
      </c>
      <c r="CC214" s="0" t="n">
        <v>73.51234700000001</v>
      </c>
      <c r="CD214" s="0" t="n">
        <v>161598.340283</v>
      </c>
      <c r="CE214" s="0" t="n">
        <v>426605.5248</v>
      </c>
      <c r="CF214" s="0" t="n">
        <v>124131.140927</v>
      </c>
      <c r="CG214" s="0" t="n">
        <v>45125.64</v>
      </c>
      <c r="CH214" s="0" t="n">
        <v>985233.873682</v>
      </c>
      <c r="CI214" s="0" t="n">
        <v>2975861.58142</v>
      </c>
      <c r="CJ214" s="0" t="n">
        <v>743978.4</v>
      </c>
    </row>
    <row r="215" ht="14.4975" customHeight="1" s="64">
      <c r="BF215" s="0" t="inlineStr">
        <is>
          <t>2027BUD_V1</t>
        </is>
      </c>
      <c r="BG215" s="0" t="inlineStr">
        <is>
          <t>V01</t>
        </is>
      </c>
      <c r="BH215" s="0" t="inlineStr">
        <is>
          <t>12</t>
        </is>
      </c>
      <c r="BI215" s="0" t="inlineStr">
        <is>
          <t>2027</t>
        </is>
      </c>
      <c r="BJ215" s="0" t="inlineStr">
        <is>
          <t>MBWAY_LYO</t>
        </is>
      </c>
      <c r="BK215" s="0" t="inlineStr">
        <is>
          <t>MBWAY</t>
        </is>
      </c>
      <c r="BL215" s="0" t="inlineStr">
        <is>
          <t>MAS_MGT</t>
        </is>
      </c>
      <c r="BM215" s="0" t="inlineStr">
        <is>
          <t>M2</t>
        </is>
      </c>
      <c r="BN215" s="0" t="inlineStr">
        <is>
          <t>ALT</t>
        </is>
      </c>
      <c r="BO215" s="0" t="n">
        <v>65.33</v>
      </c>
      <c r="BP215" s="0" t="n">
        <v>3</v>
      </c>
      <c r="BQ215" s="0" t="n">
        <v>516264.11865</v>
      </c>
      <c r="BR215" s="0" t="n">
        <v>32630.421665</v>
      </c>
      <c r="BS215" s="0" t="n">
        <v>86141.467384</v>
      </c>
      <c r="BT215" s="0" t="n">
        <v>23957.186068</v>
      </c>
      <c r="BU215" s="0" t="n">
        <v>227361.435796</v>
      </c>
      <c r="BV215" s="0" t="n">
        <v>18457.881181</v>
      </c>
      <c r="BW215" s="0" t="n">
        <v>71446.039519</v>
      </c>
      <c r="BX215" s="0" t="n">
        <v>89903.9207</v>
      </c>
      <c r="BY215" s="0" t="n">
        <v>56587.607733</v>
      </c>
      <c r="BZ215" s="0" t="n">
        <v>403406.82388</v>
      </c>
      <c r="CA215" s="0" t="n">
        <v>459994.431613</v>
      </c>
      <c r="CB215" s="0" t="n">
        <v>56269.687037</v>
      </c>
      <c r="CC215" s="0" t="n">
        <v>0</v>
      </c>
      <c r="CD215" s="0" t="n">
        <v>161598.340283</v>
      </c>
      <c r="CE215" s="0" t="n">
        <v>426605.5248</v>
      </c>
      <c r="CF215" s="0" t="n">
        <v>124131.140927</v>
      </c>
      <c r="CG215" s="0" t="n">
        <v>45125.64</v>
      </c>
      <c r="CH215" s="0" t="n">
        <v>985233.873682</v>
      </c>
      <c r="CI215" s="0" t="n">
        <v>2975861.58142</v>
      </c>
      <c r="CJ215" s="0" t="n">
        <v>743978.4</v>
      </c>
    </row>
    <row r="216" ht="14.4975" customHeight="1" s="64">
      <c r="BF216" s="0" t="inlineStr">
        <is>
          <t>2027BUD_V1</t>
        </is>
      </c>
      <c r="BG216" s="0" t="inlineStr">
        <is>
          <t>V01</t>
        </is>
      </c>
      <c r="BH216" s="0" t="inlineStr">
        <is>
          <t>12</t>
        </is>
      </c>
      <c r="BI216" s="0" t="inlineStr">
        <is>
          <t>2027</t>
        </is>
      </c>
      <c r="BJ216" s="0" t="inlineStr">
        <is>
          <t>MBWAY_NAN</t>
        </is>
      </c>
      <c r="BK216" s="0" t="inlineStr">
        <is>
          <t>MBWAY</t>
        </is>
      </c>
      <c r="BL216" s="0" t="inlineStr">
        <is>
          <t>BAC_MGT</t>
        </is>
      </c>
      <c r="BM216" s="0" t="inlineStr">
        <is>
          <t>B1</t>
        </is>
      </c>
      <c r="BN216" s="0" t="inlineStr">
        <is>
          <t>INIT</t>
        </is>
      </c>
      <c r="BO216" s="0" t="n">
        <v>65.53930200000001</v>
      </c>
      <c r="BP216" s="0" t="n">
        <v>2</v>
      </c>
      <c r="BQ216" s="0" t="n">
        <v>499153.877962</v>
      </c>
      <c r="BR216" s="0" t="n">
        <v>31737.648567</v>
      </c>
      <c r="BS216" s="0" t="n">
        <v>78079.02277</v>
      </c>
      <c r="BT216" s="0" t="n">
        <v>40870.351448</v>
      </c>
      <c r="BU216" s="0" t="n">
        <v>139599.649628</v>
      </c>
      <c r="BV216" s="0" t="n">
        <v>12103.706531</v>
      </c>
      <c r="BW216" s="0" t="n">
        <v>46850.550541</v>
      </c>
      <c r="BX216" s="0" t="n">
        <v>58954.257072</v>
      </c>
      <c r="BY216" s="0" t="n">
        <v>72608.000015</v>
      </c>
      <c r="BZ216" s="0" t="n">
        <v>276632.92947</v>
      </c>
      <c r="CA216" s="0" t="n">
        <v>349240.929485</v>
      </c>
      <c r="CB216" s="0" t="n">
        <v>149912.948477</v>
      </c>
      <c r="CC216" s="0" t="n">
        <v>65.53930200000001</v>
      </c>
      <c r="CD216" s="0" t="n">
        <v>149167.619521</v>
      </c>
      <c r="CE216" s="0" t="n">
        <v>366973.0584</v>
      </c>
      <c r="CF216" s="0" t="n">
        <v>112637.383297</v>
      </c>
      <c r="CG216" s="0" t="n">
        <v>34055.64</v>
      </c>
      <c r="CH216" s="0" t="n">
        <v>837601.2481730001</v>
      </c>
      <c r="CI216" s="0" t="n">
        <v>2975861.58142</v>
      </c>
      <c r="CJ216" s="0" t="n">
        <v>743978.4</v>
      </c>
    </row>
    <row r="217" ht="14.4975" customHeight="1" s="64">
      <c r="BF217" s="0" t="inlineStr">
        <is>
          <t>2027BUD_V1</t>
        </is>
      </c>
      <c r="BG217" s="0" t="inlineStr">
        <is>
          <t>V01</t>
        </is>
      </c>
      <c r="BH217" s="0" t="inlineStr">
        <is>
          <t>12</t>
        </is>
      </c>
      <c r="BI217" s="0" t="inlineStr">
        <is>
          <t>2027</t>
        </is>
      </c>
      <c r="BJ217" s="0" t="inlineStr">
        <is>
          <t>MBWAY_NAN</t>
        </is>
      </c>
      <c r="BK217" s="0" t="inlineStr">
        <is>
          <t>MBWAY</t>
        </is>
      </c>
      <c r="BL217" s="0" t="inlineStr">
        <is>
          <t>BAC_MGT</t>
        </is>
      </c>
      <c r="BM217" s="0" t="inlineStr">
        <is>
          <t>B2</t>
        </is>
      </c>
      <c r="BN217" s="0" t="inlineStr">
        <is>
          <t>ALT</t>
        </is>
      </c>
      <c r="BO217" s="0" t="n">
        <v>58.3</v>
      </c>
      <c r="BP217" s="0" t="n">
        <v>2</v>
      </c>
      <c r="BQ217" s="0" t="n">
        <v>409520.188</v>
      </c>
      <c r="BR217" s="0" t="n">
        <v>25390.118854</v>
      </c>
      <c r="BS217" s="0" t="n">
        <v>62463.218216</v>
      </c>
      <c r="BT217" s="0" t="n">
        <v>21366.185238</v>
      </c>
      <c r="BU217" s="0" t="n">
        <v>139599.649628</v>
      </c>
      <c r="BV217" s="0" t="n">
        <v>12103.706531</v>
      </c>
      <c r="BW217" s="0" t="n">
        <v>46850.550541</v>
      </c>
      <c r="BX217" s="0" t="n">
        <v>58954.257072</v>
      </c>
      <c r="BY217" s="0" t="n">
        <v>46756.304092</v>
      </c>
      <c r="BZ217" s="0" t="n">
        <v>261017.124916</v>
      </c>
      <c r="CA217" s="0" t="n">
        <v>307773.429008</v>
      </c>
      <c r="CB217" s="0" t="n">
        <v>101746.758992</v>
      </c>
      <c r="CC217" s="0" t="n">
        <v>0</v>
      </c>
      <c r="CD217" s="0" t="n">
        <v>149167.619521</v>
      </c>
      <c r="CE217" s="0" t="n">
        <v>366973.0584</v>
      </c>
      <c r="CF217" s="0" t="n">
        <v>112637.383297</v>
      </c>
      <c r="CG217" s="0" t="n">
        <v>34055.64</v>
      </c>
      <c r="CH217" s="0" t="n">
        <v>837601.2481730001</v>
      </c>
      <c r="CI217" s="0" t="n">
        <v>2975861.58142</v>
      </c>
      <c r="CJ217" s="0" t="n">
        <v>743978.4</v>
      </c>
    </row>
    <row r="218" ht="14.4975" customHeight="1" s="64">
      <c r="BF218" s="0" t="inlineStr">
        <is>
          <t>2027BUD_V1</t>
        </is>
      </c>
      <c r="BG218" s="0" t="inlineStr">
        <is>
          <t>V01</t>
        </is>
      </c>
      <c r="BH218" s="0" t="inlineStr">
        <is>
          <t>12</t>
        </is>
      </c>
      <c r="BI218" s="0" t="inlineStr">
        <is>
          <t>2027</t>
        </is>
      </c>
      <c r="BJ218" s="0" t="inlineStr">
        <is>
          <t>MBWAY_NAN</t>
        </is>
      </c>
      <c r="BK218" s="0" t="inlineStr">
        <is>
          <t>MBWAY</t>
        </is>
      </c>
      <c r="BL218" s="0" t="inlineStr">
        <is>
          <t>BAC_MGT</t>
        </is>
      </c>
      <c r="BM218" s="0" t="inlineStr">
        <is>
          <t>B3</t>
        </is>
      </c>
      <c r="BN218" s="0" t="inlineStr">
        <is>
          <t>ALT</t>
        </is>
      </c>
      <c r="BO218" s="0" t="n">
        <v>57.29</v>
      </c>
      <c r="BP218" s="0" t="n">
        <v>2</v>
      </c>
      <c r="BQ218" s="0" t="n">
        <v>402425.5844</v>
      </c>
      <c r="BR218" s="0" t="n">
        <v>25390.118854</v>
      </c>
      <c r="BS218" s="0" t="n">
        <v>62463.218216</v>
      </c>
      <c r="BT218" s="0" t="n">
        <v>20996.058796</v>
      </c>
      <c r="BU218" s="0" t="n">
        <v>139599.649628</v>
      </c>
      <c r="BV218" s="0" t="n">
        <v>12103.706531</v>
      </c>
      <c r="BW218" s="0" t="n">
        <v>46850.550541</v>
      </c>
      <c r="BX218" s="0" t="n">
        <v>58954.257072</v>
      </c>
      <c r="BY218" s="0" t="n">
        <v>46386.17765</v>
      </c>
      <c r="BZ218" s="0" t="n">
        <v>261017.124916</v>
      </c>
      <c r="CA218" s="0" t="n">
        <v>307403.302566</v>
      </c>
      <c r="CB218" s="0" t="n">
        <v>95022.28183399999</v>
      </c>
      <c r="CC218" s="0" t="n">
        <v>0</v>
      </c>
      <c r="CD218" s="0" t="n">
        <v>149167.619521</v>
      </c>
      <c r="CE218" s="0" t="n">
        <v>366973.0584</v>
      </c>
      <c r="CF218" s="0" t="n">
        <v>112637.383297</v>
      </c>
      <c r="CG218" s="0" t="n">
        <v>34055.64</v>
      </c>
      <c r="CH218" s="0" t="n">
        <v>837601.2481730001</v>
      </c>
      <c r="CI218" s="0" t="n">
        <v>2975861.58142</v>
      </c>
      <c r="CJ218" s="0" t="n">
        <v>743978.4</v>
      </c>
    </row>
    <row r="219" ht="14.4975" customHeight="1" s="64">
      <c r="BF219" s="0" t="inlineStr">
        <is>
          <t>2027BUD_V1</t>
        </is>
      </c>
      <c r="BG219" s="0" t="inlineStr">
        <is>
          <t>V01</t>
        </is>
      </c>
      <c r="BH219" s="0" t="inlineStr">
        <is>
          <t>12</t>
        </is>
      </c>
      <c r="BI219" s="0" t="inlineStr">
        <is>
          <t>2027</t>
        </is>
      </c>
      <c r="BJ219" s="0" t="inlineStr">
        <is>
          <t>MBWAY_NAN</t>
        </is>
      </c>
      <c r="BK219" s="0" t="inlineStr">
        <is>
          <t>MBWAY</t>
        </is>
      </c>
      <c r="BL219" s="0" t="inlineStr">
        <is>
          <t>MAS_MGT</t>
        </is>
      </c>
      <c r="BM219" s="0" t="inlineStr">
        <is>
          <t>M1</t>
        </is>
      </c>
      <c r="BN219" s="0" t="inlineStr">
        <is>
          <t>ALT</t>
        </is>
      </c>
      <c r="BO219" s="0" t="n">
        <v>66.91365500000001</v>
      </c>
      <c r="BP219" s="0" t="n">
        <v>3</v>
      </c>
      <c r="BQ219" s="0" t="n">
        <v>509621.087846</v>
      </c>
      <c r="BR219" s="0" t="n">
        <v>33324.642871</v>
      </c>
      <c r="BS219" s="0" t="n">
        <v>81983.24913900001</v>
      </c>
      <c r="BT219" s="0" t="n">
        <v>41727.461202</v>
      </c>
      <c r="BU219" s="0" t="n">
        <v>209400.312043</v>
      </c>
      <c r="BV219" s="0" t="n">
        <v>18155.63242</v>
      </c>
      <c r="BW219" s="0" t="n">
        <v>70276.106916</v>
      </c>
      <c r="BX219" s="0" t="n">
        <v>88431.739336</v>
      </c>
      <c r="BY219" s="0" t="n">
        <v>75052.10407299999</v>
      </c>
      <c r="BZ219" s="0" t="n">
        <v>379815.300518</v>
      </c>
      <c r="CA219" s="0" t="n">
        <v>454867.404591</v>
      </c>
      <c r="CB219" s="0" t="n">
        <v>54753.683255</v>
      </c>
      <c r="CC219" s="0" t="n">
        <v>66.91365500000001</v>
      </c>
      <c r="CD219" s="0" t="n">
        <v>149167.619521</v>
      </c>
      <c r="CE219" s="0" t="n">
        <v>366973.0584</v>
      </c>
      <c r="CF219" s="0" t="n">
        <v>112637.383297</v>
      </c>
      <c r="CG219" s="0" t="n">
        <v>34055.64</v>
      </c>
      <c r="CH219" s="0" t="n">
        <v>837601.2481730001</v>
      </c>
      <c r="CI219" s="0" t="n">
        <v>2975861.58142</v>
      </c>
      <c r="CJ219" s="0" t="n">
        <v>743978.4</v>
      </c>
    </row>
    <row r="220" ht="14.4975" customHeight="1" s="64">
      <c r="BF220" s="0" t="inlineStr">
        <is>
          <t>2027BUD_V1</t>
        </is>
      </c>
      <c r="BG220" s="0" t="inlineStr">
        <is>
          <t>V01</t>
        </is>
      </c>
      <c r="BH220" s="0" t="inlineStr">
        <is>
          <t>12</t>
        </is>
      </c>
      <c r="BI220" s="0" t="inlineStr">
        <is>
          <t>2027</t>
        </is>
      </c>
      <c r="BJ220" s="0" t="inlineStr">
        <is>
          <t>MBWAY_NAN</t>
        </is>
      </c>
      <c r="BK220" s="0" t="inlineStr">
        <is>
          <t>MBWAY</t>
        </is>
      </c>
      <c r="BL220" s="0" t="inlineStr">
        <is>
          <t>MAS_MGT</t>
        </is>
      </c>
      <c r="BM220" s="0" t="inlineStr">
        <is>
          <t>M2</t>
        </is>
      </c>
      <c r="BN220" s="0" t="inlineStr">
        <is>
          <t>ALT</t>
        </is>
      </c>
      <c r="BO220" s="0" t="n">
        <v>59.3</v>
      </c>
      <c r="BP220" s="0" t="n">
        <v>3</v>
      </c>
      <c r="BQ220" s="0" t="n">
        <v>446297.73</v>
      </c>
      <c r="BR220" s="0" t="n">
        <v>33324.642871</v>
      </c>
      <c r="BS220" s="0" t="n">
        <v>81983.24913900001</v>
      </c>
      <c r="BT220" s="0" t="n">
        <v>21732.707283</v>
      </c>
      <c r="BU220" s="0" t="n">
        <v>209400.312043</v>
      </c>
      <c r="BV220" s="0" t="n">
        <v>18155.63242</v>
      </c>
      <c r="BW220" s="0" t="n">
        <v>70276.106916</v>
      </c>
      <c r="BX220" s="0" t="n">
        <v>88431.739336</v>
      </c>
      <c r="BY220" s="0" t="n">
        <v>55057.350154</v>
      </c>
      <c r="BZ220" s="0" t="n">
        <v>379815.300518</v>
      </c>
      <c r="CA220" s="0" t="n">
        <v>434872.650672</v>
      </c>
      <c r="CB220" s="0" t="n">
        <v>11425.079328</v>
      </c>
      <c r="CC220" s="0" t="n">
        <v>0</v>
      </c>
      <c r="CD220" s="0" t="n">
        <v>149167.619521</v>
      </c>
      <c r="CE220" s="0" t="n">
        <v>366973.0584</v>
      </c>
      <c r="CF220" s="0" t="n">
        <v>112637.383297</v>
      </c>
      <c r="CG220" s="0" t="n">
        <v>34055.64</v>
      </c>
      <c r="CH220" s="0" t="n">
        <v>837601.2481730001</v>
      </c>
      <c r="CI220" s="0" t="n">
        <v>2975861.58142</v>
      </c>
      <c r="CJ220" s="0" t="n">
        <v>743978.4</v>
      </c>
    </row>
    <row r="221" ht="14.4975" customHeight="1" s="64">
      <c r="BF221" s="0" t="inlineStr">
        <is>
          <t>2027BUD_V1</t>
        </is>
      </c>
      <c r="BG221" s="0" t="inlineStr">
        <is>
          <t>V01</t>
        </is>
      </c>
      <c r="BH221" s="0" t="inlineStr">
        <is>
          <t>12</t>
        </is>
      </c>
      <c r="BI221" s="0" t="inlineStr">
        <is>
          <t>2027</t>
        </is>
      </c>
      <c r="BJ221" s="0" t="inlineStr">
        <is>
          <t>MBWAY_PAR</t>
        </is>
      </c>
      <c r="BK221" s="0" t="inlineStr">
        <is>
          <t>MBWAY</t>
        </is>
      </c>
      <c r="BL221" s="0" t="inlineStr">
        <is>
          <t>BAC_MGT</t>
        </is>
      </c>
      <c r="BM221" s="0" t="inlineStr">
        <is>
          <t>B1</t>
        </is>
      </c>
      <c r="BN221" s="0" t="inlineStr">
        <is>
          <t>INIT</t>
        </is>
      </c>
      <c r="BO221" s="0" t="n">
        <v>84.920597</v>
      </c>
      <c r="BP221" s="0" t="n">
        <v>3</v>
      </c>
      <c r="BQ221" s="0" t="n">
        <v>723458.2674219999</v>
      </c>
      <c r="BR221" s="0" t="n">
        <v>46614.945452</v>
      </c>
      <c r="BS221" s="0" t="n">
        <v>133799.77884</v>
      </c>
      <c r="BT221" s="0" t="n">
        <v>67659.778317</v>
      </c>
      <c r="BU221" s="0" t="n">
        <v>250920.476084</v>
      </c>
      <c r="BV221" s="0" t="n">
        <v>18845.809336</v>
      </c>
      <c r="BW221" s="0" t="n">
        <v>72947.616543</v>
      </c>
      <c r="BX221" s="0" t="n">
        <v>91793.425879</v>
      </c>
      <c r="BY221" s="0" t="n">
        <v>114274.723769</v>
      </c>
      <c r="BZ221" s="0" t="n">
        <v>476513.680803</v>
      </c>
      <c r="CA221" s="0" t="n">
        <v>590788.404572</v>
      </c>
      <c r="CB221" s="0" t="n">
        <v>132669.86285</v>
      </c>
      <c r="CC221" s="0" t="n">
        <v>84.920597</v>
      </c>
      <c r="CD221" s="0" t="n">
        <v>186459.781808</v>
      </c>
      <c r="CE221" s="0" t="n">
        <v>535199.1153600001</v>
      </c>
      <c r="CF221" s="0" t="n">
        <v>146351.581975</v>
      </c>
      <c r="CG221" s="0" t="n">
        <v>73754.28</v>
      </c>
      <c r="CH221" s="0" t="n">
        <v>1254602.380422</v>
      </c>
      <c r="CI221" s="0" t="n">
        <v>2975861.58142</v>
      </c>
      <c r="CJ221" s="0" t="n">
        <v>743978.4</v>
      </c>
    </row>
    <row r="222" ht="14.4975" customHeight="1" s="64">
      <c r="BF222" s="0" t="inlineStr">
        <is>
          <t>2027BUD_V1</t>
        </is>
      </c>
      <c r="BG222" s="0" t="inlineStr">
        <is>
          <t>V01</t>
        </is>
      </c>
      <c r="BH222" s="0" t="inlineStr">
        <is>
          <t>12</t>
        </is>
      </c>
      <c r="BI222" s="0" t="inlineStr">
        <is>
          <t>2027</t>
        </is>
      </c>
      <c r="BJ222" s="0" t="inlineStr">
        <is>
          <t>MBWAY_PAR</t>
        </is>
      </c>
      <c r="BK222" s="0" t="inlineStr">
        <is>
          <t>MBWAY</t>
        </is>
      </c>
      <c r="BL222" s="0" t="inlineStr">
        <is>
          <t>BAC_MGT</t>
        </is>
      </c>
      <c r="BM222" s="0" t="inlineStr">
        <is>
          <t>B2</t>
        </is>
      </c>
      <c r="BN222" s="0" t="inlineStr">
        <is>
          <t>ALT</t>
        </is>
      </c>
      <c r="BO222" s="0" t="n">
        <v>76.39</v>
      </c>
      <c r="BP222" s="0" t="n">
        <v>3</v>
      </c>
      <c r="BQ222" s="0" t="n">
        <v>600981.763648</v>
      </c>
      <c r="BR222" s="0" t="n">
        <v>37291.956362</v>
      </c>
      <c r="BS222" s="0" t="n">
        <v>107039.823072</v>
      </c>
      <c r="BT222" s="0" t="n">
        <v>28034.81634</v>
      </c>
      <c r="BU222" s="0" t="n">
        <v>250920.476084</v>
      </c>
      <c r="BV222" s="0" t="n">
        <v>18845.809336</v>
      </c>
      <c r="BW222" s="0" t="n">
        <v>72947.616543</v>
      </c>
      <c r="BX222" s="0" t="n">
        <v>91793.425879</v>
      </c>
      <c r="BY222" s="0" t="n">
        <v>65326.772702</v>
      </c>
      <c r="BZ222" s="0" t="n">
        <v>449753.725035</v>
      </c>
      <c r="CA222" s="0" t="n">
        <v>515080.497737</v>
      </c>
      <c r="CB222" s="0" t="n">
        <v>85901.26591099999</v>
      </c>
      <c r="CC222" s="0" t="n">
        <v>0</v>
      </c>
      <c r="CD222" s="0" t="n">
        <v>186459.781808</v>
      </c>
      <c r="CE222" s="0" t="n">
        <v>535199.1153600001</v>
      </c>
      <c r="CF222" s="0" t="n">
        <v>146351.581975</v>
      </c>
      <c r="CG222" s="0" t="n">
        <v>73754.28</v>
      </c>
      <c r="CH222" s="0" t="n">
        <v>1254602.380422</v>
      </c>
      <c r="CI222" s="0" t="n">
        <v>2975861.58142</v>
      </c>
      <c r="CJ222" s="0" t="n">
        <v>743978.4</v>
      </c>
    </row>
    <row r="223" ht="14.4975" customHeight="1" s="64">
      <c r="BF223" s="0" t="inlineStr">
        <is>
          <t>2027BUD_V1</t>
        </is>
      </c>
      <c r="BG223" s="0" t="inlineStr">
        <is>
          <t>V01</t>
        </is>
      </c>
      <c r="BH223" s="0" t="inlineStr">
        <is>
          <t>12</t>
        </is>
      </c>
      <c r="BI223" s="0" t="inlineStr">
        <is>
          <t>2027</t>
        </is>
      </c>
      <c r="BJ223" s="0" t="inlineStr">
        <is>
          <t>MBWAY_PAR</t>
        </is>
      </c>
      <c r="BK223" s="0" t="inlineStr">
        <is>
          <t>MBWAY</t>
        </is>
      </c>
      <c r="BL223" s="0" t="inlineStr">
        <is>
          <t>BAC_MGT</t>
        </is>
      </c>
      <c r="BM223" s="0" t="inlineStr">
        <is>
          <t>B3</t>
        </is>
      </c>
      <c r="BN223" s="0" t="inlineStr">
        <is>
          <t>ALT</t>
        </is>
      </c>
      <c r="BO223" s="0" t="n">
        <v>74.38</v>
      </c>
      <c r="BP223" s="0" t="n">
        <v>3</v>
      </c>
      <c r="BQ223" s="0" t="n">
        <v>585168.524416</v>
      </c>
      <c r="BR223" s="0" t="n">
        <v>37291.956362</v>
      </c>
      <c r="BS223" s="0" t="n">
        <v>107039.823072</v>
      </c>
      <c r="BT223" s="0" t="n">
        <v>27297.058015</v>
      </c>
      <c r="BU223" s="0" t="n">
        <v>250920.476084</v>
      </c>
      <c r="BV223" s="0" t="n">
        <v>18845.809336</v>
      </c>
      <c r="BW223" s="0" t="n">
        <v>72947.616543</v>
      </c>
      <c r="BX223" s="0" t="n">
        <v>91793.425879</v>
      </c>
      <c r="BY223" s="0" t="n">
        <v>64589.014377</v>
      </c>
      <c r="BZ223" s="0" t="n">
        <v>449753.725035</v>
      </c>
      <c r="CA223" s="0" t="n">
        <v>514342.739412</v>
      </c>
      <c r="CB223" s="0" t="n">
        <v>70825.785004</v>
      </c>
      <c r="CC223" s="0" t="n">
        <v>0</v>
      </c>
      <c r="CD223" s="0" t="n">
        <v>186459.781808</v>
      </c>
      <c r="CE223" s="0" t="n">
        <v>535199.1153600001</v>
      </c>
      <c r="CF223" s="0" t="n">
        <v>146351.581975</v>
      </c>
      <c r="CG223" s="0" t="n">
        <v>73754.28</v>
      </c>
      <c r="CH223" s="0" t="n">
        <v>1254602.380422</v>
      </c>
      <c r="CI223" s="0" t="n">
        <v>2975861.58142</v>
      </c>
      <c r="CJ223" s="0" t="n">
        <v>743978.4</v>
      </c>
    </row>
    <row r="224" ht="14.4975" customHeight="1" s="64">
      <c r="BF224" s="0" t="inlineStr">
        <is>
          <t>2027BUD_V1</t>
        </is>
      </c>
      <c r="BG224" s="0" t="inlineStr">
        <is>
          <t>V01</t>
        </is>
      </c>
      <c r="BH224" s="0" t="inlineStr">
        <is>
          <t>12</t>
        </is>
      </c>
      <c r="BI224" s="0" t="inlineStr">
        <is>
          <t>2027</t>
        </is>
      </c>
      <c r="BJ224" s="0" t="inlineStr">
        <is>
          <t>MBWAY_PAR</t>
        </is>
      </c>
      <c r="BK224" s="0" t="inlineStr">
        <is>
          <t>MBWAY</t>
        </is>
      </c>
      <c r="BL224" s="0" t="inlineStr">
        <is>
          <t>MAS_MGT</t>
        </is>
      </c>
      <c r="BM224" s="0" t="inlineStr">
        <is>
          <t>M1</t>
        </is>
      </c>
      <c r="BN224" s="0" t="inlineStr">
        <is>
          <t>ALT</t>
        </is>
      </c>
      <c r="BO224" s="0" t="n">
        <v>86.70186</v>
      </c>
      <c r="BP224" s="0" t="n">
        <v>3</v>
      </c>
      <c r="BQ224" s="0" t="n">
        <v>738633.260172</v>
      </c>
      <c r="BR224" s="0" t="n">
        <v>32630.461816</v>
      </c>
      <c r="BS224" s="0" t="n">
        <v>93659.84518800001</v>
      </c>
      <c r="BT224" s="0" t="n">
        <v>69079.02650599999</v>
      </c>
      <c r="BU224" s="0" t="n">
        <v>250920.476084</v>
      </c>
      <c r="BV224" s="0" t="n">
        <v>18845.809336</v>
      </c>
      <c r="BW224" s="0" t="n">
        <v>72947.616543</v>
      </c>
      <c r="BX224" s="0" t="n">
        <v>91793.425879</v>
      </c>
      <c r="BY224" s="0" t="n">
        <v>101709.488322</v>
      </c>
      <c r="BZ224" s="0" t="n">
        <v>436373.747151</v>
      </c>
      <c r="CA224" s="0" t="n">
        <v>538083.235473</v>
      </c>
      <c r="CB224" s="0" t="n">
        <v>200550.024699</v>
      </c>
      <c r="CC224" s="0" t="n">
        <v>86.70186</v>
      </c>
      <c r="CD224" s="0" t="n">
        <v>186459.781808</v>
      </c>
      <c r="CE224" s="0" t="n">
        <v>535199.1153600001</v>
      </c>
      <c r="CF224" s="0" t="n">
        <v>146351.581975</v>
      </c>
      <c r="CG224" s="0" t="n">
        <v>73754.28</v>
      </c>
      <c r="CH224" s="0" t="n">
        <v>1254602.380422</v>
      </c>
      <c r="CI224" s="0" t="n">
        <v>2975861.58142</v>
      </c>
      <c r="CJ224" s="0" t="n">
        <v>743978.4</v>
      </c>
    </row>
    <row r="225" ht="14.4975" customHeight="1" s="64">
      <c r="BF225" s="0" t="inlineStr">
        <is>
          <t>2027BUD_V1</t>
        </is>
      </c>
      <c r="BG225" s="0" t="inlineStr">
        <is>
          <t>V01</t>
        </is>
      </c>
      <c r="BH225" s="0" t="inlineStr">
        <is>
          <t>12</t>
        </is>
      </c>
      <c r="BI225" s="0" t="inlineStr">
        <is>
          <t>2027</t>
        </is>
      </c>
      <c r="BJ225" s="0" t="inlineStr">
        <is>
          <t>MBWAY_PAR</t>
        </is>
      </c>
      <c r="BK225" s="0" t="inlineStr">
        <is>
          <t>MBWAY</t>
        </is>
      </c>
      <c r="BL225" s="0" t="inlineStr">
        <is>
          <t>MAS_MGT</t>
        </is>
      </c>
      <c r="BM225" s="0" t="inlineStr">
        <is>
          <t>M2</t>
        </is>
      </c>
      <c r="BN225" s="0" t="inlineStr">
        <is>
          <t>ALT</t>
        </is>
      </c>
      <c r="BO225" s="0" t="n">
        <v>76.39</v>
      </c>
      <c r="BP225" s="0" t="n">
        <v>3</v>
      </c>
      <c r="BQ225" s="0" t="n">
        <v>643909.0324800001</v>
      </c>
      <c r="BR225" s="0" t="n">
        <v>32630.461816</v>
      </c>
      <c r="BS225" s="0" t="n">
        <v>93659.84518800001</v>
      </c>
      <c r="BT225" s="0" t="n">
        <v>28034.81634</v>
      </c>
      <c r="BU225" s="0" t="n">
        <v>250920.476084</v>
      </c>
      <c r="BV225" s="0" t="n">
        <v>18845.809336</v>
      </c>
      <c r="BW225" s="0" t="n">
        <v>72947.616543</v>
      </c>
      <c r="BX225" s="0" t="n">
        <v>91793.425879</v>
      </c>
      <c r="BY225" s="0" t="n">
        <v>60665.278156</v>
      </c>
      <c r="BZ225" s="0" t="n">
        <v>436373.747151</v>
      </c>
      <c r="CA225" s="0" t="n">
        <v>497039.025307</v>
      </c>
      <c r="CB225" s="0" t="n">
        <v>146870.007173</v>
      </c>
      <c r="CC225" s="0" t="n">
        <v>0</v>
      </c>
      <c r="CD225" s="0" t="n">
        <v>186459.781808</v>
      </c>
      <c r="CE225" s="0" t="n">
        <v>535199.1153600001</v>
      </c>
      <c r="CF225" s="0" t="n">
        <v>146351.581975</v>
      </c>
      <c r="CG225" s="0" t="n">
        <v>73754.28</v>
      </c>
      <c r="CH225" s="0" t="n">
        <v>1254602.380422</v>
      </c>
      <c r="CI225" s="0" t="n">
        <v>2975861.58142</v>
      </c>
      <c r="CJ225" s="0" t="n">
        <v>743978.4</v>
      </c>
    </row>
    <row r="226" ht="14.4975" customHeight="1" s="64">
      <c r="BF226" s="0" t="inlineStr">
        <is>
          <t>2027BUD_V1</t>
        </is>
      </c>
      <c r="BG226" s="0" t="inlineStr">
        <is>
          <t>V01</t>
        </is>
      </c>
      <c r="BH226" s="0" t="inlineStr">
        <is>
          <t>12</t>
        </is>
      </c>
      <c r="BI226" s="0" t="inlineStr">
        <is>
          <t>2027</t>
        </is>
      </c>
      <c r="BJ226" s="0" t="inlineStr">
        <is>
          <t>PIGIER_BOR</t>
        </is>
      </c>
      <c r="BK226" s="0" t="inlineStr">
        <is>
          <t>PIGIER</t>
        </is>
      </c>
      <c r="BL226" s="0" t="inlineStr">
        <is>
          <t>BTS_GES</t>
        </is>
      </c>
      <c r="BM226" s="0" t="inlineStr">
        <is>
          <t>BTS1</t>
        </is>
      </c>
      <c r="BN226" s="0" t="inlineStr">
        <is>
          <t>ALT</t>
        </is>
      </c>
      <c r="BO226" s="0" t="n">
        <v>40.09082</v>
      </c>
      <c r="BP226" s="0" t="n">
        <v>2</v>
      </c>
      <c r="BQ226" s="0" t="n">
        <v>237545.733774</v>
      </c>
      <c r="BR226" s="0" t="n">
        <v>24510.939756</v>
      </c>
      <c r="BS226" s="0" t="n">
        <v>48018.417331</v>
      </c>
      <c r="BT226" s="0" t="n">
        <v>23670.418641</v>
      </c>
      <c r="BU226" s="0" t="n">
        <v>72140.223442</v>
      </c>
      <c r="BV226" s="0" t="n">
        <v>7653.88707</v>
      </c>
      <c r="BW226" s="0" t="n">
        <v>33789.329783</v>
      </c>
      <c r="BX226" s="0" t="n">
        <v>41443.216853</v>
      </c>
      <c r="BY226" s="0" t="n">
        <v>48181.358397</v>
      </c>
      <c r="BZ226" s="0" t="n">
        <v>161601.857626</v>
      </c>
      <c r="CA226" s="0" t="n">
        <v>209783.216023</v>
      </c>
      <c r="CB226" s="0" t="n">
        <v>27762.517751</v>
      </c>
      <c r="CC226" s="0" t="n">
        <v>40.09082</v>
      </c>
      <c r="CD226" s="0" t="n">
        <v>99444.73647</v>
      </c>
      <c r="CE226" s="0" t="n">
        <v>194818.2691</v>
      </c>
      <c r="CF226" s="0" t="n">
        <v>54403.580192</v>
      </c>
      <c r="CG226" s="0" t="n">
        <v>23725.44</v>
      </c>
      <c r="CH226" s="0" t="n">
        <v>360701.117209</v>
      </c>
      <c r="CI226" s="0" t="n">
        <v>2975861.58142</v>
      </c>
      <c r="CJ226" s="0" t="n">
        <v>743978.4</v>
      </c>
    </row>
    <row r="227" ht="14.4975" customHeight="1" s="64">
      <c r="BF227" s="0" t="inlineStr">
        <is>
          <t>2027BUD_V1</t>
        </is>
      </c>
      <c r="BG227" s="0" t="inlineStr">
        <is>
          <t>V01</t>
        </is>
      </c>
      <c r="BH227" s="0" t="inlineStr">
        <is>
          <t>12</t>
        </is>
      </c>
      <c r="BI227" s="0" t="inlineStr">
        <is>
          <t>2027</t>
        </is>
      </c>
      <c r="BJ227" s="0" t="inlineStr">
        <is>
          <t>PIGIER_BOR</t>
        </is>
      </c>
      <c r="BK227" s="0" t="inlineStr">
        <is>
          <t>PIGIER</t>
        </is>
      </c>
      <c r="BL227" s="0" t="inlineStr">
        <is>
          <t>BTS_GES</t>
        </is>
      </c>
      <c r="BM227" s="0" t="inlineStr">
        <is>
          <t>BTS2</t>
        </is>
      </c>
      <c r="BN227" s="0" t="inlineStr">
        <is>
          <t>ALT</t>
        </is>
      </c>
      <c r="BO227" s="0" t="n">
        <v>35.18</v>
      </c>
      <c r="BP227" s="0" t="n">
        <v>2</v>
      </c>
      <c r="BQ227" s="0" t="n">
        <v>205281.991236</v>
      </c>
      <c r="BR227" s="0" t="n">
        <v>24510.939756</v>
      </c>
      <c r="BS227" s="0" t="n">
        <v>48018.417331</v>
      </c>
      <c r="BT227" s="0" t="n">
        <v>10361.325058</v>
      </c>
      <c r="BU227" s="0" t="n">
        <v>72140.223442</v>
      </c>
      <c r="BV227" s="0" t="n">
        <v>7653.88707</v>
      </c>
      <c r="BW227" s="0" t="n">
        <v>33789.329783</v>
      </c>
      <c r="BX227" s="0" t="n">
        <v>41443.216853</v>
      </c>
      <c r="BY227" s="0" t="n">
        <v>34872.264814</v>
      </c>
      <c r="BZ227" s="0" t="n">
        <v>161601.857626</v>
      </c>
      <c r="CA227" s="0" t="n">
        <v>196474.12244</v>
      </c>
      <c r="CB227" s="0" t="n">
        <v>8807.868796000001</v>
      </c>
      <c r="CC227" s="0" t="n">
        <v>0</v>
      </c>
      <c r="CD227" s="0" t="n">
        <v>99444.73647</v>
      </c>
      <c r="CE227" s="0" t="n">
        <v>194818.2691</v>
      </c>
      <c r="CF227" s="0" t="n">
        <v>54403.580192</v>
      </c>
      <c r="CG227" s="0" t="n">
        <v>23725.44</v>
      </c>
      <c r="CH227" s="0" t="n">
        <v>360701.117209</v>
      </c>
      <c r="CI227" s="0" t="n">
        <v>2975861.58142</v>
      </c>
      <c r="CJ227" s="0" t="n">
        <v>743978.4</v>
      </c>
    </row>
    <row r="228" ht="14.4975" customHeight="1" s="64">
      <c r="BF228" s="0" t="inlineStr">
        <is>
          <t>2027BUD_V1</t>
        </is>
      </c>
      <c r="BG228" s="0" t="inlineStr">
        <is>
          <t>V01</t>
        </is>
      </c>
      <c r="BH228" s="0" t="inlineStr">
        <is>
          <t>12</t>
        </is>
      </c>
      <c r="BI228" s="0" t="inlineStr">
        <is>
          <t>2027</t>
        </is>
      </c>
      <c r="BJ228" s="0" t="inlineStr">
        <is>
          <t>PIGIER_BOR</t>
        </is>
      </c>
      <c r="BK228" s="0" t="inlineStr">
        <is>
          <t>PIGIER</t>
        </is>
      </c>
      <c r="BL228" s="0" t="inlineStr">
        <is>
          <t>BAC_RH</t>
        </is>
      </c>
      <c r="BM228" s="0" t="inlineStr">
        <is>
          <t>B1</t>
        </is>
      </c>
      <c r="BN228" s="0" t="inlineStr">
        <is>
          <t>ALT</t>
        </is>
      </c>
      <c r="BO228" s="0" t="n">
        <v>40.09082</v>
      </c>
      <c r="BP228" s="0" t="n">
        <v>2</v>
      </c>
      <c r="BQ228" s="0" t="n">
        <v>276535.327103</v>
      </c>
      <c r="BR228" s="0" t="n">
        <v>16807.55269</v>
      </c>
      <c r="BS228" s="0" t="n">
        <v>32927.014934</v>
      </c>
      <c r="BT228" s="0" t="n">
        <v>23670.418641</v>
      </c>
      <c r="BU228" s="0" t="n">
        <v>72140.223442</v>
      </c>
      <c r="BV228" s="0" t="n">
        <v>7653.88707</v>
      </c>
      <c r="BW228" s="0" t="n">
        <v>33789.329783</v>
      </c>
      <c r="BX228" s="0" t="n">
        <v>41443.216853</v>
      </c>
      <c r="BY228" s="0" t="n">
        <v>40477.971331</v>
      </c>
      <c r="BZ228" s="0" t="n">
        <v>146510.455229</v>
      </c>
      <c r="CA228" s="0" t="n">
        <v>186988.42656</v>
      </c>
      <c r="CB228" s="0" t="n">
        <v>89546.900543</v>
      </c>
      <c r="CC228" s="0" t="n">
        <v>40.09082</v>
      </c>
      <c r="CD228" s="0" t="n">
        <v>99444.73647</v>
      </c>
      <c r="CE228" s="0" t="n">
        <v>194818.2691</v>
      </c>
      <c r="CF228" s="0" t="n">
        <v>54403.580192</v>
      </c>
      <c r="CG228" s="0" t="n">
        <v>23725.44</v>
      </c>
      <c r="CH228" s="0" t="n">
        <v>360701.117209</v>
      </c>
      <c r="CI228" s="0" t="n">
        <v>2975861.58142</v>
      </c>
      <c r="CJ228" s="0" t="n">
        <v>743978.4</v>
      </c>
    </row>
    <row r="229" ht="14.4975" customHeight="1" s="64">
      <c r="BF229" s="0" t="inlineStr">
        <is>
          <t>2027BUD_V1</t>
        </is>
      </c>
      <c r="BG229" s="0" t="inlineStr">
        <is>
          <t>V01</t>
        </is>
      </c>
      <c r="BH229" s="0" t="inlineStr">
        <is>
          <t>12</t>
        </is>
      </c>
      <c r="BI229" s="0" t="inlineStr">
        <is>
          <t>2027</t>
        </is>
      </c>
      <c r="BJ229" s="0" t="inlineStr">
        <is>
          <t>PIGIER_BOR</t>
        </is>
      </c>
      <c r="BK229" s="0" t="inlineStr">
        <is>
          <t>PIGIER</t>
        </is>
      </c>
      <c r="BL229" s="0" t="inlineStr">
        <is>
          <t>BAC_RH</t>
        </is>
      </c>
      <c r="BM229" s="0" t="inlineStr">
        <is>
          <t>B2</t>
        </is>
      </c>
      <c r="BN229" s="0" t="inlineStr">
        <is>
          <t>ALT</t>
        </is>
      </c>
      <c r="BO229" s="0" t="n">
        <v>35.18</v>
      </c>
      <c r="BP229" s="0" t="n">
        <v>2</v>
      </c>
      <c r="BQ229" s="0" t="n">
        <v>239495.656442</v>
      </c>
      <c r="BR229" s="0" t="n">
        <v>16807.55269</v>
      </c>
      <c r="BS229" s="0" t="n">
        <v>32927.014934</v>
      </c>
      <c r="BT229" s="0" t="n">
        <v>10361.325058</v>
      </c>
      <c r="BU229" s="0" t="n">
        <v>72140.223442</v>
      </c>
      <c r="BV229" s="0" t="n">
        <v>7653.88707</v>
      </c>
      <c r="BW229" s="0" t="n">
        <v>33789.329783</v>
      </c>
      <c r="BX229" s="0" t="n">
        <v>41443.216853</v>
      </c>
      <c r="BY229" s="0" t="n">
        <v>27168.877748</v>
      </c>
      <c r="BZ229" s="0" t="n">
        <v>146510.455229</v>
      </c>
      <c r="CA229" s="0" t="n">
        <v>173679.332977</v>
      </c>
      <c r="CB229" s="0" t="n">
        <v>65816.32346499999</v>
      </c>
      <c r="CC229" s="0" t="n">
        <v>0</v>
      </c>
      <c r="CD229" s="0" t="n">
        <v>99444.73647</v>
      </c>
      <c r="CE229" s="0" t="n">
        <v>194818.2691</v>
      </c>
      <c r="CF229" s="0" t="n">
        <v>54403.580192</v>
      </c>
      <c r="CG229" s="0" t="n">
        <v>23725.44</v>
      </c>
      <c r="CH229" s="0" t="n">
        <v>360701.117209</v>
      </c>
      <c r="CI229" s="0" t="n">
        <v>2975861.58142</v>
      </c>
      <c r="CJ229" s="0" t="n">
        <v>743978.4</v>
      </c>
    </row>
    <row r="230" ht="14.4975" customHeight="1" s="64">
      <c r="BF230" s="0" t="inlineStr">
        <is>
          <t>2027BUD_V1</t>
        </is>
      </c>
      <c r="BG230" s="0" t="inlineStr">
        <is>
          <t>V01</t>
        </is>
      </c>
      <c r="BH230" s="0" t="inlineStr">
        <is>
          <t>12</t>
        </is>
      </c>
      <c r="BI230" s="0" t="inlineStr">
        <is>
          <t>2027</t>
        </is>
      </c>
      <c r="BJ230" s="0" t="inlineStr">
        <is>
          <t>PIGIER_BOR</t>
        </is>
      </c>
      <c r="BK230" s="0" t="inlineStr">
        <is>
          <t>PIGIER</t>
        </is>
      </c>
      <c r="BL230" s="0" t="inlineStr">
        <is>
          <t>BAC_RH</t>
        </is>
      </c>
      <c r="BM230" s="0" t="inlineStr">
        <is>
          <t>B3</t>
        </is>
      </c>
      <c r="BN230" s="0" t="inlineStr">
        <is>
          <t>ALT</t>
        </is>
      </c>
      <c r="BO230" s="0" t="n">
        <v>34.175</v>
      </c>
      <c r="BP230" s="0" t="n">
        <v>2</v>
      </c>
      <c r="BQ230" s="0" t="n">
        <v>232653.895933</v>
      </c>
      <c r="BR230" s="0" t="n">
        <v>16807.55269</v>
      </c>
      <c r="BS230" s="0" t="n">
        <v>32927.014934</v>
      </c>
      <c r="BT230" s="0" t="n">
        <v>10065.369582</v>
      </c>
      <c r="BU230" s="0" t="n">
        <v>72140.223442</v>
      </c>
      <c r="BV230" s="0" t="n">
        <v>7653.88707</v>
      </c>
      <c r="BW230" s="0" t="n">
        <v>33789.329783</v>
      </c>
      <c r="BX230" s="0" t="n">
        <v>41443.216853</v>
      </c>
      <c r="BY230" s="0" t="n">
        <v>26872.922272</v>
      </c>
      <c r="BZ230" s="0" t="n">
        <v>146510.455229</v>
      </c>
      <c r="CA230" s="0" t="n">
        <v>173383.377501</v>
      </c>
      <c r="CB230" s="0" t="n">
        <v>59270.518432</v>
      </c>
      <c r="CC230" s="0" t="n">
        <v>0</v>
      </c>
      <c r="CD230" s="0" t="n">
        <v>99444.73647</v>
      </c>
      <c r="CE230" s="0" t="n">
        <v>194818.2691</v>
      </c>
      <c r="CF230" s="0" t="n">
        <v>54403.580192</v>
      </c>
      <c r="CG230" s="0" t="n">
        <v>23725.44</v>
      </c>
      <c r="CH230" s="0" t="n">
        <v>360701.117209</v>
      </c>
      <c r="CI230" s="0" t="n">
        <v>2975861.58142</v>
      </c>
      <c r="CJ230" s="0" t="n">
        <v>743978.4</v>
      </c>
    </row>
    <row r="231" ht="14.4975" customHeight="1" s="64">
      <c r="BF231" s="0" t="inlineStr">
        <is>
          <t>2027BUD_V1</t>
        </is>
      </c>
      <c r="BG231" s="0" t="inlineStr">
        <is>
          <t>V01</t>
        </is>
      </c>
      <c r="BH231" s="0" t="inlineStr">
        <is>
          <t>12</t>
        </is>
      </c>
      <c r="BI231" s="0" t="inlineStr">
        <is>
          <t>2027</t>
        </is>
      </c>
      <c r="BJ231" s="0" t="inlineStr">
        <is>
          <t>PIGIER_LYO</t>
        </is>
      </c>
      <c r="BK231" s="0" t="inlineStr">
        <is>
          <t>PIGIER</t>
        </is>
      </c>
      <c r="BL231" s="0" t="inlineStr">
        <is>
          <t>BAC_RH</t>
        </is>
      </c>
      <c r="BM231" s="0" t="inlineStr">
        <is>
          <t>B3</t>
        </is>
      </c>
      <c r="BN231" s="0" t="inlineStr">
        <is>
          <t>ALT</t>
        </is>
      </c>
      <c r="BO231" s="0" t="n">
        <v>44.225</v>
      </c>
      <c r="BP231" s="0" t="n">
        <v>2</v>
      </c>
      <c r="BQ231" s="0" t="n">
        <v>325902.140288</v>
      </c>
      <c r="BR231" s="0" t="n">
        <v>16807.55269</v>
      </c>
      <c r="BS231" s="0" t="n">
        <v>43476.328831</v>
      </c>
      <c r="BT231" s="0" t="n">
        <v>13014.42302</v>
      </c>
      <c r="BU231" s="0" t="n">
        <v>111677.370451</v>
      </c>
      <c r="BV231" s="0" t="n">
        <v>9818.130590000001</v>
      </c>
      <c r="BW231" s="0" t="n">
        <v>43343.73493</v>
      </c>
      <c r="BX231" s="0" t="n">
        <v>53161.86552</v>
      </c>
      <c r="BY231" s="0" t="n">
        <v>29821.97571</v>
      </c>
      <c r="BZ231" s="0" t="n">
        <v>208315.564802</v>
      </c>
      <c r="CA231" s="0" t="n">
        <v>238137.540512</v>
      </c>
      <c r="CB231" s="0" t="n">
        <v>87764.599776</v>
      </c>
      <c r="CC231" s="0" t="n">
        <v>0</v>
      </c>
      <c r="CD231" s="0" t="n">
        <v>99444.73647</v>
      </c>
      <c r="CE231" s="0" t="n">
        <v>257235.0742</v>
      </c>
      <c r="CF231" s="0" t="n">
        <v>69728.590365</v>
      </c>
      <c r="CG231" s="0" t="n">
        <v>39540.96</v>
      </c>
      <c r="CH231" s="0" t="n">
        <v>558386.852255</v>
      </c>
      <c r="CI231" s="0" t="n">
        <v>2975861.58142</v>
      </c>
      <c r="CJ231" s="0" t="n">
        <v>743978.4</v>
      </c>
    </row>
    <row r="232" ht="14.4975" customHeight="1" s="64">
      <c r="BF232" s="0" t="inlineStr">
        <is>
          <t>2027BUD_V1</t>
        </is>
      </c>
      <c r="BG232" s="0" t="inlineStr">
        <is>
          <t>V01</t>
        </is>
      </c>
      <c r="BH232" s="0" t="inlineStr">
        <is>
          <t>12</t>
        </is>
      </c>
      <c r="BI232" s="0" t="inlineStr">
        <is>
          <t>2027</t>
        </is>
      </c>
      <c r="BJ232" s="0" t="inlineStr">
        <is>
          <t>PIGIER_LYO</t>
        </is>
      </c>
      <c r="BK232" s="0" t="inlineStr">
        <is>
          <t>PIGIER</t>
        </is>
      </c>
      <c r="BL232" s="0" t="inlineStr">
        <is>
          <t>BAC_RH</t>
        </is>
      </c>
      <c r="BM232" s="0" t="inlineStr">
        <is>
          <t>B2</t>
        </is>
      </c>
      <c r="BN232" s="0" t="inlineStr">
        <is>
          <t>ALT</t>
        </is>
      </c>
      <c r="BO232" s="0" t="n">
        <v>45.23</v>
      </c>
      <c r="BP232" s="0" t="n">
        <v>2</v>
      </c>
      <c r="BQ232" s="0" t="n">
        <v>333308.169705</v>
      </c>
      <c r="BR232" s="0" t="n">
        <v>16807.55269</v>
      </c>
      <c r="BS232" s="0" t="n">
        <v>43476.328831</v>
      </c>
      <c r="BT232" s="0" t="n">
        <v>13310.2117</v>
      </c>
      <c r="BU232" s="0" t="n">
        <v>111677.370451</v>
      </c>
      <c r="BV232" s="0" t="n">
        <v>9818.130590000001</v>
      </c>
      <c r="BW232" s="0" t="n">
        <v>43343.73493</v>
      </c>
      <c r="BX232" s="0" t="n">
        <v>53161.86552</v>
      </c>
      <c r="BY232" s="0" t="n">
        <v>30117.76439</v>
      </c>
      <c r="BZ232" s="0" t="n">
        <v>208315.564802</v>
      </c>
      <c r="CA232" s="0" t="n">
        <v>238433.329192</v>
      </c>
      <c r="CB232" s="0" t="n">
        <v>94874.840513</v>
      </c>
      <c r="CC232" s="0" t="n">
        <v>0</v>
      </c>
      <c r="CD232" s="0" t="n">
        <v>99444.73647</v>
      </c>
      <c r="CE232" s="0" t="n">
        <v>257235.0742</v>
      </c>
      <c r="CF232" s="0" t="n">
        <v>69728.590365</v>
      </c>
      <c r="CG232" s="0" t="n">
        <v>39540.96</v>
      </c>
      <c r="CH232" s="0" t="n">
        <v>558386.852255</v>
      </c>
      <c r="CI232" s="0" t="n">
        <v>2975861.58142</v>
      </c>
      <c r="CJ232" s="0" t="n">
        <v>743978.4</v>
      </c>
    </row>
    <row r="233" ht="14.4975" customHeight="1" s="64">
      <c r="BF233" s="0" t="inlineStr">
        <is>
          <t>2027BUD_V1</t>
        </is>
      </c>
      <c r="BG233" s="0" t="inlineStr">
        <is>
          <t>V01</t>
        </is>
      </c>
      <c r="BH233" s="0" t="inlineStr">
        <is>
          <t>12</t>
        </is>
      </c>
      <c r="BI233" s="0" t="inlineStr">
        <is>
          <t>2027</t>
        </is>
      </c>
      <c r="BJ233" s="0" t="inlineStr">
        <is>
          <t>PIGIER_LYO</t>
        </is>
      </c>
      <c r="BK233" s="0" t="inlineStr">
        <is>
          <t>PIGIER</t>
        </is>
      </c>
      <c r="BL233" s="0" t="inlineStr">
        <is>
          <t>BTS_GES</t>
        </is>
      </c>
      <c r="BM233" s="0" t="inlineStr">
        <is>
          <t>BTS1</t>
        </is>
      </c>
      <c r="BN233" s="0" t="inlineStr">
        <is>
          <t>ALT</t>
        </is>
      </c>
      <c r="BO233" s="0" t="n">
        <v>51.131266</v>
      </c>
      <c r="BP233" s="0" t="n">
        <v>2</v>
      </c>
      <c r="BQ233" s="0" t="n">
        <v>327569.541147</v>
      </c>
      <c r="BR233" s="0" t="n">
        <v>24510.939756</v>
      </c>
      <c r="BS233" s="0" t="n">
        <v>63402.786619</v>
      </c>
      <c r="BT233" s="0" t="n">
        <v>34817.282243</v>
      </c>
      <c r="BU233" s="0" t="n">
        <v>111677.370451</v>
      </c>
      <c r="BV233" s="0" t="n">
        <v>9818.130590000001</v>
      </c>
      <c r="BW233" s="0" t="n">
        <v>43343.73493</v>
      </c>
      <c r="BX233" s="0" t="n">
        <v>53161.86552</v>
      </c>
      <c r="BY233" s="0" t="n">
        <v>59328.221999</v>
      </c>
      <c r="BZ233" s="0" t="n">
        <v>228242.02259</v>
      </c>
      <c r="CA233" s="0" t="n">
        <v>287570.244589</v>
      </c>
      <c r="CB233" s="0" t="n">
        <v>39999.296558</v>
      </c>
      <c r="CC233" s="0" t="n">
        <v>51.131266</v>
      </c>
      <c r="CD233" s="0" t="n">
        <v>99444.73647</v>
      </c>
      <c r="CE233" s="0" t="n">
        <v>257235.0742</v>
      </c>
      <c r="CF233" s="0" t="n">
        <v>69728.590365</v>
      </c>
      <c r="CG233" s="0" t="n">
        <v>39540.96</v>
      </c>
      <c r="CH233" s="0" t="n">
        <v>558386.852255</v>
      </c>
      <c r="CI233" s="0" t="n">
        <v>2975861.58142</v>
      </c>
      <c r="CJ233" s="0" t="n">
        <v>743978.4</v>
      </c>
    </row>
    <row r="234" ht="14.4975" customHeight="1" s="64">
      <c r="BF234" s="0" t="inlineStr">
        <is>
          <t>2027BUD_V1</t>
        </is>
      </c>
      <c r="BG234" s="0" t="inlineStr">
        <is>
          <t>V01</t>
        </is>
      </c>
      <c r="BH234" s="0" t="inlineStr">
        <is>
          <t>12</t>
        </is>
      </c>
      <c r="BI234" s="0" t="inlineStr">
        <is>
          <t>2027</t>
        </is>
      </c>
      <c r="BJ234" s="0" t="inlineStr">
        <is>
          <t>PIGIER_LYO</t>
        </is>
      </c>
      <c r="BK234" s="0" t="inlineStr">
        <is>
          <t>PIGIER</t>
        </is>
      </c>
      <c r="BL234" s="0" t="inlineStr">
        <is>
          <t>BTS_GES</t>
        </is>
      </c>
      <c r="BM234" s="0" t="inlineStr">
        <is>
          <t>BTS2</t>
        </is>
      </c>
      <c r="BN234" s="0" t="inlineStr">
        <is>
          <t>ALT</t>
        </is>
      </c>
      <c r="BO234" s="0" t="n">
        <v>45.23</v>
      </c>
      <c r="BP234" s="0" t="n">
        <v>2</v>
      </c>
      <c r="BQ234" s="0" t="n">
        <v>285692.71689</v>
      </c>
      <c r="BR234" s="0" t="n">
        <v>24510.939756</v>
      </c>
      <c r="BS234" s="0" t="n">
        <v>63402.786619</v>
      </c>
      <c r="BT234" s="0" t="n">
        <v>13310.2117</v>
      </c>
      <c r="BU234" s="0" t="n">
        <v>111677.370451</v>
      </c>
      <c r="BV234" s="0" t="n">
        <v>9818.130590000001</v>
      </c>
      <c r="BW234" s="0" t="n">
        <v>43343.73493</v>
      </c>
      <c r="BX234" s="0" t="n">
        <v>53161.86552</v>
      </c>
      <c r="BY234" s="0" t="n">
        <v>37821.151456</v>
      </c>
      <c r="BZ234" s="0" t="n">
        <v>228242.02259</v>
      </c>
      <c r="CA234" s="0" t="n">
        <v>266063.174046</v>
      </c>
      <c r="CB234" s="0" t="n">
        <v>19629.542844</v>
      </c>
      <c r="CC234" s="0" t="n">
        <v>0</v>
      </c>
      <c r="CD234" s="0" t="n">
        <v>99444.73647</v>
      </c>
      <c r="CE234" s="0" t="n">
        <v>257235.0742</v>
      </c>
      <c r="CF234" s="0" t="n">
        <v>69728.590365</v>
      </c>
      <c r="CG234" s="0" t="n">
        <v>39540.96</v>
      </c>
      <c r="CH234" s="0" t="n">
        <v>558386.852255</v>
      </c>
      <c r="CI234" s="0" t="n">
        <v>2975861.58142</v>
      </c>
      <c r="CJ234" s="0" t="n">
        <v>743978.4</v>
      </c>
    </row>
    <row r="235" ht="14.4975" customHeight="1" s="64">
      <c r="BF235" s="0" t="inlineStr">
        <is>
          <t>2027BUD_V1</t>
        </is>
      </c>
      <c r="BG235" s="0" t="inlineStr">
        <is>
          <t>V01</t>
        </is>
      </c>
      <c r="BH235" s="0" t="inlineStr">
        <is>
          <t>12</t>
        </is>
      </c>
      <c r="BI235" s="0" t="inlineStr">
        <is>
          <t>2027</t>
        </is>
      </c>
      <c r="BJ235" s="0" t="inlineStr">
        <is>
          <t>PIGIER_LYO</t>
        </is>
      </c>
      <c r="BK235" s="0" t="inlineStr">
        <is>
          <t>PIGIER</t>
        </is>
      </c>
      <c r="BL235" s="0" t="inlineStr">
        <is>
          <t>BAC_RH</t>
        </is>
      </c>
      <c r="BM235" s="0" t="inlineStr">
        <is>
          <t>B1</t>
        </is>
      </c>
      <c r="BN235" s="0" t="inlineStr">
        <is>
          <t>ALT</t>
        </is>
      </c>
      <c r="BO235" s="0" t="n">
        <v>51.131266</v>
      </c>
      <c r="BP235" s="0" t="n">
        <v>2</v>
      </c>
      <c r="BQ235" s="0" t="n">
        <v>381397.495681</v>
      </c>
      <c r="BR235" s="0" t="n">
        <v>16807.55269</v>
      </c>
      <c r="BS235" s="0" t="n">
        <v>43476.328831</v>
      </c>
      <c r="BT235" s="0" t="n">
        <v>34817.282243</v>
      </c>
      <c r="BU235" s="0" t="n">
        <v>111677.370451</v>
      </c>
      <c r="BV235" s="0" t="n">
        <v>9818.130590000001</v>
      </c>
      <c r="BW235" s="0" t="n">
        <v>43343.73493</v>
      </c>
      <c r="BX235" s="0" t="n">
        <v>53161.86552</v>
      </c>
      <c r="BY235" s="0" t="n">
        <v>51624.834933</v>
      </c>
      <c r="BZ235" s="0" t="n">
        <v>208315.564802</v>
      </c>
      <c r="CA235" s="0" t="n">
        <v>259940.399735</v>
      </c>
      <c r="CB235" s="0" t="n">
        <v>121457.095946</v>
      </c>
      <c r="CC235" s="0" t="n">
        <v>51.131266</v>
      </c>
      <c r="CD235" s="0" t="n">
        <v>99444.73647</v>
      </c>
      <c r="CE235" s="0" t="n">
        <v>257235.0742</v>
      </c>
      <c r="CF235" s="0" t="n">
        <v>69728.590365</v>
      </c>
      <c r="CG235" s="0" t="n">
        <v>39540.96</v>
      </c>
      <c r="CH235" s="0" t="n">
        <v>558386.852255</v>
      </c>
      <c r="CI235" s="0" t="n">
        <v>2975861.58142</v>
      </c>
      <c r="CJ235" s="0" t="n">
        <v>743978.4</v>
      </c>
    </row>
    <row r="236" ht="14.4975" customHeight="1" s="64">
      <c r="BF236" s="0" t="inlineStr">
        <is>
          <t>2027BUD_V1</t>
        </is>
      </c>
      <c r="BG236" s="0" t="inlineStr">
        <is>
          <t>V01</t>
        </is>
      </c>
      <c r="BH236" s="0" t="inlineStr">
        <is>
          <t>12</t>
        </is>
      </c>
      <c r="BI236" s="0" t="inlineStr">
        <is>
          <t>2027</t>
        </is>
      </c>
      <c r="BJ236" s="0" t="inlineStr">
        <is>
          <t>TUNON_LYO</t>
        </is>
      </c>
      <c r="BK236" s="0" t="inlineStr">
        <is>
          <t>TUNON</t>
        </is>
      </c>
      <c r="BL236" s="0" t="inlineStr">
        <is>
          <t>BAC_TOU</t>
        </is>
      </c>
      <c r="BM236" s="0" t="inlineStr">
        <is>
          <t>B1</t>
        </is>
      </c>
      <c r="BN236" s="0" t="inlineStr">
        <is>
          <t>ALT</t>
        </is>
      </c>
      <c r="BO236" s="0" t="n">
        <v>44.464881</v>
      </c>
      <c r="BP236" s="0" t="n">
        <v>2</v>
      </c>
      <c r="BQ236" s="0" t="n">
        <v>331813.872025</v>
      </c>
      <c r="BR236" s="0" t="n">
        <v>24861.416664</v>
      </c>
      <c r="BS236" s="0" t="n">
        <v>66073.35709999999</v>
      </c>
      <c r="BT236" s="0" t="n">
        <v>36713.946049</v>
      </c>
      <c r="BU236" s="0" t="n">
        <v>129716.412698</v>
      </c>
      <c r="BV236" s="0" t="n">
        <v>9566.719342</v>
      </c>
      <c r="BW236" s="0" t="n">
        <v>37151.782512</v>
      </c>
      <c r="BX236" s="0" t="n">
        <v>46718.501854</v>
      </c>
      <c r="BY236" s="0" t="n">
        <v>61575.362713</v>
      </c>
      <c r="BZ236" s="0" t="n">
        <v>242508.271652</v>
      </c>
      <c r="CA236" s="0" t="n">
        <v>304083.634365</v>
      </c>
      <c r="CB236" s="0" t="n">
        <v>27730.23766</v>
      </c>
      <c r="CC236" s="0" t="n">
        <v>44.464881</v>
      </c>
      <c r="CD236" s="0" t="n">
        <v>74584.32457500001</v>
      </c>
      <c r="CE236" s="0" t="n">
        <v>198220.26952</v>
      </c>
      <c r="CF236" s="0" t="n">
        <v>44824.934018</v>
      </c>
      <c r="CG236" s="0" t="n">
        <v>20358</v>
      </c>
      <c r="CH236" s="0" t="n">
        <v>389149.627243</v>
      </c>
      <c r="CI236" s="0" t="n">
        <v>2975861.58142</v>
      </c>
      <c r="CJ236" s="0" t="n">
        <v>743978.4</v>
      </c>
    </row>
    <row r="237" ht="14.4975" customHeight="1" s="64">
      <c r="BF237" s="0" t="inlineStr">
        <is>
          <t>2027BUD_V1</t>
        </is>
      </c>
      <c r="BG237" s="0" t="inlineStr">
        <is>
          <t>V01</t>
        </is>
      </c>
      <c r="BH237" s="0" t="inlineStr">
        <is>
          <t>12</t>
        </is>
      </c>
      <c r="BI237" s="0" t="inlineStr">
        <is>
          <t>2027</t>
        </is>
      </c>
      <c r="BJ237" s="0" t="inlineStr">
        <is>
          <t>TUNON_LYO</t>
        </is>
      </c>
      <c r="BK237" s="0" t="inlineStr">
        <is>
          <t>TUNON</t>
        </is>
      </c>
      <c r="BL237" s="0" t="inlineStr">
        <is>
          <t>BAC_TOU</t>
        </is>
      </c>
      <c r="BM237" s="0" t="inlineStr">
        <is>
          <t>B2</t>
        </is>
      </c>
      <c r="BN237" s="0" t="inlineStr">
        <is>
          <t>ALT</t>
        </is>
      </c>
      <c r="BO237" s="0" t="n">
        <v>39.2</v>
      </c>
      <c r="BP237" s="0" t="n">
        <v>2</v>
      </c>
      <c r="BQ237" s="0" t="n">
        <v>288997.3254</v>
      </c>
      <c r="BR237" s="0" t="n">
        <v>24861.416664</v>
      </c>
      <c r="BS237" s="0" t="n">
        <v>66073.35709999999</v>
      </c>
      <c r="BT237" s="0" t="n">
        <v>14419.284775</v>
      </c>
      <c r="BU237" s="0" t="n">
        <v>129716.412698</v>
      </c>
      <c r="BV237" s="0" t="n">
        <v>9566.719342</v>
      </c>
      <c r="BW237" s="0" t="n">
        <v>37151.782512</v>
      </c>
      <c r="BX237" s="0" t="n">
        <v>46718.501854</v>
      </c>
      <c r="BY237" s="0" t="n">
        <v>39280.701439</v>
      </c>
      <c r="BZ237" s="0" t="n">
        <v>242508.271652</v>
      </c>
      <c r="CA237" s="0" t="n">
        <v>281788.973091</v>
      </c>
      <c r="CB237" s="0" t="n">
        <v>7208.352309</v>
      </c>
      <c r="CC237" s="0" t="n">
        <v>0</v>
      </c>
      <c r="CD237" s="0" t="n">
        <v>74584.32457500001</v>
      </c>
      <c r="CE237" s="0" t="n">
        <v>198220.26952</v>
      </c>
      <c r="CF237" s="0" t="n">
        <v>44824.934018</v>
      </c>
      <c r="CG237" s="0" t="n">
        <v>20358</v>
      </c>
      <c r="CH237" s="0" t="n">
        <v>389149.627243</v>
      </c>
      <c r="CI237" s="0" t="n">
        <v>2975861.58142</v>
      </c>
      <c r="CJ237" s="0" t="n">
        <v>743978.4</v>
      </c>
    </row>
    <row r="238" ht="14.4975" customHeight="1" s="64">
      <c r="BF238" s="0" t="inlineStr">
        <is>
          <t>2027BUD_V1</t>
        </is>
      </c>
      <c r="BG238" s="0" t="inlineStr">
        <is>
          <t>V01</t>
        </is>
      </c>
      <c r="BH238" s="0" t="inlineStr">
        <is>
          <t>12</t>
        </is>
      </c>
      <c r="BI238" s="0" t="inlineStr">
        <is>
          <t>2027</t>
        </is>
      </c>
      <c r="BJ238" s="0" t="inlineStr">
        <is>
          <t>TUNON_LYO</t>
        </is>
      </c>
      <c r="BK238" s="0" t="inlineStr">
        <is>
          <t>TUNON</t>
        </is>
      </c>
      <c r="BL238" s="0" t="inlineStr">
        <is>
          <t>BAC_TOU</t>
        </is>
      </c>
      <c r="BM238" s="0" t="inlineStr">
        <is>
          <t>B3</t>
        </is>
      </c>
      <c r="BN238" s="0" t="inlineStr">
        <is>
          <t>ALT</t>
        </is>
      </c>
      <c r="BO238" s="0" t="n">
        <v>38.195</v>
      </c>
      <c r="BP238" s="0" t="n">
        <v>2</v>
      </c>
      <c r="BQ238" s="0" t="n">
        <v>281588.082746</v>
      </c>
      <c r="BR238" s="0" t="n">
        <v>24861.416664</v>
      </c>
      <c r="BS238" s="0" t="n">
        <v>66073.35709999999</v>
      </c>
      <c r="BT238" s="0" t="n">
        <v>14049.613544</v>
      </c>
      <c r="BU238" s="0" t="n">
        <v>129716.412698</v>
      </c>
      <c r="BV238" s="0" t="n">
        <v>9566.719342</v>
      </c>
      <c r="BW238" s="0" t="n">
        <v>37151.782512</v>
      </c>
      <c r="BX238" s="0" t="n">
        <v>46718.501854</v>
      </c>
      <c r="BY238" s="0" t="n">
        <v>38911.030208</v>
      </c>
      <c r="BZ238" s="0" t="n">
        <v>242508.271652</v>
      </c>
      <c r="CA238" s="0" t="n">
        <v>281419.30186</v>
      </c>
      <c r="CB238" s="0" t="n">
        <v>168.780886</v>
      </c>
      <c r="CC238" s="0" t="n">
        <v>0</v>
      </c>
      <c r="CD238" s="0" t="n">
        <v>74584.32457500001</v>
      </c>
      <c r="CE238" s="0" t="n">
        <v>198220.26952</v>
      </c>
      <c r="CF238" s="0" t="n">
        <v>44824.934018</v>
      </c>
      <c r="CG238" s="0" t="n">
        <v>20358</v>
      </c>
      <c r="CH238" s="0" t="n">
        <v>389149.627243</v>
      </c>
      <c r="CI238" s="0" t="n">
        <v>2975861.58142</v>
      </c>
      <c r="CJ238" s="0" t="n">
        <v>743978.4</v>
      </c>
    </row>
    <row r="239" ht="14.4975" customHeight="1" s="64">
      <c r="BF239" s="0" t="inlineStr">
        <is>
          <t>2027BUD_V1</t>
        </is>
      </c>
      <c r="BG239" s="0" t="inlineStr">
        <is>
          <t>V01</t>
        </is>
      </c>
      <c r="BH239" s="0" t="inlineStr">
        <is>
          <t>12</t>
        </is>
      </c>
      <c r="BI239" s="0" t="inlineStr">
        <is>
          <t>2027</t>
        </is>
      </c>
      <c r="BJ239" s="0" t="inlineStr">
        <is>
          <t>TUNON_PAR</t>
        </is>
      </c>
      <c r="BK239" s="0" t="inlineStr">
        <is>
          <t>TUNON</t>
        </is>
      </c>
      <c r="BL239" s="0" t="inlineStr">
        <is>
          <t>BAC_TOU</t>
        </is>
      </c>
      <c r="BM239" s="0" t="inlineStr">
        <is>
          <t>B1</t>
        </is>
      </c>
      <c r="BN239" s="0" t="inlineStr">
        <is>
          <t>ALT</t>
        </is>
      </c>
      <c r="BO239" s="0" t="n">
        <v>52.095305</v>
      </c>
      <c r="BP239" s="0" t="n">
        <v>2</v>
      </c>
      <c r="BQ239" s="0" t="n">
        <v>414359.429447</v>
      </c>
      <c r="BR239" s="0" t="n">
        <v>24861.416664</v>
      </c>
      <c r="BS239" s="0" t="n">
        <v>79370.553183</v>
      </c>
      <c r="BT239" s="0" t="n">
        <v>51844.833031</v>
      </c>
      <c r="BU239" s="0" t="n">
        <v>173558.472793</v>
      </c>
      <c r="BV239" s="0" t="n">
        <v>11270.338018</v>
      </c>
      <c r="BW239" s="0" t="n">
        <v>43767.683771</v>
      </c>
      <c r="BX239" s="0" t="n">
        <v>55038.021789</v>
      </c>
      <c r="BY239" s="0" t="n">
        <v>76706.24969500001</v>
      </c>
      <c r="BZ239" s="0" t="n">
        <v>307967.047765</v>
      </c>
      <c r="CA239" s="0" t="n">
        <v>384673.29746</v>
      </c>
      <c r="CB239" s="0" t="n">
        <v>29686.131987</v>
      </c>
      <c r="CC239" s="0" t="n">
        <v>52.095305</v>
      </c>
      <c r="CD239" s="0" t="n">
        <v>74584.32457500001</v>
      </c>
      <c r="CE239" s="0" t="n">
        <v>238111.89766</v>
      </c>
      <c r="CF239" s="0" t="n">
        <v>52870.461396</v>
      </c>
      <c r="CG239" s="0" t="n">
        <v>32659.2</v>
      </c>
      <c r="CH239" s="0" t="n">
        <v>520675.939055</v>
      </c>
      <c r="CI239" s="0" t="n">
        <v>2975861.58142</v>
      </c>
      <c r="CJ239" s="0" t="n">
        <v>743978.4</v>
      </c>
    </row>
    <row r="240" ht="14.4975" customHeight="1" s="64">
      <c r="BF240" s="0" t="inlineStr">
        <is>
          <t>2027BUD_V1</t>
        </is>
      </c>
      <c r="BG240" s="0" t="inlineStr">
        <is>
          <t>V01</t>
        </is>
      </c>
      <c r="BH240" s="0" t="inlineStr">
        <is>
          <t>12</t>
        </is>
      </c>
      <c r="BI240" s="0" t="inlineStr">
        <is>
          <t>2027</t>
        </is>
      </c>
      <c r="BJ240" s="0" t="inlineStr">
        <is>
          <t>TUNON_PAR</t>
        </is>
      </c>
      <c r="BK240" s="0" t="inlineStr">
        <is>
          <t>TUNON</t>
        </is>
      </c>
      <c r="BL240" s="0" t="inlineStr">
        <is>
          <t>BAC_TOU</t>
        </is>
      </c>
      <c r="BM240" s="0" t="inlineStr">
        <is>
          <t>B2</t>
        </is>
      </c>
      <c r="BN240" s="0" t="inlineStr">
        <is>
          <t>ALT</t>
        </is>
      </c>
      <c r="BO240" s="0" t="n">
        <v>46.235</v>
      </c>
      <c r="BP240" s="0" t="n">
        <v>2</v>
      </c>
      <c r="BQ240" s="0" t="n">
        <v>363586.158908</v>
      </c>
      <c r="BR240" s="0" t="n">
        <v>24861.416664</v>
      </c>
      <c r="BS240" s="0" t="n">
        <v>79370.553183</v>
      </c>
      <c r="BT240" s="0" t="n">
        <v>17027.407927</v>
      </c>
      <c r="BU240" s="0" t="n">
        <v>173558.472793</v>
      </c>
      <c r="BV240" s="0" t="n">
        <v>11270.338018</v>
      </c>
      <c r="BW240" s="0" t="n">
        <v>43767.683771</v>
      </c>
      <c r="BX240" s="0" t="n">
        <v>55038.021789</v>
      </c>
      <c r="BY240" s="0" t="n">
        <v>41888.824591</v>
      </c>
      <c r="BZ240" s="0" t="n">
        <v>307967.047765</v>
      </c>
      <c r="CA240" s="0" t="n">
        <v>349855.872356</v>
      </c>
      <c r="CB240" s="0" t="n">
        <v>13730.286552</v>
      </c>
      <c r="CC240" s="0" t="n">
        <v>0</v>
      </c>
      <c r="CD240" s="0" t="n">
        <v>74584.32457500001</v>
      </c>
      <c r="CE240" s="0" t="n">
        <v>238111.89766</v>
      </c>
      <c r="CF240" s="0" t="n">
        <v>52870.461396</v>
      </c>
      <c r="CG240" s="0" t="n">
        <v>32659.2</v>
      </c>
      <c r="CH240" s="0" t="n">
        <v>520675.939055</v>
      </c>
      <c r="CI240" s="0" t="n">
        <v>2975861.58142</v>
      </c>
      <c r="CJ240" s="0" t="n">
        <v>743978.4</v>
      </c>
    </row>
    <row r="241" ht="14.4975" customHeight="1" s="64">
      <c r="BF241" s="0" t="inlineStr">
        <is>
          <t>2027BUD_V1</t>
        </is>
      </c>
      <c r="BG241" s="0" t="inlineStr">
        <is>
          <t>V01</t>
        </is>
      </c>
      <c r="BH241" s="0" t="inlineStr">
        <is>
          <t>12</t>
        </is>
      </c>
      <c r="BI241" s="0" t="inlineStr">
        <is>
          <t>2027</t>
        </is>
      </c>
      <c r="BJ241" s="0" t="inlineStr">
        <is>
          <t>TUNON_PAR</t>
        </is>
      </c>
      <c r="BK241" s="0" t="inlineStr">
        <is>
          <t>TUNON</t>
        </is>
      </c>
      <c r="BL241" s="0" t="inlineStr">
        <is>
          <t>BAC_TOU</t>
        </is>
      </c>
      <c r="BM241" s="0" t="inlineStr">
        <is>
          <t>B3</t>
        </is>
      </c>
      <c r="BN241" s="0" t="inlineStr">
        <is>
          <t>ALT</t>
        </is>
      </c>
      <c r="BO241" s="0" t="n">
        <v>45.23</v>
      </c>
      <c r="BP241" s="0" t="n">
        <v>2</v>
      </c>
      <c r="BQ241" s="0" t="n">
        <v>355682.966744</v>
      </c>
      <c r="BR241" s="0" t="n">
        <v>24861.416664</v>
      </c>
      <c r="BS241" s="0" t="n">
        <v>79370.553183</v>
      </c>
      <c r="BT241" s="0" t="n">
        <v>16657.314697</v>
      </c>
      <c r="BU241" s="0" t="n">
        <v>173558.472793</v>
      </c>
      <c r="BV241" s="0" t="n">
        <v>11270.338018</v>
      </c>
      <c r="BW241" s="0" t="n">
        <v>43767.683771</v>
      </c>
      <c r="BX241" s="0" t="n">
        <v>55038.021789</v>
      </c>
      <c r="BY241" s="0" t="n">
        <v>41518.731361</v>
      </c>
      <c r="BZ241" s="0" t="n">
        <v>307967.047765</v>
      </c>
      <c r="CA241" s="0" t="n">
        <v>349485.779126</v>
      </c>
      <c r="CB241" s="0" t="n">
        <v>6197.187618</v>
      </c>
      <c r="CC241" s="0" t="n">
        <v>0</v>
      </c>
      <c r="CD241" s="0" t="n">
        <v>74584.32457500001</v>
      </c>
      <c r="CE241" s="0" t="n">
        <v>238111.89766</v>
      </c>
      <c r="CF241" s="0" t="n">
        <v>52870.461396</v>
      </c>
      <c r="CG241" s="0" t="n">
        <v>32659.2</v>
      </c>
      <c r="CH241" s="0" t="n">
        <v>520675.939055</v>
      </c>
      <c r="CI241" s="0" t="n">
        <v>2975861.58142</v>
      </c>
      <c r="CJ241" s="0" t="n">
        <v>743978.4</v>
      </c>
    </row>
    <row r="242" ht="14.4975" customHeight="1" s="64">
      <c r="BF242" s="0" t="inlineStr">
        <is>
          <t>2027BUD_V1</t>
        </is>
      </c>
      <c r="BG242" s="0" t="inlineStr">
        <is>
          <t>V02</t>
        </is>
      </c>
      <c r="BH242" s="0" t="inlineStr">
        <is>
          <t>12</t>
        </is>
      </c>
      <c r="BI242" s="0" t="inlineStr">
        <is>
          <t>2027</t>
        </is>
      </c>
      <c r="BJ242" s="0" t="inlineStr">
        <is>
          <t>IPAC_MTP</t>
        </is>
      </c>
      <c r="BK242" s="0" t="inlineStr">
        <is>
          <t>IPAC</t>
        </is>
      </c>
      <c r="BL242" s="0" t="inlineStr">
        <is>
          <t>BAC_CCE</t>
        </is>
      </c>
      <c r="BM242" s="0" t="inlineStr">
        <is>
          <t>B1</t>
        </is>
      </c>
      <c r="BN242" s="0" t="inlineStr">
        <is>
          <t>ALT</t>
        </is>
      </c>
      <c r="BO242" s="0" t="n">
        <v>52.169789</v>
      </c>
      <c r="BP242" s="0" t="n">
        <v>2</v>
      </c>
      <c r="BQ242" s="0" t="n">
        <v>363159.77033</v>
      </c>
      <c r="BR242" s="0" t="n">
        <v>27188.655907</v>
      </c>
      <c r="BS242" s="0" t="n">
        <v>47657.770328</v>
      </c>
      <c r="BT242" s="0" t="n">
        <v>37073.51251</v>
      </c>
      <c r="BU242" s="0" t="n">
        <v>92366.628018</v>
      </c>
      <c r="BV242" s="0" t="n">
        <v>8880.114186000001</v>
      </c>
      <c r="BW242" s="0" t="n">
        <v>36200.547753</v>
      </c>
      <c r="BX242" s="0" t="n">
        <v>45080.661939</v>
      </c>
      <c r="BY242" s="0" t="n">
        <v>64262.168417</v>
      </c>
      <c r="BZ242" s="0" t="n">
        <v>185105.060285</v>
      </c>
      <c r="CA242" s="0" t="n">
        <v>249367.228702</v>
      </c>
      <c r="CB242" s="0" t="n">
        <v>113792.541628</v>
      </c>
      <c r="CC242" s="0" t="n">
        <v>52.169789</v>
      </c>
      <c r="CD242" s="0" t="n">
        <v>81566.04928799999</v>
      </c>
      <c r="CE242" s="0" t="n">
        <v>142973.453958</v>
      </c>
      <c r="CF242" s="0" t="n">
        <v>49020.927631</v>
      </c>
      <c r="CG242" s="0" t="n">
        <v>17454.7</v>
      </c>
      <c r="CH242" s="0" t="n">
        <v>277100.161154</v>
      </c>
      <c r="CI242" s="0" t="n">
        <v>2894009.992738</v>
      </c>
      <c r="CJ242" s="0" t="n">
        <v>777795.6</v>
      </c>
    </row>
    <row r="243" ht="14.4975" customHeight="1" s="64">
      <c r="BF243" s="0" t="inlineStr">
        <is>
          <t>2027BUD_V1</t>
        </is>
      </c>
      <c r="BG243" s="0" t="inlineStr">
        <is>
          <t>V02</t>
        </is>
      </c>
      <c r="BH243" s="0" t="inlineStr">
        <is>
          <t>12</t>
        </is>
      </c>
      <c r="BI243" s="0" t="inlineStr">
        <is>
          <t>2027</t>
        </is>
      </c>
      <c r="BJ243" s="0" t="inlineStr">
        <is>
          <t>IPAC_MTP</t>
        </is>
      </c>
      <c r="BK243" s="0" t="inlineStr">
        <is>
          <t>IPAC</t>
        </is>
      </c>
      <c r="BL243" s="0" t="inlineStr">
        <is>
          <t>BAC_CCE</t>
        </is>
      </c>
      <c r="BM243" s="0" t="inlineStr">
        <is>
          <t>B2</t>
        </is>
      </c>
      <c r="BN243" s="0" t="inlineStr">
        <is>
          <t>ALT</t>
        </is>
      </c>
      <c r="BO243" s="0" t="n">
        <v>39.6</v>
      </c>
      <c r="BP243" s="0" t="n">
        <v>2</v>
      </c>
      <c r="BQ243" s="0" t="n">
        <v>272096.055</v>
      </c>
      <c r="BR243" s="0" t="n">
        <v>27188.655907</v>
      </c>
      <c r="BS243" s="0" t="n">
        <v>47657.770328</v>
      </c>
      <c r="BT243" s="0" t="n">
        <v>14891.871521</v>
      </c>
      <c r="BU243" s="0" t="n">
        <v>92366.628018</v>
      </c>
      <c r="BV243" s="0" t="n">
        <v>8880.114186000001</v>
      </c>
      <c r="BW243" s="0" t="n">
        <v>36200.547753</v>
      </c>
      <c r="BX243" s="0" t="n">
        <v>45080.661939</v>
      </c>
      <c r="BY243" s="0" t="n">
        <v>42080.527428</v>
      </c>
      <c r="BZ243" s="0" t="n">
        <v>185105.060285</v>
      </c>
      <c r="CA243" s="0" t="n">
        <v>227185.587713</v>
      </c>
      <c r="CB243" s="0" t="n">
        <v>44910.467287</v>
      </c>
      <c r="CC243" s="0" t="n">
        <v>0</v>
      </c>
      <c r="CD243" s="0" t="n">
        <v>81566.04928799999</v>
      </c>
      <c r="CE243" s="0" t="n">
        <v>142973.453958</v>
      </c>
      <c r="CF243" s="0" t="n">
        <v>49020.927631</v>
      </c>
      <c r="CG243" s="0" t="n">
        <v>17454.7</v>
      </c>
      <c r="CH243" s="0" t="n">
        <v>277100.161154</v>
      </c>
      <c r="CI243" s="0" t="n">
        <v>2894009.992738</v>
      </c>
      <c r="CJ243" s="0" t="n">
        <v>777795.6</v>
      </c>
    </row>
    <row r="244" ht="14.4975" customHeight="1" s="64">
      <c r="BF244" s="0" t="inlineStr">
        <is>
          <t>2027BUD_V1</t>
        </is>
      </c>
      <c r="BG244" s="0" t="inlineStr">
        <is>
          <t>V02</t>
        </is>
      </c>
      <c r="BH244" s="0" t="inlineStr">
        <is>
          <t>12</t>
        </is>
      </c>
      <c r="BI244" s="0" t="inlineStr">
        <is>
          <t>2027</t>
        </is>
      </c>
      <c r="BJ244" s="0" t="inlineStr">
        <is>
          <t>IPAC_MTP</t>
        </is>
      </c>
      <c r="BK244" s="0" t="inlineStr">
        <is>
          <t>IPAC</t>
        </is>
      </c>
      <c r="BL244" s="0" t="inlineStr">
        <is>
          <t>BAC_CCE</t>
        </is>
      </c>
      <c r="BM244" s="0" t="inlineStr">
        <is>
          <t>B3</t>
        </is>
      </c>
      <c r="BN244" s="0" t="inlineStr">
        <is>
          <t>ALT</t>
        </is>
      </c>
      <c r="BO244" s="0" t="n">
        <v>38.585</v>
      </c>
      <c r="BP244" s="0" t="n">
        <v>2</v>
      </c>
      <c r="BQ244" s="0" t="n">
        <v>265121.875813</v>
      </c>
      <c r="BR244" s="0" t="n">
        <v>27188.655907</v>
      </c>
      <c r="BS244" s="0" t="n">
        <v>47657.770328</v>
      </c>
      <c r="BT244" s="0" t="n">
        <v>14510.145558</v>
      </c>
      <c r="BU244" s="0" t="n">
        <v>92366.628018</v>
      </c>
      <c r="BV244" s="0" t="n">
        <v>8880.114186000001</v>
      </c>
      <c r="BW244" s="0" t="n">
        <v>36200.547753</v>
      </c>
      <c r="BX244" s="0" t="n">
        <v>45080.661939</v>
      </c>
      <c r="BY244" s="0" t="n">
        <v>41698.801465</v>
      </c>
      <c r="BZ244" s="0" t="n">
        <v>185105.060285</v>
      </c>
      <c r="CA244" s="0" t="n">
        <v>226803.86175</v>
      </c>
      <c r="CB244" s="0" t="n">
        <v>38318.014063</v>
      </c>
      <c r="CC244" s="0" t="n">
        <v>0</v>
      </c>
      <c r="CD244" s="0" t="n">
        <v>81566.04928799999</v>
      </c>
      <c r="CE244" s="0" t="n">
        <v>142973.453958</v>
      </c>
      <c r="CF244" s="0" t="n">
        <v>49020.927631</v>
      </c>
      <c r="CG244" s="0" t="n">
        <v>17454.7</v>
      </c>
      <c r="CH244" s="0" t="n">
        <v>277100.161154</v>
      </c>
      <c r="CI244" s="0" t="n">
        <v>2894009.992738</v>
      </c>
      <c r="CJ244" s="0" t="n">
        <v>777795.6</v>
      </c>
    </row>
    <row r="245" ht="14.4975" customHeight="1" s="64">
      <c r="BF245" s="0" t="inlineStr">
        <is>
          <t>2027BUD_V1</t>
        </is>
      </c>
      <c r="BG245" s="0" t="inlineStr">
        <is>
          <t>V02</t>
        </is>
      </c>
      <c r="BH245" s="0" t="inlineStr">
        <is>
          <t>12</t>
        </is>
      </c>
      <c r="BI245" s="0" t="inlineStr">
        <is>
          <t>2027</t>
        </is>
      </c>
      <c r="BJ245" s="0" t="inlineStr">
        <is>
          <t>IPAC_NAN</t>
        </is>
      </c>
      <c r="BK245" s="0" t="inlineStr">
        <is>
          <t>IPAC</t>
        </is>
      </c>
      <c r="BL245" s="0" t="inlineStr">
        <is>
          <t>BAC_CCE</t>
        </is>
      </c>
      <c r="BM245" s="0" t="inlineStr">
        <is>
          <t>B1</t>
        </is>
      </c>
      <c r="BN245" s="0" t="inlineStr">
        <is>
          <t>ALT</t>
        </is>
      </c>
      <c r="BO245" s="0" t="n">
        <v>65.044833</v>
      </c>
      <c r="BP245" s="0" t="n">
        <v>2</v>
      </c>
      <c r="BQ245" s="0" t="n">
        <v>476307.050851</v>
      </c>
      <c r="BR245" s="0" t="n">
        <v>27188.655907</v>
      </c>
      <c r="BS245" s="0" t="n">
        <v>58897.533148</v>
      </c>
      <c r="BT245" s="0" t="n">
        <v>49490.203686</v>
      </c>
      <c r="BU245" s="0" t="n">
        <v>131647.632756</v>
      </c>
      <c r="BV245" s="0" t="n">
        <v>11002.822571</v>
      </c>
      <c r="BW245" s="0" t="n">
        <v>44853.950701</v>
      </c>
      <c r="BX245" s="0" t="n">
        <v>55856.773272</v>
      </c>
      <c r="BY245" s="0" t="n">
        <v>76678.859593</v>
      </c>
      <c r="BZ245" s="0" t="n">
        <v>246401.939176</v>
      </c>
      <c r="CA245" s="0" t="n">
        <v>323080.798769</v>
      </c>
      <c r="CB245" s="0" t="n">
        <v>153226.252082</v>
      </c>
      <c r="CC245" s="0" t="n">
        <v>65.044833</v>
      </c>
      <c r="CD245" s="0" t="n">
        <v>81566.04928799999</v>
      </c>
      <c r="CE245" s="0" t="n">
        <v>176692.776138</v>
      </c>
      <c r="CF245" s="0" t="n">
        <v>60752.845513</v>
      </c>
      <c r="CG245" s="0" t="n">
        <v>25024</v>
      </c>
      <c r="CH245" s="0" t="n">
        <v>394943.29321</v>
      </c>
      <c r="CI245" s="0" t="n">
        <v>2894009.992738</v>
      </c>
      <c r="CJ245" s="0" t="n">
        <v>777795.6</v>
      </c>
    </row>
    <row r="246" ht="14.4975" customHeight="1" s="64">
      <c r="BF246" s="0" t="inlineStr">
        <is>
          <t>2027BUD_V1</t>
        </is>
      </c>
      <c r="BG246" s="0" t="inlineStr">
        <is>
          <t>V02</t>
        </is>
      </c>
      <c r="BH246" s="0" t="inlineStr">
        <is>
          <t>12</t>
        </is>
      </c>
      <c r="BI246" s="0" t="inlineStr">
        <is>
          <t>2027</t>
        </is>
      </c>
      <c r="BJ246" s="0" t="inlineStr">
        <is>
          <t>IPAC_NAN</t>
        </is>
      </c>
      <c r="BK246" s="0" t="inlineStr">
        <is>
          <t>IPAC</t>
        </is>
      </c>
      <c r="BL246" s="0" t="inlineStr">
        <is>
          <t>BAC_CCE</t>
        </is>
      </c>
      <c r="BM246" s="0" t="inlineStr">
        <is>
          <t>B2</t>
        </is>
      </c>
      <c r="BN246" s="0" t="inlineStr">
        <is>
          <t>ALT</t>
        </is>
      </c>
      <c r="BO246" s="0" t="n">
        <v>48.75</v>
      </c>
      <c r="BP246" s="0" t="n">
        <v>2</v>
      </c>
      <c r="BQ246" s="0" t="n">
        <v>352596.5625</v>
      </c>
      <c r="BR246" s="0" t="n">
        <v>27188.655907</v>
      </c>
      <c r="BS246" s="0" t="n">
        <v>58897.533148</v>
      </c>
      <c r="BT246" s="0" t="n">
        <v>18336.970608</v>
      </c>
      <c r="BU246" s="0" t="n">
        <v>131647.632756</v>
      </c>
      <c r="BV246" s="0" t="n">
        <v>11002.822571</v>
      </c>
      <c r="BW246" s="0" t="n">
        <v>44853.950701</v>
      </c>
      <c r="BX246" s="0" t="n">
        <v>55856.773272</v>
      </c>
      <c r="BY246" s="0" t="n">
        <v>45525.626515</v>
      </c>
      <c r="BZ246" s="0" t="n">
        <v>246401.939176</v>
      </c>
      <c r="CA246" s="0" t="n">
        <v>291927.565691</v>
      </c>
      <c r="CB246" s="0" t="n">
        <v>60668.996809</v>
      </c>
      <c r="CC246" s="0" t="n">
        <v>0</v>
      </c>
      <c r="CD246" s="0" t="n">
        <v>81566.04928799999</v>
      </c>
      <c r="CE246" s="0" t="n">
        <v>176692.776138</v>
      </c>
      <c r="CF246" s="0" t="n">
        <v>60752.845513</v>
      </c>
      <c r="CG246" s="0" t="n">
        <v>25024</v>
      </c>
      <c r="CH246" s="0" t="n">
        <v>394943.29321</v>
      </c>
      <c r="CI246" s="0" t="n">
        <v>2894009.992738</v>
      </c>
      <c r="CJ246" s="0" t="n">
        <v>777795.6</v>
      </c>
    </row>
    <row r="247" ht="14.4975" customHeight="1" s="64">
      <c r="BF247" s="0" t="inlineStr">
        <is>
          <t>2027BUD_V1</t>
        </is>
      </c>
      <c r="BG247" s="0" t="inlineStr">
        <is>
          <t>V02</t>
        </is>
      </c>
      <c r="BH247" s="0" t="inlineStr">
        <is>
          <t>12</t>
        </is>
      </c>
      <c r="BI247" s="0" t="inlineStr">
        <is>
          <t>2027</t>
        </is>
      </c>
      <c r="BJ247" s="0" t="inlineStr">
        <is>
          <t>IPAC_NAN</t>
        </is>
      </c>
      <c r="BK247" s="0" t="inlineStr">
        <is>
          <t>IPAC</t>
        </is>
      </c>
      <c r="BL247" s="0" t="inlineStr">
        <is>
          <t>BAC_CCE</t>
        </is>
      </c>
      <c r="BM247" s="0" t="inlineStr">
        <is>
          <t>B3</t>
        </is>
      </c>
      <c r="BN247" s="0" t="inlineStr">
        <is>
          <t>ALT</t>
        </is>
      </c>
      <c r="BO247" s="0" t="n">
        <v>47.72</v>
      </c>
      <c r="BP247" s="0" t="n">
        <v>2</v>
      </c>
      <c r="BQ247" s="0" t="n">
        <v>345146.83</v>
      </c>
      <c r="BR247" s="0" t="n">
        <v>27188.655907</v>
      </c>
      <c r="BS247" s="0" t="n">
        <v>58897.533148</v>
      </c>
      <c r="BT247" s="0" t="n">
        <v>17949.549713</v>
      </c>
      <c r="BU247" s="0" t="n">
        <v>131647.632756</v>
      </c>
      <c r="BV247" s="0" t="n">
        <v>11002.822571</v>
      </c>
      <c r="BW247" s="0" t="n">
        <v>44853.950701</v>
      </c>
      <c r="BX247" s="0" t="n">
        <v>55856.773272</v>
      </c>
      <c r="BY247" s="0" t="n">
        <v>45138.20562</v>
      </c>
      <c r="BZ247" s="0" t="n">
        <v>246401.939176</v>
      </c>
      <c r="CA247" s="0" t="n">
        <v>291540.144796</v>
      </c>
      <c r="CB247" s="0" t="n">
        <v>53606.685204</v>
      </c>
      <c r="CC247" s="0" t="n">
        <v>0</v>
      </c>
      <c r="CD247" s="0" t="n">
        <v>81566.04928799999</v>
      </c>
      <c r="CE247" s="0" t="n">
        <v>176692.776138</v>
      </c>
      <c r="CF247" s="0" t="n">
        <v>60752.845513</v>
      </c>
      <c r="CG247" s="0" t="n">
        <v>25024</v>
      </c>
      <c r="CH247" s="0" t="n">
        <v>394943.29321</v>
      </c>
      <c r="CI247" s="0" t="n">
        <v>2894009.992738</v>
      </c>
      <c r="CJ247" s="0" t="n">
        <v>777795.6</v>
      </c>
    </row>
    <row r="248" ht="14.4975" customHeight="1" s="64">
      <c r="BF248" s="0" t="inlineStr">
        <is>
          <t>2027BUD_V1</t>
        </is>
      </c>
      <c r="BG248" s="0" t="inlineStr">
        <is>
          <t>V02</t>
        </is>
      </c>
      <c r="BH248" s="0" t="inlineStr">
        <is>
          <t>12</t>
        </is>
      </c>
      <c r="BI248" s="0" t="inlineStr">
        <is>
          <t>2027</t>
        </is>
      </c>
      <c r="BJ248" s="0" t="inlineStr">
        <is>
          <t>IPAC_REN</t>
        </is>
      </c>
      <c r="BK248" s="0" t="inlineStr">
        <is>
          <t>IPAC</t>
        </is>
      </c>
      <c r="BL248" s="0" t="inlineStr">
        <is>
          <t>BAC_CCE</t>
        </is>
      </c>
      <c r="BM248" s="0" t="inlineStr">
        <is>
          <t>B1</t>
        </is>
      </c>
      <c r="BN248" s="0" t="inlineStr">
        <is>
          <t>ALT</t>
        </is>
      </c>
      <c r="BO248" s="0" t="n">
        <v>52.13929</v>
      </c>
      <c r="BP248" s="0" t="n">
        <v>2</v>
      </c>
      <c r="BQ248" s="0" t="n">
        <v>362947.46336</v>
      </c>
      <c r="BR248" s="0" t="n">
        <v>27188.655907</v>
      </c>
      <c r="BS248" s="0" t="n">
        <v>47686.20654</v>
      </c>
      <c r="BT248" s="0" t="n">
        <v>36784.89958</v>
      </c>
      <c r="BU248" s="0" t="n">
        <v>92421.741698</v>
      </c>
      <c r="BV248" s="0" t="n">
        <v>8878.043390999999</v>
      </c>
      <c r="BW248" s="0" t="n">
        <v>36192.105981</v>
      </c>
      <c r="BX248" s="0" t="n">
        <v>45070.149372</v>
      </c>
      <c r="BY248" s="0" t="n">
        <v>63973.555487</v>
      </c>
      <c r="BZ248" s="0" t="n">
        <v>185178.09761</v>
      </c>
      <c r="CA248" s="0" t="n">
        <v>249151.653097</v>
      </c>
      <c r="CB248" s="0" t="n">
        <v>113795.810263</v>
      </c>
      <c r="CC248" s="0" t="n">
        <v>52.13929</v>
      </c>
      <c r="CD248" s="0" t="n">
        <v>81566.04928799999</v>
      </c>
      <c r="CE248" s="0" t="n">
        <v>143058.762678</v>
      </c>
      <c r="CF248" s="0" t="n">
        <v>49020.927631</v>
      </c>
      <c r="CG248" s="0" t="n">
        <v>17172.95</v>
      </c>
      <c r="CH248" s="0" t="n">
        <v>277265.50236</v>
      </c>
      <c r="CI248" s="0" t="n">
        <v>2894009.992738</v>
      </c>
      <c r="CJ248" s="0" t="n">
        <v>777795.6</v>
      </c>
    </row>
    <row r="249" ht="14.4975" customHeight="1" s="64">
      <c r="BF249" s="0" t="inlineStr">
        <is>
          <t>2027BUD_V1</t>
        </is>
      </c>
      <c r="BG249" s="0" t="inlineStr">
        <is>
          <t>V02</t>
        </is>
      </c>
      <c r="BH249" s="0" t="inlineStr">
        <is>
          <t>12</t>
        </is>
      </c>
      <c r="BI249" s="0" t="inlineStr">
        <is>
          <t>2027</t>
        </is>
      </c>
      <c r="BJ249" s="0" t="inlineStr">
        <is>
          <t>IPAC_REN</t>
        </is>
      </c>
      <c r="BK249" s="0" t="inlineStr">
        <is>
          <t>IPAC</t>
        </is>
      </c>
      <c r="BL249" s="0" t="inlineStr">
        <is>
          <t>BAC_CCE</t>
        </is>
      </c>
      <c r="BM249" s="0" t="inlineStr">
        <is>
          <t>B2</t>
        </is>
      </c>
      <c r="BN249" s="0" t="inlineStr">
        <is>
          <t>ALT</t>
        </is>
      </c>
      <c r="BO249" s="0" t="n">
        <v>39.6</v>
      </c>
      <c r="BP249" s="0" t="n">
        <v>2</v>
      </c>
      <c r="BQ249" s="0" t="n">
        <v>272096.055</v>
      </c>
      <c r="BR249" s="0" t="n">
        <v>27188.655907</v>
      </c>
      <c r="BS249" s="0" t="n">
        <v>47686.20654</v>
      </c>
      <c r="BT249" s="0" t="n">
        <v>14895.352007</v>
      </c>
      <c r="BU249" s="0" t="n">
        <v>92421.741698</v>
      </c>
      <c r="BV249" s="0" t="n">
        <v>8878.043390999999</v>
      </c>
      <c r="BW249" s="0" t="n">
        <v>36192.105981</v>
      </c>
      <c r="BX249" s="0" t="n">
        <v>45070.149372</v>
      </c>
      <c r="BY249" s="0" t="n">
        <v>42084.007914</v>
      </c>
      <c r="BZ249" s="0" t="n">
        <v>185178.09761</v>
      </c>
      <c r="CA249" s="0" t="n">
        <v>227262.105524</v>
      </c>
      <c r="CB249" s="0" t="n">
        <v>44833.949476</v>
      </c>
      <c r="CC249" s="0" t="n">
        <v>0</v>
      </c>
      <c r="CD249" s="0" t="n">
        <v>81566.04928799999</v>
      </c>
      <c r="CE249" s="0" t="n">
        <v>143058.762678</v>
      </c>
      <c r="CF249" s="0" t="n">
        <v>49020.927631</v>
      </c>
      <c r="CG249" s="0" t="n">
        <v>17172.95</v>
      </c>
      <c r="CH249" s="0" t="n">
        <v>277265.50236</v>
      </c>
      <c r="CI249" s="0" t="n">
        <v>2894009.992738</v>
      </c>
      <c r="CJ249" s="0" t="n">
        <v>777795.6</v>
      </c>
    </row>
    <row r="250" ht="14.4975" customHeight="1" s="64">
      <c r="BF250" s="0" t="inlineStr">
        <is>
          <t>2027BUD_V1</t>
        </is>
      </c>
      <c r="BG250" s="0" t="inlineStr">
        <is>
          <t>V02</t>
        </is>
      </c>
      <c r="BH250" s="0" t="inlineStr">
        <is>
          <t>12</t>
        </is>
      </c>
      <c r="BI250" s="0" t="inlineStr">
        <is>
          <t>2027</t>
        </is>
      </c>
      <c r="BJ250" s="0" t="inlineStr">
        <is>
          <t>IPAC_REN</t>
        </is>
      </c>
      <c r="BK250" s="0" t="inlineStr">
        <is>
          <t>IPAC</t>
        </is>
      </c>
      <c r="BL250" s="0" t="inlineStr">
        <is>
          <t>BAC_CCE</t>
        </is>
      </c>
      <c r="BM250" s="0" t="inlineStr">
        <is>
          <t>B3</t>
        </is>
      </c>
      <c r="BN250" s="0" t="inlineStr">
        <is>
          <t>ALT</t>
        </is>
      </c>
      <c r="BO250" s="0" t="n">
        <v>38.585</v>
      </c>
      <c r="BP250" s="0" t="n">
        <v>2</v>
      </c>
      <c r="BQ250" s="0" t="n">
        <v>265121.875813</v>
      </c>
      <c r="BR250" s="0" t="n">
        <v>27188.655907</v>
      </c>
      <c r="BS250" s="0" t="n">
        <v>47686.20654</v>
      </c>
      <c r="BT250" s="0" t="n">
        <v>14513.577023</v>
      </c>
      <c r="BU250" s="0" t="n">
        <v>92421.741698</v>
      </c>
      <c r="BV250" s="0" t="n">
        <v>8878.043390999999</v>
      </c>
      <c r="BW250" s="0" t="n">
        <v>36192.105981</v>
      </c>
      <c r="BX250" s="0" t="n">
        <v>45070.149372</v>
      </c>
      <c r="BY250" s="0" t="n">
        <v>41702.23293</v>
      </c>
      <c r="BZ250" s="0" t="n">
        <v>185178.09761</v>
      </c>
      <c r="CA250" s="0" t="n">
        <v>226880.33054</v>
      </c>
      <c r="CB250" s="0" t="n">
        <v>38241.545273</v>
      </c>
      <c r="CC250" s="0" t="n">
        <v>0</v>
      </c>
      <c r="CD250" s="0" t="n">
        <v>81566.04928799999</v>
      </c>
      <c r="CE250" s="0" t="n">
        <v>143058.762678</v>
      </c>
      <c r="CF250" s="0" t="n">
        <v>49020.927631</v>
      </c>
      <c r="CG250" s="0" t="n">
        <v>17172.95</v>
      </c>
      <c r="CH250" s="0" t="n">
        <v>277265.50236</v>
      </c>
      <c r="CI250" s="0" t="n">
        <v>2894009.992738</v>
      </c>
      <c r="CJ250" s="0" t="n">
        <v>777795.6</v>
      </c>
    </row>
    <row r="251" ht="14.4975" customHeight="1" s="64">
      <c r="BF251" s="0" t="inlineStr">
        <is>
          <t>2027BUD_V1</t>
        </is>
      </c>
      <c r="BG251" s="0" t="inlineStr">
        <is>
          <t>V02</t>
        </is>
      </c>
      <c r="BH251" s="0" t="inlineStr">
        <is>
          <t>12</t>
        </is>
      </c>
      <c r="BI251" s="0" t="inlineStr">
        <is>
          <t>2027</t>
        </is>
      </c>
      <c r="BJ251" s="0" t="inlineStr">
        <is>
          <t>ISCOM_LIL</t>
        </is>
      </c>
      <c r="BK251" s="0" t="inlineStr">
        <is>
          <t>ISCOM</t>
        </is>
      </c>
      <c r="BL251" s="0" t="inlineStr">
        <is>
          <t>BAC_COM</t>
        </is>
      </c>
      <c r="BM251" s="0" t="inlineStr">
        <is>
          <t>B1</t>
        </is>
      </c>
      <c r="BN251" s="0" t="inlineStr">
        <is>
          <t>INIT</t>
        </is>
      </c>
      <c r="BO251" s="0" t="n">
        <v>61.251994</v>
      </c>
      <c r="BP251" s="0" t="n">
        <v>2</v>
      </c>
      <c r="BQ251" s="0" t="n">
        <v>473835.472135</v>
      </c>
      <c r="BR251" s="0" t="n">
        <v>33985.572367</v>
      </c>
      <c r="BS251" s="0" t="n">
        <v>74768.35750100001</v>
      </c>
      <c r="BT251" s="0" t="n">
        <v>37107.964109</v>
      </c>
      <c r="BU251" s="0" t="n">
        <v>134586.580373</v>
      </c>
      <c r="BV251" s="0" t="n">
        <v>12501.674109</v>
      </c>
      <c r="BW251" s="0" t="n">
        <v>45353.695928</v>
      </c>
      <c r="BX251" s="0" t="n">
        <v>57855.370037</v>
      </c>
      <c r="BY251" s="0" t="n">
        <v>71093.53647599999</v>
      </c>
      <c r="BZ251" s="0" t="n">
        <v>267210.307911</v>
      </c>
      <c r="CA251" s="0" t="n">
        <v>338303.844387</v>
      </c>
      <c r="CB251" s="0" t="n">
        <v>135531.627748</v>
      </c>
      <c r="CC251" s="0" t="n">
        <v>61.251994</v>
      </c>
      <c r="CD251" s="0" t="n">
        <v>135942.289468</v>
      </c>
      <c r="CE251" s="0" t="n">
        <v>299073.430002</v>
      </c>
      <c r="CF251" s="0" t="n">
        <v>102231.745505</v>
      </c>
      <c r="CG251" s="0" t="n">
        <v>29003</v>
      </c>
      <c r="CH251" s="0" t="n">
        <v>672932.901864</v>
      </c>
      <c r="CI251" s="0" t="n">
        <v>2894009.992738</v>
      </c>
      <c r="CJ251" s="0" t="n">
        <v>777795.6</v>
      </c>
    </row>
    <row r="252" ht="14.4975" customHeight="1" s="64">
      <c r="BF252" s="0" t="inlineStr">
        <is>
          <t>2027BUD_V1</t>
        </is>
      </c>
      <c r="BG252" s="0" t="inlineStr">
        <is>
          <t>V02</t>
        </is>
      </c>
      <c r="BH252" s="0" t="inlineStr">
        <is>
          <t>12</t>
        </is>
      </c>
      <c r="BI252" s="0" t="inlineStr">
        <is>
          <t>2027</t>
        </is>
      </c>
      <c r="BJ252" s="0" t="inlineStr">
        <is>
          <t>ISCOM_LIL</t>
        </is>
      </c>
      <c r="BK252" s="0" t="inlineStr">
        <is>
          <t>ISCOM</t>
        </is>
      </c>
      <c r="BL252" s="0" t="inlineStr">
        <is>
          <t>BAC_COM</t>
        </is>
      </c>
      <c r="BM252" s="0" t="inlineStr">
        <is>
          <t>B2</t>
        </is>
      </c>
      <c r="BN252" s="0" t="inlineStr">
        <is>
          <t>ALT</t>
        </is>
      </c>
      <c r="BO252" s="0" t="n">
        <v>48.75</v>
      </c>
      <c r="BP252" s="0" t="n">
        <v>2</v>
      </c>
      <c r="BQ252" s="0" t="n">
        <v>347885.60625</v>
      </c>
      <c r="BR252" s="0" t="n">
        <v>27188.457894</v>
      </c>
      <c r="BS252" s="0" t="n">
        <v>59814.686</v>
      </c>
      <c r="BT252" s="0" t="n">
        <v>18309.910083</v>
      </c>
      <c r="BU252" s="0" t="n">
        <v>134586.580373</v>
      </c>
      <c r="BV252" s="0" t="n">
        <v>12501.674109</v>
      </c>
      <c r="BW252" s="0" t="n">
        <v>45353.695928</v>
      </c>
      <c r="BX252" s="0" t="n">
        <v>57855.370037</v>
      </c>
      <c r="BY252" s="0" t="n">
        <v>45498.367977</v>
      </c>
      <c r="BZ252" s="0" t="n">
        <v>252256.63641</v>
      </c>
      <c r="CA252" s="0" t="n">
        <v>297755.004387</v>
      </c>
      <c r="CB252" s="0" t="n">
        <v>50130.601863</v>
      </c>
      <c r="CC252" s="0" t="n">
        <v>0</v>
      </c>
      <c r="CD252" s="0" t="n">
        <v>135942.289468</v>
      </c>
      <c r="CE252" s="0" t="n">
        <v>299073.430002</v>
      </c>
      <c r="CF252" s="0" t="n">
        <v>102231.745505</v>
      </c>
      <c r="CG252" s="0" t="n">
        <v>29003</v>
      </c>
      <c r="CH252" s="0" t="n">
        <v>672932.901864</v>
      </c>
      <c r="CI252" s="0" t="n">
        <v>2894009.992738</v>
      </c>
      <c r="CJ252" s="0" t="n">
        <v>777795.6</v>
      </c>
    </row>
    <row r="253" ht="14.4975" customHeight="1" s="64">
      <c r="BF253" s="0" t="inlineStr">
        <is>
          <t>2027BUD_V1</t>
        </is>
      </c>
      <c r="BG253" s="0" t="inlineStr">
        <is>
          <t>V02</t>
        </is>
      </c>
      <c r="BH253" s="0" t="inlineStr">
        <is>
          <t>12</t>
        </is>
      </c>
      <c r="BI253" s="0" t="inlineStr">
        <is>
          <t>2027</t>
        </is>
      </c>
      <c r="BJ253" s="0" t="inlineStr">
        <is>
          <t>ISCOM_LIL</t>
        </is>
      </c>
      <c r="BK253" s="0" t="inlineStr">
        <is>
          <t>ISCOM</t>
        </is>
      </c>
      <c r="BL253" s="0" t="inlineStr">
        <is>
          <t>BAC_COM</t>
        </is>
      </c>
      <c r="BM253" s="0" t="inlineStr">
        <is>
          <t>B3</t>
        </is>
      </c>
      <c r="BN253" s="0" t="inlineStr">
        <is>
          <t>ALT</t>
        </is>
      </c>
      <c r="BO253" s="0" t="n">
        <v>47.72</v>
      </c>
      <c r="BP253" s="0" t="n">
        <v>2</v>
      </c>
      <c r="BQ253" s="0" t="n">
        <v>340535.4078</v>
      </c>
      <c r="BR253" s="0" t="n">
        <v>27188.457894</v>
      </c>
      <c r="BS253" s="0" t="n">
        <v>59814.686</v>
      </c>
      <c r="BT253" s="0" t="n">
        <v>17923.065158</v>
      </c>
      <c r="BU253" s="0" t="n">
        <v>134586.580373</v>
      </c>
      <c r="BV253" s="0" t="n">
        <v>12501.674109</v>
      </c>
      <c r="BW253" s="0" t="n">
        <v>45353.695928</v>
      </c>
      <c r="BX253" s="0" t="n">
        <v>57855.370037</v>
      </c>
      <c r="BY253" s="0" t="n">
        <v>45111.523052</v>
      </c>
      <c r="BZ253" s="0" t="n">
        <v>252256.63641</v>
      </c>
      <c r="CA253" s="0" t="n">
        <v>297368.159462</v>
      </c>
      <c r="CB253" s="0" t="n">
        <v>43167.248338</v>
      </c>
      <c r="CC253" s="0" t="n">
        <v>0</v>
      </c>
      <c r="CD253" s="0" t="n">
        <v>135942.289468</v>
      </c>
      <c r="CE253" s="0" t="n">
        <v>299073.430002</v>
      </c>
      <c r="CF253" s="0" t="n">
        <v>102231.745505</v>
      </c>
      <c r="CG253" s="0" t="n">
        <v>29003</v>
      </c>
      <c r="CH253" s="0" t="n">
        <v>672932.901864</v>
      </c>
      <c r="CI253" s="0" t="n">
        <v>2894009.992738</v>
      </c>
      <c r="CJ253" s="0" t="n">
        <v>777795.6</v>
      </c>
    </row>
    <row r="254" ht="14.4975" customHeight="1" s="64">
      <c r="BF254" s="0" t="inlineStr">
        <is>
          <t>2027BUD_V1</t>
        </is>
      </c>
      <c r="BG254" s="0" t="inlineStr">
        <is>
          <t>V02</t>
        </is>
      </c>
      <c r="BH254" s="0" t="inlineStr">
        <is>
          <t>12</t>
        </is>
      </c>
      <c r="BI254" s="0" t="inlineStr">
        <is>
          <t>2027</t>
        </is>
      </c>
      <c r="BJ254" s="0" t="inlineStr">
        <is>
          <t>ISCOM_LIL</t>
        </is>
      </c>
      <c r="BK254" s="0" t="inlineStr">
        <is>
          <t>ISCOM</t>
        </is>
      </c>
      <c r="BL254" s="0" t="inlineStr">
        <is>
          <t>MAS_COM</t>
        </is>
      </c>
      <c r="BM254" s="0" t="inlineStr">
        <is>
          <t>M1</t>
        </is>
      </c>
      <c r="BN254" s="0" t="inlineStr">
        <is>
          <t>ALT</t>
        </is>
      </c>
      <c r="BO254" s="0" t="n">
        <v>64.718264</v>
      </c>
      <c r="BP254" s="0" t="n">
        <v>2</v>
      </c>
      <c r="BQ254" s="0" t="n">
        <v>500649.973586</v>
      </c>
      <c r="BR254" s="0" t="n">
        <v>23789.900657</v>
      </c>
      <c r="BS254" s="0" t="n">
        <v>52337.85025</v>
      </c>
      <c r="BT254" s="0" t="n">
        <v>39207.960939</v>
      </c>
      <c r="BU254" s="0" t="n">
        <v>134586.580373</v>
      </c>
      <c r="BV254" s="0" t="n">
        <v>12501.674109</v>
      </c>
      <c r="BW254" s="0" t="n">
        <v>45353.695928</v>
      </c>
      <c r="BX254" s="0" t="n">
        <v>57855.370037</v>
      </c>
      <c r="BY254" s="0" t="n">
        <v>62997.861596</v>
      </c>
      <c r="BZ254" s="0" t="n">
        <v>244779.80066</v>
      </c>
      <c r="CA254" s="0" t="n">
        <v>307777.662256</v>
      </c>
      <c r="CB254" s="0" t="n">
        <v>192872.31133</v>
      </c>
      <c r="CC254" s="0" t="n">
        <v>64.718264</v>
      </c>
      <c r="CD254" s="0" t="n">
        <v>135942.289468</v>
      </c>
      <c r="CE254" s="0" t="n">
        <v>299073.430002</v>
      </c>
      <c r="CF254" s="0" t="n">
        <v>102231.745505</v>
      </c>
      <c r="CG254" s="0" t="n">
        <v>29003</v>
      </c>
      <c r="CH254" s="0" t="n">
        <v>672932.901864</v>
      </c>
      <c r="CI254" s="0" t="n">
        <v>2894009.992738</v>
      </c>
      <c r="CJ254" s="0" t="n">
        <v>777795.6</v>
      </c>
    </row>
    <row r="255" ht="14.4975" customHeight="1" s="64">
      <c r="BF255" s="0" t="inlineStr">
        <is>
          <t>2027BUD_V1</t>
        </is>
      </c>
      <c r="BG255" s="0" t="inlineStr">
        <is>
          <t>V02</t>
        </is>
      </c>
      <c r="BH255" s="0" t="inlineStr">
        <is>
          <t>12</t>
        </is>
      </c>
      <c r="BI255" s="0" t="inlineStr">
        <is>
          <t>2027</t>
        </is>
      </c>
      <c r="BJ255" s="0" t="inlineStr">
        <is>
          <t>ISCOM_LIL</t>
        </is>
      </c>
      <c r="BK255" s="0" t="inlineStr">
        <is>
          <t>ISCOM</t>
        </is>
      </c>
      <c r="BL255" s="0" t="inlineStr">
        <is>
          <t>MAS_COM</t>
        </is>
      </c>
      <c r="BM255" s="0" t="inlineStr">
        <is>
          <t>M2</t>
        </is>
      </c>
      <c r="BN255" s="0" t="inlineStr">
        <is>
          <t>ALT</t>
        </is>
      </c>
      <c r="BO255" s="0" t="n">
        <v>49.75</v>
      </c>
      <c r="BP255" s="0" t="n">
        <v>2</v>
      </c>
      <c r="BQ255" s="0" t="n">
        <v>380380.415625</v>
      </c>
      <c r="BR255" s="0" t="n">
        <v>23789.900657</v>
      </c>
      <c r="BS255" s="0" t="n">
        <v>52337.85025</v>
      </c>
      <c r="BT255" s="0" t="n">
        <v>18685.509516</v>
      </c>
      <c r="BU255" s="0" t="n">
        <v>134586.580373</v>
      </c>
      <c r="BV255" s="0" t="n">
        <v>12501.674109</v>
      </c>
      <c r="BW255" s="0" t="n">
        <v>45353.695928</v>
      </c>
      <c r="BX255" s="0" t="n">
        <v>57855.370037</v>
      </c>
      <c r="BY255" s="0" t="n">
        <v>42475.410173</v>
      </c>
      <c r="BZ255" s="0" t="n">
        <v>244779.80066</v>
      </c>
      <c r="CA255" s="0" t="n">
        <v>287255.210833</v>
      </c>
      <c r="CB255" s="0" t="n">
        <v>93125.204792</v>
      </c>
      <c r="CC255" s="0" t="n">
        <v>0</v>
      </c>
      <c r="CD255" s="0" t="n">
        <v>135942.289468</v>
      </c>
      <c r="CE255" s="0" t="n">
        <v>299073.430002</v>
      </c>
      <c r="CF255" s="0" t="n">
        <v>102231.745505</v>
      </c>
      <c r="CG255" s="0" t="n">
        <v>29003</v>
      </c>
      <c r="CH255" s="0" t="n">
        <v>672932.901864</v>
      </c>
      <c r="CI255" s="0" t="n">
        <v>2894009.992738</v>
      </c>
      <c r="CJ255" s="0" t="n">
        <v>777795.6</v>
      </c>
    </row>
    <row r="256" ht="14.4975" customHeight="1" s="64">
      <c r="BF256" s="0" t="inlineStr">
        <is>
          <t>2027BUD_V1</t>
        </is>
      </c>
      <c r="BG256" s="0" t="inlineStr">
        <is>
          <t>V02</t>
        </is>
      </c>
      <c r="BH256" s="0" t="inlineStr">
        <is>
          <t>12</t>
        </is>
      </c>
      <c r="BI256" s="0" t="inlineStr">
        <is>
          <t>2027</t>
        </is>
      </c>
      <c r="BJ256" s="0" t="inlineStr">
        <is>
          <t>ISCOM_PAR</t>
        </is>
      </c>
      <c r="BK256" s="0" t="inlineStr">
        <is>
          <t>ISCOM</t>
        </is>
      </c>
      <c r="BL256" s="0" t="inlineStr">
        <is>
          <t>BAC_COM</t>
        </is>
      </c>
      <c r="BM256" s="0" t="inlineStr">
        <is>
          <t>B1</t>
        </is>
      </c>
      <c r="BN256" s="0" t="inlineStr">
        <is>
          <t>INIT</t>
        </is>
      </c>
      <c r="BO256" s="0" t="n">
        <v>87.74123400000001</v>
      </c>
      <c r="BP256" s="0" t="n">
        <v>3</v>
      </c>
      <c r="BQ256" s="0" t="n">
        <v>774588.387875</v>
      </c>
      <c r="BR256" s="0" t="n">
        <v>50978.499302</v>
      </c>
      <c r="BS256" s="0" t="n">
        <v>128186.458572</v>
      </c>
      <c r="BT256" s="0" t="n">
        <v>67060.17595600001</v>
      </c>
      <c r="BU256" s="0" t="n">
        <v>225519.104474</v>
      </c>
      <c r="BV256" s="0" t="n">
        <v>18080.089919</v>
      </c>
      <c r="BW256" s="0" t="n">
        <v>65591.127505</v>
      </c>
      <c r="BX256" s="0" t="n">
        <v>83671.217424</v>
      </c>
      <c r="BY256" s="0" t="n">
        <v>118038.675258</v>
      </c>
      <c r="BZ256" s="0" t="n">
        <v>437376.78047</v>
      </c>
      <c r="CA256" s="0" t="n">
        <v>555415.455728</v>
      </c>
      <c r="CB256" s="0" t="n">
        <v>219172.932147</v>
      </c>
      <c r="CC256" s="0" t="n">
        <v>87.74123400000001</v>
      </c>
      <c r="CD256" s="0" t="n">
        <v>203913.997208</v>
      </c>
      <c r="CE256" s="0" t="n">
        <v>512745.834288</v>
      </c>
      <c r="CF256" s="0" t="n">
        <v>148320.538174</v>
      </c>
      <c r="CG256" s="0" t="n">
        <v>69920</v>
      </c>
      <c r="CH256" s="0" t="n">
        <v>1127595.522368</v>
      </c>
      <c r="CI256" s="0" t="n">
        <v>2894009.992738</v>
      </c>
      <c r="CJ256" s="0" t="n">
        <v>777795.6</v>
      </c>
    </row>
    <row r="257" ht="14.4975" customHeight="1" s="64">
      <c r="BF257" s="0" t="inlineStr">
        <is>
          <t>2027BUD_V1</t>
        </is>
      </c>
      <c r="BG257" s="0" t="inlineStr">
        <is>
          <t>V02</t>
        </is>
      </c>
      <c r="BH257" s="0" t="inlineStr">
        <is>
          <t>12</t>
        </is>
      </c>
      <c r="BI257" s="0" t="inlineStr">
        <is>
          <t>2027</t>
        </is>
      </c>
      <c r="BJ257" s="0" t="inlineStr">
        <is>
          <t>ISCOM_PAR</t>
        </is>
      </c>
      <c r="BK257" s="0" t="inlineStr">
        <is>
          <t>ISCOM</t>
        </is>
      </c>
      <c r="BL257" s="0" t="inlineStr">
        <is>
          <t>BAC_COM</t>
        </is>
      </c>
      <c r="BM257" s="0" t="inlineStr">
        <is>
          <t>B2</t>
        </is>
      </c>
      <c r="BN257" s="0" t="inlineStr">
        <is>
          <t>ALT</t>
        </is>
      </c>
      <c r="BO257" s="0" t="n">
        <v>71.08</v>
      </c>
      <c r="BP257" s="0" t="n">
        <v>3</v>
      </c>
      <c r="BQ257" s="0" t="n">
        <v>579697.2047999999</v>
      </c>
      <c r="BR257" s="0" t="n">
        <v>40782.799442</v>
      </c>
      <c r="BS257" s="0" t="n">
        <v>102549.166858</v>
      </c>
      <c r="BT257" s="0" t="n">
        <v>26781.942937</v>
      </c>
      <c r="BU257" s="0" t="n">
        <v>225519.104474</v>
      </c>
      <c r="BV257" s="0" t="n">
        <v>18080.089919</v>
      </c>
      <c r="BW257" s="0" t="n">
        <v>65591.127505</v>
      </c>
      <c r="BX257" s="0" t="n">
        <v>83671.217424</v>
      </c>
      <c r="BY257" s="0" t="n">
        <v>67564.742379</v>
      </c>
      <c r="BZ257" s="0" t="n">
        <v>411739.488756</v>
      </c>
      <c r="CA257" s="0" t="n">
        <v>479304.231135</v>
      </c>
      <c r="CB257" s="0" t="n">
        <v>100392.973665</v>
      </c>
      <c r="CC257" s="0" t="n">
        <v>0</v>
      </c>
      <c r="CD257" s="0" t="n">
        <v>203913.997208</v>
      </c>
      <c r="CE257" s="0" t="n">
        <v>512745.834288</v>
      </c>
      <c r="CF257" s="0" t="n">
        <v>148320.538174</v>
      </c>
      <c r="CG257" s="0" t="n">
        <v>69920</v>
      </c>
      <c r="CH257" s="0" t="n">
        <v>1127595.522368</v>
      </c>
      <c r="CI257" s="0" t="n">
        <v>2894009.992738</v>
      </c>
      <c r="CJ257" s="0" t="n">
        <v>777795.6</v>
      </c>
    </row>
    <row r="258" ht="14.4975" customHeight="1" s="64">
      <c r="BF258" s="0" t="inlineStr">
        <is>
          <t>2027BUD_V1</t>
        </is>
      </c>
      <c r="BG258" s="0" t="inlineStr">
        <is>
          <t>V02</t>
        </is>
      </c>
      <c r="BH258" s="0" t="inlineStr">
        <is>
          <t>12</t>
        </is>
      </c>
      <c r="BI258" s="0" t="inlineStr">
        <is>
          <t>2027</t>
        </is>
      </c>
      <c r="BJ258" s="0" t="inlineStr">
        <is>
          <t>ISCOM_PAR</t>
        </is>
      </c>
      <c r="BK258" s="0" t="inlineStr">
        <is>
          <t>ISCOM</t>
        </is>
      </c>
      <c r="BL258" s="0" t="inlineStr">
        <is>
          <t>BAC_COM</t>
        </is>
      </c>
      <c r="BM258" s="0" t="inlineStr">
        <is>
          <t>B3</t>
        </is>
      </c>
      <c r="BN258" s="0" t="inlineStr">
        <is>
          <t>ALT</t>
        </is>
      </c>
      <c r="BO258" s="0" t="n">
        <v>70.05</v>
      </c>
      <c r="BP258" s="0" t="n">
        <v>3</v>
      </c>
      <c r="BQ258" s="0" t="n">
        <v>571296.978</v>
      </c>
      <c r="BR258" s="0" t="n">
        <v>40782.799442</v>
      </c>
      <c r="BS258" s="0" t="n">
        <v>102549.166858</v>
      </c>
      <c r="BT258" s="0" t="n">
        <v>26393.936409</v>
      </c>
      <c r="BU258" s="0" t="n">
        <v>225519.104474</v>
      </c>
      <c r="BV258" s="0" t="n">
        <v>18080.089919</v>
      </c>
      <c r="BW258" s="0" t="n">
        <v>65591.127505</v>
      </c>
      <c r="BX258" s="0" t="n">
        <v>83671.217424</v>
      </c>
      <c r="BY258" s="0" t="n">
        <v>67176.735851</v>
      </c>
      <c r="BZ258" s="0" t="n">
        <v>411739.488756</v>
      </c>
      <c r="CA258" s="0" t="n">
        <v>478916.224607</v>
      </c>
      <c r="CB258" s="0" t="n">
        <v>92380.75339300001</v>
      </c>
      <c r="CC258" s="0" t="n">
        <v>0</v>
      </c>
      <c r="CD258" s="0" t="n">
        <v>203913.997208</v>
      </c>
      <c r="CE258" s="0" t="n">
        <v>512745.834288</v>
      </c>
      <c r="CF258" s="0" t="n">
        <v>148320.538174</v>
      </c>
      <c r="CG258" s="0" t="n">
        <v>69920</v>
      </c>
      <c r="CH258" s="0" t="n">
        <v>1127595.522368</v>
      </c>
      <c r="CI258" s="0" t="n">
        <v>2894009.992738</v>
      </c>
      <c r="CJ258" s="0" t="n">
        <v>777795.6</v>
      </c>
    </row>
    <row r="259" ht="14.4975" customHeight="1" s="64">
      <c r="BF259" s="0" t="inlineStr">
        <is>
          <t>2027BUD_V1</t>
        </is>
      </c>
      <c r="BG259" s="0" t="inlineStr">
        <is>
          <t>V02</t>
        </is>
      </c>
      <c r="BH259" s="0" t="inlineStr">
        <is>
          <t>12</t>
        </is>
      </c>
      <c r="BI259" s="0" t="inlineStr">
        <is>
          <t>2027</t>
        </is>
      </c>
      <c r="BJ259" s="0" t="inlineStr">
        <is>
          <t>ISCOM_PAR</t>
        </is>
      </c>
      <c r="BK259" s="0" t="inlineStr">
        <is>
          <t>ISCOM</t>
        </is>
      </c>
      <c r="BL259" s="0" t="inlineStr">
        <is>
          <t>MAS_COM</t>
        </is>
      </c>
      <c r="BM259" s="0" t="inlineStr">
        <is>
          <t>M1</t>
        </is>
      </c>
      <c r="BN259" s="0" t="inlineStr">
        <is>
          <t>ALT</t>
        </is>
      </c>
      <c r="BO259" s="0" t="n">
        <v>92.693456</v>
      </c>
      <c r="BP259" s="0" t="n">
        <v>3</v>
      </c>
      <c r="BQ259" s="0" t="n">
        <v>818307.098914</v>
      </c>
      <c r="BR259" s="0" t="n">
        <v>35684.949511</v>
      </c>
      <c r="BS259" s="0" t="n">
        <v>89730.52099999999</v>
      </c>
      <c r="BT259" s="0" t="n">
        <v>70845.14256599999</v>
      </c>
      <c r="BU259" s="0" t="n">
        <v>225519.104474</v>
      </c>
      <c r="BV259" s="0" t="n">
        <v>18080.089919</v>
      </c>
      <c r="BW259" s="0" t="n">
        <v>65591.127505</v>
      </c>
      <c r="BX259" s="0" t="n">
        <v>83671.217424</v>
      </c>
      <c r="BY259" s="0" t="n">
        <v>106530.092077</v>
      </c>
      <c r="BZ259" s="0" t="n">
        <v>398920.842898</v>
      </c>
      <c r="CA259" s="0" t="n">
        <v>505450.934975</v>
      </c>
      <c r="CB259" s="0" t="n">
        <v>312856.163939</v>
      </c>
      <c r="CC259" s="0" t="n">
        <v>92.693456</v>
      </c>
      <c r="CD259" s="0" t="n">
        <v>203913.997208</v>
      </c>
      <c r="CE259" s="0" t="n">
        <v>512745.834288</v>
      </c>
      <c r="CF259" s="0" t="n">
        <v>148320.538174</v>
      </c>
      <c r="CG259" s="0" t="n">
        <v>69920</v>
      </c>
      <c r="CH259" s="0" t="n">
        <v>1127595.522368</v>
      </c>
      <c r="CI259" s="0" t="n">
        <v>2894009.992738</v>
      </c>
      <c r="CJ259" s="0" t="n">
        <v>777795.6</v>
      </c>
    </row>
    <row r="260" ht="14.4975" customHeight="1" s="64">
      <c r="BF260" s="0" t="inlineStr">
        <is>
          <t>2027BUD_V1</t>
        </is>
      </c>
      <c r="BG260" s="0" t="inlineStr">
        <is>
          <t>V02</t>
        </is>
      </c>
      <c r="BH260" s="0" t="inlineStr">
        <is>
          <t>12</t>
        </is>
      </c>
      <c r="BI260" s="0" t="inlineStr">
        <is>
          <t>2027</t>
        </is>
      </c>
      <c r="BJ260" s="0" t="inlineStr">
        <is>
          <t>ISCOM_PAR</t>
        </is>
      </c>
      <c r="BK260" s="0" t="inlineStr">
        <is>
          <t>ISCOM</t>
        </is>
      </c>
      <c r="BL260" s="0" t="inlineStr">
        <is>
          <t>MAS_COM</t>
        </is>
      </c>
      <c r="BM260" s="0" t="inlineStr">
        <is>
          <t>M2</t>
        </is>
      </c>
      <c r="BN260" s="0" t="inlineStr">
        <is>
          <t>ALT</t>
        </is>
      </c>
      <c r="BO260" s="0" t="n">
        <v>72.08</v>
      </c>
      <c r="BP260" s="0" t="n">
        <v>3</v>
      </c>
      <c r="BQ260" s="0" t="n">
        <v>629842.248</v>
      </c>
      <c r="BR260" s="0" t="n">
        <v>35684.949511</v>
      </c>
      <c r="BS260" s="0" t="n">
        <v>89730.52099999999</v>
      </c>
      <c r="BT260" s="0" t="n">
        <v>27158.825425</v>
      </c>
      <c r="BU260" s="0" t="n">
        <v>225519.104474</v>
      </c>
      <c r="BV260" s="0" t="n">
        <v>18080.089919</v>
      </c>
      <c r="BW260" s="0" t="n">
        <v>65591.127505</v>
      </c>
      <c r="BX260" s="0" t="n">
        <v>83671.217424</v>
      </c>
      <c r="BY260" s="0" t="n">
        <v>62843.774936</v>
      </c>
      <c r="BZ260" s="0" t="n">
        <v>398920.842898</v>
      </c>
      <c r="CA260" s="0" t="n">
        <v>461764.617834</v>
      </c>
      <c r="CB260" s="0" t="n">
        <v>168077.630166</v>
      </c>
      <c r="CC260" s="0" t="n">
        <v>0</v>
      </c>
      <c r="CD260" s="0" t="n">
        <v>203913.997208</v>
      </c>
      <c r="CE260" s="0" t="n">
        <v>512745.834288</v>
      </c>
      <c r="CF260" s="0" t="n">
        <v>148320.538174</v>
      </c>
      <c r="CG260" s="0" t="n">
        <v>69920</v>
      </c>
      <c r="CH260" s="0" t="n">
        <v>1127595.522368</v>
      </c>
      <c r="CI260" s="0" t="n">
        <v>2894009.992738</v>
      </c>
      <c r="CJ260" s="0" t="n">
        <v>777795.6</v>
      </c>
    </row>
    <row r="261" ht="14.4975" customHeight="1" s="64">
      <c r="BF261" s="0" t="inlineStr">
        <is>
          <t>2027BUD_V1</t>
        </is>
      </c>
      <c r="BG261" s="0" t="inlineStr">
        <is>
          <t>V02</t>
        </is>
      </c>
      <c r="BH261" s="0" t="inlineStr">
        <is>
          <t>12</t>
        </is>
      </c>
      <c r="BI261" s="0" t="inlineStr">
        <is>
          <t>2027</t>
        </is>
      </c>
      <c r="BJ261" s="0" t="inlineStr">
        <is>
          <t>ISCOM_TLS</t>
        </is>
      </c>
      <c r="BK261" s="0" t="inlineStr">
        <is>
          <t>ISCOM</t>
        </is>
      </c>
      <c r="BL261" s="0" t="inlineStr">
        <is>
          <t>BAC_COM</t>
        </is>
      </c>
      <c r="BM261" s="0" t="inlineStr">
        <is>
          <t>B1</t>
        </is>
      </c>
      <c r="BN261" s="0" t="inlineStr">
        <is>
          <t>INIT</t>
        </is>
      </c>
      <c r="BO261" s="0" t="n">
        <v>57.616994</v>
      </c>
      <c r="BP261" s="0" t="n">
        <v>2</v>
      </c>
      <c r="BQ261" s="0" t="n">
        <v>436725.291121</v>
      </c>
      <c r="BR261" s="0" t="n">
        <v>33985.572367</v>
      </c>
      <c r="BS261" s="0" t="n">
        <v>70307.168456</v>
      </c>
      <c r="BT261" s="0" t="n">
        <v>33995.681203</v>
      </c>
      <c r="BU261" s="0" t="n">
        <v>121901.58205</v>
      </c>
      <c r="BV261" s="0" t="n">
        <v>11831.500772</v>
      </c>
      <c r="BW261" s="0" t="n">
        <v>42922.434522</v>
      </c>
      <c r="BX261" s="0" t="n">
        <v>54753.935294</v>
      </c>
      <c r="BY261" s="0" t="n">
        <v>67981.25357</v>
      </c>
      <c r="BZ261" s="0" t="n">
        <v>246962.6858</v>
      </c>
      <c r="CA261" s="0" t="n">
        <v>314943.93937</v>
      </c>
      <c r="CB261" s="0" t="n">
        <v>121781.351751</v>
      </c>
      <c r="CC261" s="0" t="n">
        <v>57.616994</v>
      </c>
      <c r="CD261" s="0" t="n">
        <v>135942.289468</v>
      </c>
      <c r="CE261" s="0" t="n">
        <v>281228.673822</v>
      </c>
      <c r="CF261" s="0" t="n">
        <v>96785.225993</v>
      </c>
      <c r="CG261" s="0" t="n">
        <v>25395.45</v>
      </c>
      <c r="CH261" s="0" t="n">
        <v>609507.91025</v>
      </c>
      <c r="CI261" s="0" t="n">
        <v>2894009.992738</v>
      </c>
      <c r="CJ261" s="0" t="n">
        <v>777795.6</v>
      </c>
    </row>
    <row r="262" ht="14.4975" customHeight="1" s="64">
      <c r="BF262" s="0" t="inlineStr">
        <is>
          <t>2027BUD_V1</t>
        </is>
      </c>
      <c r="BG262" s="0" t="inlineStr">
        <is>
          <t>V02</t>
        </is>
      </c>
      <c r="BH262" s="0" t="inlineStr">
        <is>
          <t>12</t>
        </is>
      </c>
      <c r="BI262" s="0" t="inlineStr">
        <is>
          <t>2027</t>
        </is>
      </c>
      <c r="BJ262" s="0" t="inlineStr">
        <is>
          <t>ISCOM_TLS</t>
        </is>
      </c>
      <c r="BK262" s="0" t="inlineStr">
        <is>
          <t>ISCOM</t>
        </is>
      </c>
      <c r="BL262" s="0" t="inlineStr">
        <is>
          <t>BAC_COM</t>
        </is>
      </c>
      <c r="BM262" s="0" t="inlineStr">
        <is>
          <t>B2</t>
        </is>
      </c>
      <c r="BN262" s="0" t="inlineStr">
        <is>
          <t>ALT</t>
        </is>
      </c>
      <c r="BO262" s="0" t="n">
        <v>46.705</v>
      </c>
      <c r="BP262" s="0" t="n">
        <v>2</v>
      </c>
      <c r="BQ262" s="0" t="n">
        <v>326490.3684</v>
      </c>
      <c r="BR262" s="0" t="n">
        <v>27188.457894</v>
      </c>
      <c r="BS262" s="0" t="n">
        <v>56245.734764</v>
      </c>
      <c r="BT262" s="0" t="n">
        <v>17547.935754</v>
      </c>
      <c r="BU262" s="0" t="n">
        <v>121901.58205</v>
      </c>
      <c r="BV262" s="0" t="n">
        <v>11831.500772</v>
      </c>
      <c r="BW262" s="0" t="n">
        <v>42922.434522</v>
      </c>
      <c r="BX262" s="0" t="n">
        <v>54753.935294</v>
      </c>
      <c r="BY262" s="0" t="n">
        <v>44736.393648</v>
      </c>
      <c r="BZ262" s="0" t="n">
        <v>232901.252108</v>
      </c>
      <c r="CA262" s="0" t="n">
        <v>277637.645756</v>
      </c>
      <c r="CB262" s="0" t="n">
        <v>48852.722644</v>
      </c>
      <c r="CC262" s="0" t="n">
        <v>0</v>
      </c>
      <c r="CD262" s="0" t="n">
        <v>135942.289468</v>
      </c>
      <c r="CE262" s="0" t="n">
        <v>281228.673822</v>
      </c>
      <c r="CF262" s="0" t="n">
        <v>96785.225993</v>
      </c>
      <c r="CG262" s="0" t="n">
        <v>25395.45</v>
      </c>
      <c r="CH262" s="0" t="n">
        <v>609507.91025</v>
      </c>
      <c r="CI262" s="0" t="n">
        <v>2894009.992738</v>
      </c>
      <c r="CJ262" s="0" t="n">
        <v>777795.6</v>
      </c>
    </row>
    <row r="263" ht="14.4975" customHeight="1" s="64">
      <c r="BF263" s="0" t="inlineStr">
        <is>
          <t>2027BUD_V1</t>
        </is>
      </c>
      <c r="BG263" s="0" t="inlineStr">
        <is>
          <t>V02</t>
        </is>
      </c>
      <c r="BH263" s="0" t="inlineStr">
        <is>
          <t>12</t>
        </is>
      </c>
      <c r="BI263" s="0" t="inlineStr">
        <is>
          <t>2027</t>
        </is>
      </c>
      <c r="BJ263" s="0" t="inlineStr">
        <is>
          <t>ISCOM_TLS</t>
        </is>
      </c>
      <c r="BK263" s="0" t="inlineStr">
        <is>
          <t>ISCOM</t>
        </is>
      </c>
      <c r="BL263" s="0" t="inlineStr">
        <is>
          <t>BAC_COM</t>
        </is>
      </c>
      <c r="BM263" s="0" t="inlineStr">
        <is>
          <t>B3</t>
        </is>
      </c>
      <c r="BN263" s="0" t="inlineStr">
        <is>
          <t>ALT</t>
        </is>
      </c>
      <c r="BO263" s="0" t="n">
        <v>45.69</v>
      </c>
      <c r="BP263" s="0" t="n">
        <v>2</v>
      </c>
      <c r="BQ263" s="0" t="n">
        <v>319395.0312</v>
      </c>
      <c r="BR263" s="0" t="n">
        <v>27188.457894</v>
      </c>
      <c r="BS263" s="0" t="n">
        <v>56245.734764</v>
      </c>
      <c r="BT263" s="0" t="n">
        <v>17166.601964</v>
      </c>
      <c r="BU263" s="0" t="n">
        <v>121901.58205</v>
      </c>
      <c r="BV263" s="0" t="n">
        <v>11831.500772</v>
      </c>
      <c r="BW263" s="0" t="n">
        <v>42922.434522</v>
      </c>
      <c r="BX263" s="0" t="n">
        <v>54753.935294</v>
      </c>
      <c r="BY263" s="0" t="n">
        <v>44355.059858</v>
      </c>
      <c r="BZ263" s="0" t="n">
        <v>232901.252108</v>
      </c>
      <c r="CA263" s="0" t="n">
        <v>277256.311966</v>
      </c>
      <c r="CB263" s="0" t="n">
        <v>42138.719234</v>
      </c>
      <c r="CC263" s="0" t="n">
        <v>0</v>
      </c>
      <c r="CD263" s="0" t="n">
        <v>135942.289468</v>
      </c>
      <c r="CE263" s="0" t="n">
        <v>281228.673822</v>
      </c>
      <c r="CF263" s="0" t="n">
        <v>96785.225993</v>
      </c>
      <c r="CG263" s="0" t="n">
        <v>25395.45</v>
      </c>
      <c r="CH263" s="0" t="n">
        <v>609507.91025</v>
      </c>
      <c r="CI263" s="0" t="n">
        <v>2894009.992738</v>
      </c>
      <c r="CJ263" s="0" t="n">
        <v>777795.6</v>
      </c>
    </row>
    <row r="264" ht="14.4975" customHeight="1" s="64">
      <c r="BF264" s="0" t="inlineStr">
        <is>
          <t>2027BUD_V1</t>
        </is>
      </c>
      <c r="BG264" s="0" t="inlineStr">
        <is>
          <t>V02</t>
        </is>
      </c>
      <c r="BH264" s="0" t="inlineStr">
        <is>
          <t>12</t>
        </is>
      </c>
      <c r="BI264" s="0" t="inlineStr">
        <is>
          <t>2027</t>
        </is>
      </c>
      <c r="BJ264" s="0" t="inlineStr">
        <is>
          <t>ISCOM_TLS</t>
        </is>
      </c>
      <c r="BK264" s="0" t="inlineStr">
        <is>
          <t>ISCOM</t>
        </is>
      </c>
      <c r="BL264" s="0" t="inlineStr">
        <is>
          <t>MAS_COM</t>
        </is>
      </c>
      <c r="BM264" s="0" t="inlineStr">
        <is>
          <t>M1</t>
        </is>
      </c>
      <c r="BN264" s="0" t="inlineStr">
        <is>
          <t>ALT</t>
        </is>
      </c>
      <c r="BO264" s="0" t="n">
        <v>60.882193</v>
      </c>
      <c r="BP264" s="0" t="n">
        <v>2</v>
      </c>
      <c r="BQ264" s="0" t="n">
        <v>461474.846501</v>
      </c>
      <c r="BR264" s="0" t="n">
        <v>23789.900657</v>
      </c>
      <c r="BS264" s="0" t="n">
        <v>49215.017919</v>
      </c>
      <c r="BT264" s="0" t="n">
        <v>35922.205567</v>
      </c>
      <c r="BU264" s="0" t="n">
        <v>121901.58205</v>
      </c>
      <c r="BV264" s="0" t="n">
        <v>11831.500772</v>
      </c>
      <c r="BW264" s="0" t="n">
        <v>42922.434522</v>
      </c>
      <c r="BX264" s="0" t="n">
        <v>54753.935294</v>
      </c>
      <c r="BY264" s="0" t="n">
        <v>59712.106224</v>
      </c>
      <c r="BZ264" s="0" t="n">
        <v>225870.535263</v>
      </c>
      <c r="CA264" s="0" t="n">
        <v>285582.641487</v>
      </c>
      <c r="CB264" s="0" t="n">
        <v>175892.205014</v>
      </c>
      <c r="CC264" s="0" t="n">
        <v>60.882193</v>
      </c>
      <c r="CD264" s="0" t="n">
        <v>135942.289468</v>
      </c>
      <c r="CE264" s="0" t="n">
        <v>281228.673822</v>
      </c>
      <c r="CF264" s="0" t="n">
        <v>96785.225993</v>
      </c>
      <c r="CG264" s="0" t="n">
        <v>25395.45</v>
      </c>
      <c r="CH264" s="0" t="n">
        <v>609507.91025</v>
      </c>
      <c r="CI264" s="0" t="n">
        <v>2894009.992738</v>
      </c>
      <c r="CJ264" s="0" t="n">
        <v>777795.6</v>
      </c>
    </row>
    <row r="265" ht="14.4975" customHeight="1" s="64">
      <c r="BF265" s="0" t="inlineStr">
        <is>
          <t>2027BUD_V1</t>
        </is>
      </c>
      <c r="BG265" s="0" t="inlineStr">
        <is>
          <t>V02</t>
        </is>
      </c>
      <c r="BH265" s="0" t="inlineStr">
        <is>
          <t>12</t>
        </is>
      </c>
      <c r="BI265" s="0" t="inlineStr">
        <is>
          <t>2027</t>
        </is>
      </c>
      <c r="BJ265" s="0" t="inlineStr">
        <is>
          <t>ISCOM_TLS</t>
        </is>
      </c>
      <c r="BK265" s="0" t="inlineStr">
        <is>
          <t>ISCOM</t>
        </is>
      </c>
      <c r="BL265" s="0" t="inlineStr">
        <is>
          <t>MAS_COM</t>
        </is>
      </c>
      <c r="BM265" s="0" t="inlineStr">
        <is>
          <t>M2</t>
        </is>
      </c>
      <c r="BN265" s="0" t="inlineStr">
        <is>
          <t>ALT</t>
        </is>
      </c>
      <c r="BO265" s="0" t="n">
        <v>46.705</v>
      </c>
      <c r="BP265" s="0" t="n">
        <v>2</v>
      </c>
      <c r="BQ265" s="0" t="n">
        <v>349811.109</v>
      </c>
      <c r="BR265" s="0" t="n">
        <v>23789.900657</v>
      </c>
      <c r="BS265" s="0" t="n">
        <v>49215.017919</v>
      </c>
      <c r="BT265" s="0" t="n">
        <v>17547.935754</v>
      </c>
      <c r="BU265" s="0" t="n">
        <v>121901.58205</v>
      </c>
      <c r="BV265" s="0" t="n">
        <v>11831.500772</v>
      </c>
      <c r="BW265" s="0" t="n">
        <v>42922.434522</v>
      </c>
      <c r="BX265" s="0" t="n">
        <v>54753.935294</v>
      </c>
      <c r="BY265" s="0" t="n">
        <v>41337.836411</v>
      </c>
      <c r="BZ265" s="0" t="n">
        <v>225870.535263</v>
      </c>
      <c r="CA265" s="0" t="n">
        <v>267208.371674</v>
      </c>
      <c r="CB265" s="0" t="n">
        <v>82602.737326</v>
      </c>
      <c r="CC265" s="0" t="n">
        <v>0</v>
      </c>
      <c r="CD265" s="0" t="n">
        <v>135942.289468</v>
      </c>
      <c r="CE265" s="0" t="n">
        <v>281228.673822</v>
      </c>
      <c r="CF265" s="0" t="n">
        <v>96785.225993</v>
      </c>
      <c r="CG265" s="0" t="n">
        <v>25395.45</v>
      </c>
      <c r="CH265" s="0" t="n">
        <v>609507.91025</v>
      </c>
      <c r="CI265" s="0" t="n">
        <v>2894009.992738</v>
      </c>
      <c r="CJ265" s="0" t="n">
        <v>777795.6</v>
      </c>
    </row>
    <row r="266" ht="14.4975" customHeight="1" s="64">
      <c r="BF266" s="0" t="inlineStr">
        <is>
          <t>2027BUD_V1</t>
        </is>
      </c>
      <c r="BG266" s="0" t="inlineStr">
        <is>
          <t>V02</t>
        </is>
      </c>
      <c r="BH266" s="0" t="inlineStr">
        <is>
          <t>12</t>
        </is>
      </c>
      <c r="BI266" s="0" t="inlineStr">
        <is>
          <t>2027</t>
        </is>
      </c>
      <c r="BJ266" s="0" t="inlineStr">
        <is>
          <t>MBWAY_BOR</t>
        </is>
      </c>
      <c r="BK266" s="0" t="inlineStr">
        <is>
          <t>MBWAY</t>
        </is>
      </c>
      <c r="BL266" s="0" t="inlineStr">
        <is>
          <t>BAC_MGT</t>
        </is>
      </c>
      <c r="BM266" s="0" t="inlineStr">
        <is>
          <t>B1</t>
        </is>
      </c>
      <c r="BN266" s="0" t="inlineStr">
        <is>
          <t>INIT</t>
        </is>
      </c>
      <c r="BO266" s="0" t="n">
        <v>62.592963</v>
      </c>
      <c r="BP266" s="0" t="n">
        <v>2</v>
      </c>
      <c r="BQ266" s="0" t="n">
        <v>480122.45234</v>
      </c>
      <c r="BR266" s="0" t="n">
        <v>33985.572367</v>
      </c>
      <c r="BS266" s="0" t="n">
        <v>73630.536689</v>
      </c>
      <c r="BT266" s="0" t="n">
        <v>37428.867925</v>
      </c>
      <c r="BU266" s="0" t="n">
        <v>134413.464821</v>
      </c>
      <c r="BV266" s="0" t="n">
        <v>12907.149154</v>
      </c>
      <c r="BW266" s="0" t="n">
        <v>46318.803231</v>
      </c>
      <c r="BX266" s="0" t="n">
        <v>59225.952385</v>
      </c>
      <c r="BY266" s="0" t="n">
        <v>71414.440292</v>
      </c>
      <c r="BZ266" s="0" t="n">
        <v>267269.953895</v>
      </c>
      <c r="CA266" s="0" t="n">
        <v>338684.394187</v>
      </c>
      <c r="CB266" s="0" t="n">
        <v>141438.058153</v>
      </c>
      <c r="CC266" s="0" t="n">
        <v>62.592963</v>
      </c>
      <c r="CD266" s="0" t="n">
        <v>135942.289468</v>
      </c>
      <c r="CE266" s="0" t="n">
        <v>294522.146754</v>
      </c>
      <c r="CF266" s="0" t="n">
        <v>104327.253632</v>
      </c>
      <c r="CG266" s="0" t="n">
        <v>28661.45</v>
      </c>
      <c r="CH266" s="0" t="n">
        <v>672067.324105</v>
      </c>
      <c r="CI266" s="0" t="n">
        <v>2894009.992738</v>
      </c>
      <c r="CJ266" s="0" t="n">
        <v>777795.6</v>
      </c>
    </row>
    <row r="267" ht="14.4975" customHeight="1" s="64">
      <c r="BF267" s="0" t="inlineStr">
        <is>
          <t>2027BUD_V1</t>
        </is>
      </c>
      <c r="BG267" s="0" t="inlineStr">
        <is>
          <t>V02</t>
        </is>
      </c>
      <c r="BH267" s="0" t="inlineStr">
        <is>
          <t>12</t>
        </is>
      </c>
      <c r="BI267" s="0" t="inlineStr">
        <is>
          <t>2027</t>
        </is>
      </c>
      <c r="BJ267" s="0" t="inlineStr">
        <is>
          <t>MBWAY_BOR</t>
        </is>
      </c>
      <c r="BK267" s="0" t="inlineStr">
        <is>
          <t>MBWAY</t>
        </is>
      </c>
      <c r="BL267" s="0" t="inlineStr">
        <is>
          <t>BAC_MGT</t>
        </is>
      </c>
      <c r="BM267" s="0" t="inlineStr">
        <is>
          <t>B2</t>
        </is>
      </c>
      <c r="BN267" s="0" t="inlineStr">
        <is>
          <t>ALT</t>
        </is>
      </c>
      <c r="BO267" s="0" t="n">
        <v>49.765</v>
      </c>
      <c r="BP267" s="0" t="n">
        <v>2</v>
      </c>
      <c r="BQ267" s="0" t="n">
        <v>352096.3327</v>
      </c>
      <c r="BR267" s="0" t="n">
        <v>27188.457894</v>
      </c>
      <c r="BS267" s="0" t="n">
        <v>58904.429351</v>
      </c>
      <c r="BT267" s="0" t="n">
        <v>18676.8736</v>
      </c>
      <c r="BU267" s="0" t="n">
        <v>134413.464821</v>
      </c>
      <c r="BV267" s="0" t="n">
        <v>12907.149154</v>
      </c>
      <c r="BW267" s="0" t="n">
        <v>46318.803231</v>
      </c>
      <c r="BX267" s="0" t="n">
        <v>59225.952385</v>
      </c>
      <c r="BY267" s="0" t="n">
        <v>45865.331494</v>
      </c>
      <c r="BZ267" s="0" t="n">
        <v>252543.846557</v>
      </c>
      <c r="CA267" s="0" t="n">
        <v>298409.178051</v>
      </c>
      <c r="CB267" s="0" t="n">
        <v>53687.154649</v>
      </c>
      <c r="CC267" s="0" t="n">
        <v>0</v>
      </c>
      <c r="CD267" s="0" t="n">
        <v>135942.289468</v>
      </c>
      <c r="CE267" s="0" t="n">
        <v>294522.146754</v>
      </c>
      <c r="CF267" s="0" t="n">
        <v>104327.253632</v>
      </c>
      <c r="CG267" s="0" t="n">
        <v>28661.45</v>
      </c>
      <c r="CH267" s="0" t="n">
        <v>672067.324105</v>
      </c>
      <c r="CI267" s="0" t="n">
        <v>2894009.992738</v>
      </c>
      <c r="CJ267" s="0" t="n">
        <v>777795.6</v>
      </c>
    </row>
    <row r="268" ht="14.4975" customHeight="1" s="64">
      <c r="BF268" s="0" t="inlineStr">
        <is>
          <t>2027BUD_V1</t>
        </is>
      </c>
      <c r="BG268" s="0" t="inlineStr">
        <is>
          <t>V02</t>
        </is>
      </c>
      <c r="BH268" s="0" t="inlineStr">
        <is>
          <t>12</t>
        </is>
      </c>
      <c r="BI268" s="0" t="inlineStr">
        <is>
          <t>2027</t>
        </is>
      </c>
      <c r="BJ268" s="0" t="inlineStr">
        <is>
          <t>MBWAY_BOR</t>
        </is>
      </c>
      <c r="BK268" s="0" t="inlineStr">
        <is>
          <t>MBWAY</t>
        </is>
      </c>
      <c r="BL268" s="0" t="inlineStr">
        <is>
          <t>BAC_MGT</t>
        </is>
      </c>
      <c r="BM268" s="0" t="inlineStr">
        <is>
          <t>B3</t>
        </is>
      </c>
      <c r="BN268" s="0" t="inlineStr">
        <is>
          <t>ALT</t>
        </is>
      </c>
      <c r="BO268" s="0" t="n">
        <v>48.735</v>
      </c>
      <c r="BP268" s="0" t="n">
        <v>2</v>
      </c>
      <c r="BQ268" s="0" t="n">
        <v>344808.8973</v>
      </c>
      <c r="BR268" s="0" t="n">
        <v>27188.457894</v>
      </c>
      <c r="BS268" s="0" t="n">
        <v>58904.429351</v>
      </c>
      <c r="BT268" s="0" t="n">
        <v>18290.341125</v>
      </c>
      <c r="BU268" s="0" t="n">
        <v>134413.464821</v>
      </c>
      <c r="BV268" s="0" t="n">
        <v>12907.149154</v>
      </c>
      <c r="BW268" s="0" t="n">
        <v>46318.803231</v>
      </c>
      <c r="BX268" s="0" t="n">
        <v>59225.952385</v>
      </c>
      <c r="BY268" s="0" t="n">
        <v>45478.799019</v>
      </c>
      <c r="BZ268" s="0" t="n">
        <v>252543.846557</v>
      </c>
      <c r="CA268" s="0" t="n">
        <v>298022.645576</v>
      </c>
      <c r="CB268" s="0" t="n">
        <v>46786.251724</v>
      </c>
      <c r="CC268" s="0" t="n">
        <v>0</v>
      </c>
      <c r="CD268" s="0" t="n">
        <v>135942.289468</v>
      </c>
      <c r="CE268" s="0" t="n">
        <v>294522.146754</v>
      </c>
      <c r="CF268" s="0" t="n">
        <v>104327.253632</v>
      </c>
      <c r="CG268" s="0" t="n">
        <v>28661.45</v>
      </c>
      <c r="CH268" s="0" t="n">
        <v>672067.324105</v>
      </c>
      <c r="CI268" s="0" t="n">
        <v>2894009.992738</v>
      </c>
      <c r="CJ268" s="0" t="n">
        <v>777795.6</v>
      </c>
    </row>
    <row r="269" ht="14.4975" customHeight="1" s="64">
      <c r="BF269" s="0" t="inlineStr">
        <is>
          <t>2027BUD_V1</t>
        </is>
      </c>
      <c r="BG269" s="0" t="inlineStr">
        <is>
          <t>V02</t>
        </is>
      </c>
      <c r="BH269" s="0" t="inlineStr">
        <is>
          <t>12</t>
        </is>
      </c>
      <c r="BI269" s="0" t="inlineStr">
        <is>
          <t>2027</t>
        </is>
      </c>
      <c r="BJ269" s="0" t="inlineStr">
        <is>
          <t>MBWAY_BOR</t>
        </is>
      </c>
      <c r="BK269" s="0" t="inlineStr">
        <is>
          <t>MBWAY</t>
        </is>
      </c>
      <c r="BL269" s="0" t="inlineStr">
        <is>
          <t>MAS_MGT</t>
        </is>
      </c>
      <c r="BM269" s="0" t="inlineStr">
        <is>
          <t>M1</t>
        </is>
      </c>
      <c r="BN269" s="0" t="inlineStr">
        <is>
          <t>ALT</t>
        </is>
      </c>
      <c r="BO269" s="0" t="n">
        <v>66.123869</v>
      </c>
      <c r="BP269" s="0" t="n">
        <v>2</v>
      </c>
      <c r="BQ269" s="0" t="n">
        <v>507206.443358</v>
      </c>
      <c r="BR269" s="0" t="n">
        <v>23789.900657</v>
      </c>
      <c r="BS269" s="0" t="n">
        <v>51541.375682</v>
      </c>
      <c r="BT269" s="0" t="n">
        <v>39540.244936</v>
      </c>
      <c r="BU269" s="0" t="n">
        <v>134413.464821</v>
      </c>
      <c r="BV269" s="0" t="n">
        <v>12907.149154</v>
      </c>
      <c r="BW269" s="0" t="n">
        <v>46318.803231</v>
      </c>
      <c r="BX269" s="0" t="n">
        <v>59225.952385</v>
      </c>
      <c r="BY269" s="0" t="n">
        <v>63330.145593</v>
      </c>
      <c r="BZ269" s="0" t="n">
        <v>245180.792888</v>
      </c>
      <c r="CA269" s="0" t="n">
        <v>308510.938481</v>
      </c>
      <c r="CB269" s="0" t="n">
        <v>198695.504877</v>
      </c>
      <c r="CC269" s="0" t="n">
        <v>66.123869</v>
      </c>
      <c r="CD269" s="0" t="n">
        <v>135942.289468</v>
      </c>
      <c r="CE269" s="0" t="n">
        <v>294522.146754</v>
      </c>
      <c r="CF269" s="0" t="n">
        <v>104327.253632</v>
      </c>
      <c r="CG269" s="0" t="n">
        <v>28661.45</v>
      </c>
      <c r="CH269" s="0" t="n">
        <v>672067.324105</v>
      </c>
      <c r="CI269" s="0" t="n">
        <v>2894009.992738</v>
      </c>
      <c r="CJ269" s="0" t="n">
        <v>777795.6</v>
      </c>
    </row>
    <row r="270" ht="14.4975" customHeight="1" s="64">
      <c r="BF270" s="0" t="inlineStr">
        <is>
          <t>2027BUD_V1</t>
        </is>
      </c>
      <c r="BG270" s="0" t="inlineStr">
        <is>
          <t>V02</t>
        </is>
      </c>
      <c r="BH270" s="0" t="inlineStr">
        <is>
          <t>12</t>
        </is>
      </c>
      <c r="BI270" s="0" t="inlineStr">
        <is>
          <t>2027</t>
        </is>
      </c>
      <c r="BJ270" s="0" t="inlineStr">
        <is>
          <t>MBWAY_BOR</t>
        </is>
      </c>
      <c r="BK270" s="0" t="inlineStr">
        <is>
          <t>MBWAY</t>
        </is>
      </c>
      <c r="BL270" s="0" t="inlineStr">
        <is>
          <t>MAS_MGT</t>
        </is>
      </c>
      <c r="BM270" s="0" t="inlineStr">
        <is>
          <t>M2</t>
        </is>
      </c>
      <c r="BN270" s="0" t="inlineStr">
        <is>
          <t>ALT</t>
        </is>
      </c>
      <c r="BO270" s="0" t="n">
        <v>50.765</v>
      </c>
      <c r="BP270" s="0" t="n">
        <v>2</v>
      </c>
      <c r="BQ270" s="0" t="n">
        <v>384826.62075</v>
      </c>
      <c r="BR270" s="0" t="n">
        <v>23789.900657</v>
      </c>
      <c r="BS270" s="0" t="n">
        <v>51541.375682</v>
      </c>
      <c r="BT270" s="0" t="n">
        <v>19052.138731</v>
      </c>
      <c r="BU270" s="0" t="n">
        <v>134413.464821</v>
      </c>
      <c r="BV270" s="0" t="n">
        <v>12907.149154</v>
      </c>
      <c r="BW270" s="0" t="n">
        <v>46318.803231</v>
      </c>
      <c r="BX270" s="0" t="n">
        <v>59225.952385</v>
      </c>
      <c r="BY270" s="0" t="n">
        <v>42842.039388</v>
      </c>
      <c r="BZ270" s="0" t="n">
        <v>245180.792888</v>
      </c>
      <c r="CA270" s="0" t="n">
        <v>288022.832276</v>
      </c>
      <c r="CB270" s="0" t="n">
        <v>96803.788474</v>
      </c>
      <c r="CC270" s="0" t="n">
        <v>0</v>
      </c>
      <c r="CD270" s="0" t="n">
        <v>135942.289468</v>
      </c>
      <c r="CE270" s="0" t="n">
        <v>294522.146754</v>
      </c>
      <c r="CF270" s="0" t="n">
        <v>104327.253632</v>
      </c>
      <c r="CG270" s="0" t="n">
        <v>28661.45</v>
      </c>
      <c r="CH270" s="0" t="n">
        <v>672067.324105</v>
      </c>
      <c r="CI270" s="0" t="n">
        <v>2894009.992738</v>
      </c>
      <c r="CJ270" s="0" t="n">
        <v>777795.6</v>
      </c>
    </row>
    <row r="271" ht="14.4975" customHeight="1" s="64">
      <c r="BF271" s="0" t="inlineStr">
        <is>
          <t>2027BUD_V1</t>
        </is>
      </c>
      <c r="BG271" s="0" t="inlineStr">
        <is>
          <t>V02</t>
        </is>
      </c>
      <c r="BH271" s="0" t="inlineStr">
        <is>
          <t>12</t>
        </is>
      </c>
      <c r="BI271" s="0" t="inlineStr">
        <is>
          <t>2027</t>
        </is>
      </c>
      <c r="BJ271" s="0" t="inlineStr">
        <is>
          <t>MBWAY_LYO</t>
        </is>
      </c>
      <c r="BK271" s="0" t="inlineStr">
        <is>
          <t>MBWAY</t>
        </is>
      </c>
      <c r="BL271" s="0" t="inlineStr">
        <is>
          <t>BAC_MGT</t>
        </is>
      </c>
      <c r="BM271" s="0" t="inlineStr">
        <is>
          <t>B1</t>
        </is>
      </c>
      <c r="BN271" s="0" t="inlineStr">
        <is>
          <t>INIT</t>
        </is>
      </c>
      <c r="BO271" s="0" t="n">
        <v>80.804742</v>
      </c>
      <c r="BP271" s="0" t="n">
        <v>3</v>
      </c>
      <c r="BQ271" s="0" t="n">
        <v>670335.938447</v>
      </c>
      <c r="BR271" s="0" t="n">
        <v>50978.360834</v>
      </c>
      <c r="BS271" s="0" t="n">
        <v>121281.280054</v>
      </c>
      <c r="BT271" s="0" t="n">
        <v>53740.561065</v>
      </c>
      <c r="BU271" s="0" t="n">
        <v>221543.064779</v>
      </c>
      <c r="BV271" s="0" t="n">
        <v>19346.836712</v>
      </c>
      <c r="BW271" s="0" t="n">
        <v>69428.36966900001</v>
      </c>
      <c r="BX271" s="0" t="n">
        <v>88775.206381</v>
      </c>
      <c r="BY271" s="0" t="n">
        <v>104718.921899</v>
      </c>
      <c r="BZ271" s="0" t="n">
        <v>431599.551214</v>
      </c>
      <c r="CA271" s="0" t="n">
        <v>536318.473113</v>
      </c>
      <c r="CB271" s="0" t="n">
        <v>134017.465334</v>
      </c>
      <c r="CC271" s="0" t="n">
        <v>80.804742</v>
      </c>
      <c r="CD271" s="0" t="n">
        <v>176725.314112</v>
      </c>
      <c r="CE271" s="0" t="n">
        <v>420442.55568</v>
      </c>
      <c r="CF271" s="0" t="n">
        <v>135750.867446</v>
      </c>
      <c r="CG271" s="0" t="n">
        <v>48050.45</v>
      </c>
      <c r="CH271" s="0" t="n">
        <v>960020.907396</v>
      </c>
      <c r="CI271" s="0" t="n">
        <v>2894009.992738</v>
      </c>
      <c r="CJ271" s="0" t="n">
        <v>777795.6</v>
      </c>
    </row>
    <row r="272" ht="14.4975" customHeight="1" s="64">
      <c r="BF272" s="0" t="inlineStr">
        <is>
          <t>2027BUD_V1</t>
        </is>
      </c>
      <c r="BG272" s="0" t="inlineStr">
        <is>
          <t>V02</t>
        </is>
      </c>
      <c r="BH272" s="0" t="inlineStr">
        <is>
          <t>12</t>
        </is>
      </c>
      <c r="BI272" s="0" t="inlineStr">
        <is>
          <t>2027</t>
        </is>
      </c>
      <c r="BJ272" s="0" t="inlineStr">
        <is>
          <t>MBWAY_LYO</t>
        </is>
      </c>
      <c r="BK272" s="0" t="inlineStr">
        <is>
          <t>MBWAY</t>
        </is>
      </c>
      <c r="BL272" s="0" t="inlineStr">
        <is>
          <t>BAC_MGT</t>
        </is>
      </c>
      <c r="BM272" s="0" t="inlineStr">
        <is>
          <t>B2</t>
        </is>
      </c>
      <c r="BN272" s="0" t="inlineStr">
        <is>
          <t>ALT</t>
        </is>
      </c>
      <c r="BO272" s="0" t="n">
        <v>64.98999999999999</v>
      </c>
      <c r="BP272" s="0" t="n">
        <v>2</v>
      </c>
      <c r="BQ272" s="0" t="n">
        <v>497738.913</v>
      </c>
      <c r="BR272" s="0" t="n">
        <v>27188.482675</v>
      </c>
      <c r="BS272" s="0" t="n">
        <v>64683.405421</v>
      </c>
      <c r="BT272" s="0" t="n">
        <v>24430.812113</v>
      </c>
      <c r="BU272" s="0" t="n">
        <v>147695.376519</v>
      </c>
      <c r="BV272" s="0" t="n">
        <v>12897.891142</v>
      </c>
      <c r="BW272" s="0" t="n">
        <v>46285.579779</v>
      </c>
      <c r="BX272" s="0" t="n">
        <v>59183.470921</v>
      </c>
      <c r="BY272" s="0" t="n">
        <v>51619.294788</v>
      </c>
      <c r="BZ272" s="0" t="n">
        <v>271562.252861</v>
      </c>
      <c r="CA272" s="0" t="n">
        <v>323181.547649</v>
      </c>
      <c r="CB272" s="0" t="n">
        <v>174557.365351</v>
      </c>
      <c r="CC272" s="0" t="n">
        <v>0</v>
      </c>
      <c r="CD272" s="0" t="n">
        <v>176725.314112</v>
      </c>
      <c r="CE272" s="0" t="n">
        <v>420442.55568</v>
      </c>
      <c r="CF272" s="0" t="n">
        <v>135750.867446</v>
      </c>
      <c r="CG272" s="0" t="n">
        <v>48050.45</v>
      </c>
      <c r="CH272" s="0" t="n">
        <v>960020.907396</v>
      </c>
      <c r="CI272" s="0" t="n">
        <v>2894009.992738</v>
      </c>
      <c r="CJ272" s="0" t="n">
        <v>777795.6</v>
      </c>
    </row>
    <row r="273" ht="14.4975" customHeight="1" s="64">
      <c r="BF273" s="0" t="inlineStr">
        <is>
          <t>2027BUD_V1</t>
        </is>
      </c>
      <c r="BG273" s="0" t="inlineStr">
        <is>
          <t>V02</t>
        </is>
      </c>
      <c r="BH273" s="0" t="inlineStr">
        <is>
          <t>12</t>
        </is>
      </c>
      <c r="BI273" s="0" t="inlineStr">
        <is>
          <t>2027</t>
        </is>
      </c>
      <c r="BJ273" s="0" t="inlineStr">
        <is>
          <t>MBWAY_LYO</t>
        </is>
      </c>
      <c r="BK273" s="0" t="inlineStr">
        <is>
          <t>MBWAY</t>
        </is>
      </c>
      <c r="BL273" s="0" t="inlineStr">
        <is>
          <t>BAC_MGT</t>
        </is>
      </c>
      <c r="BM273" s="0" t="inlineStr">
        <is>
          <t>B3</t>
        </is>
      </c>
      <c r="BN273" s="0" t="inlineStr">
        <is>
          <t>ALT</t>
        </is>
      </c>
      <c r="BO273" s="0" t="n">
        <v>63.96</v>
      </c>
      <c r="BP273" s="0" t="n">
        <v>2</v>
      </c>
      <c r="BQ273" s="0" t="n">
        <v>489850.452</v>
      </c>
      <c r="BR273" s="0" t="n">
        <v>27188.482675</v>
      </c>
      <c r="BS273" s="0" t="n">
        <v>64683.405421</v>
      </c>
      <c r="BT273" s="0" t="n">
        <v>24043.650639</v>
      </c>
      <c r="BU273" s="0" t="n">
        <v>147695.376519</v>
      </c>
      <c r="BV273" s="0" t="n">
        <v>12897.891142</v>
      </c>
      <c r="BW273" s="0" t="n">
        <v>46285.579779</v>
      </c>
      <c r="BX273" s="0" t="n">
        <v>59183.470921</v>
      </c>
      <c r="BY273" s="0" t="n">
        <v>51232.133314</v>
      </c>
      <c r="BZ273" s="0" t="n">
        <v>271562.252861</v>
      </c>
      <c r="CA273" s="0" t="n">
        <v>322794.386175</v>
      </c>
      <c r="CB273" s="0" t="n">
        <v>167056.065825</v>
      </c>
      <c r="CC273" s="0" t="n">
        <v>0</v>
      </c>
      <c r="CD273" s="0" t="n">
        <v>176725.314112</v>
      </c>
      <c r="CE273" s="0" t="n">
        <v>420442.55568</v>
      </c>
      <c r="CF273" s="0" t="n">
        <v>135750.867446</v>
      </c>
      <c r="CG273" s="0" t="n">
        <v>48050.45</v>
      </c>
      <c r="CH273" s="0" t="n">
        <v>960020.907396</v>
      </c>
      <c r="CI273" s="0" t="n">
        <v>2894009.992738</v>
      </c>
      <c r="CJ273" s="0" t="n">
        <v>777795.6</v>
      </c>
    </row>
    <row r="274" ht="14.4975" customHeight="1" s="64">
      <c r="BF274" s="0" t="inlineStr">
        <is>
          <t>2027BUD_V1</t>
        </is>
      </c>
      <c r="BG274" s="0" t="inlineStr">
        <is>
          <t>V02</t>
        </is>
      </c>
      <c r="BH274" s="0" t="inlineStr">
        <is>
          <t>12</t>
        </is>
      </c>
      <c r="BI274" s="0" t="inlineStr">
        <is>
          <t>2027</t>
        </is>
      </c>
      <c r="BJ274" s="0" t="inlineStr">
        <is>
          <t>MBWAY_LYO</t>
        </is>
      </c>
      <c r="BK274" s="0" t="inlineStr">
        <is>
          <t>MBWAY</t>
        </is>
      </c>
      <c r="BL274" s="0" t="inlineStr">
        <is>
          <t>MAS_MGT</t>
        </is>
      </c>
      <c r="BM274" s="0" t="inlineStr">
        <is>
          <t>M1</t>
        </is>
      </c>
      <c r="BN274" s="0" t="inlineStr">
        <is>
          <t>ALT</t>
        </is>
      </c>
      <c r="BO274" s="0" t="n">
        <v>85.373633</v>
      </c>
      <c r="BP274" s="0" t="n">
        <v>3</v>
      </c>
      <c r="BQ274" s="0" t="n">
        <v>708238.31596</v>
      </c>
      <c r="BR274" s="0" t="n">
        <v>35684.905601</v>
      </c>
      <c r="BS274" s="0" t="n">
        <v>84897.022171</v>
      </c>
      <c r="BT274" s="0" t="n">
        <v>56779.132062</v>
      </c>
      <c r="BU274" s="0" t="n">
        <v>221543.064779</v>
      </c>
      <c r="BV274" s="0" t="n">
        <v>19346.836712</v>
      </c>
      <c r="BW274" s="0" t="n">
        <v>69428.36966900001</v>
      </c>
      <c r="BX274" s="0" t="n">
        <v>88775.206381</v>
      </c>
      <c r="BY274" s="0" t="n">
        <v>92464.037663</v>
      </c>
      <c r="BZ274" s="0" t="n">
        <v>395215.293331</v>
      </c>
      <c r="CA274" s="0" t="n">
        <v>487679.330994</v>
      </c>
      <c r="CB274" s="0" t="n">
        <v>220558.984966</v>
      </c>
      <c r="CC274" s="0" t="n">
        <v>85.373633</v>
      </c>
      <c r="CD274" s="0" t="n">
        <v>176725.314112</v>
      </c>
      <c r="CE274" s="0" t="n">
        <v>420442.55568</v>
      </c>
      <c r="CF274" s="0" t="n">
        <v>135750.867446</v>
      </c>
      <c r="CG274" s="0" t="n">
        <v>48050.45</v>
      </c>
      <c r="CH274" s="0" t="n">
        <v>960020.907396</v>
      </c>
      <c r="CI274" s="0" t="n">
        <v>2894009.992738</v>
      </c>
      <c r="CJ274" s="0" t="n">
        <v>777795.6</v>
      </c>
    </row>
    <row r="275" ht="14.4975" customHeight="1" s="64">
      <c r="BF275" s="0" t="inlineStr">
        <is>
          <t>2027BUD_V1</t>
        </is>
      </c>
      <c r="BG275" s="0" t="inlineStr">
        <is>
          <t>V02</t>
        </is>
      </c>
      <c r="BH275" s="0" t="inlineStr">
        <is>
          <t>12</t>
        </is>
      </c>
      <c r="BI275" s="0" t="inlineStr">
        <is>
          <t>2027</t>
        </is>
      </c>
      <c r="BJ275" s="0" t="inlineStr">
        <is>
          <t>MBWAY_LYO</t>
        </is>
      </c>
      <c r="BK275" s="0" t="inlineStr">
        <is>
          <t>MBWAY</t>
        </is>
      </c>
      <c r="BL275" s="0" t="inlineStr">
        <is>
          <t>MAS_MGT</t>
        </is>
      </c>
      <c r="BM275" s="0" t="inlineStr">
        <is>
          <t>M2</t>
        </is>
      </c>
      <c r="BN275" s="0" t="inlineStr">
        <is>
          <t>ALT</t>
        </is>
      </c>
      <c r="BO275" s="0" t="n">
        <v>65.98999999999999</v>
      </c>
      <c r="BP275" s="0" t="n">
        <v>3</v>
      </c>
      <c r="BQ275" s="0" t="n">
        <v>541497.4425</v>
      </c>
      <c r="BR275" s="0" t="n">
        <v>35684.905601</v>
      </c>
      <c r="BS275" s="0" t="n">
        <v>84897.022171</v>
      </c>
      <c r="BT275" s="0" t="n">
        <v>24806.706264</v>
      </c>
      <c r="BU275" s="0" t="n">
        <v>221543.064779</v>
      </c>
      <c r="BV275" s="0" t="n">
        <v>19346.836712</v>
      </c>
      <c r="BW275" s="0" t="n">
        <v>69428.36966900001</v>
      </c>
      <c r="BX275" s="0" t="n">
        <v>88775.206381</v>
      </c>
      <c r="BY275" s="0" t="n">
        <v>60491.611865</v>
      </c>
      <c r="BZ275" s="0" t="n">
        <v>395215.293331</v>
      </c>
      <c r="CA275" s="0" t="n">
        <v>455706.905196</v>
      </c>
      <c r="CB275" s="0" t="n">
        <v>85790.537304</v>
      </c>
      <c r="CC275" s="0" t="n">
        <v>0</v>
      </c>
      <c r="CD275" s="0" t="n">
        <v>176725.314112</v>
      </c>
      <c r="CE275" s="0" t="n">
        <v>420442.55568</v>
      </c>
      <c r="CF275" s="0" t="n">
        <v>135750.867446</v>
      </c>
      <c r="CG275" s="0" t="n">
        <v>48050.45</v>
      </c>
      <c r="CH275" s="0" t="n">
        <v>960020.907396</v>
      </c>
      <c r="CI275" s="0" t="n">
        <v>2894009.992738</v>
      </c>
      <c r="CJ275" s="0" t="n">
        <v>777795.6</v>
      </c>
    </row>
    <row r="276" ht="14.4975" customHeight="1" s="64">
      <c r="BF276" s="0" t="inlineStr">
        <is>
          <t>2027BUD_V1</t>
        </is>
      </c>
      <c r="BG276" s="0" t="inlineStr">
        <is>
          <t>V02</t>
        </is>
      </c>
      <c r="BH276" s="0" t="inlineStr">
        <is>
          <t>12</t>
        </is>
      </c>
      <c r="BI276" s="0" t="inlineStr">
        <is>
          <t>2027</t>
        </is>
      </c>
      <c r="BJ276" s="0" t="inlineStr">
        <is>
          <t>MBWAY_NAN</t>
        </is>
      </c>
      <c r="BK276" s="0" t="inlineStr">
        <is>
          <t>MBWAY</t>
        </is>
      </c>
      <c r="BL276" s="0" t="inlineStr">
        <is>
          <t>BAC_MGT</t>
        </is>
      </c>
      <c r="BM276" s="0" t="inlineStr">
        <is>
          <t>B1</t>
        </is>
      </c>
      <c r="BN276" s="0" t="inlineStr">
        <is>
          <t>INIT</t>
        </is>
      </c>
      <c r="BO276" s="0" t="n">
        <v>73.560697</v>
      </c>
      <c r="BP276" s="0" t="n">
        <v>2</v>
      </c>
      <c r="BQ276" s="0" t="n">
        <v>581497.309785</v>
      </c>
      <c r="BR276" s="0" t="n">
        <v>34708.561378</v>
      </c>
      <c r="BS276" s="0" t="n">
        <v>76951.051897</v>
      </c>
      <c r="BT276" s="0" t="n">
        <v>45261.212663</v>
      </c>
      <c r="BU276" s="0" t="n">
        <v>136013.600961</v>
      </c>
      <c r="BV276" s="0" t="n">
        <v>12689.676584</v>
      </c>
      <c r="BW276" s="0" t="n">
        <v>45538.377665</v>
      </c>
      <c r="BX276" s="0" t="n">
        <v>58228.054249</v>
      </c>
      <c r="BY276" s="0" t="n">
        <v>79969.774041</v>
      </c>
      <c r="BZ276" s="0" t="n">
        <v>271192.707107</v>
      </c>
      <c r="CA276" s="0" t="n">
        <v>351162.481148</v>
      </c>
      <c r="CB276" s="0" t="n">
        <v>230334.828637</v>
      </c>
      <c r="CC276" s="0" t="n">
        <v>73.560697</v>
      </c>
      <c r="CD276" s="0" t="n">
        <v>163130.972564</v>
      </c>
      <c r="CE276" s="0" t="n">
        <v>361671.57144</v>
      </c>
      <c r="CF276" s="0" t="n">
        <v>123181.196719</v>
      </c>
      <c r="CG276" s="0" t="n">
        <v>36262.95</v>
      </c>
      <c r="CH276" s="0" t="n">
        <v>816084.870106</v>
      </c>
      <c r="CI276" s="0" t="n">
        <v>2894009.992738</v>
      </c>
      <c r="CJ276" s="0" t="n">
        <v>777795.6</v>
      </c>
    </row>
    <row r="277" ht="14.4975" customHeight="1" s="64">
      <c r="BF277" s="0" t="inlineStr">
        <is>
          <t>2027BUD_V1</t>
        </is>
      </c>
      <c r="BG277" s="0" t="inlineStr">
        <is>
          <t>V02</t>
        </is>
      </c>
      <c r="BH277" s="0" t="inlineStr">
        <is>
          <t>12</t>
        </is>
      </c>
      <c r="BI277" s="0" t="inlineStr">
        <is>
          <t>2027</t>
        </is>
      </c>
      <c r="BJ277" s="0" t="inlineStr">
        <is>
          <t>MBWAY_NAN</t>
        </is>
      </c>
      <c r="BK277" s="0" t="inlineStr">
        <is>
          <t>MBWAY</t>
        </is>
      </c>
      <c r="BL277" s="0" t="inlineStr">
        <is>
          <t>BAC_MGT</t>
        </is>
      </c>
      <c r="BM277" s="0" t="inlineStr">
        <is>
          <t>B2</t>
        </is>
      </c>
      <c r="BN277" s="0" t="inlineStr">
        <is>
          <t>ALT</t>
        </is>
      </c>
      <c r="BO277" s="0" t="n">
        <v>58.9</v>
      </c>
      <c r="BP277" s="0" t="n">
        <v>2</v>
      </c>
      <c r="BQ277" s="0" t="n">
        <v>429616.6</v>
      </c>
      <c r="BR277" s="0" t="n">
        <v>27766.849102</v>
      </c>
      <c r="BS277" s="0" t="n">
        <v>61560.841518</v>
      </c>
      <c r="BT277" s="0" t="n">
        <v>22122.727025</v>
      </c>
      <c r="BU277" s="0" t="n">
        <v>136013.600961</v>
      </c>
      <c r="BV277" s="0" t="n">
        <v>12689.676584</v>
      </c>
      <c r="BW277" s="0" t="n">
        <v>45538.377665</v>
      </c>
      <c r="BX277" s="0" t="n">
        <v>58228.054249</v>
      </c>
      <c r="BY277" s="0" t="n">
        <v>49889.576127</v>
      </c>
      <c r="BZ277" s="0" t="n">
        <v>255802.496728</v>
      </c>
      <c r="CA277" s="0" t="n">
        <v>305692.072855</v>
      </c>
      <c r="CB277" s="0" t="n">
        <v>123924.527145</v>
      </c>
      <c r="CC277" s="0" t="n">
        <v>0</v>
      </c>
      <c r="CD277" s="0" t="n">
        <v>163130.972564</v>
      </c>
      <c r="CE277" s="0" t="n">
        <v>361671.57144</v>
      </c>
      <c r="CF277" s="0" t="n">
        <v>123181.196719</v>
      </c>
      <c r="CG277" s="0" t="n">
        <v>36262.95</v>
      </c>
      <c r="CH277" s="0" t="n">
        <v>816084.870106</v>
      </c>
      <c r="CI277" s="0" t="n">
        <v>2894009.992738</v>
      </c>
      <c r="CJ277" s="0" t="n">
        <v>777795.6</v>
      </c>
    </row>
    <row r="278" ht="14.4975" customHeight="1" s="64">
      <c r="BF278" s="0" t="inlineStr">
        <is>
          <t>2027BUD_V1</t>
        </is>
      </c>
      <c r="BG278" s="0" t="inlineStr">
        <is>
          <t>V02</t>
        </is>
      </c>
      <c r="BH278" s="0" t="inlineStr">
        <is>
          <t>12</t>
        </is>
      </c>
      <c r="BI278" s="0" t="inlineStr">
        <is>
          <t>2027</t>
        </is>
      </c>
      <c r="BJ278" s="0" t="inlineStr">
        <is>
          <t>MBWAY_NAN</t>
        </is>
      </c>
      <c r="BK278" s="0" t="inlineStr">
        <is>
          <t>MBWAY</t>
        </is>
      </c>
      <c r="BL278" s="0" t="inlineStr">
        <is>
          <t>BAC_MGT</t>
        </is>
      </c>
      <c r="BM278" s="0" t="inlineStr">
        <is>
          <t>B3</t>
        </is>
      </c>
      <c r="BN278" s="0" t="inlineStr">
        <is>
          <t>ALT</t>
        </is>
      </c>
      <c r="BO278" s="0" t="n">
        <v>57.87</v>
      </c>
      <c r="BP278" s="0" t="n">
        <v>2</v>
      </c>
      <c r="BQ278" s="0" t="n">
        <v>422103.78</v>
      </c>
      <c r="BR278" s="0" t="n">
        <v>27766.849102</v>
      </c>
      <c r="BS278" s="0" t="n">
        <v>61560.841518</v>
      </c>
      <c r="BT278" s="0" t="n">
        <v>21735.814886</v>
      </c>
      <c r="BU278" s="0" t="n">
        <v>136013.600961</v>
      </c>
      <c r="BV278" s="0" t="n">
        <v>12689.676584</v>
      </c>
      <c r="BW278" s="0" t="n">
        <v>45538.377665</v>
      </c>
      <c r="BX278" s="0" t="n">
        <v>58228.054249</v>
      </c>
      <c r="BY278" s="0" t="n">
        <v>49502.663988</v>
      </c>
      <c r="BZ278" s="0" t="n">
        <v>255802.496728</v>
      </c>
      <c r="CA278" s="0" t="n">
        <v>305305.160716</v>
      </c>
      <c r="CB278" s="0" t="n">
        <v>116798.619284</v>
      </c>
      <c r="CC278" s="0" t="n">
        <v>0</v>
      </c>
      <c r="CD278" s="0" t="n">
        <v>163130.972564</v>
      </c>
      <c r="CE278" s="0" t="n">
        <v>361671.57144</v>
      </c>
      <c r="CF278" s="0" t="n">
        <v>123181.196719</v>
      </c>
      <c r="CG278" s="0" t="n">
        <v>36262.95</v>
      </c>
      <c r="CH278" s="0" t="n">
        <v>816084.870106</v>
      </c>
      <c r="CI278" s="0" t="n">
        <v>2894009.992738</v>
      </c>
      <c r="CJ278" s="0" t="n">
        <v>777795.6</v>
      </c>
    </row>
    <row r="279" ht="14.4975" customHeight="1" s="64">
      <c r="BF279" s="0" t="inlineStr">
        <is>
          <t>2027BUD_V1</t>
        </is>
      </c>
      <c r="BG279" s="0" t="inlineStr">
        <is>
          <t>V02</t>
        </is>
      </c>
      <c r="BH279" s="0" t="inlineStr">
        <is>
          <t>12</t>
        </is>
      </c>
      <c r="BI279" s="0" t="inlineStr">
        <is>
          <t>2027</t>
        </is>
      </c>
      <c r="BJ279" s="0" t="inlineStr">
        <is>
          <t>MBWAY_NAN</t>
        </is>
      </c>
      <c r="BK279" s="0" t="inlineStr">
        <is>
          <t>MBWAY</t>
        </is>
      </c>
      <c r="BL279" s="0" t="inlineStr">
        <is>
          <t>MAS_MGT</t>
        </is>
      </c>
      <c r="BM279" s="0" t="inlineStr">
        <is>
          <t>M1</t>
        </is>
      </c>
      <c r="BN279" s="0" t="inlineStr">
        <is>
          <t>ALT</t>
        </is>
      </c>
      <c r="BO279" s="0" t="n">
        <v>77.72892299999999</v>
      </c>
      <c r="BP279" s="0" t="n">
        <v>3</v>
      </c>
      <c r="BQ279" s="0" t="n">
        <v>614447.136315</v>
      </c>
      <c r="BR279" s="0" t="n">
        <v>36444.111795</v>
      </c>
      <c r="BS279" s="0" t="n">
        <v>80798.87574600001</v>
      </c>
      <c r="BT279" s="0" t="n">
        <v>47825.803027</v>
      </c>
      <c r="BU279" s="0" t="n">
        <v>204021.217527</v>
      </c>
      <c r="BV279" s="0" t="n">
        <v>19034.591014</v>
      </c>
      <c r="BW279" s="0" t="n">
        <v>68307.83973000001</v>
      </c>
      <c r="BX279" s="0" t="n">
        <v>87342.430744</v>
      </c>
      <c r="BY279" s="0" t="n">
        <v>84269.91482200001</v>
      </c>
      <c r="BZ279" s="0" t="n">
        <v>372162.524017</v>
      </c>
      <c r="CA279" s="0" t="n">
        <v>456432.438839</v>
      </c>
      <c r="CB279" s="0" t="n">
        <v>158014.697476</v>
      </c>
      <c r="CC279" s="0" t="n">
        <v>77.72892299999999</v>
      </c>
      <c r="CD279" s="0" t="n">
        <v>163130.972564</v>
      </c>
      <c r="CE279" s="0" t="n">
        <v>361671.57144</v>
      </c>
      <c r="CF279" s="0" t="n">
        <v>123181.196719</v>
      </c>
      <c r="CG279" s="0" t="n">
        <v>36262.95</v>
      </c>
      <c r="CH279" s="0" t="n">
        <v>816084.870106</v>
      </c>
      <c r="CI279" s="0" t="n">
        <v>2894009.992738</v>
      </c>
      <c r="CJ279" s="0" t="n">
        <v>777795.6</v>
      </c>
    </row>
    <row r="280" ht="14.4975" customHeight="1" s="64">
      <c r="BF280" s="0" t="inlineStr">
        <is>
          <t>2027BUD_V1</t>
        </is>
      </c>
      <c r="BG280" s="0" t="inlineStr">
        <is>
          <t>V02</t>
        </is>
      </c>
      <c r="BH280" s="0" t="inlineStr">
        <is>
          <t>12</t>
        </is>
      </c>
      <c r="BI280" s="0" t="inlineStr">
        <is>
          <t>2027</t>
        </is>
      </c>
      <c r="BJ280" s="0" t="inlineStr">
        <is>
          <t>MBWAY_NAN</t>
        </is>
      </c>
      <c r="BK280" s="0" t="inlineStr">
        <is>
          <t>MBWAY</t>
        </is>
      </c>
      <c r="BL280" s="0" t="inlineStr">
        <is>
          <t>MAS_MGT</t>
        </is>
      </c>
      <c r="BM280" s="0" t="inlineStr">
        <is>
          <t>M2</t>
        </is>
      </c>
      <c r="BN280" s="0" t="inlineStr">
        <is>
          <t>ALT</t>
        </is>
      </c>
      <c r="BO280" s="0" t="n">
        <v>59.9</v>
      </c>
      <c r="BP280" s="0" t="n">
        <v>3</v>
      </c>
      <c r="BQ280" s="0" t="n">
        <v>468118.5</v>
      </c>
      <c r="BR280" s="0" t="n">
        <v>36444.111795</v>
      </c>
      <c r="BS280" s="0" t="n">
        <v>80798.87574600001</v>
      </c>
      <c r="BT280" s="0" t="n">
        <v>22498.306494</v>
      </c>
      <c r="BU280" s="0" t="n">
        <v>204021.217527</v>
      </c>
      <c r="BV280" s="0" t="n">
        <v>19034.591014</v>
      </c>
      <c r="BW280" s="0" t="n">
        <v>68307.83973000001</v>
      </c>
      <c r="BX280" s="0" t="n">
        <v>87342.430744</v>
      </c>
      <c r="BY280" s="0" t="n">
        <v>58942.418289</v>
      </c>
      <c r="BZ280" s="0" t="n">
        <v>372162.524017</v>
      </c>
      <c r="CA280" s="0" t="n">
        <v>431104.942306</v>
      </c>
      <c r="CB280" s="0" t="n">
        <v>37013.557694</v>
      </c>
      <c r="CC280" s="0" t="n">
        <v>0</v>
      </c>
      <c r="CD280" s="0" t="n">
        <v>163130.972564</v>
      </c>
      <c r="CE280" s="0" t="n">
        <v>361671.57144</v>
      </c>
      <c r="CF280" s="0" t="n">
        <v>123181.196719</v>
      </c>
      <c r="CG280" s="0" t="n">
        <v>36262.95</v>
      </c>
      <c r="CH280" s="0" t="n">
        <v>816084.870106</v>
      </c>
      <c r="CI280" s="0" t="n">
        <v>2894009.992738</v>
      </c>
      <c r="CJ280" s="0" t="n">
        <v>777795.6</v>
      </c>
    </row>
    <row r="281" ht="14.4975" customHeight="1" s="64">
      <c r="BF281" s="0" t="inlineStr">
        <is>
          <t>2027BUD_V1</t>
        </is>
      </c>
      <c r="BG281" s="0" t="inlineStr">
        <is>
          <t>V02</t>
        </is>
      </c>
      <c r="BH281" s="0" t="inlineStr">
        <is>
          <t>12</t>
        </is>
      </c>
      <c r="BI281" s="0" t="inlineStr">
        <is>
          <t>2027</t>
        </is>
      </c>
      <c r="BJ281" s="0" t="inlineStr">
        <is>
          <t>MBWAY_PAR</t>
        </is>
      </c>
      <c r="BK281" s="0" t="inlineStr">
        <is>
          <t>MBWAY</t>
        </is>
      </c>
      <c r="BL281" s="0" t="inlineStr">
        <is>
          <t>BAC_MGT</t>
        </is>
      </c>
      <c r="BM281" s="0" t="inlineStr">
        <is>
          <t>B1</t>
        </is>
      </c>
      <c r="BN281" s="0" t="inlineStr">
        <is>
          <t>INIT</t>
        </is>
      </c>
      <c r="BO281" s="0" t="n">
        <v>95.228055</v>
      </c>
      <c r="BP281" s="0" t="n">
        <v>3</v>
      </c>
      <c r="BQ281" s="0" t="n">
        <v>842082.644754</v>
      </c>
      <c r="BR281" s="0" t="n">
        <v>50978.499302</v>
      </c>
      <c r="BS281" s="0" t="n">
        <v>131866.836444</v>
      </c>
      <c r="BT281" s="0" t="n">
        <v>74019.088342</v>
      </c>
      <c r="BU281" s="0" t="n">
        <v>244529.726552</v>
      </c>
      <c r="BV281" s="0" t="n">
        <v>19748.921549</v>
      </c>
      <c r="BW281" s="0" t="n">
        <v>70871.297787</v>
      </c>
      <c r="BX281" s="0" t="n">
        <v>90620.21933599999</v>
      </c>
      <c r="BY281" s="0" t="n">
        <v>124997.587644</v>
      </c>
      <c r="BZ281" s="0" t="n">
        <v>467016.782332</v>
      </c>
      <c r="CA281" s="0" t="n">
        <v>592014.369976</v>
      </c>
      <c r="CB281" s="0" t="n">
        <v>250068.274778</v>
      </c>
      <c r="CC281" s="0" t="n">
        <v>95.228055</v>
      </c>
      <c r="CD281" s="0" t="n">
        <v>203913.997208</v>
      </c>
      <c r="CE281" s="0" t="n">
        <v>527467.3457759999</v>
      </c>
      <c r="CF281" s="0" t="n">
        <v>160051.330045</v>
      </c>
      <c r="CG281" s="0" t="n">
        <v>78534.64999999999</v>
      </c>
      <c r="CH281" s="0" t="n">
        <v>1222648.632762</v>
      </c>
      <c r="CI281" s="0" t="n">
        <v>2894009.992738</v>
      </c>
      <c r="CJ281" s="0" t="n">
        <v>777795.6</v>
      </c>
    </row>
    <row r="282" ht="14.4975" customHeight="1" s="64">
      <c r="BF282" s="0" t="inlineStr">
        <is>
          <t>2027BUD_V1</t>
        </is>
      </c>
      <c r="BG282" s="0" t="inlineStr">
        <is>
          <t>V02</t>
        </is>
      </c>
      <c r="BH282" s="0" t="inlineStr">
        <is>
          <t>12</t>
        </is>
      </c>
      <c r="BI282" s="0" t="inlineStr">
        <is>
          <t>2027</t>
        </is>
      </c>
      <c r="BJ282" s="0" t="inlineStr">
        <is>
          <t>MBWAY_PAR</t>
        </is>
      </c>
      <c r="BK282" s="0" t="inlineStr">
        <is>
          <t>MBWAY</t>
        </is>
      </c>
      <c r="BL282" s="0" t="inlineStr">
        <is>
          <t>BAC_MGT</t>
        </is>
      </c>
      <c r="BM282" s="0" t="inlineStr">
        <is>
          <t>B2</t>
        </is>
      </c>
      <c r="BN282" s="0" t="inlineStr">
        <is>
          <t>ALT</t>
        </is>
      </c>
      <c r="BO282" s="0" t="n">
        <v>77.17</v>
      </c>
      <c r="BP282" s="0" t="n">
        <v>3</v>
      </c>
      <c r="BQ282" s="0" t="n">
        <v>630423.3376</v>
      </c>
      <c r="BR282" s="0" t="n">
        <v>40782.799442</v>
      </c>
      <c r="BS282" s="0" t="n">
        <v>105493.469155</v>
      </c>
      <c r="BT282" s="0" t="n">
        <v>29038.753015</v>
      </c>
      <c r="BU282" s="0" t="n">
        <v>244529.726552</v>
      </c>
      <c r="BV282" s="0" t="n">
        <v>19748.921549</v>
      </c>
      <c r="BW282" s="0" t="n">
        <v>70871.297787</v>
      </c>
      <c r="BX282" s="0" t="n">
        <v>90620.21933599999</v>
      </c>
      <c r="BY282" s="0" t="n">
        <v>69821.552457</v>
      </c>
      <c r="BZ282" s="0" t="n">
        <v>440643.415043</v>
      </c>
      <c r="CA282" s="0" t="n">
        <v>510464.9675</v>
      </c>
      <c r="CB282" s="0" t="n">
        <v>119958.3701</v>
      </c>
      <c r="CC282" s="0" t="n">
        <v>0</v>
      </c>
      <c r="CD282" s="0" t="n">
        <v>203913.997208</v>
      </c>
      <c r="CE282" s="0" t="n">
        <v>527467.3457759999</v>
      </c>
      <c r="CF282" s="0" t="n">
        <v>160051.330045</v>
      </c>
      <c r="CG282" s="0" t="n">
        <v>78534.64999999999</v>
      </c>
      <c r="CH282" s="0" t="n">
        <v>1222648.632762</v>
      </c>
      <c r="CI282" s="0" t="n">
        <v>2894009.992738</v>
      </c>
      <c r="CJ282" s="0" t="n">
        <v>777795.6</v>
      </c>
    </row>
    <row r="283" ht="14.4975" customHeight="1" s="64">
      <c r="BF283" s="0" t="inlineStr">
        <is>
          <t>2027BUD_V1</t>
        </is>
      </c>
      <c r="BG283" s="0" t="inlineStr">
        <is>
          <t>V02</t>
        </is>
      </c>
      <c r="BH283" s="0" t="inlineStr">
        <is>
          <t>12</t>
        </is>
      </c>
      <c r="BI283" s="0" t="inlineStr">
        <is>
          <t>2027</t>
        </is>
      </c>
      <c r="BJ283" s="0" t="inlineStr">
        <is>
          <t>MBWAY_PAR</t>
        </is>
      </c>
      <c r="BK283" s="0" t="inlineStr">
        <is>
          <t>MBWAY</t>
        </is>
      </c>
      <c r="BL283" s="0" t="inlineStr">
        <is>
          <t>BAC_MGT</t>
        </is>
      </c>
      <c r="BM283" s="0" t="inlineStr">
        <is>
          <t>B3</t>
        </is>
      </c>
      <c r="BN283" s="0" t="inlineStr">
        <is>
          <t>ALT</t>
        </is>
      </c>
      <c r="BO283" s="0" t="n">
        <v>75.14</v>
      </c>
      <c r="BP283" s="0" t="n">
        <v>3</v>
      </c>
      <c r="BQ283" s="0" t="n">
        <v>613839.6992</v>
      </c>
      <c r="BR283" s="0" t="n">
        <v>40782.799442</v>
      </c>
      <c r="BS283" s="0" t="n">
        <v>105493.469155</v>
      </c>
      <c r="BT283" s="0" t="n">
        <v>28274.828017</v>
      </c>
      <c r="BU283" s="0" t="n">
        <v>244529.726552</v>
      </c>
      <c r="BV283" s="0" t="n">
        <v>19748.921549</v>
      </c>
      <c r="BW283" s="0" t="n">
        <v>70871.297787</v>
      </c>
      <c r="BX283" s="0" t="n">
        <v>90620.21933599999</v>
      </c>
      <c r="BY283" s="0" t="n">
        <v>69057.627459</v>
      </c>
      <c r="BZ283" s="0" t="n">
        <v>440643.415043</v>
      </c>
      <c r="CA283" s="0" t="n">
        <v>509701.042502</v>
      </c>
      <c r="CB283" s="0" t="n">
        <v>104138.656698</v>
      </c>
      <c r="CC283" s="0" t="n">
        <v>0</v>
      </c>
      <c r="CD283" s="0" t="n">
        <v>203913.997208</v>
      </c>
      <c r="CE283" s="0" t="n">
        <v>527467.3457759999</v>
      </c>
      <c r="CF283" s="0" t="n">
        <v>160051.330045</v>
      </c>
      <c r="CG283" s="0" t="n">
        <v>78534.64999999999</v>
      </c>
      <c r="CH283" s="0" t="n">
        <v>1222648.632762</v>
      </c>
      <c r="CI283" s="0" t="n">
        <v>2894009.992738</v>
      </c>
      <c r="CJ283" s="0" t="n">
        <v>777795.6</v>
      </c>
    </row>
    <row r="284" ht="14.4975" customHeight="1" s="64">
      <c r="BF284" s="0" t="inlineStr">
        <is>
          <t>2027BUD_V1</t>
        </is>
      </c>
      <c r="BG284" s="0" t="inlineStr">
        <is>
          <t>V02</t>
        </is>
      </c>
      <c r="BH284" s="0" t="inlineStr">
        <is>
          <t>12</t>
        </is>
      </c>
      <c r="BI284" s="0" t="inlineStr">
        <is>
          <t>2027</t>
        </is>
      </c>
      <c r="BJ284" s="0" t="inlineStr">
        <is>
          <t>MBWAY_PAR</t>
        </is>
      </c>
      <c r="BK284" s="0" t="inlineStr">
        <is>
          <t>MBWAY</t>
        </is>
      </c>
      <c r="BL284" s="0" t="inlineStr">
        <is>
          <t>MAS_MGT</t>
        </is>
      </c>
      <c r="BM284" s="0" t="inlineStr">
        <is>
          <t>M1</t>
        </is>
      </c>
      <c r="BN284" s="0" t="inlineStr">
        <is>
          <t>ALT</t>
        </is>
      </c>
      <c r="BO284" s="0" t="n">
        <v>100.625128</v>
      </c>
      <c r="BP284" s="0" t="n">
        <v>3</v>
      </c>
      <c r="BQ284" s="0" t="n">
        <v>889807.881878</v>
      </c>
      <c r="BR284" s="0" t="n">
        <v>35684.949511</v>
      </c>
      <c r="BS284" s="0" t="n">
        <v>92306.78551099999</v>
      </c>
      <c r="BT284" s="0" t="n">
        <v>78214.159019</v>
      </c>
      <c r="BU284" s="0" t="n">
        <v>244529.726552</v>
      </c>
      <c r="BV284" s="0" t="n">
        <v>19748.921549</v>
      </c>
      <c r="BW284" s="0" t="n">
        <v>70871.297787</v>
      </c>
      <c r="BX284" s="0" t="n">
        <v>90620.21933599999</v>
      </c>
      <c r="BY284" s="0" t="n">
        <v>113899.10853</v>
      </c>
      <c r="BZ284" s="0" t="n">
        <v>427456.731399</v>
      </c>
      <c r="CA284" s="0" t="n">
        <v>541355.839929</v>
      </c>
      <c r="CB284" s="0" t="n">
        <v>348452.041949</v>
      </c>
      <c r="CC284" s="0" t="n">
        <v>100.625128</v>
      </c>
      <c r="CD284" s="0" t="n">
        <v>203913.997208</v>
      </c>
      <c r="CE284" s="0" t="n">
        <v>527467.3457759999</v>
      </c>
      <c r="CF284" s="0" t="n">
        <v>160051.330045</v>
      </c>
      <c r="CG284" s="0" t="n">
        <v>78534.64999999999</v>
      </c>
      <c r="CH284" s="0" t="n">
        <v>1222648.632762</v>
      </c>
      <c r="CI284" s="0" t="n">
        <v>2894009.992738</v>
      </c>
      <c r="CJ284" s="0" t="n">
        <v>777795.6</v>
      </c>
    </row>
    <row r="285" ht="14.4975" customHeight="1" s="64">
      <c r="BF285" s="0" t="inlineStr">
        <is>
          <t>2027BUD_V1</t>
        </is>
      </c>
      <c r="BG285" s="0" t="inlineStr">
        <is>
          <t>V02</t>
        </is>
      </c>
      <c r="BH285" s="0" t="inlineStr">
        <is>
          <t>12</t>
        </is>
      </c>
      <c r="BI285" s="0" t="inlineStr">
        <is>
          <t>2027</t>
        </is>
      </c>
      <c r="BJ285" s="0" t="inlineStr">
        <is>
          <t>MBWAY_PAR</t>
        </is>
      </c>
      <c r="BK285" s="0" t="inlineStr">
        <is>
          <t>MBWAY</t>
        </is>
      </c>
      <c r="BL285" s="0" t="inlineStr">
        <is>
          <t>MAS_MGT</t>
        </is>
      </c>
      <c r="BM285" s="0" t="inlineStr">
        <is>
          <t>M2</t>
        </is>
      </c>
      <c r="BN285" s="0" t="inlineStr">
        <is>
          <t>ALT</t>
        </is>
      </c>
      <c r="BO285" s="0" t="n">
        <v>77.17</v>
      </c>
      <c r="BP285" s="0" t="n">
        <v>3</v>
      </c>
      <c r="BQ285" s="0" t="n">
        <v>675453.576</v>
      </c>
      <c r="BR285" s="0" t="n">
        <v>35684.949511</v>
      </c>
      <c r="BS285" s="0" t="n">
        <v>92306.78551099999</v>
      </c>
      <c r="BT285" s="0" t="n">
        <v>29038.753015</v>
      </c>
      <c r="BU285" s="0" t="n">
        <v>244529.726552</v>
      </c>
      <c r="BV285" s="0" t="n">
        <v>19748.921549</v>
      </c>
      <c r="BW285" s="0" t="n">
        <v>70871.297787</v>
      </c>
      <c r="BX285" s="0" t="n">
        <v>90620.21933599999</v>
      </c>
      <c r="BY285" s="0" t="n">
        <v>64723.702526</v>
      </c>
      <c r="BZ285" s="0" t="n">
        <v>427456.731399</v>
      </c>
      <c r="CA285" s="0" t="n">
        <v>492180.433925</v>
      </c>
      <c r="CB285" s="0" t="n">
        <v>183273.142075</v>
      </c>
      <c r="CC285" s="0" t="n">
        <v>0</v>
      </c>
      <c r="CD285" s="0" t="n">
        <v>203913.997208</v>
      </c>
      <c r="CE285" s="0" t="n">
        <v>527467.3457759999</v>
      </c>
      <c r="CF285" s="0" t="n">
        <v>160051.330045</v>
      </c>
      <c r="CG285" s="0" t="n">
        <v>78534.64999999999</v>
      </c>
      <c r="CH285" s="0" t="n">
        <v>1222648.632762</v>
      </c>
      <c r="CI285" s="0" t="n">
        <v>2894009.992738</v>
      </c>
      <c r="CJ285" s="0" t="n">
        <v>777795.6</v>
      </c>
    </row>
    <row r="286" ht="14.4975" customHeight="1" s="64">
      <c r="BF286" s="0" t="inlineStr">
        <is>
          <t>2027BUD_V1</t>
        </is>
      </c>
      <c r="BG286" s="0" t="inlineStr">
        <is>
          <t>V02</t>
        </is>
      </c>
      <c r="BH286" s="0" t="inlineStr">
        <is>
          <t>12</t>
        </is>
      </c>
      <c r="BI286" s="0" t="inlineStr">
        <is>
          <t>2027</t>
        </is>
      </c>
      <c r="BJ286" s="0" t="inlineStr">
        <is>
          <t>PIGIER_BOR</t>
        </is>
      </c>
      <c r="BK286" s="0" t="inlineStr">
        <is>
          <t>PIGIER</t>
        </is>
      </c>
      <c r="BL286" s="0" t="inlineStr">
        <is>
          <t>BTS_GES</t>
        </is>
      </c>
      <c r="BM286" s="0" t="inlineStr">
        <is>
          <t>BTS1</t>
        </is>
      </c>
      <c r="BN286" s="0" t="inlineStr">
        <is>
          <t>ALT</t>
        </is>
      </c>
      <c r="BO286" s="0" t="n">
        <v>46.478135</v>
      </c>
      <c r="BP286" s="0" t="n">
        <v>2</v>
      </c>
      <c r="BQ286" s="0" t="n">
        <v>283206.61434</v>
      </c>
      <c r="BR286" s="0" t="n">
        <v>26805.371391</v>
      </c>
      <c r="BS286" s="0" t="n">
        <v>47324.717869</v>
      </c>
      <c r="BT286" s="0" t="n">
        <v>26558.117321</v>
      </c>
      <c r="BU286" s="0" t="n">
        <v>70147.486185</v>
      </c>
      <c r="BV286" s="0" t="n">
        <v>7992.52945</v>
      </c>
      <c r="BW286" s="0" t="n">
        <v>33085.341631</v>
      </c>
      <c r="BX286" s="0" t="n">
        <v>41077.871081</v>
      </c>
      <c r="BY286" s="0" t="n">
        <v>53363.488712</v>
      </c>
      <c r="BZ286" s="0" t="n">
        <v>158550.075135</v>
      </c>
      <c r="CA286" s="0" t="n">
        <v>211913.563847</v>
      </c>
      <c r="CB286" s="0" t="n">
        <v>71293.050493</v>
      </c>
      <c r="CC286" s="0" t="n">
        <v>46.478135</v>
      </c>
      <c r="CD286" s="0" t="n">
        <v>108753.606372</v>
      </c>
      <c r="CE286" s="0" t="n">
        <v>192003.82131</v>
      </c>
      <c r="CF286" s="0" t="n">
        <v>59496.216244</v>
      </c>
      <c r="CG286" s="0" t="n">
        <v>25263.2</v>
      </c>
      <c r="CH286" s="0" t="n">
        <v>350737.430926</v>
      </c>
      <c r="CI286" s="0" t="n">
        <v>2894009.992738</v>
      </c>
      <c r="CJ286" s="0" t="n">
        <v>777795.6</v>
      </c>
    </row>
    <row r="287" ht="14.4975" customHeight="1" s="64">
      <c r="BF287" s="0" t="inlineStr">
        <is>
          <t>2027BUD_V1</t>
        </is>
      </c>
      <c r="BG287" s="0" t="inlineStr">
        <is>
          <t>V02</t>
        </is>
      </c>
      <c r="BH287" s="0" t="inlineStr">
        <is>
          <t>12</t>
        </is>
      </c>
      <c r="BI287" s="0" t="inlineStr">
        <is>
          <t>2027</t>
        </is>
      </c>
      <c r="BJ287" s="0" t="inlineStr">
        <is>
          <t>PIGIER_BOR</t>
        </is>
      </c>
      <c r="BK287" s="0" t="inlineStr">
        <is>
          <t>PIGIER</t>
        </is>
      </c>
      <c r="BL287" s="0" t="inlineStr">
        <is>
          <t>BTS_GES</t>
        </is>
      </c>
      <c r="BM287" s="0" t="inlineStr">
        <is>
          <t>BTS2</t>
        </is>
      </c>
      <c r="BN287" s="0" t="inlineStr">
        <is>
          <t>ALT</t>
        </is>
      </c>
      <c r="BO287" s="0" t="n">
        <v>35.54</v>
      </c>
      <c r="BP287" s="0" t="n">
        <v>2</v>
      </c>
      <c r="BQ287" s="0" t="n">
        <v>213358.3482</v>
      </c>
      <c r="BR287" s="0" t="n">
        <v>26805.371391</v>
      </c>
      <c r="BS287" s="0" t="n">
        <v>47324.717869</v>
      </c>
      <c r="BT287" s="0" t="n">
        <v>10649.049257</v>
      </c>
      <c r="BU287" s="0" t="n">
        <v>70147.486185</v>
      </c>
      <c r="BV287" s="0" t="n">
        <v>7992.52945</v>
      </c>
      <c r="BW287" s="0" t="n">
        <v>33085.341631</v>
      </c>
      <c r="BX287" s="0" t="n">
        <v>41077.871081</v>
      </c>
      <c r="BY287" s="0" t="n">
        <v>37454.420648</v>
      </c>
      <c r="BZ287" s="0" t="n">
        <v>158550.075135</v>
      </c>
      <c r="CA287" s="0" t="n">
        <v>196004.495783</v>
      </c>
      <c r="CB287" s="0" t="n">
        <v>17353.852417</v>
      </c>
      <c r="CC287" s="0" t="n">
        <v>0</v>
      </c>
      <c r="CD287" s="0" t="n">
        <v>108753.606372</v>
      </c>
      <c r="CE287" s="0" t="n">
        <v>192003.82131</v>
      </c>
      <c r="CF287" s="0" t="n">
        <v>59496.216244</v>
      </c>
      <c r="CG287" s="0" t="n">
        <v>25263.2</v>
      </c>
      <c r="CH287" s="0" t="n">
        <v>350737.430926</v>
      </c>
      <c r="CI287" s="0" t="n">
        <v>2894009.992738</v>
      </c>
      <c r="CJ287" s="0" t="n">
        <v>777795.6</v>
      </c>
    </row>
    <row r="288" ht="14.4975" customHeight="1" s="64">
      <c r="BF288" s="0" t="inlineStr">
        <is>
          <t>2027BUD_V1</t>
        </is>
      </c>
      <c r="BG288" s="0" t="inlineStr">
        <is>
          <t>V02</t>
        </is>
      </c>
      <c r="BH288" s="0" t="inlineStr">
        <is>
          <t>12</t>
        </is>
      </c>
      <c r="BI288" s="0" t="inlineStr">
        <is>
          <t>2027</t>
        </is>
      </c>
      <c r="BJ288" s="0" t="inlineStr">
        <is>
          <t>PIGIER_BOR</t>
        </is>
      </c>
      <c r="BK288" s="0" t="inlineStr">
        <is>
          <t>PIGIER</t>
        </is>
      </c>
      <c r="BL288" s="0" t="inlineStr">
        <is>
          <t>BAC_RH</t>
        </is>
      </c>
      <c r="BM288" s="0" t="inlineStr">
        <is>
          <t>B1</t>
        </is>
      </c>
      <c r="BN288" s="0" t="inlineStr">
        <is>
          <t>ALT</t>
        </is>
      </c>
      <c r="BO288" s="0" t="n">
        <v>46.478135</v>
      </c>
      <c r="BP288" s="0" t="n">
        <v>2</v>
      </c>
      <c r="BQ288" s="0" t="n">
        <v>329710.544704</v>
      </c>
      <c r="BR288" s="0" t="n">
        <v>18380.882027</v>
      </c>
      <c r="BS288" s="0" t="n">
        <v>32451.333855</v>
      </c>
      <c r="BT288" s="0" t="n">
        <v>26558.117321</v>
      </c>
      <c r="BU288" s="0" t="n">
        <v>70147.486185</v>
      </c>
      <c r="BV288" s="0" t="n">
        <v>7992.52945</v>
      </c>
      <c r="BW288" s="0" t="n">
        <v>33085.341631</v>
      </c>
      <c r="BX288" s="0" t="n">
        <v>41077.871081</v>
      </c>
      <c r="BY288" s="0" t="n">
        <v>44938.999348</v>
      </c>
      <c r="BZ288" s="0" t="n">
        <v>143676.691121</v>
      </c>
      <c r="CA288" s="0" t="n">
        <v>188615.690469</v>
      </c>
      <c r="CB288" s="0" t="n">
        <v>141094.854235</v>
      </c>
      <c r="CC288" s="0" t="n">
        <v>46.478135</v>
      </c>
      <c r="CD288" s="0" t="n">
        <v>108753.606372</v>
      </c>
      <c r="CE288" s="0" t="n">
        <v>192003.82131</v>
      </c>
      <c r="CF288" s="0" t="n">
        <v>59496.216244</v>
      </c>
      <c r="CG288" s="0" t="n">
        <v>25263.2</v>
      </c>
      <c r="CH288" s="0" t="n">
        <v>350737.430926</v>
      </c>
      <c r="CI288" s="0" t="n">
        <v>2894009.992738</v>
      </c>
      <c r="CJ288" s="0" t="n">
        <v>777795.6</v>
      </c>
    </row>
    <row r="289" ht="14.4975" customHeight="1" s="64">
      <c r="BF289" s="0" t="inlineStr">
        <is>
          <t>2027BUD_V1</t>
        </is>
      </c>
      <c r="BG289" s="0" t="inlineStr">
        <is>
          <t>V02</t>
        </is>
      </c>
      <c r="BH289" s="0" t="inlineStr">
        <is>
          <t>12</t>
        </is>
      </c>
      <c r="BI289" s="0" t="inlineStr">
        <is>
          <t>2027</t>
        </is>
      </c>
      <c r="BJ289" s="0" t="inlineStr">
        <is>
          <t>PIGIER_BOR</t>
        </is>
      </c>
      <c r="BK289" s="0" t="inlineStr">
        <is>
          <t>PIGIER</t>
        </is>
      </c>
      <c r="BL289" s="0" t="inlineStr">
        <is>
          <t>BAC_RH</t>
        </is>
      </c>
      <c r="BM289" s="0" t="inlineStr">
        <is>
          <t>B2</t>
        </is>
      </c>
      <c r="BN289" s="0" t="inlineStr">
        <is>
          <t>ALT</t>
        </is>
      </c>
      <c r="BO289" s="0" t="n">
        <v>35.54</v>
      </c>
      <c r="BP289" s="0" t="n">
        <v>2</v>
      </c>
      <c r="BQ289" s="0" t="n">
        <v>248918.0729</v>
      </c>
      <c r="BR289" s="0" t="n">
        <v>18380.882027</v>
      </c>
      <c r="BS289" s="0" t="n">
        <v>32451.333855</v>
      </c>
      <c r="BT289" s="0" t="n">
        <v>10649.049257</v>
      </c>
      <c r="BU289" s="0" t="n">
        <v>70147.486185</v>
      </c>
      <c r="BV289" s="0" t="n">
        <v>7992.52945</v>
      </c>
      <c r="BW289" s="0" t="n">
        <v>33085.341631</v>
      </c>
      <c r="BX289" s="0" t="n">
        <v>41077.871081</v>
      </c>
      <c r="BY289" s="0" t="n">
        <v>29029.931284</v>
      </c>
      <c r="BZ289" s="0" t="n">
        <v>143676.691121</v>
      </c>
      <c r="CA289" s="0" t="n">
        <v>172706.622405</v>
      </c>
      <c r="CB289" s="0" t="n">
        <v>76211.450495</v>
      </c>
      <c r="CC289" s="0" t="n">
        <v>0</v>
      </c>
      <c r="CD289" s="0" t="n">
        <v>108753.606372</v>
      </c>
      <c r="CE289" s="0" t="n">
        <v>192003.82131</v>
      </c>
      <c r="CF289" s="0" t="n">
        <v>59496.216244</v>
      </c>
      <c r="CG289" s="0" t="n">
        <v>25263.2</v>
      </c>
      <c r="CH289" s="0" t="n">
        <v>350737.430926</v>
      </c>
      <c r="CI289" s="0" t="n">
        <v>2894009.992738</v>
      </c>
      <c r="CJ289" s="0" t="n">
        <v>777795.6</v>
      </c>
    </row>
    <row r="290" ht="14.4975" customHeight="1" s="64">
      <c r="BF290" s="0" t="inlineStr">
        <is>
          <t>2027BUD_V1</t>
        </is>
      </c>
      <c r="BG290" s="0" t="inlineStr">
        <is>
          <t>V02</t>
        </is>
      </c>
      <c r="BH290" s="0" t="inlineStr">
        <is>
          <t>12</t>
        </is>
      </c>
      <c r="BI290" s="0" t="inlineStr">
        <is>
          <t>2027</t>
        </is>
      </c>
      <c r="BJ290" s="0" t="inlineStr">
        <is>
          <t>PIGIER_BOR</t>
        </is>
      </c>
      <c r="BK290" s="0" t="inlineStr">
        <is>
          <t>PIGIER</t>
        </is>
      </c>
      <c r="BL290" s="0" t="inlineStr">
        <is>
          <t>BAC_RH</t>
        </is>
      </c>
      <c r="BM290" s="0" t="inlineStr">
        <is>
          <t>B3</t>
        </is>
      </c>
      <c r="BN290" s="0" t="inlineStr">
        <is>
          <t>ALT</t>
        </is>
      </c>
      <c r="BO290" s="0" t="n">
        <v>34.525</v>
      </c>
      <c r="BP290" s="0" t="n">
        <v>2</v>
      </c>
      <c r="BQ290" s="0" t="n">
        <v>241809.129625</v>
      </c>
      <c r="BR290" s="0" t="n">
        <v>18380.882027</v>
      </c>
      <c r="BS290" s="0" t="n">
        <v>32451.333855</v>
      </c>
      <c r="BT290" s="0" t="n">
        <v>10344.904599</v>
      </c>
      <c r="BU290" s="0" t="n">
        <v>70147.486185</v>
      </c>
      <c r="BV290" s="0" t="n">
        <v>7992.52945</v>
      </c>
      <c r="BW290" s="0" t="n">
        <v>33085.341631</v>
      </c>
      <c r="BX290" s="0" t="n">
        <v>41077.871081</v>
      </c>
      <c r="BY290" s="0" t="n">
        <v>28725.786626</v>
      </c>
      <c r="BZ290" s="0" t="n">
        <v>143676.691121</v>
      </c>
      <c r="CA290" s="0" t="n">
        <v>172402.477747</v>
      </c>
      <c r="CB290" s="0" t="n">
        <v>69406.651878</v>
      </c>
      <c r="CC290" s="0" t="n">
        <v>0</v>
      </c>
      <c r="CD290" s="0" t="n">
        <v>108753.606372</v>
      </c>
      <c r="CE290" s="0" t="n">
        <v>192003.82131</v>
      </c>
      <c r="CF290" s="0" t="n">
        <v>59496.216244</v>
      </c>
      <c r="CG290" s="0" t="n">
        <v>25263.2</v>
      </c>
      <c r="CH290" s="0" t="n">
        <v>350737.430926</v>
      </c>
      <c r="CI290" s="0" t="n">
        <v>2894009.992738</v>
      </c>
      <c r="CJ290" s="0" t="n">
        <v>777795.6</v>
      </c>
    </row>
    <row r="291" ht="14.4975" customHeight="1" s="64">
      <c r="BF291" s="0" t="inlineStr">
        <is>
          <t>2027BUD_V1</t>
        </is>
      </c>
      <c r="BG291" s="0" t="inlineStr">
        <is>
          <t>V02</t>
        </is>
      </c>
      <c r="BH291" s="0" t="inlineStr">
        <is>
          <t>12</t>
        </is>
      </c>
      <c r="BI291" s="0" t="inlineStr">
        <is>
          <t>2027</t>
        </is>
      </c>
      <c r="BJ291" s="0" t="inlineStr">
        <is>
          <t>PIGIER_LYO</t>
        </is>
      </c>
      <c r="BK291" s="0" t="inlineStr">
        <is>
          <t>PIGIER</t>
        </is>
      </c>
      <c r="BL291" s="0" t="inlineStr">
        <is>
          <t>BAC_RH</t>
        </is>
      </c>
      <c r="BM291" s="0" t="inlineStr">
        <is>
          <t>B3</t>
        </is>
      </c>
      <c r="BN291" s="0" t="inlineStr">
        <is>
          <t>ALT</t>
        </is>
      </c>
      <c r="BO291" s="0" t="n">
        <v>44.675</v>
      </c>
      <c r="BP291" s="0" t="n">
        <v>2</v>
      </c>
      <c r="BQ291" s="0" t="n">
        <v>338704.629375</v>
      </c>
      <c r="BR291" s="0" t="n">
        <v>18380.882027</v>
      </c>
      <c r="BS291" s="0" t="n">
        <v>42848.246782</v>
      </c>
      <c r="BT291" s="0" t="n">
        <v>13383.727715</v>
      </c>
      <c r="BU291" s="0" t="n">
        <v>108760.799506</v>
      </c>
      <c r="BV291" s="0" t="n">
        <v>10245.825777</v>
      </c>
      <c r="BW291" s="0" t="n">
        <v>42412.936759</v>
      </c>
      <c r="BX291" s="0" t="n">
        <v>52658.762536</v>
      </c>
      <c r="BY291" s="0" t="n">
        <v>31764.609742</v>
      </c>
      <c r="BZ291" s="0" t="n">
        <v>204267.808824</v>
      </c>
      <c r="CA291" s="0" t="n">
        <v>236032.418566</v>
      </c>
      <c r="CB291" s="0" t="n">
        <v>102672.210809</v>
      </c>
      <c r="CC291" s="0" t="n">
        <v>0</v>
      </c>
      <c r="CD291" s="0" t="n">
        <v>108753.606372</v>
      </c>
      <c r="CE291" s="0" t="n">
        <v>253518.92022</v>
      </c>
      <c r="CF291" s="0" t="n">
        <v>76255.777214</v>
      </c>
      <c r="CG291" s="0" t="n">
        <v>42103.8</v>
      </c>
      <c r="CH291" s="0" t="n">
        <v>543803.997532</v>
      </c>
      <c r="CI291" s="0" t="n">
        <v>2894009.992738</v>
      </c>
      <c r="CJ291" s="0" t="n">
        <v>777795.6</v>
      </c>
    </row>
    <row r="292" ht="14.4975" customHeight="1" s="64">
      <c r="BF292" s="0" t="inlineStr">
        <is>
          <t>2027BUD_V1</t>
        </is>
      </c>
      <c r="BG292" s="0" t="inlineStr">
        <is>
          <t>V02</t>
        </is>
      </c>
      <c r="BH292" s="0" t="inlineStr">
        <is>
          <t>12</t>
        </is>
      </c>
      <c r="BI292" s="0" t="inlineStr">
        <is>
          <t>2027</t>
        </is>
      </c>
      <c r="BJ292" s="0" t="inlineStr">
        <is>
          <t>PIGIER_LYO</t>
        </is>
      </c>
      <c r="BK292" s="0" t="inlineStr">
        <is>
          <t>PIGIER</t>
        </is>
      </c>
      <c r="BL292" s="0" t="inlineStr">
        <is>
          <t>BAC_RH</t>
        </is>
      </c>
      <c r="BM292" s="0" t="inlineStr">
        <is>
          <t>B2</t>
        </is>
      </c>
      <c r="BN292" s="0" t="inlineStr">
        <is>
          <t>ALT</t>
        </is>
      </c>
      <c r="BO292" s="0" t="n">
        <v>45.69</v>
      </c>
      <c r="BP292" s="0" t="n">
        <v>2</v>
      </c>
      <c r="BQ292" s="0" t="n">
        <v>346399.87725</v>
      </c>
      <c r="BR292" s="0" t="n">
        <v>18380.882027</v>
      </c>
      <c r="BS292" s="0" t="n">
        <v>42848.246782</v>
      </c>
      <c r="BT292" s="0" t="n">
        <v>13687.835754</v>
      </c>
      <c r="BU292" s="0" t="n">
        <v>108760.799506</v>
      </c>
      <c r="BV292" s="0" t="n">
        <v>10245.825777</v>
      </c>
      <c r="BW292" s="0" t="n">
        <v>42412.936759</v>
      </c>
      <c r="BX292" s="0" t="n">
        <v>52658.762536</v>
      </c>
      <c r="BY292" s="0" t="n">
        <v>32068.717781</v>
      </c>
      <c r="BZ292" s="0" t="n">
        <v>204267.808824</v>
      </c>
      <c r="CA292" s="0" t="n">
        <v>236336.526605</v>
      </c>
      <c r="CB292" s="0" t="n">
        <v>110063.350645</v>
      </c>
      <c r="CC292" s="0" t="n">
        <v>0</v>
      </c>
      <c r="CD292" s="0" t="n">
        <v>108753.606372</v>
      </c>
      <c r="CE292" s="0" t="n">
        <v>253518.92022</v>
      </c>
      <c r="CF292" s="0" t="n">
        <v>76255.777214</v>
      </c>
      <c r="CG292" s="0" t="n">
        <v>42103.8</v>
      </c>
      <c r="CH292" s="0" t="n">
        <v>543803.997532</v>
      </c>
      <c r="CI292" s="0" t="n">
        <v>2894009.992738</v>
      </c>
      <c r="CJ292" s="0" t="n">
        <v>777795.6</v>
      </c>
    </row>
    <row r="293" ht="14.4975" customHeight="1" s="64">
      <c r="BF293" s="0" t="inlineStr">
        <is>
          <t>2027BUD_V1</t>
        </is>
      </c>
      <c r="BG293" s="0" t="inlineStr">
        <is>
          <t>V02</t>
        </is>
      </c>
      <c r="BH293" s="0" t="inlineStr">
        <is>
          <t>12</t>
        </is>
      </c>
      <c r="BI293" s="0" t="inlineStr">
        <is>
          <t>2027</t>
        </is>
      </c>
      <c r="BJ293" s="0" t="inlineStr">
        <is>
          <t>PIGIER_LYO</t>
        </is>
      </c>
      <c r="BK293" s="0" t="inlineStr">
        <is>
          <t>PIGIER</t>
        </is>
      </c>
      <c r="BL293" s="0" t="inlineStr">
        <is>
          <t>BTS_GES</t>
        </is>
      </c>
      <c r="BM293" s="0" t="inlineStr">
        <is>
          <t>BTS1</t>
        </is>
      </c>
      <c r="BN293" s="0" t="inlineStr">
        <is>
          <t>ALT</t>
        </is>
      </c>
      <c r="BO293" s="0" t="n">
        <v>59.243083</v>
      </c>
      <c r="BP293" s="0" t="n">
        <v>2</v>
      </c>
      <c r="BQ293" s="0" t="n">
        <v>390320.090191</v>
      </c>
      <c r="BR293" s="0" t="n">
        <v>26805.371391</v>
      </c>
      <c r="BS293" s="0" t="n">
        <v>62486.836418</v>
      </c>
      <c r="BT293" s="0" t="n">
        <v>38799.974612</v>
      </c>
      <c r="BU293" s="0" t="n">
        <v>108760.799506</v>
      </c>
      <c r="BV293" s="0" t="n">
        <v>10245.825777</v>
      </c>
      <c r="BW293" s="0" t="n">
        <v>42412.936759</v>
      </c>
      <c r="BX293" s="0" t="n">
        <v>52658.762536</v>
      </c>
      <c r="BY293" s="0" t="n">
        <v>65605.346003</v>
      </c>
      <c r="BZ293" s="0" t="n">
        <v>223906.39846</v>
      </c>
      <c r="CA293" s="0" t="n">
        <v>289511.744463</v>
      </c>
      <c r="CB293" s="0" t="n">
        <v>100808.345728</v>
      </c>
      <c r="CC293" s="0" t="n">
        <v>59.243083</v>
      </c>
      <c r="CD293" s="0" t="n">
        <v>108753.606372</v>
      </c>
      <c r="CE293" s="0" t="n">
        <v>253518.92022</v>
      </c>
      <c r="CF293" s="0" t="n">
        <v>76255.777214</v>
      </c>
      <c r="CG293" s="0" t="n">
        <v>42103.8</v>
      </c>
      <c r="CH293" s="0" t="n">
        <v>543803.997532</v>
      </c>
      <c r="CI293" s="0" t="n">
        <v>2894009.992738</v>
      </c>
      <c r="CJ293" s="0" t="n">
        <v>777795.6</v>
      </c>
    </row>
    <row r="294" ht="14.4975" customHeight="1" s="64">
      <c r="BF294" s="0" t="inlineStr">
        <is>
          <t>2027BUD_V1</t>
        </is>
      </c>
      <c r="BG294" s="0" t="inlineStr">
        <is>
          <t>V02</t>
        </is>
      </c>
      <c r="BH294" s="0" t="inlineStr">
        <is>
          <t>12</t>
        </is>
      </c>
      <c r="BI294" s="0" t="inlineStr">
        <is>
          <t>2027</t>
        </is>
      </c>
      <c r="BJ294" s="0" t="inlineStr">
        <is>
          <t>PIGIER_LYO</t>
        </is>
      </c>
      <c r="BK294" s="0" t="inlineStr">
        <is>
          <t>PIGIER</t>
        </is>
      </c>
      <c r="BL294" s="0" t="inlineStr">
        <is>
          <t>BTS_GES</t>
        </is>
      </c>
      <c r="BM294" s="0" t="inlineStr">
        <is>
          <t>BTS2</t>
        </is>
      </c>
      <c r="BN294" s="0" t="inlineStr">
        <is>
          <t>ALT</t>
        </is>
      </c>
      <c r="BO294" s="0" t="n">
        <v>45.69</v>
      </c>
      <c r="BP294" s="0" t="n">
        <v>2</v>
      </c>
      <c r="BQ294" s="0" t="n">
        <v>296914.1805</v>
      </c>
      <c r="BR294" s="0" t="n">
        <v>26805.371391</v>
      </c>
      <c r="BS294" s="0" t="n">
        <v>62486.836418</v>
      </c>
      <c r="BT294" s="0" t="n">
        <v>13687.835754</v>
      </c>
      <c r="BU294" s="0" t="n">
        <v>108760.799506</v>
      </c>
      <c r="BV294" s="0" t="n">
        <v>10245.825777</v>
      </c>
      <c r="BW294" s="0" t="n">
        <v>42412.936759</v>
      </c>
      <c r="BX294" s="0" t="n">
        <v>52658.762536</v>
      </c>
      <c r="BY294" s="0" t="n">
        <v>40493.207145</v>
      </c>
      <c r="BZ294" s="0" t="n">
        <v>223906.39846</v>
      </c>
      <c r="CA294" s="0" t="n">
        <v>264399.605605</v>
      </c>
      <c r="CB294" s="0" t="n">
        <v>32514.574895</v>
      </c>
      <c r="CC294" s="0" t="n">
        <v>0</v>
      </c>
      <c r="CD294" s="0" t="n">
        <v>108753.606372</v>
      </c>
      <c r="CE294" s="0" t="n">
        <v>253518.92022</v>
      </c>
      <c r="CF294" s="0" t="n">
        <v>76255.777214</v>
      </c>
      <c r="CG294" s="0" t="n">
        <v>42103.8</v>
      </c>
      <c r="CH294" s="0" t="n">
        <v>543803.997532</v>
      </c>
      <c r="CI294" s="0" t="n">
        <v>2894009.992738</v>
      </c>
      <c r="CJ294" s="0" t="n">
        <v>777795.6</v>
      </c>
    </row>
    <row r="295" ht="14.4975" customHeight="1" s="64">
      <c r="BF295" s="0" t="inlineStr">
        <is>
          <t>2027BUD_V1</t>
        </is>
      </c>
      <c r="BG295" s="0" t="inlineStr">
        <is>
          <t>V02</t>
        </is>
      </c>
      <c r="BH295" s="0" t="inlineStr">
        <is>
          <t>12</t>
        </is>
      </c>
      <c r="BI295" s="0" t="inlineStr">
        <is>
          <t>2027</t>
        </is>
      </c>
      <c r="BJ295" s="0" t="inlineStr">
        <is>
          <t>PIGIER_LYO</t>
        </is>
      </c>
      <c r="BK295" s="0" t="inlineStr">
        <is>
          <t>PIGIER</t>
        </is>
      </c>
      <c r="BL295" s="0" t="inlineStr">
        <is>
          <t>BAC_RH</t>
        </is>
      </c>
      <c r="BM295" s="0" t="inlineStr">
        <is>
          <t>B1</t>
        </is>
      </c>
      <c r="BN295" s="0" t="inlineStr">
        <is>
          <t>ALT</t>
        </is>
      </c>
      <c r="BO295" s="0" t="n">
        <v>59.243083</v>
      </c>
      <c r="BP295" s="0" t="n">
        <v>2</v>
      </c>
      <c r="BQ295" s="0" t="n">
        <v>454484.792312</v>
      </c>
      <c r="BR295" s="0" t="n">
        <v>18380.882027</v>
      </c>
      <c r="BS295" s="0" t="n">
        <v>42848.246782</v>
      </c>
      <c r="BT295" s="0" t="n">
        <v>38799.974612</v>
      </c>
      <c r="BU295" s="0" t="n">
        <v>108760.799506</v>
      </c>
      <c r="BV295" s="0" t="n">
        <v>10245.825777</v>
      </c>
      <c r="BW295" s="0" t="n">
        <v>42412.936759</v>
      </c>
      <c r="BX295" s="0" t="n">
        <v>52658.762536</v>
      </c>
      <c r="BY295" s="0" t="n">
        <v>57180.856639</v>
      </c>
      <c r="BZ295" s="0" t="n">
        <v>204267.808824</v>
      </c>
      <c r="CA295" s="0" t="n">
        <v>261448.665463</v>
      </c>
      <c r="CB295" s="0" t="n">
        <v>193036.126849</v>
      </c>
      <c r="CC295" s="0" t="n">
        <v>59.243083</v>
      </c>
      <c r="CD295" s="0" t="n">
        <v>108753.606372</v>
      </c>
      <c r="CE295" s="0" t="n">
        <v>253518.92022</v>
      </c>
      <c r="CF295" s="0" t="n">
        <v>76255.777214</v>
      </c>
      <c r="CG295" s="0" t="n">
        <v>42103.8</v>
      </c>
      <c r="CH295" s="0" t="n">
        <v>543803.997532</v>
      </c>
      <c r="CI295" s="0" t="n">
        <v>2894009.992738</v>
      </c>
      <c r="CJ295" s="0" t="n">
        <v>777795.6</v>
      </c>
    </row>
    <row r="296" ht="14.4975" customHeight="1" s="64">
      <c r="BF296" s="0" t="inlineStr">
        <is>
          <t>2027BUD_V1</t>
        </is>
      </c>
      <c r="BG296" s="0" t="inlineStr">
        <is>
          <t>V02</t>
        </is>
      </c>
      <c r="BH296" s="0" t="inlineStr">
        <is>
          <t>12</t>
        </is>
      </c>
      <c r="BI296" s="0" t="inlineStr">
        <is>
          <t>2027</t>
        </is>
      </c>
      <c r="BJ296" s="0" t="inlineStr">
        <is>
          <t>TUNON_LYO</t>
        </is>
      </c>
      <c r="BK296" s="0" t="inlineStr">
        <is>
          <t>TUNON</t>
        </is>
      </c>
      <c r="BL296" s="0" t="inlineStr">
        <is>
          <t>BAC_TOU</t>
        </is>
      </c>
      <c r="BM296" s="0" t="inlineStr">
        <is>
          <t>B1</t>
        </is>
      </c>
      <c r="BN296" s="0" t="inlineStr">
        <is>
          <t>ALT</t>
        </is>
      </c>
      <c r="BO296" s="0" t="n">
        <v>51.592495</v>
      </c>
      <c r="BP296" s="0" t="n">
        <v>2</v>
      </c>
      <c r="BQ296" s="0" t="n">
        <v>397783.940606</v>
      </c>
      <c r="BR296" s="0" t="n">
        <v>27188.655907</v>
      </c>
      <c r="BS296" s="0" t="n">
        <v>65118.826425</v>
      </c>
      <c r="BT296" s="0" t="n">
        <v>41165.524675</v>
      </c>
      <c r="BU296" s="0" t="n">
        <v>126208.896567</v>
      </c>
      <c r="BV296" s="0" t="n">
        <v>9951.11513</v>
      </c>
      <c r="BW296" s="0" t="n">
        <v>36040.093053</v>
      </c>
      <c r="BX296" s="0" t="n">
        <v>45991.208183</v>
      </c>
      <c r="BY296" s="0" t="n">
        <v>68354.180582</v>
      </c>
      <c r="BZ296" s="0" t="n">
        <v>237318.931175</v>
      </c>
      <c r="CA296" s="0" t="n">
        <v>305673.111757</v>
      </c>
      <c r="CB296" s="0" t="n">
        <v>92110.828849</v>
      </c>
      <c r="CC296" s="0" t="n">
        <v>51.592495</v>
      </c>
      <c r="CD296" s="0" t="n">
        <v>81566.04928799999</v>
      </c>
      <c r="CE296" s="0" t="n">
        <v>195356.674632</v>
      </c>
      <c r="CF296" s="0" t="n">
        <v>49020.927631</v>
      </c>
      <c r="CG296" s="0" t="n">
        <v>21677.5</v>
      </c>
      <c r="CH296" s="0" t="n">
        <v>378627.068329</v>
      </c>
      <c r="CI296" s="0" t="n">
        <v>2894009.992738</v>
      </c>
      <c r="CJ296" s="0" t="n">
        <v>777795.6</v>
      </c>
    </row>
    <row r="297" ht="14.4975" customHeight="1" s="64">
      <c r="BF297" s="0" t="inlineStr">
        <is>
          <t>2027BUD_V1</t>
        </is>
      </c>
      <c r="BG297" s="0" t="inlineStr">
        <is>
          <t>V02</t>
        </is>
      </c>
      <c r="BH297" s="0" t="inlineStr">
        <is>
          <t>12</t>
        </is>
      </c>
      <c r="BI297" s="0" t="inlineStr">
        <is>
          <t>2027</t>
        </is>
      </c>
      <c r="BJ297" s="0" t="inlineStr">
        <is>
          <t>TUNON_LYO</t>
        </is>
      </c>
      <c r="BK297" s="0" t="inlineStr">
        <is>
          <t>TUNON</t>
        </is>
      </c>
      <c r="BL297" s="0" t="inlineStr">
        <is>
          <t>BAC_TOU</t>
        </is>
      </c>
      <c r="BM297" s="0" t="inlineStr">
        <is>
          <t>B2</t>
        </is>
      </c>
      <c r="BN297" s="0" t="inlineStr">
        <is>
          <t>ALT</t>
        </is>
      </c>
      <c r="BO297" s="0" t="n">
        <v>39.6</v>
      </c>
      <c r="BP297" s="0" t="n">
        <v>2</v>
      </c>
      <c r="BQ297" s="0" t="n">
        <v>301756.455</v>
      </c>
      <c r="BR297" s="0" t="n">
        <v>27188.655907</v>
      </c>
      <c r="BS297" s="0" t="n">
        <v>65118.826425</v>
      </c>
      <c r="BT297" s="0" t="n">
        <v>14958.098795</v>
      </c>
      <c r="BU297" s="0" t="n">
        <v>126208.896567</v>
      </c>
      <c r="BV297" s="0" t="n">
        <v>9951.11513</v>
      </c>
      <c r="BW297" s="0" t="n">
        <v>36040.093053</v>
      </c>
      <c r="BX297" s="0" t="n">
        <v>45991.208183</v>
      </c>
      <c r="BY297" s="0" t="n">
        <v>42146.754702</v>
      </c>
      <c r="BZ297" s="0" t="n">
        <v>237318.931175</v>
      </c>
      <c r="CA297" s="0" t="n">
        <v>279465.685877</v>
      </c>
      <c r="CB297" s="0" t="n">
        <v>22290.769123</v>
      </c>
      <c r="CC297" s="0" t="n">
        <v>0</v>
      </c>
      <c r="CD297" s="0" t="n">
        <v>81566.04928799999</v>
      </c>
      <c r="CE297" s="0" t="n">
        <v>195356.674632</v>
      </c>
      <c r="CF297" s="0" t="n">
        <v>49020.927631</v>
      </c>
      <c r="CG297" s="0" t="n">
        <v>21677.5</v>
      </c>
      <c r="CH297" s="0" t="n">
        <v>378627.068329</v>
      </c>
      <c r="CI297" s="0" t="n">
        <v>2894009.992738</v>
      </c>
      <c r="CJ297" s="0" t="n">
        <v>777795.6</v>
      </c>
    </row>
    <row r="298" ht="14.4975" customHeight="1" s="64">
      <c r="BF298" s="0" t="inlineStr">
        <is>
          <t>2027BUD_V1</t>
        </is>
      </c>
      <c r="BG298" s="0" t="inlineStr">
        <is>
          <t>V02</t>
        </is>
      </c>
      <c r="BH298" s="0" t="inlineStr">
        <is>
          <t>12</t>
        </is>
      </c>
      <c r="BI298" s="0" t="inlineStr">
        <is>
          <t>2027</t>
        </is>
      </c>
      <c r="BJ298" s="0" t="inlineStr">
        <is>
          <t>TUNON_LYO</t>
        </is>
      </c>
      <c r="BK298" s="0" t="inlineStr">
        <is>
          <t>TUNON</t>
        </is>
      </c>
      <c r="BL298" s="0" t="inlineStr">
        <is>
          <t>BAC_TOU</t>
        </is>
      </c>
      <c r="BM298" s="0" t="inlineStr">
        <is>
          <t>B3</t>
        </is>
      </c>
      <c r="BN298" s="0" t="inlineStr">
        <is>
          <t>ALT</t>
        </is>
      </c>
      <c r="BO298" s="0" t="n">
        <v>38.585</v>
      </c>
      <c r="BP298" s="0" t="n">
        <v>2</v>
      </c>
      <c r="BQ298" s="0" t="n">
        <v>294022.040813</v>
      </c>
      <c r="BR298" s="0" t="n">
        <v>27188.655907</v>
      </c>
      <c r="BS298" s="0" t="n">
        <v>65118.826425</v>
      </c>
      <c r="BT298" s="0" t="n">
        <v>14574.70612</v>
      </c>
      <c r="BU298" s="0" t="n">
        <v>126208.896567</v>
      </c>
      <c r="BV298" s="0" t="n">
        <v>9951.11513</v>
      </c>
      <c r="BW298" s="0" t="n">
        <v>36040.093053</v>
      </c>
      <c r="BX298" s="0" t="n">
        <v>45991.208183</v>
      </c>
      <c r="BY298" s="0" t="n">
        <v>41763.362027</v>
      </c>
      <c r="BZ298" s="0" t="n">
        <v>237318.931175</v>
      </c>
      <c r="CA298" s="0" t="n">
        <v>279082.293202</v>
      </c>
      <c r="CB298" s="0" t="n">
        <v>14939.747611</v>
      </c>
      <c r="CC298" s="0" t="n">
        <v>0</v>
      </c>
      <c r="CD298" s="0" t="n">
        <v>81566.04928799999</v>
      </c>
      <c r="CE298" s="0" t="n">
        <v>195356.674632</v>
      </c>
      <c r="CF298" s="0" t="n">
        <v>49020.927631</v>
      </c>
      <c r="CG298" s="0" t="n">
        <v>21677.5</v>
      </c>
      <c r="CH298" s="0" t="n">
        <v>378627.068329</v>
      </c>
      <c r="CI298" s="0" t="n">
        <v>2894009.992738</v>
      </c>
      <c r="CJ298" s="0" t="n">
        <v>777795.6</v>
      </c>
    </row>
    <row r="299" ht="14.4975" customHeight="1" s="64">
      <c r="BF299" s="0" t="inlineStr">
        <is>
          <t>2027BUD_V1</t>
        </is>
      </c>
      <c r="BG299" s="0" t="inlineStr">
        <is>
          <t>V02</t>
        </is>
      </c>
      <c r="BH299" s="0" t="inlineStr">
        <is>
          <t>12</t>
        </is>
      </c>
      <c r="BI299" s="0" t="inlineStr">
        <is>
          <t>2027</t>
        </is>
      </c>
      <c r="BJ299" s="0" t="inlineStr">
        <is>
          <t>TUNON_PAR</t>
        </is>
      </c>
      <c r="BK299" s="0" t="inlineStr">
        <is>
          <t>TUNON</t>
        </is>
      </c>
      <c r="BL299" s="0" t="inlineStr">
        <is>
          <t>BAC_TOU</t>
        </is>
      </c>
      <c r="BM299" s="0" t="inlineStr">
        <is>
          <t>B1</t>
        </is>
      </c>
      <c r="BN299" s="0" t="inlineStr">
        <is>
          <t>ALT</t>
        </is>
      </c>
      <c r="BO299" s="0" t="n">
        <v>60.37401</v>
      </c>
      <c r="BP299" s="0" t="n">
        <v>2</v>
      </c>
      <c r="BQ299" s="0" t="n">
        <v>496160.859061</v>
      </c>
      <c r="BR299" s="0" t="n">
        <v>27188.655907</v>
      </c>
      <c r="BS299" s="0" t="n">
        <v>78223.924178</v>
      </c>
      <c r="BT299" s="0" t="n">
        <v>57626.184171</v>
      </c>
      <c r="BU299" s="0" t="n">
        <v>169036.902073</v>
      </c>
      <c r="BV299" s="0" t="n">
        <v>11714.078712</v>
      </c>
      <c r="BW299" s="0" t="n">
        <v>42425.04295</v>
      </c>
      <c r="BX299" s="0" t="n">
        <v>54139.121662</v>
      </c>
      <c r="BY299" s="0" t="n">
        <v>84814.84007799999</v>
      </c>
      <c r="BZ299" s="0" t="n">
        <v>301399.947913</v>
      </c>
      <c r="CA299" s="0" t="n">
        <v>386214.787991</v>
      </c>
      <c r="CB299" s="0" t="n">
        <v>109946.07107</v>
      </c>
      <c r="CC299" s="0" t="n">
        <v>60.37401</v>
      </c>
      <c r="CD299" s="0" t="n">
        <v>81566.04928799999</v>
      </c>
      <c r="CE299" s="0" t="n">
        <v>234672.007206</v>
      </c>
      <c r="CF299" s="0" t="n">
        <v>57819.58454</v>
      </c>
      <c r="CG299" s="0" t="n">
        <v>34776</v>
      </c>
      <c r="CH299" s="0" t="n">
        <v>507111.213331</v>
      </c>
      <c r="CI299" s="0" t="n">
        <v>2894009.992738</v>
      </c>
      <c r="CJ299" s="0" t="n">
        <v>777795.6</v>
      </c>
    </row>
    <row r="300" ht="14.4975" customHeight="1" s="64">
      <c r="BF300" s="0" t="inlineStr">
        <is>
          <t>2027BUD_V1</t>
        </is>
      </c>
      <c r="BG300" s="0" t="inlineStr">
        <is>
          <t>V02</t>
        </is>
      </c>
      <c r="BH300" s="0" t="inlineStr">
        <is>
          <t>12</t>
        </is>
      </c>
      <c r="BI300" s="0" t="inlineStr">
        <is>
          <t>2027</t>
        </is>
      </c>
      <c r="BJ300" s="0" t="inlineStr">
        <is>
          <t>TUNON_PAR</t>
        </is>
      </c>
      <c r="BK300" s="0" t="inlineStr">
        <is>
          <t>TUNON</t>
        </is>
      </c>
      <c r="BL300" s="0" t="inlineStr">
        <is>
          <t>BAC_TOU</t>
        </is>
      </c>
      <c r="BM300" s="0" t="inlineStr">
        <is>
          <t>B2</t>
        </is>
      </c>
      <c r="BN300" s="0" t="inlineStr">
        <is>
          <t>ALT</t>
        </is>
      </c>
      <c r="BO300" s="0" t="n">
        <v>46.705</v>
      </c>
      <c r="BP300" s="0" t="n">
        <v>2</v>
      </c>
      <c r="BQ300" s="0" t="n">
        <v>379623.8446</v>
      </c>
      <c r="BR300" s="0" t="n">
        <v>27188.655907</v>
      </c>
      <c r="BS300" s="0" t="n">
        <v>78223.924178</v>
      </c>
      <c r="BT300" s="0" t="n">
        <v>17676.719025</v>
      </c>
      <c r="BU300" s="0" t="n">
        <v>169036.902073</v>
      </c>
      <c r="BV300" s="0" t="n">
        <v>11714.078712</v>
      </c>
      <c r="BW300" s="0" t="n">
        <v>42425.04295</v>
      </c>
      <c r="BX300" s="0" t="n">
        <v>54139.121662</v>
      </c>
      <c r="BY300" s="0" t="n">
        <v>44865.374932</v>
      </c>
      <c r="BZ300" s="0" t="n">
        <v>301399.947913</v>
      </c>
      <c r="CA300" s="0" t="n">
        <v>346265.322845</v>
      </c>
      <c r="CB300" s="0" t="n">
        <v>33358.521755</v>
      </c>
      <c r="CC300" s="0" t="n">
        <v>0</v>
      </c>
      <c r="CD300" s="0" t="n">
        <v>81566.04928799999</v>
      </c>
      <c r="CE300" s="0" t="n">
        <v>234672.007206</v>
      </c>
      <c r="CF300" s="0" t="n">
        <v>57819.58454</v>
      </c>
      <c r="CG300" s="0" t="n">
        <v>34776</v>
      </c>
      <c r="CH300" s="0" t="n">
        <v>507111.213331</v>
      </c>
      <c r="CI300" s="0" t="n">
        <v>2894009.992738</v>
      </c>
      <c r="CJ300" s="0" t="n">
        <v>777795.6</v>
      </c>
    </row>
    <row r="301" ht="14.4975" customHeight="1" s="64">
      <c r="BF301" s="0" t="inlineStr">
        <is>
          <t>2027BUD_V1</t>
        </is>
      </c>
      <c r="BG301" s="0" t="inlineStr">
        <is>
          <t>V02</t>
        </is>
      </c>
      <c r="BH301" s="0" t="inlineStr">
        <is>
          <t>12</t>
        </is>
      </c>
      <c r="BI301" s="0" t="inlineStr">
        <is>
          <t>2027</t>
        </is>
      </c>
      <c r="BJ301" s="0" t="inlineStr">
        <is>
          <t>TUNON_PAR</t>
        </is>
      </c>
      <c r="BK301" s="0" t="inlineStr">
        <is>
          <t>TUNON</t>
        </is>
      </c>
      <c r="BL301" s="0" t="inlineStr">
        <is>
          <t>BAC_TOU</t>
        </is>
      </c>
      <c r="BM301" s="0" t="inlineStr">
        <is>
          <t>B3</t>
        </is>
      </c>
      <c r="BN301" s="0" t="inlineStr">
        <is>
          <t>ALT</t>
        </is>
      </c>
      <c r="BO301" s="0" t="n">
        <v>45.69</v>
      </c>
      <c r="BP301" s="0" t="n">
        <v>2</v>
      </c>
      <c r="BQ301" s="0" t="n">
        <v>371373.8028</v>
      </c>
      <c r="BR301" s="0" t="n">
        <v>27188.655907</v>
      </c>
      <c r="BS301" s="0" t="n">
        <v>78223.924178</v>
      </c>
      <c r="BT301" s="0" t="n">
        <v>17292.565705</v>
      </c>
      <c r="BU301" s="0" t="n">
        <v>169036.902073</v>
      </c>
      <c r="BV301" s="0" t="n">
        <v>11714.078712</v>
      </c>
      <c r="BW301" s="0" t="n">
        <v>42425.04295</v>
      </c>
      <c r="BX301" s="0" t="n">
        <v>54139.121662</v>
      </c>
      <c r="BY301" s="0" t="n">
        <v>44481.221612</v>
      </c>
      <c r="BZ301" s="0" t="n">
        <v>301399.947913</v>
      </c>
      <c r="CA301" s="0" t="n">
        <v>345881.169525</v>
      </c>
      <c r="CB301" s="0" t="n">
        <v>25492.633275</v>
      </c>
      <c r="CC301" s="0" t="n">
        <v>0</v>
      </c>
      <c r="CD301" s="0" t="n">
        <v>81566.04928799999</v>
      </c>
      <c r="CE301" s="0" t="n">
        <v>234672.007206</v>
      </c>
      <c r="CF301" s="0" t="n">
        <v>57819.58454</v>
      </c>
      <c r="CG301" s="0" t="n">
        <v>34776</v>
      </c>
      <c r="CH301" s="0" t="n">
        <v>507111.213331</v>
      </c>
      <c r="CI301" s="0" t="n">
        <v>2894009.992738</v>
      </c>
      <c r="CJ301" s="0" t="n">
        <v>777795.6</v>
      </c>
    </row>
    <row r="302" ht="14.4975" customHeight="1" s="64">
      <c r="BF302" s="0" t="inlineStr">
        <is>
          <t>2027BUD_V1</t>
        </is>
      </c>
      <c r="BG302" s="0" t="inlineStr">
        <is>
          <t>V03</t>
        </is>
      </c>
      <c r="BH302" s="0" t="inlineStr">
        <is>
          <t>12</t>
        </is>
      </c>
      <c r="BI302" s="0" t="inlineStr">
        <is>
          <t>2027</t>
        </is>
      </c>
      <c r="BJ302" s="0" t="inlineStr">
        <is>
          <t>IPAC_MTP</t>
        </is>
      </c>
      <c r="BK302" s="0" t="inlineStr">
        <is>
          <t>IPAC</t>
        </is>
      </c>
      <c r="BL302" s="0" t="inlineStr">
        <is>
          <t>BAC_CCE</t>
        </is>
      </c>
      <c r="BM302" s="0" t="inlineStr">
        <is>
          <t>B1</t>
        </is>
      </c>
      <c r="BN302" s="0" t="inlineStr">
        <is>
          <t>ALT</t>
        </is>
      </c>
      <c r="BO302" s="0" t="n">
        <v>36.183876</v>
      </c>
      <c r="BP302" s="0" t="n">
        <v>2</v>
      </c>
      <c r="BQ302" s="0" t="n">
        <v>248451.156973</v>
      </c>
      <c r="BR302" s="0" t="n">
        <v>23678.075134</v>
      </c>
      <c r="BS302" s="0" t="n">
        <v>49059.469455</v>
      </c>
      <c r="BT302" s="0" t="n">
        <v>28163.077098</v>
      </c>
      <c r="BU302" s="0" t="n">
        <v>98438.974114</v>
      </c>
      <c r="BV302" s="0" t="n">
        <v>7377.216764</v>
      </c>
      <c r="BW302" s="0" t="n">
        <v>38748.836693</v>
      </c>
      <c r="BX302" s="0" t="n">
        <v>46126.053457</v>
      </c>
      <c r="BY302" s="0" t="n">
        <v>51841.152232</v>
      </c>
      <c r="BZ302" s="0" t="n">
        <v>193624.497026</v>
      </c>
      <c r="CA302" s="0" t="n">
        <v>245465.649258</v>
      </c>
      <c r="CB302" s="0" t="n">
        <v>2985.507715</v>
      </c>
      <c r="CC302" s="0" t="n">
        <v>36.183876</v>
      </c>
      <c r="CD302" s="0" t="n">
        <v>71034.296436</v>
      </c>
      <c r="CE302" s="0" t="n">
        <v>147178.555545</v>
      </c>
      <c r="CF302" s="0" t="n">
        <v>42691.37877</v>
      </c>
      <c r="CG302" s="0" t="n">
        <v>14419.1</v>
      </c>
      <c r="CH302" s="0" t="n">
        <v>295317.217659</v>
      </c>
      <c r="CI302" s="0" t="n">
        <v>3092074.3479</v>
      </c>
      <c r="CJ302" s="0" t="n">
        <v>642526.8</v>
      </c>
    </row>
    <row r="303" ht="14.4975" customHeight="1" s="64">
      <c r="BF303" s="0" t="inlineStr">
        <is>
          <t>2027BUD_V1</t>
        </is>
      </c>
      <c r="BG303" s="0" t="inlineStr">
        <is>
          <t>V03</t>
        </is>
      </c>
      <c r="BH303" s="0" t="inlineStr">
        <is>
          <t>12</t>
        </is>
      </c>
      <c r="BI303" s="0" t="inlineStr">
        <is>
          <t>2027</t>
        </is>
      </c>
      <c r="BJ303" s="0" t="inlineStr">
        <is>
          <t>IPAC_MTP</t>
        </is>
      </c>
      <c r="BK303" s="0" t="inlineStr">
        <is>
          <t>IPAC</t>
        </is>
      </c>
      <c r="BL303" s="0" t="inlineStr">
        <is>
          <t>BAC_CCE</t>
        </is>
      </c>
      <c r="BM303" s="0" t="inlineStr">
        <is>
          <t>B2</t>
        </is>
      </c>
      <c r="BN303" s="0" t="inlineStr">
        <is>
          <t>ALT</t>
        </is>
      </c>
      <c r="BO303" s="0" t="n">
        <v>38.6</v>
      </c>
      <c r="BP303" s="0" t="n">
        <v>2</v>
      </c>
      <c r="BQ303" s="0" t="n">
        <v>261567.11</v>
      </c>
      <c r="BR303" s="0" t="n">
        <v>23678.075134</v>
      </c>
      <c r="BS303" s="0" t="n">
        <v>49059.469455</v>
      </c>
      <c r="BT303" s="0" t="n">
        <v>14661.713668</v>
      </c>
      <c r="BU303" s="0" t="n">
        <v>98438.974114</v>
      </c>
      <c r="BV303" s="0" t="n">
        <v>7377.216764</v>
      </c>
      <c r="BW303" s="0" t="n">
        <v>38748.836693</v>
      </c>
      <c r="BX303" s="0" t="n">
        <v>46126.053457</v>
      </c>
      <c r="BY303" s="0" t="n">
        <v>38339.788802</v>
      </c>
      <c r="BZ303" s="0" t="n">
        <v>193624.497026</v>
      </c>
      <c r="CA303" s="0" t="n">
        <v>231964.285828</v>
      </c>
      <c r="CB303" s="0" t="n">
        <v>29602.824172</v>
      </c>
      <c r="CC303" s="0" t="n">
        <v>0</v>
      </c>
      <c r="CD303" s="0" t="n">
        <v>71034.296436</v>
      </c>
      <c r="CE303" s="0" t="n">
        <v>147178.555545</v>
      </c>
      <c r="CF303" s="0" t="n">
        <v>42691.37877</v>
      </c>
      <c r="CG303" s="0" t="n">
        <v>14419.1</v>
      </c>
      <c r="CH303" s="0" t="n">
        <v>295317.217659</v>
      </c>
      <c r="CI303" s="0" t="n">
        <v>3092074.3479</v>
      </c>
      <c r="CJ303" s="0" t="n">
        <v>642526.8</v>
      </c>
    </row>
    <row r="304" ht="14.4975" customHeight="1" s="64">
      <c r="BF304" s="0" t="inlineStr">
        <is>
          <t>2027BUD_V1</t>
        </is>
      </c>
      <c r="BG304" s="0" t="inlineStr">
        <is>
          <t>V03</t>
        </is>
      </c>
      <c r="BH304" s="0" t="inlineStr">
        <is>
          <t>12</t>
        </is>
      </c>
      <c r="BI304" s="0" t="inlineStr">
        <is>
          <t>2027</t>
        </is>
      </c>
      <c r="BJ304" s="0" t="inlineStr">
        <is>
          <t>IPAC_MTP</t>
        </is>
      </c>
      <c r="BK304" s="0" t="inlineStr">
        <is>
          <t>IPAC</t>
        </is>
      </c>
      <c r="BL304" s="0" t="inlineStr">
        <is>
          <t>BAC_CCE</t>
        </is>
      </c>
      <c r="BM304" s="0" t="inlineStr">
        <is>
          <t>B3</t>
        </is>
      </c>
      <c r="BN304" s="0" t="inlineStr">
        <is>
          <t>ALT</t>
        </is>
      </c>
      <c r="BO304" s="0" t="n">
        <v>37.61</v>
      </c>
      <c r="BP304" s="0" t="n">
        <v>2</v>
      </c>
      <c r="BQ304" s="0" t="n">
        <v>254858.5235</v>
      </c>
      <c r="BR304" s="0" t="n">
        <v>23678.075134</v>
      </c>
      <c r="BS304" s="0" t="n">
        <v>49059.469455</v>
      </c>
      <c r="BT304" s="0" t="n">
        <v>14285.645312</v>
      </c>
      <c r="BU304" s="0" t="n">
        <v>98438.974114</v>
      </c>
      <c r="BV304" s="0" t="n">
        <v>7377.216764</v>
      </c>
      <c r="BW304" s="0" t="n">
        <v>38748.836693</v>
      </c>
      <c r="BX304" s="0" t="n">
        <v>46126.053457</v>
      </c>
      <c r="BY304" s="0" t="n">
        <v>37963.720446</v>
      </c>
      <c r="BZ304" s="0" t="n">
        <v>193624.497026</v>
      </c>
      <c r="CA304" s="0" t="n">
        <v>231588.217472</v>
      </c>
      <c r="CB304" s="0" t="n">
        <v>23270.306028</v>
      </c>
      <c r="CC304" s="0" t="n">
        <v>0</v>
      </c>
      <c r="CD304" s="0" t="n">
        <v>71034.296436</v>
      </c>
      <c r="CE304" s="0" t="n">
        <v>147178.555545</v>
      </c>
      <c r="CF304" s="0" t="n">
        <v>42691.37877</v>
      </c>
      <c r="CG304" s="0" t="n">
        <v>14419.1</v>
      </c>
      <c r="CH304" s="0" t="n">
        <v>295317.217659</v>
      </c>
      <c r="CI304" s="0" t="n">
        <v>3092074.3479</v>
      </c>
      <c r="CJ304" s="0" t="n">
        <v>642526.8</v>
      </c>
    </row>
    <row r="305" ht="14.4975" customHeight="1" s="64">
      <c r="BF305" s="0" t="inlineStr">
        <is>
          <t>2027BUD_V1</t>
        </is>
      </c>
      <c r="BG305" s="0" t="inlineStr">
        <is>
          <t>V03</t>
        </is>
      </c>
      <c r="BH305" s="0" t="inlineStr">
        <is>
          <t>12</t>
        </is>
      </c>
      <c r="BI305" s="0" t="inlineStr">
        <is>
          <t>2027</t>
        </is>
      </c>
      <c r="BJ305" s="0" t="inlineStr">
        <is>
          <t>IPAC_NAN</t>
        </is>
      </c>
      <c r="BK305" s="0" t="inlineStr">
        <is>
          <t>IPAC</t>
        </is>
      </c>
      <c r="BL305" s="0" t="inlineStr">
        <is>
          <t>BAC_CCE</t>
        </is>
      </c>
      <c r="BM305" s="0" t="inlineStr">
        <is>
          <t>B1</t>
        </is>
      </c>
      <c r="BN305" s="0" t="inlineStr">
        <is>
          <t>ALT</t>
        </is>
      </c>
      <c r="BO305" s="0" t="n">
        <v>45.271499</v>
      </c>
      <c r="BP305" s="0" t="n">
        <v>2</v>
      </c>
      <c r="BQ305" s="0" t="n">
        <v>326996.037277</v>
      </c>
      <c r="BR305" s="0" t="n">
        <v>23678.075134</v>
      </c>
      <c r="BS305" s="0" t="n">
        <v>60629.813535</v>
      </c>
      <c r="BT305" s="0" t="n">
        <v>37867.890703</v>
      </c>
      <c r="BU305" s="0" t="n">
        <v>139811.848626</v>
      </c>
      <c r="BV305" s="0" t="n">
        <v>9142.706375</v>
      </c>
      <c r="BW305" s="0" t="n">
        <v>48022.072224</v>
      </c>
      <c r="BX305" s="0" t="n">
        <v>57164.778599</v>
      </c>
      <c r="BY305" s="0" t="n">
        <v>61545.965837</v>
      </c>
      <c r="BZ305" s="0" t="n">
        <v>257606.44076</v>
      </c>
      <c r="CA305" s="0" t="n">
        <v>319152.406597</v>
      </c>
      <c r="CB305" s="0" t="n">
        <v>7843.63068</v>
      </c>
      <c r="CC305" s="0" t="n">
        <v>45.271499</v>
      </c>
      <c r="CD305" s="0" t="n">
        <v>71034.296436</v>
      </c>
      <c r="CE305" s="0" t="n">
        <v>181889.622495</v>
      </c>
      <c r="CF305" s="0" t="n">
        <v>52908.479388</v>
      </c>
      <c r="CG305" s="0" t="n">
        <v>20672</v>
      </c>
      <c r="CH305" s="0" t="n">
        <v>419435.965314</v>
      </c>
      <c r="CI305" s="0" t="n">
        <v>3092074.3479</v>
      </c>
      <c r="CJ305" s="0" t="n">
        <v>642526.8</v>
      </c>
    </row>
    <row r="306" ht="14.4975" customHeight="1" s="64">
      <c r="BF306" s="0" t="inlineStr">
        <is>
          <t>2027BUD_V1</t>
        </is>
      </c>
      <c r="BG306" s="0" t="inlineStr">
        <is>
          <t>V03</t>
        </is>
      </c>
      <c r="BH306" s="0" t="inlineStr">
        <is>
          <t>12</t>
        </is>
      </c>
      <c r="BI306" s="0" t="inlineStr">
        <is>
          <t>2027</t>
        </is>
      </c>
      <c r="BJ306" s="0" t="inlineStr">
        <is>
          <t>IPAC_NAN</t>
        </is>
      </c>
      <c r="BK306" s="0" t="inlineStr">
        <is>
          <t>IPAC</t>
        </is>
      </c>
      <c r="BL306" s="0" t="inlineStr">
        <is>
          <t>BAC_CCE</t>
        </is>
      </c>
      <c r="BM306" s="0" t="inlineStr">
        <is>
          <t>B2</t>
        </is>
      </c>
      <c r="BN306" s="0" t="inlineStr">
        <is>
          <t>ALT</t>
        </is>
      </c>
      <c r="BO306" s="0" t="n">
        <v>47.5</v>
      </c>
      <c r="BP306" s="0" t="n">
        <v>2</v>
      </c>
      <c r="BQ306" s="0" t="n">
        <v>338817.5</v>
      </c>
      <c r="BR306" s="0" t="n">
        <v>23678.075134</v>
      </c>
      <c r="BS306" s="0" t="n">
        <v>60629.813535</v>
      </c>
      <c r="BT306" s="0" t="n">
        <v>18042.373465</v>
      </c>
      <c r="BU306" s="0" t="n">
        <v>139811.848626</v>
      </c>
      <c r="BV306" s="0" t="n">
        <v>9142.706375</v>
      </c>
      <c r="BW306" s="0" t="n">
        <v>48022.072224</v>
      </c>
      <c r="BX306" s="0" t="n">
        <v>57164.778599</v>
      </c>
      <c r="BY306" s="0" t="n">
        <v>41720.448599</v>
      </c>
      <c r="BZ306" s="0" t="n">
        <v>257606.44076</v>
      </c>
      <c r="CA306" s="0" t="n">
        <v>299326.889359</v>
      </c>
      <c r="CB306" s="0" t="n">
        <v>39490.610641</v>
      </c>
      <c r="CC306" s="0" t="n">
        <v>0</v>
      </c>
      <c r="CD306" s="0" t="n">
        <v>71034.296436</v>
      </c>
      <c r="CE306" s="0" t="n">
        <v>181889.622495</v>
      </c>
      <c r="CF306" s="0" t="n">
        <v>52908.479388</v>
      </c>
      <c r="CG306" s="0" t="n">
        <v>20672</v>
      </c>
      <c r="CH306" s="0" t="n">
        <v>419435.965314</v>
      </c>
      <c r="CI306" s="0" t="n">
        <v>3092074.3479</v>
      </c>
      <c r="CJ306" s="0" t="n">
        <v>642526.8</v>
      </c>
    </row>
    <row r="307" ht="14.4975" customHeight="1" s="64">
      <c r="BF307" s="0" t="inlineStr">
        <is>
          <t>2027BUD_V1</t>
        </is>
      </c>
      <c r="BG307" s="0" t="inlineStr">
        <is>
          <t>V03</t>
        </is>
      </c>
      <c r="BH307" s="0" t="inlineStr">
        <is>
          <t>12</t>
        </is>
      </c>
      <c r="BI307" s="0" t="inlineStr">
        <is>
          <t>2027</t>
        </is>
      </c>
      <c r="BJ307" s="0" t="inlineStr">
        <is>
          <t>IPAC_NAN</t>
        </is>
      </c>
      <c r="BK307" s="0" t="inlineStr">
        <is>
          <t>IPAC</t>
        </is>
      </c>
      <c r="BL307" s="0" t="inlineStr">
        <is>
          <t>BAC_CCE</t>
        </is>
      </c>
      <c r="BM307" s="0" t="inlineStr">
        <is>
          <t>B3</t>
        </is>
      </c>
      <c r="BN307" s="0" t="inlineStr">
        <is>
          <t>ALT</t>
        </is>
      </c>
      <c r="BO307" s="0" t="n">
        <v>46.52</v>
      </c>
      <c r="BP307" s="0" t="n">
        <v>2</v>
      </c>
      <c r="BQ307" s="0" t="n">
        <v>331827.16</v>
      </c>
      <c r="BR307" s="0" t="n">
        <v>23678.075134</v>
      </c>
      <c r="BS307" s="0" t="n">
        <v>60629.813535</v>
      </c>
      <c r="BT307" s="0" t="n">
        <v>17670.109404</v>
      </c>
      <c r="BU307" s="0" t="n">
        <v>139811.848626</v>
      </c>
      <c r="BV307" s="0" t="n">
        <v>9142.706375</v>
      </c>
      <c r="BW307" s="0" t="n">
        <v>48022.072224</v>
      </c>
      <c r="BX307" s="0" t="n">
        <v>57164.778599</v>
      </c>
      <c r="BY307" s="0" t="n">
        <v>41348.184538</v>
      </c>
      <c r="BZ307" s="0" t="n">
        <v>257606.44076</v>
      </c>
      <c r="CA307" s="0" t="n">
        <v>298954.625298</v>
      </c>
      <c r="CB307" s="0" t="n">
        <v>32872.534702</v>
      </c>
      <c r="CC307" s="0" t="n">
        <v>0</v>
      </c>
      <c r="CD307" s="0" t="n">
        <v>71034.296436</v>
      </c>
      <c r="CE307" s="0" t="n">
        <v>181889.622495</v>
      </c>
      <c r="CF307" s="0" t="n">
        <v>52908.479388</v>
      </c>
      <c r="CG307" s="0" t="n">
        <v>20672</v>
      </c>
      <c r="CH307" s="0" t="n">
        <v>419435.965314</v>
      </c>
      <c r="CI307" s="0" t="n">
        <v>3092074.3479</v>
      </c>
      <c r="CJ307" s="0" t="n">
        <v>642526.8</v>
      </c>
    </row>
    <row r="308" ht="14.4975" customHeight="1" s="64">
      <c r="BF308" s="0" t="inlineStr">
        <is>
          <t>2027BUD_V1</t>
        </is>
      </c>
      <c r="BG308" s="0" t="inlineStr">
        <is>
          <t>V03</t>
        </is>
      </c>
      <c r="BH308" s="0" t="inlineStr">
        <is>
          <t>12</t>
        </is>
      </c>
      <c r="BI308" s="0" t="inlineStr">
        <is>
          <t>2027</t>
        </is>
      </c>
      <c r="BJ308" s="0" t="inlineStr">
        <is>
          <t>IPAC_REN</t>
        </is>
      </c>
      <c r="BK308" s="0" t="inlineStr">
        <is>
          <t>IPAC</t>
        </is>
      </c>
      <c r="BL308" s="0" t="inlineStr">
        <is>
          <t>BAC_CCE</t>
        </is>
      </c>
      <c r="BM308" s="0" t="inlineStr">
        <is>
          <t>B1</t>
        </is>
      </c>
      <c r="BN308" s="0" t="inlineStr">
        <is>
          <t>ALT</t>
        </is>
      </c>
      <c r="BO308" s="0" t="n">
        <v>36.19156</v>
      </c>
      <c r="BP308" s="0" t="n">
        <v>2</v>
      </c>
      <c r="BQ308" s="0" t="n">
        <v>248503.918006</v>
      </c>
      <c r="BR308" s="0" t="n">
        <v>23678.075134</v>
      </c>
      <c r="BS308" s="0" t="n">
        <v>49088.742026</v>
      </c>
      <c r="BT308" s="0" t="n">
        <v>27932.290902</v>
      </c>
      <c r="BU308" s="0" t="n">
        <v>98497.711041</v>
      </c>
      <c r="BV308" s="0" t="n">
        <v>7377.718616</v>
      </c>
      <c r="BW308" s="0" t="n">
        <v>38751.472668</v>
      </c>
      <c r="BX308" s="0" t="n">
        <v>46129.191284</v>
      </c>
      <c r="BY308" s="0" t="n">
        <v>51610.366036</v>
      </c>
      <c r="BZ308" s="0" t="n">
        <v>193715.644351</v>
      </c>
      <c r="CA308" s="0" t="n">
        <v>245326.010387</v>
      </c>
      <c r="CB308" s="0" t="n">
        <v>3177.907619</v>
      </c>
      <c r="CC308" s="0" t="n">
        <v>36.19156</v>
      </c>
      <c r="CD308" s="0" t="n">
        <v>71034.296436</v>
      </c>
      <c r="CE308" s="0" t="n">
        <v>147266.373345</v>
      </c>
      <c r="CF308" s="0" t="n">
        <v>42691.37877</v>
      </c>
      <c r="CG308" s="0" t="n">
        <v>14186.35</v>
      </c>
      <c r="CH308" s="0" t="n">
        <v>295493.428617</v>
      </c>
      <c r="CI308" s="0" t="n">
        <v>3092074.3479</v>
      </c>
      <c r="CJ308" s="0" t="n">
        <v>642526.8</v>
      </c>
    </row>
    <row r="309" ht="14.4975" customHeight="1" s="64">
      <c r="BF309" s="0" t="inlineStr">
        <is>
          <t>2027BUD_V1</t>
        </is>
      </c>
      <c r="BG309" s="0" t="inlineStr">
        <is>
          <t>V03</t>
        </is>
      </c>
      <c r="BH309" s="0" t="inlineStr">
        <is>
          <t>12</t>
        </is>
      </c>
      <c r="BI309" s="0" t="inlineStr">
        <is>
          <t>2027</t>
        </is>
      </c>
      <c r="BJ309" s="0" t="inlineStr">
        <is>
          <t>IPAC_REN</t>
        </is>
      </c>
      <c r="BK309" s="0" t="inlineStr">
        <is>
          <t>IPAC</t>
        </is>
      </c>
      <c r="BL309" s="0" t="inlineStr">
        <is>
          <t>BAC_CCE</t>
        </is>
      </c>
      <c r="BM309" s="0" t="inlineStr">
        <is>
          <t>B2</t>
        </is>
      </c>
      <c r="BN309" s="0" t="inlineStr">
        <is>
          <t>ALT</t>
        </is>
      </c>
      <c r="BO309" s="0" t="n">
        <v>38.6</v>
      </c>
      <c r="BP309" s="0" t="n">
        <v>2</v>
      </c>
      <c r="BQ309" s="0" t="n">
        <v>261567.11</v>
      </c>
      <c r="BR309" s="0" t="n">
        <v>23678.075134</v>
      </c>
      <c r="BS309" s="0" t="n">
        <v>49088.742026</v>
      </c>
      <c r="BT309" s="0" t="n">
        <v>14660.689075</v>
      </c>
      <c r="BU309" s="0" t="n">
        <v>98497.711041</v>
      </c>
      <c r="BV309" s="0" t="n">
        <v>7377.718616</v>
      </c>
      <c r="BW309" s="0" t="n">
        <v>38751.472668</v>
      </c>
      <c r="BX309" s="0" t="n">
        <v>46129.191284</v>
      </c>
      <c r="BY309" s="0" t="n">
        <v>38338.764209</v>
      </c>
      <c r="BZ309" s="0" t="n">
        <v>193715.644351</v>
      </c>
      <c r="CA309" s="0" t="n">
        <v>232054.40856</v>
      </c>
      <c r="CB309" s="0" t="n">
        <v>29512.70144</v>
      </c>
      <c r="CC309" s="0" t="n">
        <v>0</v>
      </c>
      <c r="CD309" s="0" t="n">
        <v>71034.296436</v>
      </c>
      <c r="CE309" s="0" t="n">
        <v>147266.373345</v>
      </c>
      <c r="CF309" s="0" t="n">
        <v>42691.37877</v>
      </c>
      <c r="CG309" s="0" t="n">
        <v>14186.35</v>
      </c>
      <c r="CH309" s="0" t="n">
        <v>295493.428617</v>
      </c>
      <c r="CI309" s="0" t="n">
        <v>3092074.3479</v>
      </c>
      <c r="CJ309" s="0" t="n">
        <v>642526.8</v>
      </c>
    </row>
    <row r="310" ht="14.4975" customHeight="1" s="64">
      <c r="BF310" s="0" t="inlineStr">
        <is>
          <t>2027BUD_V1</t>
        </is>
      </c>
      <c r="BG310" s="0" t="inlineStr">
        <is>
          <t>V03</t>
        </is>
      </c>
      <c r="BH310" s="0" t="inlineStr">
        <is>
          <t>12</t>
        </is>
      </c>
      <c r="BI310" s="0" t="inlineStr">
        <is>
          <t>2027</t>
        </is>
      </c>
      <c r="BJ310" s="0" t="inlineStr">
        <is>
          <t>IPAC_REN</t>
        </is>
      </c>
      <c r="BK310" s="0" t="inlineStr">
        <is>
          <t>IPAC</t>
        </is>
      </c>
      <c r="BL310" s="0" t="inlineStr">
        <is>
          <t>BAC_CCE</t>
        </is>
      </c>
      <c r="BM310" s="0" t="inlineStr">
        <is>
          <t>B3</t>
        </is>
      </c>
      <c r="BN310" s="0" t="inlineStr">
        <is>
          <t>ALT</t>
        </is>
      </c>
      <c r="BO310" s="0" t="n">
        <v>37.61</v>
      </c>
      <c r="BP310" s="0" t="n">
        <v>2</v>
      </c>
      <c r="BQ310" s="0" t="n">
        <v>254858.5235</v>
      </c>
      <c r="BR310" s="0" t="n">
        <v>23678.075134</v>
      </c>
      <c r="BS310" s="0" t="n">
        <v>49088.742026</v>
      </c>
      <c r="BT310" s="0" t="n">
        <v>14284.663411</v>
      </c>
      <c r="BU310" s="0" t="n">
        <v>98497.711041</v>
      </c>
      <c r="BV310" s="0" t="n">
        <v>7377.718616</v>
      </c>
      <c r="BW310" s="0" t="n">
        <v>38751.472668</v>
      </c>
      <c r="BX310" s="0" t="n">
        <v>46129.191284</v>
      </c>
      <c r="BY310" s="0" t="n">
        <v>37962.738545</v>
      </c>
      <c r="BZ310" s="0" t="n">
        <v>193715.644351</v>
      </c>
      <c r="CA310" s="0" t="n">
        <v>231678.382896</v>
      </c>
      <c r="CB310" s="0" t="n">
        <v>23180.140604</v>
      </c>
      <c r="CC310" s="0" t="n">
        <v>0</v>
      </c>
      <c r="CD310" s="0" t="n">
        <v>71034.296436</v>
      </c>
      <c r="CE310" s="0" t="n">
        <v>147266.373345</v>
      </c>
      <c r="CF310" s="0" t="n">
        <v>42691.37877</v>
      </c>
      <c r="CG310" s="0" t="n">
        <v>14186.35</v>
      </c>
      <c r="CH310" s="0" t="n">
        <v>295493.428617</v>
      </c>
      <c r="CI310" s="0" t="n">
        <v>3092074.3479</v>
      </c>
      <c r="CJ310" s="0" t="n">
        <v>642526.8</v>
      </c>
    </row>
    <row r="311" ht="14.4975" customHeight="1" s="64">
      <c r="BF311" s="0" t="inlineStr">
        <is>
          <t>2027BUD_V1</t>
        </is>
      </c>
      <c r="BG311" s="0" t="inlineStr">
        <is>
          <t>V03</t>
        </is>
      </c>
      <c r="BH311" s="0" t="inlineStr">
        <is>
          <t>12</t>
        </is>
      </c>
      <c r="BI311" s="0" t="inlineStr">
        <is>
          <t>2027</t>
        </is>
      </c>
      <c r="BJ311" s="0" t="inlineStr">
        <is>
          <t>ISCOM_LIL</t>
        </is>
      </c>
      <c r="BK311" s="0" t="inlineStr">
        <is>
          <t>ISCOM</t>
        </is>
      </c>
      <c r="BL311" s="0" t="inlineStr">
        <is>
          <t>BAC_COM</t>
        </is>
      </c>
      <c r="BM311" s="0" t="inlineStr">
        <is>
          <t>B1</t>
        </is>
      </c>
      <c r="BN311" s="0" t="inlineStr">
        <is>
          <t>INIT</t>
        </is>
      </c>
      <c r="BO311" s="0" t="n">
        <v>46.373803</v>
      </c>
      <c r="BP311" s="0" t="n">
        <v>2</v>
      </c>
      <c r="BQ311" s="0" t="n">
        <v>352860.585717</v>
      </c>
      <c r="BR311" s="0" t="n">
        <v>29597.37836</v>
      </c>
      <c r="BS311" s="0" t="n">
        <v>76967.42683900001</v>
      </c>
      <c r="BT311" s="0" t="n">
        <v>29738.243114</v>
      </c>
      <c r="BU311" s="0" t="n">
        <v>142911.449503</v>
      </c>
      <c r="BV311" s="0" t="n">
        <v>10307.917379</v>
      </c>
      <c r="BW311" s="0" t="n">
        <v>48455.497581</v>
      </c>
      <c r="BX311" s="0" t="n">
        <v>58763.41496</v>
      </c>
      <c r="BY311" s="0" t="n">
        <v>59335.621474</v>
      </c>
      <c r="BZ311" s="0" t="n">
        <v>278642.291302</v>
      </c>
      <c r="CA311" s="0" t="n">
        <v>337977.912776</v>
      </c>
      <c r="CB311" s="0" t="n">
        <v>14882.672941</v>
      </c>
      <c r="CC311" s="0" t="n">
        <v>46.373803</v>
      </c>
      <c r="CD311" s="0" t="n">
        <v>118389.513438</v>
      </c>
      <c r="CE311" s="0" t="n">
        <v>307869.707355</v>
      </c>
      <c r="CF311" s="0" t="n">
        <v>89031.652002</v>
      </c>
      <c r="CG311" s="0" t="n">
        <v>23959</v>
      </c>
      <c r="CH311" s="0" t="n">
        <v>714557.2475150001</v>
      </c>
      <c r="CI311" s="0" t="n">
        <v>3092074.3479</v>
      </c>
      <c r="CJ311" s="0" t="n">
        <v>642526.8</v>
      </c>
    </row>
    <row r="312" ht="14.4975" customHeight="1" s="64">
      <c r="BF312" s="0" t="inlineStr">
        <is>
          <t>2027BUD_V1</t>
        </is>
      </c>
      <c r="BG312" s="0" t="inlineStr">
        <is>
          <t>V03</t>
        </is>
      </c>
      <c r="BH312" s="0" t="inlineStr">
        <is>
          <t>12</t>
        </is>
      </c>
      <c r="BI312" s="0" t="inlineStr">
        <is>
          <t>2027</t>
        </is>
      </c>
      <c r="BJ312" s="0" t="inlineStr">
        <is>
          <t>ISCOM_LIL</t>
        </is>
      </c>
      <c r="BK312" s="0" t="inlineStr">
        <is>
          <t>ISCOM</t>
        </is>
      </c>
      <c r="BL312" s="0" t="inlineStr">
        <is>
          <t>BAC_COM</t>
        </is>
      </c>
      <c r="BM312" s="0" t="inlineStr">
        <is>
          <t>B2</t>
        </is>
      </c>
      <c r="BN312" s="0" t="inlineStr">
        <is>
          <t>ALT</t>
        </is>
      </c>
      <c r="BO312" s="0" t="n">
        <v>47.5</v>
      </c>
      <c r="BP312" s="0" t="n">
        <v>2</v>
      </c>
      <c r="BQ312" s="0" t="n">
        <v>333344.55</v>
      </c>
      <c r="BR312" s="0" t="n">
        <v>23677.902688</v>
      </c>
      <c r="BS312" s="0" t="n">
        <v>61573.941471</v>
      </c>
      <c r="BT312" s="0" t="n">
        <v>18053.571298</v>
      </c>
      <c r="BU312" s="0" t="n">
        <v>142911.449503</v>
      </c>
      <c r="BV312" s="0" t="n">
        <v>10307.917379</v>
      </c>
      <c r="BW312" s="0" t="n">
        <v>48455.497581</v>
      </c>
      <c r="BX312" s="0" t="n">
        <v>58763.41496</v>
      </c>
      <c r="BY312" s="0" t="n">
        <v>41731.473986</v>
      </c>
      <c r="BZ312" s="0" t="n">
        <v>263248.805934</v>
      </c>
      <c r="CA312" s="0" t="n">
        <v>304980.27992</v>
      </c>
      <c r="CB312" s="0" t="n">
        <v>28364.27008</v>
      </c>
      <c r="CC312" s="0" t="n">
        <v>0</v>
      </c>
      <c r="CD312" s="0" t="n">
        <v>118389.513438</v>
      </c>
      <c r="CE312" s="0" t="n">
        <v>307869.707355</v>
      </c>
      <c r="CF312" s="0" t="n">
        <v>89031.652002</v>
      </c>
      <c r="CG312" s="0" t="n">
        <v>23959</v>
      </c>
      <c r="CH312" s="0" t="n">
        <v>714557.2475150001</v>
      </c>
      <c r="CI312" s="0" t="n">
        <v>3092074.3479</v>
      </c>
      <c r="CJ312" s="0" t="n">
        <v>642526.8</v>
      </c>
    </row>
    <row r="313" ht="14.4975" customHeight="1" s="64">
      <c r="BF313" s="0" t="inlineStr">
        <is>
          <t>2027BUD_V1</t>
        </is>
      </c>
      <c r="BG313" s="0" t="inlineStr">
        <is>
          <t>V03</t>
        </is>
      </c>
      <c r="BH313" s="0" t="inlineStr">
        <is>
          <t>12</t>
        </is>
      </c>
      <c r="BI313" s="0" t="inlineStr">
        <is>
          <t>2027</t>
        </is>
      </c>
      <c r="BJ313" s="0" t="inlineStr">
        <is>
          <t>ISCOM_LIL</t>
        </is>
      </c>
      <c r="BK313" s="0" t="inlineStr">
        <is>
          <t>ISCOM</t>
        </is>
      </c>
      <c r="BL313" s="0" t="inlineStr">
        <is>
          <t>BAC_COM</t>
        </is>
      </c>
      <c r="BM313" s="0" t="inlineStr">
        <is>
          <t>B3</t>
        </is>
      </c>
      <c r="BN313" s="0" t="inlineStr">
        <is>
          <t>ALT</t>
        </is>
      </c>
      <c r="BO313" s="0" t="n">
        <v>46.52</v>
      </c>
      <c r="BP313" s="0" t="n">
        <v>2</v>
      </c>
      <c r="BQ313" s="0" t="n">
        <v>326467.1256</v>
      </c>
      <c r="BR313" s="0" t="n">
        <v>23677.902688</v>
      </c>
      <c r="BS313" s="0" t="n">
        <v>61573.941471</v>
      </c>
      <c r="BT313" s="0" t="n">
        <v>17681.062866</v>
      </c>
      <c r="BU313" s="0" t="n">
        <v>142911.449503</v>
      </c>
      <c r="BV313" s="0" t="n">
        <v>10307.917379</v>
      </c>
      <c r="BW313" s="0" t="n">
        <v>48455.497581</v>
      </c>
      <c r="BX313" s="0" t="n">
        <v>58763.41496</v>
      </c>
      <c r="BY313" s="0" t="n">
        <v>41358.965554</v>
      </c>
      <c r="BZ313" s="0" t="n">
        <v>263248.805934</v>
      </c>
      <c r="CA313" s="0" t="n">
        <v>304607.771488</v>
      </c>
      <c r="CB313" s="0" t="n">
        <v>21859.354112</v>
      </c>
      <c r="CC313" s="0" t="n">
        <v>0</v>
      </c>
      <c r="CD313" s="0" t="n">
        <v>118389.513438</v>
      </c>
      <c r="CE313" s="0" t="n">
        <v>307869.707355</v>
      </c>
      <c r="CF313" s="0" t="n">
        <v>89031.652002</v>
      </c>
      <c r="CG313" s="0" t="n">
        <v>23959</v>
      </c>
      <c r="CH313" s="0" t="n">
        <v>714557.2475150001</v>
      </c>
      <c r="CI313" s="0" t="n">
        <v>3092074.3479</v>
      </c>
      <c r="CJ313" s="0" t="n">
        <v>642526.8</v>
      </c>
    </row>
    <row r="314" ht="14.4975" customHeight="1" s="64">
      <c r="BF314" s="0" t="inlineStr">
        <is>
          <t>2027BUD_V1</t>
        </is>
      </c>
      <c r="BG314" s="0" t="inlineStr">
        <is>
          <t>V03</t>
        </is>
      </c>
      <c r="BH314" s="0" t="inlineStr">
        <is>
          <t>12</t>
        </is>
      </c>
      <c r="BI314" s="0" t="inlineStr">
        <is>
          <t>2027</t>
        </is>
      </c>
      <c r="BJ314" s="0" t="inlineStr">
        <is>
          <t>ISCOM_LIL</t>
        </is>
      </c>
      <c r="BK314" s="0" t="inlineStr">
        <is>
          <t>ISCOM</t>
        </is>
      </c>
      <c r="BL314" s="0" t="inlineStr">
        <is>
          <t>MAS_COM</t>
        </is>
      </c>
      <c r="BM314" s="0" t="inlineStr">
        <is>
          <t>M1</t>
        </is>
      </c>
      <c r="BN314" s="0" t="inlineStr">
        <is>
          <t>ALT</t>
        </is>
      </c>
      <c r="BO314" s="0" t="n">
        <v>45.353454</v>
      </c>
      <c r="BP314" s="0" t="n">
        <v>2</v>
      </c>
      <c r="BQ314" s="0" t="n">
        <v>345096.699159</v>
      </c>
      <c r="BR314" s="0" t="n">
        <v>20718.164852</v>
      </c>
      <c r="BS314" s="0" t="n">
        <v>53877.198787</v>
      </c>
      <c r="BT314" s="0" t="n">
        <v>29083.925281</v>
      </c>
      <c r="BU314" s="0" t="n">
        <v>142911.449503</v>
      </c>
      <c r="BV314" s="0" t="n">
        <v>10307.917379</v>
      </c>
      <c r="BW314" s="0" t="n">
        <v>48455.497581</v>
      </c>
      <c r="BX314" s="0" t="n">
        <v>58763.41496</v>
      </c>
      <c r="BY314" s="0" t="n">
        <v>49802.090133</v>
      </c>
      <c r="BZ314" s="0" t="n">
        <v>255552.06325</v>
      </c>
      <c r="CA314" s="0" t="n">
        <v>305354.153383</v>
      </c>
      <c r="CB314" s="0" t="n">
        <v>39742.545776</v>
      </c>
      <c r="CC314" s="0" t="n">
        <v>45.353454</v>
      </c>
      <c r="CD314" s="0" t="n">
        <v>118389.513438</v>
      </c>
      <c r="CE314" s="0" t="n">
        <v>307869.707355</v>
      </c>
      <c r="CF314" s="0" t="n">
        <v>89031.652002</v>
      </c>
      <c r="CG314" s="0" t="n">
        <v>23959</v>
      </c>
      <c r="CH314" s="0" t="n">
        <v>714557.2475150001</v>
      </c>
      <c r="CI314" s="0" t="n">
        <v>3092074.3479</v>
      </c>
      <c r="CJ314" s="0" t="n">
        <v>642526.8</v>
      </c>
    </row>
    <row r="315" ht="14.4975" customHeight="1" s="64">
      <c r="BF315" s="0" t="inlineStr">
        <is>
          <t>2027BUD_V1</t>
        </is>
      </c>
      <c r="BG315" s="0" t="inlineStr">
        <is>
          <t>V03</t>
        </is>
      </c>
      <c r="BH315" s="0" t="inlineStr">
        <is>
          <t>12</t>
        </is>
      </c>
      <c r="BI315" s="0" t="inlineStr">
        <is>
          <t>2027</t>
        </is>
      </c>
      <c r="BJ315" s="0" t="inlineStr">
        <is>
          <t>ISCOM_LIL</t>
        </is>
      </c>
      <c r="BK315" s="0" t="inlineStr">
        <is>
          <t>ISCOM</t>
        </is>
      </c>
      <c r="BL315" s="0" t="inlineStr">
        <is>
          <t>MAS_COM</t>
        </is>
      </c>
      <c r="BM315" s="0" t="inlineStr">
        <is>
          <t>M2</t>
        </is>
      </c>
      <c r="BN315" s="0" t="inlineStr">
        <is>
          <t>ALT</t>
        </is>
      </c>
      <c r="BO315" s="0" t="n">
        <v>48.5</v>
      </c>
      <c r="BP315" s="0" t="n">
        <v>2</v>
      </c>
      <c r="BQ315" s="0" t="n">
        <v>364673.925</v>
      </c>
      <c r="BR315" s="0" t="n">
        <v>20718.164852</v>
      </c>
      <c r="BS315" s="0" t="n">
        <v>53877.198787</v>
      </c>
      <c r="BT315" s="0" t="n">
        <v>18433.64742</v>
      </c>
      <c r="BU315" s="0" t="n">
        <v>142911.449503</v>
      </c>
      <c r="BV315" s="0" t="n">
        <v>10307.917379</v>
      </c>
      <c r="BW315" s="0" t="n">
        <v>48455.497581</v>
      </c>
      <c r="BX315" s="0" t="n">
        <v>58763.41496</v>
      </c>
      <c r="BY315" s="0" t="n">
        <v>39151.812272</v>
      </c>
      <c r="BZ315" s="0" t="n">
        <v>255552.06325</v>
      </c>
      <c r="CA315" s="0" t="n">
        <v>294703.875522</v>
      </c>
      <c r="CB315" s="0" t="n">
        <v>69970.049478</v>
      </c>
      <c r="CC315" s="0" t="n">
        <v>0</v>
      </c>
      <c r="CD315" s="0" t="n">
        <v>118389.513438</v>
      </c>
      <c r="CE315" s="0" t="n">
        <v>307869.707355</v>
      </c>
      <c r="CF315" s="0" t="n">
        <v>89031.652002</v>
      </c>
      <c r="CG315" s="0" t="n">
        <v>23959</v>
      </c>
      <c r="CH315" s="0" t="n">
        <v>714557.2475150001</v>
      </c>
      <c r="CI315" s="0" t="n">
        <v>3092074.3479</v>
      </c>
      <c r="CJ315" s="0" t="n">
        <v>642526.8</v>
      </c>
    </row>
    <row r="316" ht="14.4975" customHeight="1" s="64">
      <c r="BF316" s="0" t="inlineStr">
        <is>
          <t>2027BUD_V1</t>
        </is>
      </c>
      <c r="BG316" s="0" t="inlineStr">
        <is>
          <t>V03</t>
        </is>
      </c>
      <c r="BH316" s="0" t="inlineStr">
        <is>
          <t>12</t>
        </is>
      </c>
      <c r="BI316" s="0" t="inlineStr">
        <is>
          <t>2027</t>
        </is>
      </c>
      <c r="BJ316" s="0" t="inlineStr">
        <is>
          <t>ISCOM_PAR</t>
        </is>
      </c>
      <c r="BK316" s="0" t="inlineStr">
        <is>
          <t>ISCOM</t>
        </is>
      </c>
      <c r="BL316" s="0" t="inlineStr">
        <is>
          <t>BAC_COM</t>
        </is>
      </c>
      <c r="BM316" s="0" t="inlineStr">
        <is>
          <t>B1</t>
        </is>
      </c>
      <c r="BN316" s="0" t="inlineStr">
        <is>
          <t>INIT</t>
        </is>
      </c>
      <c r="BO316" s="0" t="n">
        <v>66.90547100000001</v>
      </c>
      <c r="BP316" s="0" t="n">
        <v>3</v>
      </c>
      <c r="BQ316" s="0" t="n">
        <v>580953.585787</v>
      </c>
      <c r="BR316" s="0" t="n">
        <v>44396.190117</v>
      </c>
      <c r="BS316" s="0" t="n">
        <v>131956.64853</v>
      </c>
      <c r="BT316" s="0" t="n">
        <v>54603.138825</v>
      </c>
      <c r="BU316" s="0" t="n">
        <v>239594.738015</v>
      </c>
      <c r="BV316" s="0" t="n">
        <v>14970.476424</v>
      </c>
      <c r="BW316" s="0" t="n">
        <v>70373.273036</v>
      </c>
      <c r="BX316" s="0" t="n">
        <v>85343.74946000001</v>
      </c>
      <c r="BY316" s="0" t="n">
        <v>98999.32894199999</v>
      </c>
      <c r="BZ316" s="0" t="n">
        <v>456895.136005</v>
      </c>
      <c r="CA316" s="0" t="n">
        <v>555894.464947</v>
      </c>
      <c r="CB316" s="0" t="n">
        <v>25059.12084</v>
      </c>
      <c r="CC316" s="0" t="n">
        <v>66.90547100000001</v>
      </c>
      <c r="CD316" s="0" t="n">
        <v>177584.760468</v>
      </c>
      <c r="CE316" s="0" t="n">
        <v>527826.59412</v>
      </c>
      <c r="CF316" s="0" t="n">
        <v>129169.491084</v>
      </c>
      <c r="CG316" s="0" t="n">
        <v>57760</v>
      </c>
      <c r="CH316" s="0" t="n">
        <v>1197973.690075</v>
      </c>
      <c r="CI316" s="0" t="n">
        <v>3092074.3479</v>
      </c>
      <c r="CJ316" s="0" t="n">
        <v>642526.8</v>
      </c>
    </row>
    <row r="317" ht="14.4975" customHeight="1" s="64">
      <c r="BF317" s="0" t="inlineStr">
        <is>
          <t>2027BUD_V1</t>
        </is>
      </c>
      <c r="BG317" s="0" t="inlineStr">
        <is>
          <t>V03</t>
        </is>
      </c>
      <c r="BH317" s="0" t="inlineStr">
        <is>
          <t>12</t>
        </is>
      </c>
      <c r="BI317" s="0" t="inlineStr">
        <is>
          <t>2027</t>
        </is>
      </c>
      <c r="BJ317" s="0" t="inlineStr">
        <is>
          <t>ISCOM_PAR</t>
        </is>
      </c>
      <c r="BK317" s="0" t="inlineStr">
        <is>
          <t>ISCOM</t>
        </is>
      </c>
      <c r="BL317" s="0" t="inlineStr">
        <is>
          <t>BAC_COM</t>
        </is>
      </c>
      <c r="BM317" s="0" t="inlineStr">
        <is>
          <t>B2</t>
        </is>
      </c>
      <c r="BN317" s="0" t="inlineStr">
        <is>
          <t>ALT</t>
        </is>
      </c>
      <c r="BO317" s="0" t="n">
        <v>69.28</v>
      </c>
      <c r="BP317" s="0" t="n">
        <v>3</v>
      </c>
      <c r="BQ317" s="0" t="n">
        <v>555647.7696</v>
      </c>
      <c r="BR317" s="0" t="n">
        <v>35516.952094</v>
      </c>
      <c r="BS317" s="0" t="n">
        <v>105565.318824</v>
      </c>
      <c r="BT317" s="0" t="n">
        <v>26304.333503</v>
      </c>
      <c r="BU317" s="0" t="n">
        <v>239594.738015</v>
      </c>
      <c r="BV317" s="0" t="n">
        <v>14970.476424</v>
      </c>
      <c r="BW317" s="0" t="n">
        <v>70373.273036</v>
      </c>
      <c r="BX317" s="0" t="n">
        <v>85343.74946000001</v>
      </c>
      <c r="BY317" s="0" t="n">
        <v>61821.285597</v>
      </c>
      <c r="BZ317" s="0" t="n">
        <v>430503.806299</v>
      </c>
      <c r="CA317" s="0" t="n">
        <v>492325.091896</v>
      </c>
      <c r="CB317" s="0" t="n">
        <v>63322.677704</v>
      </c>
      <c r="CC317" s="0" t="n">
        <v>0</v>
      </c>
      <c r="CD317" s="0" t="n">
        <v>177584.760468</v>
      </c>
      <c r="CE317" s="0" t="n">
        <v>527826.59412</v>
      </c>
      <c r="CF317" s="0" t="n">
        <v>129169.491084</v>
      </c>
      <c r="CG317" s="0" t="n">
        <v>57760</v>
      </c>
      <c r="CH317" s="0" t="n">
        <v>1197973.690075</v>
      </c>
      <c r="CI317" s="0" t="n">
        <v>3092074.3479</v>
      </c>
      <c r="CJ317" s="0" t="n">
        <v>642526.8</v>
      </c>
    </row>
    <row r="318" ht="14.4975" customHeight="1" s="64">
      <c r="BF318" s="0" t="inlineStr">
        <is>
          <t>2027BUD_V1</t>
        </is>
      </c>
      <c r="BG318" s="0" t="inlineStr">
        <is>
          <t>V03</t>
        </is>
      </c>
      <c r="BH318" s="0" t="inlineStr">
        <is>
          <t>12</t>
        </is>
      </c>
      <c r="BI318" s="0" t="inlineStr">
        <is>
          <t>2027</t>
        </is>
      </c>
      <c r="BJ318" s="0" t="inlineStr">
        <is>
          <t>ISCOM_PAR</t>
        </is>
      </c>
      <c r="BK318" s="0" t="inlineStr">
        <is>
          <t>ISCOM</t>
        </is>
      </c>
      <c r="BL318" s="0" t="inlineStr">
        <is>
          <t>BAC_COM</t>
        </is>
      </c>
      <c r="BM318" s="0" t="inlineStr">
        <is>
          <t>B3</t>
        </is>
      </c>
      <c r="BN318" s="0" t="inlineStr">
        <is>
          <t>ALT</t>
        </is>
      </c>
      <c r="BO318" s="0" t="n">
        <v>68.3</v>
      </c>
      <c r="BP318" s="0" t="n">
        <v>3</v>
      </c>
      <c r="BQ318" s="0" t="n">
        <v>547787.856</v>
      </c>
      <c r="BR318" s="0" t="n">
        <v>35516.952094</v>
      </c>
      <c r="BS318" s="0" t="n">
        <v>105565.318824</v>
      </c>
      <c r="BT318" s="0" t="n">
        <v>25932.325369</v>
      </c>
      <c r="BU318" s="0" t="n">
        <v>239594.738015</v>
      </c>
      <c r="BV318" s="0" t="n">
        <v>14970.476424</v>
      </c>
      <c r="BW318" s="0" t="n">
        <v>70373.273036</v>
      </c>
      <c r="BX318" s="0" t="n">
        <v>85343.74946000001</v>
      </c>
      <c r="BY318" s="0" t="n">
        <v>61449.277463</v>
      </c>
      <c r="BZ318" s="0" t="n">
        <v>430503.806299</v>
      </c>
      <c r="CA318" s="0" t="n">
        <v>491953.083762</v>
      </c>
      <c r="CB318" s="0" t="n">
        <v>55834.772238</v>
      </c>
      <c r="CC318" s="0" t="n">
        <v>0</v>
      </c>
      <c r="CD318" s="0" t="n">
        <v>177584.760468</v>
      </c>
      <c r="CE318" s="0" t="n">
        <v>527826.59412</v>
      </c>
      <c r="CF318" s="0" t="n">
        <v>129169.491084</v>
      </c>
      <c r="CG318" s="0" t="n">
        <v>57760</v>
      </c>
      <c r="CH318" s="0" t="n">
        <v>1197973.690075</v>
      </c>
      <c r="CI318" s="0" t="n">
        <v>3092074.3479</v>
      </c>
      <c r="CJ318" s="0" t="n">
        <v>642526.8</v>
      </c>
    </row>
    <row r="319" ht="14.4975" customHeight="1" s="64">
      <c r="BF319" s="0" t="inlineStr">
        <is>
          <t>2027BUD_V1</t>
        </is>
      </c>
      <c r="BG319" s="0" t="inlineStr">
        <is>
          <t>V03</t>
        </is>
      </c>
      <c r="BH319" s="0" t="inlineStr">
        <is>
          <t>12</t>
        </is>
      </c>
      <c r="BI319" s="0" t="inlineStr">
        <is>
          <t>2027</t>
        </is>
      </c>
      <c r="BJ319" s="0" t="inlineStr">
        <is>
          <t>ISCOM_PAR</t>
        </is>
      </c>
      <c r="BK319" s="0" t="inlineStr">
        <is>
          <t>ISCOM</t>
        </is>
      </c>
      <c r="BL319" s="0" t="inlineStr">
        <is>
          <t>MAS_COM</t>
        </is>
      </c>
      <c r="BM319" s="0" t="inlineStr">
        <is>
          <t>M1</t>
        </is>
      </c>
      <c r="BN319" s="0" t="inlineStr">
        <is>
          <t>ALT</t>
        </is>
      </c>
      <c r="BO319" s="0" t="n">
        <v>65.437731</v>
      </c>
      <c r="BP319" s="0" t="n">
        <v>3</v>
      </c>
      <c r="BQ319" s="0" t="n">
        <v>568208.905819</v>
      </c>
      <c r="BR319" s="0" t="n">
        <v>31077.333082</v>
      </c>
      <c r="BS319" s="0" t="n">
        <v>92369.65397100001</v>
      </c>
      <c r="BT319" s="0" t="n">
        <v>53405.156311</v>
      </c>
      <c r="BU319" s="0" t="n">
        <v>239594.738015</v>
      </c>
      <c r="BV319" s="0" t="n">
        <v>14970.476424</v>
      </c>
      <c r="BW319" s="0" t="n">
        <v>70373.273036</v>
      </c>
      <c r="BX319" s="0" t="n">
        <v>85343.74946000001</v>
      </c>
      <c r="BY319" s="0" t="n">
        <v>84482.489393</v>
      </c>
      <c r="BZ319" s="0" t="n">
        <v>417308.141446</v>
      </c>
      <c r="CA319" s="0" t="n">
        <v>501790.630839</v>
      </c>
      <c r="CB319" s="0" t="n">
        <v>66418.27498</v>
      </c>
      <c r="CC319" s="0" t="n">
        <v>65.437731</v>
      </c>
      <c r="CD319" s="0" t="n">
        <v>177584.760468</v>
      </c>
      <c r="CE319" s="0" t="n">
        <v>527826.59412</v>
      </c>
      <c r="CF319" s="0" t="n">
        <v>129169.491084</v>
      </c>
      <c r="CG319" s="0" t="n">
        <v>57760</v>
      </c>
      <c r="CH319" s="0" t="n">
        <v>1197973.690075</v>
      </c>
      <c r="CI319" s="0" t="n">
        <v>3092074.3479</v>
      </c>
      <c r="CJ319" s="0" t="n">
        <v>642526.8</v>
      </c>
    </row>
    <row r="320" ht="14.4975" customHeight="1" s="64">
      <c r="BF320" s="0" t="inlineStr">
        <is>
          <t>2027BUD_V1</t>
        </is>
      </c>
      <c r="BG320" s="0" t="inlineStr">
        <is>
          <t>V03</t>
        </is>
      </c>
      <c r="BH320" s="0" t="inlineStr">
        <is>
          <t>12</t>
        </is>
      </c>
      <c r="BI320" s="0" t="inlineStr">
        <is>
          <t>2027</t>
        </is>
      </c>
      <c r="BJ320" s="0" t="inlineStr">
        <is>
          <t>ISCOM_PAR</t>
        </is>
      </c>
      <c r="BK320" s="0" t="inlineStr">
        <is>
          <t>ISCOM</t>
        </is>
      </c>
      <c r="BL320" s="0" t="inlineStr">
        <is>
          <t>MAS_COM</t>
        </is>
      </c>
      <c r="BM320" s="0" t="inlineStr">
        <is>
          <t>M2</t>
        </is>
      </c>
      <c r="BN320" s="0" t="inlineStr">
        <is>
          <t>ALT</t>
        </is>
      </c>
      <c r="BO320" s="0" t="n">
        <v>70.28</v>
      </c>
      <c r="BP320" s="0" t="n">
        <v>3</v>
      </c>
      <c r="BQ320" s="0" t="n">
        <v>603930.096</v>
      </c>
      <c r="BR320" s="0" t="n">
        <v>31077.333082</v>
      </c>
      <c r="BS320" s="0" t="n">
        <v>92369.65397100001</v>
      </c>
      <c r="BT320" s="0" t="n">
        <v>26684.091807</v>
      </c>
      <c r="BU320" s="0" t="n">
        <v>239594.738015</v>
      </c>
      <c r="BV320" s="0" t="n">
        <v>14970.476424</v>
      </c>
      <c r="BW320" s="0" t="n">
        <v>70373.273036</v>
      </c>
      <c r="BX320" s="0" t="n">
        <v>85343.74946000001</v>
      </c>
      <c r="BY320" s="0" t="n">
        <v>57761.424889</v>
      </c>
      <c r="BZ320" s="0" t="n">
        <v>417308.141446</v>
      </c>
      <c r="CA320" s="0" t="n">
        <v>475069.566335</v>
      </c>
      <c r="CB320" s="0" t="n">
        <v>128860.529665</v>
      </c>
      <c r="CC320" s="0" t="n">
        <v>0</v>
      </c>
      <c r="CD320" s="0" t="n">
        <v>177584.760468</v>
      </c>
      <c r="CE320" s="0" t="n">
        <v>527826.59412</v>
      </c>
      <c r="CF320" s="0" t="n">
        <v>129169.491084</v>
      </c>
      <c r="CG320" s="0" t="n">
        <v>57760</v>
      </c>
      <c r="CH320" s="0" t="n">
        <v>1197973.690075</v>
      </c>
      <c r="CI320" s="0" t="n">
        <v>3092074.3479</v>
      </c>
      <c r="CJ320" s="0" t="n">
        <v>642526.8</v>
      </c>
    </row>
    <row r="321" ht="14.4975" customHeight="1" s="64">
      <c r="BF321" s="0" t="inlineStr">
        <is>
          <t>2027BUD_V1</t>
        </is>
      </c>
      <c r="BG321" s="0" t="inlineStr">
        <is>
          <t>V03</t>
        </is>
      </c>
      <c r="BH321" s="0" t="inlineStr">
        <is>
          <t>12</t>
        </is>
      </c>
      <c r="BI321" s="0" t="inlineStr">
        <is>
          <t>2027</t>
        </is>
      </c>
      <c r="BJ321" s="0" t="inlineStr">
        <is>
          <t>ISCOM_TLS</t>
        </is>
      </c>
      <c r="BK321" s="0" t="inlineStr">
        <is>
          <t>ISCOM</t>
        </is>
      </c>
      <c r="BL321" s="0" t="inlineStr">
        <is>
          <t>BAC_COM</t>
        </is>
      </c>
      <c r="BM321" s="0" t="inlineStr">
        <is>
          <t>B1</t>
        </is>
      </c>
      <c r="BN321" s="0" t="inlineStr">
        <is>
          <t>INIT</t>
        </is>
      </c>
      <c r="BO321" s="0" t="n">
        <v>43.580238</v>
      </c>
      <c r="BP321" s="0" t="n">
        <v>2</v>
      </c>
      <c r="BQ321" s="0" t="n">
        <v>324916.822433</v>
      </c>
      <c r="BR321" s="0" t="n">
        <v>29597.37836</v>
      </c>
      <c r="BS321" s="0" t="n">
        <v>72375.02635099999</v>
      </c>
      <c r="BT321" s="0" t="n">
        <v>27167.595917</v>
      </c>
      <c r="BU321" s="0" t="n">
        <v>129554.227152</v>
      </c>
      <c r="BV321" s="0" t="n">
        <v>9760.193093</v>
      </c>
      <c r="BW321" s="0" t="n">
        <v>45880.753156</v>
      </c>
      <c r="BX321" s="0" t="n">
        <v>55640.946249</v>
      </c>
      <c r="BY321" s="0" t="n">
        <v>56764.974277</v>
      </c>
      <c r="BZ321" s="0" t="n">
        <v>257570.199752</v>
      </c>
      <c r="CA321" s="0" t="n">
        <v>314335.174029</v>
      </c>
      <c r="CB321" s="0" t="n">
        <v>10581.648404</v>
      </c>
      <c r="CC321" s="0" t="n">
        <v>43.580238</v>
      </c>
      <c r="CD321" s="0" t="n">
        <v>118389.513438</v>
      </c>
      <c r="CE321" s="0" t="n">
        <v>289500.105405</v>
      </c>
      <c r="CF321" s="0" t="n">
        <v>84288.383388</v>
      </c>
      <c r="CG321" s="0" t="n">
        <v>20978.85</v>
      </c>
      <c r="CH321" s="0" t="n">
        <v>647771.135759</v>
      </c>
      <c r="CI321" s="0" t="n">
        <v>3092074.3479</v>
      </c>
      <c r="CJ321" s="0" t="n">
        <v>642526.8</v>
      </c>
    </row>
    <row r="322" ht="14.4975" customHeight="1" s="64">
      <c r="BF322" s="0" t="inlineStr">
        <is>
          <t>2027BUD_V1</t>
        </is>
      </c>
      <c r="BG322" s="0" t="inlineStr">
        <is>
          <t>V03</t>
        </is>
      </c>
      <c r="BH322" s="0" t="inlineStr">
        <is>
          <t>12</t>
        </is>
      </c>
      <c r="BI322" s="0" t="inlineStr">
        <is>
          <t>2027</t>
        </is>
      </c>
      <c r="BJ322" s="0" t="inlineStr">
        <is>
          <t>ISCOM_TLS</t>
        </is>
      </c>
      <c r="BK322" s="0" t="inlineStr">
        <is>
          <t>ISCOM</t>
        </is>
      </c>
      <c r="BL322" s="0" t="inlineStr">
        <is>
          <t>BAC_COM</t>
        </is>
      </c>
      <c r="BM322" s="0" t="inlineStr">
        <is>
          <t>B2</t>
        </is>
      </c>
      <c r="BN322" s="0" t="inlineStr">
        <is>
          <t>ALT</t>
        </is>
      </c>
      <c r="BO322" s="0" t="n">
        <v>45.53</v>
      </c>
      <c r="BP322" s="0" t="n">
        <v>2</v>
      </c>
      <c r="BQ322" s="0" t="n">
        <v>312998.7168</v>
      </c>
      <c r="BR322" s="0" t="n">
        <v>23677.902688</v>
      </c>
      <c r="BS322" s="0" t="n">
        <v>57900.021081</v>
      </c>
      <c r="BT322" s="0" t="n">
        <v>17302.213612</v>
      </c>
      <c r="BU322" s="0" t="n">
        <v>129554.227152</v>
      </c>
      <c r="BV322" s="0" t="n">
        <v>9760.193093</v>
      </c>
      <c r="BW322" s="0" t="n">
        <v>45880.753156</v>
      </c>
      <c r="BX322" s="0" t="n">
        <v>55640.946249</v>
      </c>
      <c r="BY322" s="0" t="n">
        <v>40980.1163</v>
      </c>
      <c r="BZ322" s="0" t="n">
        <v>243095.194482</v>
      </c>
      <c r="CA322" s="0" t="n">
        <v>284075.310782</v>
      </c>
      <c r="CB322" s="0" t="n">
        <v>28923.406018</v>
      </c>
      <c r="CC322" s="0" t="n">
        <v>0</v>
      </c>
      <c r="CD322" s="0" t="n">
        <v>118389.513438</v>
      </c>
      <c r="CE322" s="0" t="n">
        <v>289500.105405</v>
      </c>
      <c r="CF322" s="0" t="n">
        <v>84288.383388</v>
      </c>
      <c r="CG322" s="0" t="n">
        <v>20978.85</v>
      </c>
      <c r="CH322" s="0" t="n">
        <v>647771.135759</v>
      </c>
      <c r="CI322" s="0" t="n">
        <v>3092074.3479</v>
      </c>
      <c r="CJ322" s="0" t="n">
        <v>642526.8</v>
      </c>
    </row>
    <row r="323" ht="14.4975" customHeight="1" s="64">
      <c r="BF323" s="0" t="inlineStr">
        <is>
          <t>2027BUD_V1</t>
        </is>
      </c>
      <c r="BG323" s="0" t="inlineStr">
        <is>
          <t>V03</t>
        </is>
      </c>
      <c r="BH323" s="0" t="inlineStr">
        <is>
          <t>12</t>
        </is>
      </c>
      <c r="BI323" s="0" t="inlineStr">
        <is>
          <t>2027</t>
        </is>
      </c>
      <c r="BJ323" s="0" t="inlineStr">
        <is>
          <t>ISCOM_TLS</t>
        </is>
      </c>
      <c r="BK323" s="0" t="inlineStr">
        <is>
          <t>ISCOM</t>
        </is>
      </c>
      <c r="BL323" s="0" t="inlineStr">
        <is>
          <t>BAC_COM</t>
        </is>
      </c>
      <c r="BM323" s="0" t="inlineStr">
        <is>
          <t>B3</t>
        </is>
      </c>
      <c r="BN323" s="0" t="inlineStr">
        <is>
          <t>ALT</t>
        </is>
      </c>
      <c r="BO323" s="0" t="n">
        <v>44.54</v>
      </c>
      <c r="BP323" s="0" t="n">
        <v>2</v>
      </c>
      <c r="BQ323" s="0" t="n">
        <v>306192.9024</v>
      </c>
      <c r="BR323" s="0" t="n">
        <v>23677.902688</v>
      </c>
      <c r="BS323" s="0" t="n">
        <v>57900.021081</v>
      </c>
      <c r="BT323" s="0" t="n">
        <v>16926.034557</v>
      </c>
      <c r="BU323" s="0" t="n">
        <v>129554.227152</v>
      </c>
      <c r="BV323" s="0" t="n">
        <v>9760.193093</v>
      </c>
      <c r="BW323" s="0" t="n">
        <v>45880.753156</v>
      </c>
      <c r="BX323" s="0" t="n">
        <v>55640.946249</v>
      </c>
      <c r="BY323" s="0" t="n">
        <v>40603.937245</v>
      </c>
      <c r="BZ323" s="0" t="n">
        <v>243095.194482</v>
      </c>
      <c r="CA323" s="0" t="n">
        <v>283699.131727</v>
      </c>
      <c r="CB323" s="0" t="n">
        <v>22493.770673</v>
      </c>
      <c r="CC323" s="0" t="n">
        <v>0</v>
      </c>
      <c r="CD323" s="0" t="n">
        <v>118389.513438</v>
      </c>
      <c r="CE323" s="0" t="n">
        <v>289500.105405</v>
      </c>
      <c r="CF323" s="0" t="n">
        <v>84288.383388</v>
      </c>
      <c r="CG323" s="0" t="n">
        <v>20978.85</v>
      </c>
      <c r="CH323" s="0" t="n">
        <v>647771.135759</v>
      </c>
      <c r="CI323" s="0" t="n">
        <v>3092074.3479</v>
      </c>
      <c r="CJ323" s="0" t="n">
        <v>642526.8</v>
      </c>
    </row>
    <row r="324" ht="14.4975" customHeight="1" s="64">
      <c r="BF324" s="0" t="inlineStr">
        <is>
          <t>2027BUD_V1</t>
        </is>
      </c>
      <c r="BG324" s="0" t="inlineStr">
        <is>
          <t>V03</t>
        </is>
      </c>
      <c r="BH324" s="0" t="inlineStr">
        <is>
          <t>12</t>
        </is>
      </c>
      <c r="BI324" s="0" t="inlineStr">
        <is>
          <t>2027</t>
        </is>
      </c>
      <c r="BJ324" s="0" t="inlineStr">
        <is>
          <t>ISCOM_TLS</t>
        </is>
      </c>
      <c r="BK324" s="0" t="inlineStr">
        <is>
          <t>ISCOM</t>
        </is>
      </c>
      <c r="BL324" s="0" t="inlineStr">
        <is>
          <t>MAS_COM</t>
        </is>
      </c>
      <c r="BM324" s="0" t="inlineStr">
        <is>
          <t>M1</t>
        </is>
      </c>
      <c r="BN324" s="0" t="inlineStr">
        <is>
          <t>ALT</t>
        </is>
      </c>
      <c r="BO324" s="0" t="n">
        <v>42.619942</v>
      </c>
      <c r="BP324" s="0" t="n">
        <v>2</v>
      </c>
      <c r="BQ324" s="0" t="n">
        <v>317757.239575</v>
      </c>
      <c r="BR324" s="0" t="n">
        <v>20718.164852</v>
      </c>
      <c r="BS324" s="0" t="n">
        <v>50662.518446</v>
      </c>
      <c r="BT324" s="0" t="n">
        <v>26568.901849</v>
      </c>
      <c r="BU324" s="0" t="n">
        <v>129554.227152</v>
      </c>
      <c r="BV324" s="0" t="n">
        <v>9760.193093</v>
      </c>
      <c r="BW324" s="0" t="n">
        <v>45880.753156</v>
      </c>
      <c r="BX324" s="0" t="n">
        <v>55640.946249</v>
      </c>
      <c r="BY324" s="0" t="n">
        <v>47287.066701</v>
      </c>
      <c r="BZ324" s="0" t="n">
        <v>235857.691847</v>
      </c>
      <c r="CA324" s="0" t="n">
        <v>283144.758548</v>
      </c>
      <c r="CB324" s="0" t="n">
        <v>34612.481027</v>
      </c>
      <c r="CC324" s="0" t="n">
        <v>42.619942</v>
      </c>
      <c r="CD324" s="0" t="n">
        <v>118389.513438</v>
      </c>
      <c r="CE324" s="0" t="n">
        <v>289500.105405</v>
      </c>
      <c r="CF324" s="0" t="n">
        <v>84288.383388</v>
      </c>
      <c r="CG324" s="0" t="n">
        <v>20978.85</v>
      </c>
      <c r="CH324" s="0" t="n">
        <v>647771.135759</v>
      </c>
      <c r="CI324" s="0" t="n">
        <v>3092074.3479</v>
      </c>
      <c r="CJ324" s="0" t="n">
        <v>642526.8</v>
      </c>
    </row>
    <row r="325" ht="14.4975" customHeight="1" s="64">
      <c r="BF325" s="0" t="inlineStr">
        <is>
          <t>2027BUD_V1</t>
        </is>
      </c>
      <c r="BG325" s="0" t="inlineStr">
        <is>
          <t>V03</t>
        </is>
      </c>
      <c r="BH325" s="0" t="inlineStr">
        <is>
          <t>12</t>
        </is>
      </c>
      <c r="BI325" s="0" t="inlineStr">
        <is>
          <t>2027</t>
        </is>
      </c>
      <c r="BJ325" s="0" t="inlineStr">
        <is>
          <t>ISCOM_TLS</t>
        </is>
      </c>
      <c r="BK325" s="0" t="inlineStr">
        <is>
          <t>ISCOM</t>
        </is>
      </c>
      <c r="BL325" s="0" t="inlineStr">
        <is>
          <t>MAS_COM</t>
        </is>
      </c>
      <c r="BM325" s="0" t="inlineStr">
        <is>
          <t>M2</t>
        </is>
      </c>
      <c r="BN325" s="0" t="inlineStr">
        <is>
          <t>ALT</t>
        </is>
      </c>
      <c r="BO325" s="0" t="n">
        <v>45.53</v>
      </c>
      <c r="BP325" s="0" t="n">
        <v>2</v>
      </c>
      <c r="BQ325" s="0" t="n">
        <v>335355.768</v>
      </c>
      <c r="BR325" s="0" t="n">
        <v>20718.164852</v>
      </c>
      <c r="BS325" s="0" t="n">
        <v>50662.518446</v>
      </c>
      <c r="BT325" s="0" t="n">
        <v>17302.213612</v>
      </c>
      <c r="BU325" s="0" t="n">
        <v>129554.227152</v>
      </c>
      <c r="BV325" s="0" t="n">
        <v>9760.193093</v>
      </c>
      <c r="BW325" s="0" t="n">
        <v>45880.753156</v>
      </c>
      <c r="BX325" s="0" t="n">
        <v>55640.946249</v>
      </c>
      <c r="BY325" s="0" t="n">
        <v>38020.378464</v>
      </c>
      <c r="BZ325" s="0" t="n">
        <v>235857.691847</v>
      </c>
      <c r="CA325" s="0" t="n">
        <v>273878.070311</v>
      </c>
      <c r="CB325" s="0" t="n">
        <v>61477.697689</v>
      </c>
      <c r="CC325" s="0" t="n">
        <v>0</v>
      </c>
      <c r="CD325" s="0" t="n">
        <v>118389.513438</v>
      </c>
      <c r="CE325" s="0" t="n">
        <v>289500.105405</v>
      </c>
      <c r="CF325" s="0" t="n">
        <v>84288.383388</v>
      </c>
      <c r="CG325" s="0" t="n">
        <v>20978.85</v>
      </c>
      <c r="CH325" s="0" t="n">
        <v>647771.135759</v>
      </c>
      <c r="CI325" s="0" t="n">
        <v>3092074.3479</v>
      </c>
      <c r="CJ325" s="0" t="n">
        <v>642526.8</v>
      </c>
    </row>
    <row r="326" ht="14.4975" customHeight="1" s="64">
      <c r="BF326" s="0" t="inlineStr">
        <is>
          <t>2027BUD_V1</t>
        </is>
      </c>
      <c r="BG326" s="0" t="inlineStr">
        <is>
          <t>V03</t>
        </is>
      </c>
      <c r="BH326" s="0" t="inlineStr">
        <is>
          <t>12</t>
        </is>
      </c>
      <c r="BI326" s="0" t="inlineStr">
        <is>
          <t>2027</t>
        </is>
      </c>
      <c r="BJ326" s="0" t="inlineStr">
        <is>
          <t>MBWAY_BOR</t>
        </is>
      </c>
      <c r="BK326" s="0" t="inlineStr">
        <is>
          <t>MBWAY</t>
        </is>
      </c>
      <c r="BL326" s="0" t="inlineStr">
        <is>
          <t>BAC_MGT</t>
        </is>
      </c>
      <c r="BM326" s="0" t="inlineStr">
        <is>
          <t>B1</t>
        </is>
      </c>
      <c r="BN326" s="0" t="inlineStr">
        <is>
          <t>INIT</t>
        </is>
      </c>
      <c r="BO326" s="0" t="n">
        <v>47.269295</v>
      </c>
      <c r="BP326" s="0" t="n">
        <v>2</v>
      </c>
      <c r="BQ326" s="0" t="n">
        <v>356391.576582</v>
      </c>
      <c r="BR326" s="0" t="n">
        <v>29597.37836</v>
      </c>
      <c r="BS326" s="0" t="n">
        <v>75796.140709</v>
      </c>
      <c r="BT326" s="0" t="n">
        <v>29939.688989</v>
      </c>
      <c r="BU326" s="0" t="n">
        <v>142682.357459</v>
      </c>
      <c r="BV326" s="0" t="n">
        <v>10623.194506</v>
      </c>
      <c r="BW326" s="0" t="n">
        <v>49437.036519</v>
      </c>
      <c r="BX326" s="0" t="n">
        <v>60060.231025</v>
      </c>
      <c r="BY326" s="0" t="n">
        <v>59537.067349</v>
      </c>
      <c r="BZ326" s="0" t="n">
        <v>278538.729193</v>
      </c>
      <c r="CA326" s="0" t="n">
        <v>338075.796542</v>
      </c>
      <c r="CB326" s="0" t="n">
        <v>18315.78004</v>
      </c>
      <c r="CC326" s="0" t="n">
        <v>47.269295</v>
      </c>
      <c r="CD326" s="0" t="n">
        <v>118389.513438</v>
      </c>
      <c r="CE326" s="0" t="n">
        <v>303184.562835</v>
      </c>
      <c r="CF326" s="0" t="n">
        <v>90856.589544</v>
      </c>
      <c r="CG326" s="0" t="n">
        <v>23676.85</v>
      </c>
      <c r="CH326" s="0" t="n">
        <v>713411.7872960001</v>
      </c>
      <c r="CI326" s="0" t="n">
        <v>3092074.3479</v>
      </c>
      <c r="CJ326" s="0" t="n">
        <v>642526.8</v>
      </c>
    </row>
    <row r="327" ht="14.4975" customHeight="1" s="64">
      <c r="BF327" s="0" t="inlineStr">
        <is>
          <t>2027BUD_V1</t>
        </is>
      </c>
      <c r="BG327" s="0" t="inlineStr">
        <is>
          <t>V03</t>
        </is>
      </c>
      <c r="BH327" s="0" t="inlineStr">
        <is>
          <t>12</t>
        </is>
      </c>
      <c r="BI327" s="0" t="inlineStr">
        <is>
          <t>2027</t>
        </is>
      </c>
      <c r="BJ327" s="0" t="inlineStr">
        <is>
          <t>MBWAY_BOR</t>
        </is>
      </c>
      <c r="BK327" s="0" t="inlineStr">
        <is>
          <t>MBWAY</t>
        </is>
      </c>
      <c r="BL327" s="0" t="inlineStr">
        <is>
          <t>BAC_MGT</t>
        </is>
      </c>
      <c r="BM327" s="0" t="inlineStr">
        <is>
          <t>B2</t>
        </is>
      </c>
      <c r="BN327" s="0" t="inlineStr">
        <is>
          <t>ALT</t>
        </is>
      </c>
      <c r="BO327" s="0" t="n">
        <v>48.49</v>
      </c>
      <c r="BP327" s="0" t="n">
        <v>2</v>
      </c>
      <c r="BQ327" s="0" t="n">
        <v>337149.0304</v>
      </c>
      <c r="BR327" s="0" t="n">
        <v>23677.902688</v>
      </c>
      <c r="BS327" s="0" t="n">
        <v>60636.912567</v>
      </c>
      <c r="BT327" s="0" t="n">
        <v>18434.166022</v>
      </c>
      <c r="BU327" s="0" t="n">
        <v>142682.357459</v>
      </c>
      <c r="BV327" s="0" t="n">
        <v>10623.194506</v>
      </c>
      <c r="BW327" s="0" t="n">
        <v>49437.036519</v>
      </c>
      <c r="BX327" s="0" t="n">
        <v>60060.231025</v>
      </c>
      <c r="BY327" s="0" t="n">
        <v>42112.06871</v>
      </c>
      <c r="BZ327" s="0" t="n">
        <v>263379.501051</v>
      </c>
      <c r="CA327" s="0" t="n">
        <v>305491.569761</v>
      </c>
      <c r="CB327" s="0" t="n">
        <v>31657.460639</v>
      </c>
      <c r="CC327" s="0" t="n">
        <v>0</v>
      </c>
      <c r="CD327" s="0" t="n">
        <v>118389.513438</v>
      </c>
      <c r="CE327" s="0" t="n">
        <v>303184.562835</v>
      </c>
      <c r="CF327" s="0" t="n">
        <v>90856.589544</v>
      </c>
      <c r="CG327" s="0" t="n">
        <v>23676.85</v>
      </c>
      <c r="CH327" s="0" t="n">
        <v>713411.7872960001</v>
      </c>
      <c r="CI327" s="0" t="n">
        <v>3092074.3479</v>
      </c>
      <c r="CJ327" s="0" t="n">
        <v>642526.8</v>
      </c>
    </row>
    <row r="328" ht="14.4975" customHeight="1" s="64">
      <c r="BF328" s="0" t="inlineStr">
        <is>
          <t>2027BUD_V1</t>
        </is>
      </c>
      <c r="BG328" s="0" t="inlineStr">
        <is>
          <t>V03</t>
        </is>
      </c>
      <c r="BH328" s="0" t="inlineStr">
        <is>
          <t>12</t>
        </is>
      </c>
      <c r="BI328" s="0" t="inlineStr">
        <is>
          <t>2027</t>
        </is>
      </c>
      <c r="BJ328" s="0" t="inlineStr">
        <is>
          <t>MBWAY_BOR</t>
        </is>
      </c>
      <c r="BK328" s="0" t="inlineStr">
        <is>
          <t>MBWAY</t>
        </is>
      </c>
      <c r="BL328" s="0" t="inlineStr">
        <is>
          <t>BAC_MGT</t>
        </is>
      </c>
      <c r="BM328" s="0" t="inlineStr">
        <is>
          <t>B3</t>
        </is>
      </c>
      <c r="BN328" s="0" t="inlineStr">
        <is>
          <t>ALT</t>
        </is>
      </c>
      <c r="BO328" s="0" t="n">
        <v>47.51</v>
      </c>
      <c r="BP328" s="0" t="n">
        <v>2</v>
      </c>
      <c r="BQ328" s="0" t="n">
        <v>330335.1296</v>
      </c>
      <c r="BR328" s="0" t="n">
        <v>23677.902688</v>
      </c>
      <c r="BS328" s="0" t="n">
        <v>60636.912567</v>
      </c>
      <c r="BT328" s="0" t="n">
        <v>18061.654005</v>
      </c>
      <c r="BU328" s="0" t="n">
        <v>142682.357459</v>
      </c>
      <c r="BV328" s="0" t="n">
        <v>10623.194506</v>
      </c>
      <c r="BW328" s="0" t="n">
        <v>49437.036519</v>
      </c>
      <c r="BX328" s="0" t="n">
        <v>60060.231025</v>
      </c>
      <c r="BY328" s="0" t="n">
        <v>41739.556693</v>
      </c>
      <c r="BZ328" s="0" t="n">
        <v>263379.501051</v>
      </c>
      <c r="CA328" s="0" t="n">
        <v>305119.057744</v>
      </c>
      <c r="CB328" s="0" t="n">
        <v>25216.071856</v>
      </c>
      <c r="CC328" s="0" t="n">
        <v>0</v>
      </c>
      <c r="CD328" s="0" t="n">
        <v>118389.513438</v>
      </c>
      <c r="CE328" s="0" t="n">
        <v>303184.562835</v>
      </c>
      <c r="CF328" s="0" t="n">
        <v>90856.589544</v>
      </c>
      <c r="CG328" s="0" t="n">
        <v>23676.85</v>
      </c>
      <c r="CH328" s="0" t="n">
        <v>713411.7872960001</v>
      </c>
      <c r="CI328" s="0" t="n">
        <v>3092074.3479</v>
      </c>
      <c r="CJ328" s="0" t="n">
        <v>642526.8</v>
      </c>
    </row>
    <row r="329" ht="14.4975" customHeight="1" s="64">
      <c r="BF329" s="0" t="inlineStr">
        <is>
          <t>2027BUD_V1</t>
        </is>
      </c>
      <c r="BG329" s="0" t="inlineStr">
        <is>
          <t>V03</t>
        </is>
      </c>
      <c r="BH329" s="0" t="inlineStr">
        <is>
          <t>12</t>
        </is>
      </c>
      <c r="BI329" s="0" t="inlineStr">
        <is>
          <t>2027</t>
        </is>
      </c>
      <c r="BJ329" s="0" t="inlineStr">
        <is>
          <t>MBWAY_BOR</t>
        </is>
      </c>
      <c r="BK329" s="0" t="inlineStr">
        <is>
          <t>MBWAY</t>
        </is>
      </c>
      <c r="BL329" s="0" t="inlineStr">
        <is>
          <t>MAS_MGT</t>
        </is>
      </c>
      <c r="BM329" s="0" t="inlineStr">
        <is>
          <t>M1</t>
        </is>
      </c>
      <c r="BN329" s="0" t="inlineStr">
        <is>
          <t>ALT</t>
        </is>
      </c>
      <c r="BO329" s="0" t="n">
        <v>46.232974</v>
      </c>
      <c r="BP329" s="0" t="n">
        <v>2</v>
      </c>
      <c r="BQ329" s="0" t="n">
        <v>348578.13077</v>
      </c>
      <c r="BR329" s="0" t="n">
        <v>20718.164852</v>
      </c>
      <c r="BS329" s="0" t="n">
        <v>53057.298496</v>
      </c>
      <c r="BT329" s="0" t="n">
        <v>29283.324288</v>
      </c>
      <c r="BU329" s="0" t="n">
        <v>142682.357459</v>
      </c>
      <c r="BV329" s="0" t="n">
        <v>10623.194506</v>
      </c>
      <c r="BW329" s="0" t="n">
        <v>49437.036519</v>
      </c>
      <c r="BX329" s="0" t="n">
        <v>60060.231025</v>
      </c>
      <c r="BY329" s="0" t="n">
        <v>50001.48914</v>
      </c>
      <c r="BZ329" s="0" t="n">
        <v>255799.88698</v>
      </c>
      <c r="CA329" s="0" t="n">
        <v>305801.37612</v>
      </c>
      <c r="CB329" s="0" t="n">
        <v>42776.75465</v>
      </c>
      <c r="CC329" s="0" t="n">
        <v>46.232974</v>
      </c>
      <c r="CD329" s="0" t="n">
        <v>118389.513438</v>
      </c>
      <c r="CE329" s="0" t="n">
        <v>303184.562835</v>
      </c>
      <c r="CF329" s="0" t="n">
        <v>90856.589544</v>
      </c>
      <c r="CG329" s="0" t="n">
        <v>23676.85</v>
      </c>
      <c r="CH329" s="0" t="n">
        <v>713411.7872960001</v>
      </c>
      <c r="CI329" s="0" t="n">
        <v>3092074.3479</v>
      </c>
      <c r="CJ329" s="0" t="n">
        <v>642526.8</v>
      </c>
    </row>
    <row r="330" ht="14.4975" customHeight="1" s="64">
      <c r="BF330" s="0" t="inlineStr">
        <is>
          <t>2027BUD_V1</t>
        </is>
      </c>
      <c r="BG330" s="0" t="inlineStr">
        <is>
          <t>V03</t>
        </is>
      </c>
      <c r="BH330" s="0" t="inlineStr">
        <is>
          <t>12</t>
        </is>
      </c>
      <c r="BI330" s="0" t="inlineStr">
        <is>
          <t>2027</t>
        </is>
      </c>
      <c r="BJ330" s="0" t="inlineStr">
        <is>
          <t>MBWAY_BOR</t>
        </is>
      </c>
      <c r="BK330" s="0" t="inlineStr">
        <is>
          <t>MBWAY</t>
        </is>
      </c>
      <c r="BL330" s="0" t="inlineStr">
        <is>
          <t>MAS_MGT</t>
        </is>
      </c>
      <c r="BM330" s="0" t="inlineStr">
        <is>
          <t>M2</t>
        </is>
      </c>
      <c r="BN330" s="0" t="inlineStr">
        <is>
          <t>ALT</t>
        </is>
      </c>
      <c r="BO330" s="0" t="n">
        <v>49.49</v>
      </c>
      <c r="BP330" s="0" t="n">
        <v>2</v>
      </c>
      <c r="BQ330" s="0" t="n">
        <v>368680.704</v>
      </c>
      <c r="BR330" s="0" t="n">
        <v>20718.164852</v>
      </c>
      <c r="BS330" s="0" t="n">
        <v>53057.298496</v>
      </c>
      <c r="BT330" s="0" t="n">
        <v>18814.309993</v>
      </c>
      <c r="BU330" s="0" t="n">
        <v>142682.357459</v>
      </c>
      <c r="BV330" s="0" t="n">
        <v>10623.194506</v>
      </c>
      <c r="BW330" s="0" t="n">
        <v>49437.036519</v>
      </c>
      <c r="BX330" s="0" t="n">
        <v>60060.231025</v>
      </c>
      <c r="BY330" s="0" t="n">
        <v>39532.474845</v>
      </c>
      <c r="BZ330" s="0" t="n">
        <v>255799.88698</v>
      </c>
      <c r="CA330" s="0" t="n">
        <v>295332.361825</v>
      </c>
      <c r="CB330" s="0" t="n">
        <v>73348.342175</v>
      </c>
      <c r="CC330" s="0" t="n">
        <v>0</v>
      </c>
      <c r="CD330" s="0" t="n">
        <v>118389.513438</v>
      </c>
      <c r="CE330" s="0" t="n">
        <v>303184.562835</v>
      </c>
      <c r="CF330" s="0" t="n">
        <v>90856.589544</v>
      </c>
      <c r="CG330" s="0" t="n">
        <v>23676.85</v>
      </c>
      <c r="CH330" s="0" t="n">
        <v>713411.7872960001</v>
      </c>
      <c r="CI330" s="0" t="n">
        <v>3092074.3479</v>
      </c>
      <c r="CJ330" s="0" t="n">
        <v>642526.8</v>
      </c>
    </row>
    <row r="331" ht="14.4975" customHeight="1" s="64">
      <c r="BF331" s="0" t="inlineStr">
        <is>
          <t>2027BUD_V1</t>
        </is>
      </c>
      <c r="BG331" s="0" t="inlineStr">
        <is>
          <t>V03</t>
        </is>
      </c>
      <c r="BH331" s="0" t="inlineStr">
        <is>
          <t>12</t>
        </is>
      </c>
      <c r="BI331" s="0" t="inlineStr">
        <is>
          <t>2027</t>
        </is>
      </c>
      <c r="BJ331" s="0" t="inlineStr">
        <is>
          <t>MBWAY_LYO</t>
        </is>
      </c>
      <c r="BK331" s="0" t="inlineStr">
        <is>
          <t>MBWAY</t>
        </is>
      </c>
      <c r="BL331" s="0" t="inlineStr">
        <is>
          <t>BAC_MGT</t>
        </is>
      </c>
      <c r="BM331" s="0" t="inlineStr">
        <is>
          <t>B1</t>
        </is>
      </c>
      <c r="BN331" s="0" t="inlineStr">
        <is>
          <t>INIT</t>
        </is>
      </c>
      <c r="BO331" s="0" t="n">
        <v>61.226543</v>
      </c>
      <c r="BP331" s="0" t="n">
        <v>3</v>
      </c>
      <c r="BQ331" s="0" t="n">
        <v>499241.231622</v>
      </c>
      <c r="BR331" s="0" t="n">
        <v>44396.069528</v>
      </c>
      <c r="BS331" s="0" t="n">
        <v>124848.376526</v>
      </c>
      <c r="BT331" s="0" t="n">
        <v>43330.835545</v>
      </c>
      <c r="BU331" s="0" t="n">
        <v>235168.615728</v>
      </c>
      <c r="BV331" s="0" t="n">
        <v>15958.249084</v>
      </c>
      <c r="BW331" s="0" t="n">
        <v>74264.717859</v>
      </c>
      <c r="BX331" s="0" t="n">
        <v>90222.96694300001</v>
      </c>
      <c r="BY331" s="0" t="n">
        <v>87726.905073</v>
      </c>
      <c r="BZ331" s="0" t="n">
        <v>450239.959197</v>
      </c>
      <c r="CA331" s="0" t="n">
        <v>537966.86427</v>
      </c>
      <c r="CB331" s="0" t="n">
        <v>-38725.632648</v>
      </c>
      <c r="CC331" s="0" t="n">
        <v>61.226543</v>
      </c>
      <c r="CD331" s="0" t="n">
        <v>153906.661656</v>
      </c>
      <c r="CE331" s="0" t="n">
        <v>432808.5132</v>
      </c>
      <c r="CF331" s="0" t="n">
        <v>118222.807698</v>
      </c>
      <c r="CG331" s="0" t="n">
        <v>39693.85</v>
      </c>
      <c r="CH331" s="0" t="n">
        <v>1019065.020553</v>
      </c>
      <c r="CI331" s="0" t="n">
        <v>3092074.3479</v>
      </c>
      <c r="CJ331" s="0" t="n">
        <v>642526.8</v>
      </c>
    </row>
    <row r="332" ht="14.4975" customHeight="1" s="64">
      <c r="BF332" s="0" t="inlineStr">
        <is>
          <t>2027BUD_V1</t>
        </is>
      </c>
      <c r="BG332" s="0" t="inlineStr">
        <is>
          <t>V03</t>
        </is>
      </c>
      <c r="BH332" s="0" t="inlineStr">
        <is>
          <t>12</t>
        </is>
      </c>
      <c r="BI332" s="0" t="inlineStr">
        <is>
          <t>2027</t>
        </is>
      </c>
      <c r="BJ332" s="0" t="inlineStr">
        <is>
          <t>MBWAY_LYO</t>
        </is>
      </c>
      <c r="BK332" s="0" t="inlineStr">
        <is>
          <t>MBWAY</t>
        </is>
      </c>
      <c r="BL332" s="0" t="inlineStr">
        <is>
          <t>BAC_MGT</t>
        </is>
      </c>
      <c r="BM332" s="0" t="inlineStr">
        <is>
          <t>B2</t>
        </is>
      </c>
      <c r="BN332" s="0" t="inlineStr">
        <is>
          <t>ALT</t>
        </is>
      </c>
      <c r="BO332" s="0" t="n">
        <v>63.34</v>
      </c>
      <c r="BP332" s="0" t="n">
        <v>2</v>
      </c>
      <c r="BQ332" s="0" t="n">
        <v>476722.176</v>
      </c>
      <c r="BR332" s="0" t="n">
        <v>23677.924269</v>
      </c>
      <c r="BS332" s="0" t="n">
        <v>66585.85852199999</v>
      </c>
      <c r="BT332" s="0" t="n">
        <v>24066.49874</v>
      </c>
      <c r="BU332" s="0" t="n">
        <v>156779.077152</v>
      </c>
      <c r="BV332" s="0" t="n">
        <v>10638.832723</v>
      </c>
      <c r="BW332" s="0" t="n">
        <v>49509.811906</v>
      </c>
      <c r="BX332" s="0" t="n">
        <v>60148.644629</v>
      </c>
      <c r="BY332" s="0" t="n">
        <v>47744.423009</v>
      </c>
      <c r="BZ332" s="0" t="n">
        <v>283513.580303</v>
      </c>
      <c r="CA332" s="0" t="n">
        <v>331258.003312</v>
      </c>
      <c r="CB332" s="0" t="n">
        <v>145464.172688</v>
      </c>
      <c r="CC332" s="0" t="n">
        <v>0</v>
      </c>
      <c r="CD332" s="0" t="n">
        <v>153906.661656</v>
      </c>
      <c r="CE332" s="0" t="n">
        <v>432808.5132</v>
      </c>
      <c r="CF332" s="0" t="n">
        <v>118222.807698</v>
      </c>
      <c r="CG332" s="0" t="n">
        <v>39693.85</v>
      </c>
      <c r="CH332" s="0" t="n">
        <v>1019065.020553</v>
      </c>
      <c r="CI332" s="0" t="n">
        <v>3092074.3479</v>
      </c>
      <c r="CJ332" s="0" t="n">
        <v>642526.8</v>
      </c>
    </row>
    <row r="333" ht="14.4975" customHeight="1" s="64">
      <c r="BF333" s="0" t="inlineStr">
        <is>
          <t>2027BUD_V1</t>
        </is>
      </c>
      <c r="BG333" s="0" t="inlineStr">
        <is>
          <t>V03</t>
        </is>
      </c>
      <c r="BH333" s="0" t="inlineStr">
        <is>
          <t>12</t>
        </is>
      </c>
      <c r="BI333" s="0" t="inlineStr">
        <is>
          <t>2027</t>
        </is>
      </c>
      <c r="BJ333" s="0" t="inlineStr">
        <is>
          <t>MBWAY_LYO</t>
        </is>
      </c>
      <c r="BK333" s="0" t="inlineStr">
        <is>
          <t>MBWAY</t>
        </is>
      </c>
      <c r="BL333" s="0" t="inlineStr">
        <is>
          <t>BAC_MGT</t>
        </is>
      </c>
      <c r="BM333" s="0" t="inlineStr">
        <is>
          <t>B3</t>
        </is>
      </c>
      <c r="BN333" s="0" t="inlineStr">
        <is>
          <t>ALT</t>
        </is>
      </c>
      <c r="BO333" s="0" t="n">
        <v>62.36</v>
      </c>
      <c r="BP333" s="0" t="n">
        <v>2</v>
      </c>
      <c r="BQ333" s="0" t="n">
        <v>469346.304</v>
      </c>
      <c r="BR333" s="0" t="n">
        <v>23677.924269</v>
      </c>
      <c r="BS333" s="0" t="n">
        <v>66585.85852199999</v>
      </c>
      <c r="BT333" s="0" t="n">
        <v>23694.096896</v>
      </c>
      <c r="BU333" s="0" t="n">
        <v>156779.077152</v>
      </c>
      <c r="BV333" s="0" t="n">
        <v>10638.832723</v>
      </c>
      <c r="BW333" s="0" t="n">
        <v>49509.811906</v>
      </c>
      <c r="BX333" s="0" t="n">
        <v>60148.644629</v>
      </c>
      <c r="BY333" s="0" t="n">
        <v>47372.021165</v>
      </c>
      <c r="BZ333" s="0" t="n">
        <v>283513.580303</v>
      </c>
      <c r="CA333" s="0" t="n">
        <v>330885.601468</v>
      </c>
      <c r="CB333" s="0" t="n">
        <v>138460.702532</v>
      </c>
      <c r="CC333" s="0" t="n">
        <v>0</v>
      </c>
      <c r="CD333" s="0" t="n">
        <v>153906.661656</v>
      </c>
      <c r="CE333" s="0" t="n">
        <v>432808.5132</v>
      </c>
      <c r="CF333" s="0" t="n">
        <v>118222.807698</v>
      </c>
      <c r="CG333" s="0" t="n">
        <v>39693.85</v>
      </c>
      <c r="CH333" s="0" t="n">
        <v>1019065.020553</v>
      </c>
      <c r="CI333" s="0" t="n">
        <v>3092074.3479</v>
      </c>
      <c r="CJ333" s="0" t="n">
        <v>642526.8</v>
      </c>
    </row>
    <row r="334" ht="14.4975" customHeight="1" s="64">
      <c r="BF334" s="0" t="inlineStr">
        <is>
          <t>2027BUD_V1</t>
        </is>
      </c>
      <c r="BG334" s="0" t="inlineStr">
        <is>
          <t>V03</t>
        </is>
      </c>
      <c r="BH334" s="0" t="inlineStr">
        <is>
          <t>12</t>
        </is>
      </c>
      <c r="BI334" s="0" t="inlineStr">
        <is>
          <t>2027</t>
        </is>
      </c>
      <c r="BJ334" s="0" t="inlineStr">
        <is>
          <t>MBWAY_LYO</t>
        </is>
      </c>
      <c r="BK334" s="0" t="inlineStr">
        <is>
          <t>MBWAY</t>
        </is>
      </c>
      <c r="BL334" s="0" t="inlineStr">
        <is>
          <t>MAS_MGT</t>
        </is>
      </c>
      <c r="BM334" s="0" t="inlineStr">
        <is>
          <t>M1</t>
        </is>
      </c>
      <c r="BN334" s="0" t="inlineStr">
        <is>
          <t>ALT</t>
        </is>
      </c>
      <c r="BO334" s="0" t="n">
        <v>59.880916</v>
      </c>
      <c r="BP334" s="0" t="n">
        <v>3</v>
      </c>
      <c r="BQ334" s="0" t="n">
        <v>488268.989064</v>
      </c>
      <c r="BR334" s="0" t="n">
        <v>31077.294842</v>
      </c>
      <c r="BS334" s="0" t="n">
        <v>87393.993411</v>
      </c>
      <c r="BT334" s="0" t="n">
        <v>42378.483533</v>
      </c>
      <c r="BU334" s="0" t="n">
        <v>235168.615728</v>
      </c>
      <c r="BV334" s="0" t="n">
        <v>15958.249084</v>
      </c>
      <c r="BW334" s="0" t="n">
        <v>74264.717859</v>
      </c>
      <c r="BX334" s="0" t="n">
        <v>90222.96694300001</v>
      </c>
      <c r="BY334" s="0" t="n">
        <v>73455.77837499999</v>
      </c>
      <c r="BZ334" s="0" t="n">
        <v>412785.576082</v>
      </c>
      <c r="CA334" s="0" t="n">
        <v>486241.354457</v>
      </c>
      <c r="CB334" s="0" t="n">
        <v>2027.634607</v>
      </c>
      <c r="CC334" s="0" t="n">
        <v>59.880916</v>
      </c>
      <c r="CD334" s="0" t="n">
        <v>153906.661656</v>
      </c>
      <c r="CE334" s="0" t="n">
        <v>432808.5132</v>
      </c>
      <c r="CF334" s="0" t="n">
        <v>118222.807698</v>
      </c>
      <c r="CG334" s="0" t="n">
        <v>39693.85</v>
      </c>
      <c r="CH334" s="0" t="n">
        <v>1019065.020553</v>
      </c>
      <c r="CI334" s="0" t="n">
        <v>3092074.3479</v>
      </c>
      <c r="CJ334" s="0" t="n">
        <v>642526.8</v>
      </c>
    </row>
    <row r="335" ht="14.4975" customHeight="1" s="64">
      <c r="BF335" s="0" t="inlineStr">
        <is>
          <t>2027BUD_V1</t>
        </is>
      </c>
      <c r="BG335" s="0" t="inlineStr">
        <is>
          <t>V03</t>
        </is>
      </c>
      <c r="BH335" s="0" t="inlineStr">
        <is>
          <t>12</t>
        </is>
      </c>
      <c r="BI335" s="0" t="inlineStr">
        <is>
          <t>2027</t>
        </is>
      </c>
      <c r="BJ335" s="0" t="inlineStr">
        <is>
          <t>MBWAY_LYO</t>
        </is>
      </c>
      <c r="BK335" s="0" t="inlineStr">
        <is>
          <t>MBWAY</t>
        </is>
      </c>
      <c r="BL335" s="0" t="inlineStr">
        <is>
          <t>MAS_MGT</t>
        </is>
      </c>
      <c r="BM335" s="0" t="inlineStr">
        <is>
          <t>M2</t>
        </is>
      </c>
      <c r="BN335" s="0" t="inlineStr">
        <is>
          <t>ALT</t>
        </is>
      </c>
      <c r="BO335" s="0" t="n">
        <v>64.34</v>
      </c>
      <c r="BP335" s="0" t="n">
        <v>3</v>
      </c>
      <c r="BQ335" s="0" t="n">
        <v>518837.76</v>
      </c>
      <c r="BR335" s="0" t="n">
        <v>31077.294842</v>
      </c>
      <c r="BS335" s="0" t="n">
        <v>87393.993411</v>
      </c>
      <c r="BT335" s="0" t="n">
        <v>24446.348621</v>
      </c>
      <c r="BU335" s="0" t="n">
        <v>235168.615728</v>
      </c>
      <c r="BV335" s="0" t="n">
        <v>15958.249084</v>
      </c>
      <c r="BW335" s="0" t="n">
        <v>74264.717859</v>
      </c>
      <c r="BX335" s="0" t="n">
        <v>90222.96694300001</v>
      </c>
      <c r="BY335" s="0" t="n">
        <v>55523.643463</v>
      </c>
      <c r="BZ335" s="0" t="n">
        <v>412785.576082</v>
      </c>
      <c r="CA335" s="0" t="n">
        <v>468309.219545</v>
      </c>
      <c r="CB335" s="0" t="n">
        <v>50528.540455</v>
      </c>
      <c r="CC335" s="0" t="n">
        <v>0</v>
      </c>
      <c r="CD335" s="0" t="n">
        <v>153906.661656</v>
      </c>
      <c r="CE335" s="0" t="n">
        <v>432808.5132</v>
      </c>
      <c r="CF335" s="0" t="n">
        <v>118222.807698</v>
      </c>
      <c r="CG335" s="0" t="n">
        <v>39693.85</v>
      </c>
      <c r="CH335" s="0" t="n">
        <v>1019065.020553</v>
      </c>
      <c r="CI335" s="0" t="n">
        <v>3092074.3479</v>
      </c>
      <c r="CJ335" s="0" t="n">
        <v>642526.8</v>
      </c>
    </row>
    <row r="336" ht="14.4975" customHeight="1" s="64">
      <c r="BF336" s="0" t="inlineStr">
        <is>
          <t>2027BUD_V1</t>
        </is>
      </c>
      <c r="BG336" s="0" t="inlineStr">
        <is>
          <t>V03</t>
        </is>
      </c>
      <c r="BH336" s="0" t="inlineStr">
        <is>
          <t>12</t>
        </is>
      </c>
      <c r="BI336" s="0" t="inlineStr">
        <is>
          <t>2027</t>
        </is>
      </c>
      <c r="BJ336" s="0" t="inlineStr">
        <is>
          <t>MBWAY_NAN</t>
        </is>
      </c>
      <c r="BK336" s="0" t="inlineStr">
        <is>
          <t>MBWAY</t>
        </is>
      </c>
      <c r="BL336" s="0" t="inlineStr">
        <is>
          <t>BAC_MGT</t>
        </is>
      </c>
      <c r="BM336" s="0" t="inlineStr">
        <is>
          <t>B1</t>
        </is>
      </c>
      <c r="BN336" s="0" t="inlineStr">
        <is>
          <t>INIT</t>
        </is>
      </c>
      <c r="BO336" s="0" t="n">
        <v>55.632349</v>
      </c>
      <c r="BP336" s="0" t="n">
        <v>2</v>
      </c>
      <c r="BQ336" s="0" t="n">
        <v>432263.35173</v>
      </c>
      <c r="BR336" s="0" t="n">
        <v>30227.01552</v>
      </c>
      <c r="BS336" s="0" t="n">
        <v>79214.31813</v>
      </c>
      <c r="BT336" s="0" t="n">
        <v>36288.636997</v>
      </c>
      <c r="BU336" s="0" t="n">
        <v>144417.475113</v>
      </c>
      <c r="BV336" s="0" t="n">
        <v>10455.284944</v>
      </c>
      <c r="BW336" s="0" t="n">
        <v>48655.637746</v>
      </c>
      <c r="BX336" s="0" t="n">
        <v>59110.92269</v>
      </c>
      <c r="BY336" s="0" t="n">
        <v>66515.65251699999</v>
      </c>
      <c r="BZ336" s="0" t="n">
        <v>282742.715933</v>
      </c>
      <c r="CA336" s="0" t="n">
        <v>349258.36845</v>
      </c>
      <c r="CB336" s="0" t="n">
        <v>83004.98328</v>
      </c>
      <c r="CC336" s="0" t="n">
        <v>55.632349</v>
      </c>
      <c r="CD336" s="0" t="n">
        <v>142067.61225</v>
      </c>
      <c r="CE336" s="0" t="n">
        <v>372308.9706</v>
      </c>
      <c r="CF336" s="0" t="n">
        <v>107276.124312</v>
      </c>
      <c r="CG336" s="0" t="n">
        <v>29956.35</v>
      </c>
      <c r="CH336" s="0" t="n">
        <v>866508.3167120001</v>
      </c>
      <c r="CI336" s="0" t="n">
        <v>3092074.3479</v>
      </c>
      <c r="CJ336" s="0" t="n">
        <v>642526.8</v>
      </c>
    </row>
    <row r="337" ht="14.4975" customHeight="1" s="64">
      <c r="BF337" s="0" t="inlineStr">
        <is>
          <t>2027BUD_V1</t>
        </is>
      </c>
      <c r="BG337" s="0" t="inlineStr">
        <is>
          <t>V03</t>
        </is>
      </c>
      <c r="BH337" s="0" t="inlineStr">
        <is>
          <t>12</t>
        </is>
      </c>
      <c r="BI337" s="0" t="inlineStr">
        <is>
          <t>2027</t>
        </is>
      </c>
      <c r="BJ337" s="0" t="inlineStr">
        <is>
          <t>MBWAY_NAN</t>
        </is>
      </c>
      <c r="BK337" s="0" t="inlineStr">
        <is>
          <t>MBWAY</t>
        </is>
      </c>
      <c r="BL337" s="0" t="inlineStr">
        <is>
          <t>BAC_MGT</t>
        </is>
      </c>
      <c r="BM337" s="0" t="inlineStr">
        <is>
          <t>B2</t>
        </is>
      </c>
      <c r="BN337" s="0" t="inlineStr">
        <is>
          <t>ALT</t>
        </is>
      </c>
      <c r="BO337" s="0" t="n">
        <v>57.4</v>
      </c>
      <c r="BP337" s="0" t="n">
        <v>2</v>
      </c>
      <c r="BQ337" s="0" t="n">
        <v>411443.2</v>
      </c>
      <c r="BR337" s="0" t="n">
        <v>24181.612416</v>
      </c>
      <c r="BS337" s="0" t="n">
        <v>63371.454504</v>
      </c>
      <c r="BT337" s="0" t="n">
        <v>21815.565364</v>
      </c>
      <c r="BU337" s="0" t="n">
        <v>144417.475113</v>
      </c>
      <c r="BV337" s="0" t="n">
        <v>10455.284944</v>
      </c>
      <c r="BW337" s="0" t="n">
        <v>48655.637746</v>
      </c>
      <c r="BX337" s="0" t="n">
        <v>59110.92269</v>
      </c>
      <c r="BY337" s="0" t="n">
        <v>45997.17778</v>
      </c>
      <c r="BZ337" s="0" t="n">
        <v>266899.852307</v>
      </c>
      <c r="CA337" s="0" t="n">
        <v>312897.030087</v>
      </c>
      <c r="CB337" s="0" t="n">
        <v>98546.16991300001</v>
      </c>
      <c r="CC337" s="0" t="n">
        <v>0</v>
      </c>
      <c r="CD337" s="0" t="n">
        <v>142067.61225</v>
      </c>
      <c r="CE337" s="0" t="n">
        <v>372308.9706</v>
      </c>
      <c r="CF337" s="0" t="n">
        <v>107276.124312</v>
      </c>
      <c r="CG337" s="0" t="n">
        <v>29956.35</v>
      </c>
      <c r="CH337" s="0" t="n">
        <v>866508.3167120001</v>
      </c>
      <c r="CI337" s="0" t="n">
        <v>3092074.3479</v>
      </c>
      <c r="CJ337" s="0" t="n">
        <v>642526.8</v>
      </c>
    </row>
    <row r="338" ht="14.4975" customHeight="1" s="64">
      <c r="BF338" s="0" t="inlineStr">
        <is>
          <t>2027BUD_V1</t>
        </is>
      </c>
      <c r="BG338" s="0" t="inlineStr">
        <is>
          <t>V03</t>
        </is>
      </c>
      <c r="BH338" s="0" t="inlineStr">
        <is>
          <t>12</t>
        </is>
      </c>
      <c r="BI338" s="0" t="inlineStr">
        <is>
          <t>2027</t>
        </is>
      </c>
      <c r="BJ338" s="0" t="inlineStr">
        <is>
          <t>MBWAY_NAN</t>
        </is>
      </c>
      <c r="BK338" s="0" t="inlineStr">
        <is>
          <t>MBWAY</t>
        </is>
      </c>
      <c r="BL338" s="0" t="inlineStr">
        <is>
          <t>BAC_MGT</t>
        </is>
      </c>
      <c r="BM338" s="0" t="inlineStr">
        <is>
          <t>B3</t>
        </is>
      </c>
      <c r="BN338" s="0" t="inlineStr">
        <is>
          <t>ALT</t>
        </is>
      </c>
      <c r="BO338" s="0" t="n">
        <v>56.42</v>
      </c>
      <c r="BP338" s="0" t="n">
        <v>2</v>
      </c>
      <c r="BQ338" s="0" t="n">
        <v>404418.56</v>
      </c>
      <c r="BR338" s="0" t="n">
        <v>24181.612416</v>
      </c>
      <c r="BS338" s="0" t="n">
        <v>63371.454504</v>
      </c>
      <c r="BT338" s="0" t="n">
        <v>21443.10266</v>
      </c>
      <c r="BU338" s="0" t="n">
        <v>144417.475113</v>
      </c>
      <c r="BV338" s="0" t="n">
        <v>10455.284944</v>
      </c>
      <c r="BW338" s="0" t="n">
        <v>48655.637746</v>
      </c>
      <c r="BX338" s="0" t="n">
        <v>59110.92269</v>
      </c>
      <c r="BY338" s="0" t="n">
        <v>45624.715076</v>
      </c>
      <c r="BZ338" s="0" t="n">
        <v>266899.852307</v>
      </c>
      <c r="CA338" s="0" t="n">
        <v>312524.567383</v>
      </c>
      <c r="CB338" s="0" t="n">
        <v>91893.992617</v>
      </c>
      <c r="CC338" s="0" t="n">
        <v>0</v>
      </c>
      <c r="CD338" s="0" t="n">
        <v>142067.61225</v>
      </c>
      <c r="CE338" s="0" t="n">
        <v>372308.9706</v>
      </c>
      <c r="CF338" s="0" t="n">
        <v>107276.124312</v>
      </c>
      <c r="CG338" s="0" t="n">
        <v>29956.35</v>
      </c>
      <c r="CH338" s="0" t="n">
        <v>866508.3167120001</v>
      </c>
      <c r="CI338" s="0" t="n">
        <v>3092074.3479</v>
      </c>
      <c r="CJ338" s="0" t="n">
        <v>642526.8</v>
      </c>
    </row>
    <row r="339" ht="14.4975" customHeight="1" s="64">
      <c r="BF339" s="0" t="inlineStr">
        <is>
          <t>2027BUD_V1</t>
        </is>
      </c>
      <c r="BG339" s="0" t="inlineStr">
        <is>
          <t>V03</t>
        </is>
      </c>
      <c r="BH339" s="0" t="inlineStr">
        <is>
          <t>12</t>
        </is>
      </c>
      <c r="BI339" s="0" t="inlineStr">
        <is>
          <t>2027</t>
        </is>
      </c>
      <c r="BJ339" s="0" t="inlineStr">
        <is>
          <t>MBWAY_NAN</t>
        </is>
      </c>
      <c r="BK339" s="0" t="inlineStr">
        <is>
          <t>MBWAY</t>
        </is>
      </c>
      <c r="BL339" s="0" t="inlineStr">
        <is>
          <t>MAS_MGT</t>
        </is>
      </c>
      <c r="BM339" s="0" t="inlineStr">
        <is>
          <t>M1</t>
        </is>
      </c>
      <c r="BN339" s="0" t="inlineStr">
        <is>
          <t>ALT</t>
        </is>
      </c>
      <c r="BO339" s="0" t="n">
        <v>54.406977</v>
      </c>
      <c r="BP339" s="0" t="n">
        <v>3</v>
      </c>
      <c r="BQ339" s="0" t="n">
        <v>422742.21129</v>
      </c>
      <c r="BR339" s="0" t="n">
        <v>31738.472847</v>
      </c>
      <c r="BS339" s="0" t="n">
        <v>83175.313268</v>
      </c>
      <c r="BT339" s="0" t="n">
        <v>35489.387385</v>
      </c>
      <c r="BU339" s="0" t="n">
        <v>216627.079178</v>
      </c>
      <c r="BV339" s="0" t="n">
        <v>15682.990148</v>
      </c>
      <c r="BW339" s="0" t="n">
        <v>72983.74855400001</v>
      </c>
      <c r="BX339" s="0" t="n">
        <v>88666.738702</v>
      </c>
      <c r="BY339" s="0" t="n">
        <v>67227.86023200001</v>
      </c>
      <c r="BZ339" s="0" t="n">
        <v>388469.131148</v>
      </c>
      <c r="CA339" s="0" t="n">
        <v>455696.99138</v>
      </c>
      <c r="CB339" s="0" t="n">
        <v>-32954.78009</v>
      </c>
      <c r="CC339" s="0" t="n">
        <v>54.406977</v>
      </c>
      <c r="CD339" s="0" t="n">
        <v>142067.61225</v>
      </c>
      <c r="CE339" s="0" t="n">
        <v>372308.9706</v>
      </c>
      <c r="CF339" s="0" t="n">
        <v>107276.124312</v>
      </c>
      <c r="CG339" s="0" t="n">
        <v>29956.35</v>
      </c>
      <c r="CH339" s="0" t="n">
        <v>866508.3167120001</v>
      </c>
      <c r="CI339" s="0" t="n">
        <v>3092074.3479</v>
      </c>
      <c r="CJ339" s="0" t="n">
        <v>642526.8</v>
      </c>
    </row>
    <row r="340" ht="14.4975" customHeight="1" s="64">
      <c r="BF340" s="0" t="inlineStr">
        <is>
          <t>2027BUD_V1</t>
        </is>
      </c>
      <c r="BG340" s="0" t="inlineStr">
        <is>
          <t>V03</t>
        </is>
      </c>
      <c r="BH340" s="0" t="inlineStr">
        <is>
          <t>12</t>
        </is>
      </c>
      <c r="BI340" s="0" t="inlineStr">
        <is>
          <t>2027</t>
        </is>
      </c>
      <c r="BJ340" s="0" t="inlineStr">
        <is>
          <t>MBWAY_NAN</t>
        </is>
      </c>
      <c r="BK340" s="0" t="inlineStr">
        <is>
          <t>MBWAY</t>
        </is>
      </c>
      <c r="BL340" s="0" t="inlineStr">
        <is>
          <t>MAS_MGT</t>
        </is>
      </c>
      <c r="BM340" s="0" t="inlineStr">
        <is>
          <t>M2</t>
        </is>
      </c>
      <c r="BN340" s="0" t="inlineStr">
        <is>
          <t>ALT</t>
        </is>
      </c>
      <c r="BO340" s="0" t="n">
        <v>58.4</v>
      </c>
      <c r="BP340" s="0" t="n">
        <v>3</v>
      </c>
      <c r="BQ340" s="0" t="n">
        <v>448512</v>
      </c>
      <c r="BR340" s="0" t="n">
        <v>31738.472847</v>
      </c>
      <c r="BS340" s="0" t="n">
        <v>83175.313268</v>
      </c>
      <c r="BT340" s="0" t="n">
        <v>22195.537396</v>
      </c>
      <c r="BU340" s="0" t="n">
        <v>216627.079178</v>
      </c>
      <c r="BV340" s="0" t="n">
        <v>15682.990148</v>
      </c>
      <c r="BW340" s="0" t="n">
        <v>72983.74855400001</v>
      </c>
      <c r="BX340" s="0" t="n">
        <v>88666.738702</v>
      </c>
      <c r="BY340" s="0" t="n">
        <v>53934.010243</v>
      </c>
      <c r="BZ340" s="0" t="n">
        <v>388469.131148</v>
      </c>
      <c r="CA340" s="0" t="n">
        <v>442403.141391</v>
      </c>
      <c r="CB340" s="0" t="n">
        <v>6108.858609</v>
      </c>
      <c r="CC340" s="0" t="n">
        <v>0</v>
      </c>
      <c r="CD340" s="0" t="n">
        <v>142067.61225</v>
      </c>
      <c r="CE340" s="0" t="n">
        <v>372308.9706</v>
      </c>
      <c r="CF340" s="0" t="n">
        <v>107276.124312</v>
      </c>
      <c r="CG340" s="0" t="n">
        <v>29956.35</v>
      </c>
      <c r="CH340" s="0" t="n">
        <v>866508.3167120001</v>
      </c>
      <c r="CI340" s="0" t="n">
        <v>3092074.3479</v>
      </c>
      <c r="CJ340" s="0" t="n">
        <v>642526.8</v>
      </c>
    </row>
    <row r="341" ht="14.4975" customHeight="1" s="64">
      <c r="BF341" s="0" t="inlineStr">
        <is>
          <t>2027BUD_V1</t>
        </is>
      </c>
      <c r="BG341" s="0" t="inlineStr">
        <is>
          <t>V03</t>
        </is>
      </c>
      <c r="BH341" s="0" t="inlineStr">
        <is>
          <t>12</t>
        </is>
      </c>
      <c r="BI341" s="0" t="inlineStr">
        <is>
          <t>2027</t>
        </is>
      </c>
      <c r="BJ341" s="0" t="inlineStr">
        <is>
          <t>MBWAY_PAR</t>
        </is>
      </c>
      <c r="BK341" s="0" t="inlineStr">
        <is>
          <t>MBWAY</t>
        </is>
      </c>
      <c r="BL341" s="0" t="inlineStr">
        <is>
          <t>BAC_MGT</t>
        </is>
      </c>
      <c r="BM341" s="0" t="inlineStr">
        <is>
          <t>B1</t>
        </is>
      </c>
      <c r="BN341" s="0" t="inlineStr">
        <is>
          <t>INIT</t>
        </is>
      </c>
      <c r="BO341" s="0" t="n">
        <v>72.432654</v>
      </c>
      <c r="BP341" s="0" t="n">
        <v>3</v>
      </c>
      <c r="BQ341" s="0" t="n">
        <v>629555.655506</v>
      </c>
      <c r="BR341" s="0" t="n">
        <v>44396.190117</v>
      </c>
      <c r="BS341" s="0" t="n">
        <v>135745.27281</v>
      </c>
      <c r="BT341" s="0" t="n">
        <v>60312.987107</v>
      </c>
      <c r="BU341" s="0" t="n">
        <v>259482.168812</v>
      </c>
      <c r="BV341" s="0" t="n">
        <v>16310.901507</v>
      </c>
      <c r="BW341" s="0" t="n">
        <v>75905.85232999999</v>
      </c>
      <c r="BX341" s="0" t="n">
        <v>92216.753837</v>
      </c>
      <c r="BY341" s="0" t="n">
        <v>104709.177224</v>
      </c>
      <c r="BZ341" s="0" t="n">
        <v>487444.195459</v>
      </c>
      <c r="CA341" s="0" t="n">
        <v>592153.3726830001</v>
      </c>
      <c r="CB341" s="0" t="n">
        <v>37402.282823</v>
      </c>
      <c r="CC341" s="0" t="n">
        <v>72.432654</v>
      </c>
      <c r="CD341" s="0" t="n">
        <v>177584.760468</v>
      </c>
      <c r="CE341" s="0" t="n">
        <v>542981.09124</v>
      </c>
      <c r="CF341" s="0" t="n">
        <v>139385.61108</v>
      </c>
      <c r="CG341" s="0" t="n">
        <v>64876.45</v>
      </c>
      <c r="CH341" s="0" t="n">
        <v>1297410.844061</v>
      </c>
      <c r="CI341" s="0" t="n">
        <v>3092074.3479</v>
      </c>
      <c r="CJ341" s="0" t="n">
        <v>642526.8</v>
      </c>
    </row>
    <row r="342" ht="14.4975" customHeight="1" s="64">
      <c r="BF342" s="0" t="inlineStr">
        <is>
          <t>2027BUD_V1</t>
        </is>
      </c>
      <c r="BG342" s="0" t="inlineStr">
        <is>
          <t>V03</t>
        </is>
      </c>
      <c r="BH342" s="0" t="inlineStr">
        <is>
          <t>12</t>
        </is>
      </c>
      <c r="BI342" s="0" t="inlineStr">
        <is>
          <t>2027</t>
        </is>
      </c>
      <c r="BJ342" s="0" t="inlineStr">
        <is>
          <t>MBWAY_PAR</t>
        </is>
      </c>
      <c r="BK342" s="0" t="inlineStr">
        <is>
          <t>MBWAY</t>
        </is>
      </c>
      <c r="BL342" s="0" t="inlineStr">
        <is>
          <t>BAC_MGT</t>
        </is>
      </c>
      <c r="BM342" s="0" t="inlineStr">
        <is>
          <t>B2</t>
        </is>
      </c>
      <c r="BN342" s="0" t="inlineStr">
        <is>
          <t>ALT</t>
        </is>
      </c>
      <c r="BO342" s="0" t="n">
        <v>75.22</v>
      </c>
      <c r="BP342" s="0" t="n">
        <v>3</v>
      </c>
      <c r="BQ342" s="0" t="n">
        <v>603878.1952</v>
      </c>
      <c r="BR342" s="0" t="n">
        <v>35516.952094</v>
      </c>
      <c r="BS342" s="0" t="n">
        <v>108596.218248</v>
      </c>
      <c r="BT342" s="0" t="n">
        <v>28572.238258</v>
      </c>
      <c r="BU342" s="0" t="n">
        <v>259482.168812</v>
      </c>
      <c r="BV342" s="0" t="n">
        <v>16310.901507</v>
      </c>
      <c r="BW342" s="0" t="n">
        <v>75905.85232999999</v>
      </c>
      <c r="BX342" s="0" t="n">
        <v>92216.753837</v>
      </c>
      <c r="BY342" s="0" t="n">
        <v>64089.190352</v>
      </c>
      <c r="BZ342" s="0" t="n">
        <v>460295.140897</v>
      </c>
      <c r="CA342" s="0" t="n">
        <v>524384.331249</v>
      </c>
      <c r="CB342" s="0" t="n">
        <v>79493.86395100001</v>
      </c>
      <c r="CC342" s="0" t="n">
        <v>0</v>
      </c>
      <c r="CD342" s="0" t="n">
        <v>177584.760468</v>
      </c>
      <c r="CE342" s="0" t="n">
        <v>542981.09124</v>
      </c>
      <c r="CF342" s="0" t="n">
        <v>139385.61108</v>
      </c>
      <c r="CG342" s="0" t="n">
        <v>64876.45</v>
      </c>
      <c r="CH342" s="0" t="n">
        <v>1297410.844061</v>
      </c>
      <c r="CI342" s="0" t="n">
        <v>3092074.3479</v>
      </c>
      <c r="CJ342" s="0" t="n">
        <v>642526.8</v>
      </c>
    </row>
    <row r="343" ht="14.4975" customHeight="1" s="64">
      <c r="BF343" s="0" t="inlineStr">
        <is>
          <t>2027BUD_V1</t>
        </is>
      </c>
      <c r="BG343" s="0" t="inlineStr">
        <is>
          <t>V03</t>
        </is>
      </c>
      <c r="BH343" s="0" t="inlineStr">
        <is>
          <t>12</t>
        </is>
      </c>
      <c r="BI343" s="0" t="inlineStr">
        <is>
          <t>2027</t>
        </is>
      </c>
      <c r="BJ343" s="0" t="inlineStr">
        <is>
          <t>MBWAY_PAR</t>
        </is>
      </c>
      <c r="BK343" s="0" t="inlineStr">
        <is>
          <t>MBWAY</t>
        </is>
      </c>
      <c r="BL343" s="0" t="inlineStr">
        <is>
          <t>BAC_MGT</t>
        </is>
      </c>
      <c r="BM343" s="0" t="inlineStr">
        <is>
          <t>B3</t>
        </is>
      </c>
      <c r="BN343" s="0" t="inlineStr">
        <is>
          <t>ALT</t>
        </is>
      </c>
      <c r="BO343" s="0" t="n">
        <v>73.23999999999999</v>
      </c>
      <c r="BP343" s="0" t="n">
        <v>3</v>
      </c>
      <c r="BQ343" s="0" t="n">
        <v>587982.4384</v>
      </c>
      <c r="BR343" s="0" t="n">
        <v>35516.952094</v>
      </c>
      <c r="BS343" s="0" t="n">
        <v>108596.218248</v>
      </c>
      <c r="BT343" s="0" t="n">
        <v>27820.113501</v>
      </c>
      <c r="BU343" s="0" t="n">
        <v>259482.168812</v>
      </c>
      <c r="BV343" s="0" t="n">
        <v>16310.901507</v>
      </c>
      <c r="BW343" s="0" t="n">
        <v>75905.85232999999</v>
      </c>
      <c r="BX343" s="0" t="n">
        <v>92216.753837</v>
      </c>
      <c r="BY343" s="0" t="n">
        <v>63337.065595</v>
      </c>
      <c r="BZ343" s="0" t="n">
        <v>460295.140897</v>
      </c>
      <c r="CA343" s="0" t="n">
        <v>523632.206492</v>
      </c>
      <c r="CB343" s="0" t="n">
        <v>64350.231908</v>
      </c>
      <c r="CC343" s="0" t="n">
        <v>0</v>
      </c>
      <c r="CD343" s="0" t="n">
        <v>177584.760468</v>
      </c>
      <c r="CE343" s="0" t="n">
        <v>542981.09124</v>
      </c>
      <c r="CF343" s="0" t="n">
        <v>139385.61108</v>
      </c>
      <c r="CG343" s="0" t="n">
        <v>64876.45</v>
      </c>
      <c r="CH343" s="0" t="n">
        <v>1297410.844061</v>
      </c>
      <c r="CI343" s="0" t="n">
        <v>3092074.3479</v>
      </c>
      <c r="CJ343" s="0" t="n">
        <v>642526.8</v>
      </c>
    </row>
    <row r="344" ht="14.4975" customHeight="1" s="64">
      <c r="BF344" s="0" t="inlineStr">
        <is>
          <t>2027BUD_V1</t>
        </is>
      </c>
      <c r="BG344" s="0" t="inlineStr">
        <is>
          <t>V03</t>
        </is>
      </c>
      <c r="BH344" s="0" t="inlineStr">
        <is>
          <t>12</t>
        </is>
      </c>
      <c r="BI344" s="0" t="inlineStr">
        <is>
          <t>2027</t>
        </is>
      </c>
      <c r="BJ344" s="0" t="inlineStr">
        <is>
          <t>MBWAY_PAR</t>
        </is>
      </c>
      <c r="BK344" s="0" t="inlineStr">
        <is>
          <t>MBWAY</t>
        </is>
      </c>
      <c r="BL344" s="0" t="inlineStr">
        <is>
          <t>MAS_MGT</t>
        </is>
      </c>
      <c r="BM344" s="0" t="inlineStr">
        <is>
          <t>M1</t>
        </is>
      </c>
      <c r="BN344" s="0" t="inlineStr">
        <is>
          <t>ALT</t>
        </is>
      </c>
      <c r="BO344" s="0" t="n">
        <v>70.83682899999999</v>
      </c>
      <c r="BP344" s="0" t="n">
        <v>3</v>
      </c>
      <c r="BQ344" s="0" t="n">
        <v>615685.382936</v>
      </c>
      <c r="BR344" s="0" t="n">
        <v>31077.333082</v>
      </c>
      <c r="BS344" s="0" t="n">
        <v>95021.690967</v>
      </c>
      <c r="BT344" s="0" t="n">
        <v>58984.140308</v>
      </c>
      <c r="BU344" s="0" t="n">
        <v>259482.168812</v>
      </c>
      <c r="BV344" s="0" t="n">
        <v>16310.901507</v>
      </c>
      <c r="BW344" s="0" t="n">
        <v>75905.85232999999</v>
      </c>
      <c r="BX344" s="0" t="n">
        <v>92216.753837</v>
      </c>
      <c r="BY344" s="0" t="n">
        <v>90061.47339</v>
      </c>
      <c r="BZ344" s="0" t="n">
        <v>446720.613616</v>
      </c>
      <c r="CA344" s="0" t="n">
        <v>536782.087006</v>
      </c>
      <c r="CB344" s="0" t="n">
        <v>78903.29592999999</v>
      </c>
      <c r="CC344" s="0" t="n">
        <v>70.83682899999999</v>
      </c>
      <c r="CD344" s="0" t="n">
        <v>177584.760468</v>
      </c>
      <c r="CE344" s="0" t="n">
        <v>542981.09124</v>
      </c>
      <c r="CF344" s="0" t="n">
        <v>139385.61108</v>
      </c>
      <c r="CG344" s="0" t="n">
        <v>64876.45</v>
      </c>
      <c r="CH344" s="0" t="n">
        <v>1297410.844061</v>
      </c>
      <c r="CI344" s="0" t="n">
        <v>3092074.3479</v>
      </c>
      <c r="CJ344" s="0" t="n">
        <v>642526.8</v>
      </c>
    </row>
    <row r="345" ht="14.4975" customHeight="1" s="64">
      <c r="BF345" s="0" t="inlineStr">
        <is>
          <t>2027BUD_V1</t>
        </is>
      </c>
      <c r="BG345" s="0" t="inlineStr">
        <is>
          <t>V03</t>
        </is>
      </c>
      <c r="BH345" s="0" t="inlineStr">
        <is>
          <t>12</t>
        </is>
      </c>
      <c r="BI345" s="0" t="inlineStr">
        <is>
          <t>2027</t>
        </is>
      </c>
      <c r="BJ345" s="0" t="inlineStr">
        <is>
          <t>MBWAY_PAR</t>
        </is>
      </c>
      <c r="BK345" s="0" t="inlineStr">
        <is>
          <t>MBWAY</t>
        </is>
      </c>
      <c r="BL345" s="0" t="inlineStr">
        <is>
          <t>MAS_MGT</t>
        </is>
      </c>
      <c r="BM345" s="0" t="inlineStr">
        <is>
          <t>M2</t>
        </is>
      </c>
      <c r="BN345" s="0" t="inlineStr">
        <is>
          <t>ALT</t>
        </is>
      </c>
      <c r="BO345" s="0" t="n">
        <v>75.22</v>
      </c>
      <c r="BP345" s="0" t="n">
        <v>3</v>
      </c>
      <c r="BQ345" s="0" t="n">
        <v>647012.352</v>
      </c>
      <c r="BR345" s="0" t="n">
        <v>31077.333082</v>
      </c>
      <c r="BS345" s="0" t="n">
        <v>95021.690967</v>
      </c>
      <c r="BT345" s="0" t="n">
        <v>28572.238258</v>
      </c>
      <c r="BU345" s="0" t="n">
        <v>259482.168812</v>
      </c>
      <c r="BV345" s="0" t="n">
        <v>16310.901507</v>
      </c>
      <c r="BW345" s="0" t="n">
        <v>75905.85232999999</v>
      </c>
      <c r="BX345" s="0" t="n">
        <v>92216.753837</v>
      </c>
      <c r="BY345" s="0" t="n">
        <v>59649.57134</v>
      </c>
      <c r="BZ345" s="0" t="n">
        <v>446720.613616</v>
      </c>
      <c r="CA345" s="0" t="n">
        <v>506370.184956</v>
      </c>
      <c r="CB345" s="0" t="n">
        <v>140642.167044</v>
      </c>
      <c r="CC345" s="0" t="n">
        <v>0</v>
      </c>
      <c r="CD345" s="0" t="n">
        <v>177584.760468</v>
      </c>
      <c r="CE345" s="0" t="n">
        <v>542981.09124</v>
      </c>
      <c r="CF345" s="0" t="n">
        <v>139385.61108</v>
      </c>
      <c r="CG345" s="0" t="n">
        <v>64876.45</v>
      </c>
      <c r="CH345" s="0" t="n">
        <v>1297410.844061</v>
      </c>
      <c r="CI345" s="0" t="n">
        <v>3092074.3479</v>
      </c>
      <c r="CJ345" s="0" t="n">
        <v>642526.8</v>
      </c>
    </row>
    <row r="346" ht="14.4975" customHeight="1" s="64">
      <c r="BF346" s="0" t="inlineStr">
        <is>
          <t>2027BUD_V1</t>
        </is>
      </c>
      <c r="BG346" s="0" t="inlineStr">
        <is>
          <t>V03</t>
        </is>
      </c>
      <c r="BH346" s="0" t="inlineStr">
        <is>
          <t>12</t>
        </is>
      </c>
      <c r="BI346" s="0" t="inlineStr">
        <is>
          <t>2027</t>
        </is>
      </c>
      <c r="BJ346" s="0" t="inlineStr">
        <is>
          <t>PIGIER_BOR</t>
        </is>
      </c>
      <c r="BK346" s="0" t="inlineStr">
        <is>
          <t>PIGIER</t>
        </is>
      </c>
      <c r="BL346" s="0" t="inlineStr">
        <is>
          <t>BTS_GES</t>
        </is>
      </c>
      <c r="BM346" s="0" t="inlineStr">
        <is>
          <t>BTS1</t>
        </is>
      </c>
      <c r="BN346" s="0" t="inlineStr">
        <is>
          <t>ALT</t>
        </is>
      </c>
      <c r="BO346" s="0" t="n">
        <v>32.684119</v>
      </c>
      <c r="BP346" s="0" t="n">
        <v>2</v>
      </c>
      <c r="BQ346" s="0" t="n">
        <v>196587.131596</v>
      </c>
      <c r="BR346" s="0" t="n">
        <v>23344.280054</v>
      </c>
      <c r="BS346" s="0" t="n">
        <v>48716.621336</v>
      </c>
      <c r="BT346" s="0" t="n">
        <v>20497.254679</v>
      </c>
      <c r="BU346" s="0" t="n">
        <v>74879.02413000001</v>
      </c>
      <c r="BV346" s="0" t="n">
        <v>6544.810923</v>
      </c>
      <c r="BW346" s="0" t="n">
        <v>34813.55023</v>
      </c>
      <c r="BX346" s="0" t="n">
        <v>41358.361153</v>
      </c>
      <c r="BY346" s="0" t="n">
        <v>43841.534733</v>
      </c>
      <c r="BZ346" s="0" t="n">
        <v>164954.006619</v>
      </c>
      <c r="CA346" s="0" t="n">
        <v>208795.541352</v>
      </c>
      <c r="CB346" s="0" t="n">
        <v>-12208.409756</v>
      </c>
      <c r="CC346" s="0" t="n">
        <v>32.684119</v>
      </c>
      <c r="CD346" s="0" t="n">
        <v>94711.414626</v>
      </c>
      <c r="CE346" s="0" t="n">
        <v>197650.992525</v>
      </c>
      <c r="CF346" s="0" t="n">
        <v>51814.105236</v>
      </c>
      <c r="CG346" s="0" t="n">
        <v>20869.6</v>
      </c>
      <c r="CH346" s="0" t="n">
        <v>374395.120652</v>
      </c>
      <c r="CI346" s="0" t="n">
        <v>3092074.3479</v>
      </c>
      <c r="CJ346" s="0" t="n">
        <v>642526.8</v>
      </c>
    </row>
    <row r="347" ht="14.4975" customHeight="1" s="64">
      <c r="BF347" s="0" t="inlineStr">
        <is>
          <t>2027BUD_V1</t>
        </is>
      </c>
      <c r="BG347" s="0" t="inlineStr">
        <is>
          <t>V03</t>
        </is>
      </c>
      <c r="BH347" s="0" t="inlineStr">
        <is>
          <t>12</t>
        </is>
      </c>
      <c r="BI347" s="0" t="inlineStr">
        <is>
          <t>2027</t>
        </is>
      </c>
      <c r="BJ347" s="0" t="inlineStr">
        <is>
          <t>PIGIER_BOR</t>
        </is>
      </c>
      <c r="BK347" s="0" t="inlineStr">
        <is>
          <t>PIGIER</t>
        </is>
      </c>
      <c r="BL347" s="0" t="inlineStr">
        <is>
          <t>BTS_GES</t>
        </is>
      </c>
      <c r="BM347" s="0" t="inlineStr">
        <is>
          <t>BTS2</t>
        </is>
      </c>
      <c r="BN347" s="0" t="inlineStr">
        <is>
          <t>ALT</t>
        </is>
      </c>
      <c r="BO347" s="0" t="n">
        <v>34.64</v>
      </c>
      <c r="BP347" s="0" t="n">
        <v>2</v>
      </c>
      <c r="BQ347" s="0" t="n">
        <v>205233.6864</v>
      </c>
      <c r="BR347" s="0" t="n">
        <v>23344.280054</v>
      </c>
      <c r="BS347" s="0" t="n">
        <v>48716.621336</v>
      </c>
      <c r="BT347" s="0" t="n">
        <v>10664.63821</v>
      </c>
      <c r="BU347" s="0" t="n">
        <v>74879.02413000001</v>
      </c>
      <c r="BV347" s="0" t="n">
        <v>6544.810923</v>
      </c>
      <c r="BW347" s="0" t="n">
        <v>34813.55023</v>
      </c>
      <c r="BX347" s="0" t="n">
        <v>41358.361153</v>
      </c>
      <c r="BY347" s="0" t="n">
        <v>34008.918264</v>
      </c>
      <c r="BZ347" s="0" t="n">
        <v>164954.006619</v>
      </c>
      <c r="CA347" s="0" t="n">
        <v>198962.924883</v>
      </c>
      <c r="CB347" s="0" t="n">
        <v>6270.761517</v>
      </c>
      <c r="CC347" s="0" t="n">
        <v>0</v>
      </c>
      <c r="CD347" s="0" t="n">
        <v>94711.414626</v>
      </c>
      <c r="CE347" s="0" t="n">
        <v>197650.992525</v>
      </c>
      <c r="CF347" s="0" t="n">
        <v>51814.105236</v>
      </c>
      <c r="CG347" s="0" t="n">
        <v>20869.6</v>
      </c>
      <c r="CH347" s="0" t="n">
        <v>374395.120652</v>
      </c>
      <c r="CI347" s="0" t="n">
        <v>3092074.3479</v>
      </c>
      <c r="CJ347" s="0" t="n">
        <v>642526.8</v>
      </c>
    </row>
    <row r="348" ht="14.4975" customHeight="1" s="64">
      <c r="BF348" s="0" t="inlineStr">
        <is>
          <t>2027BUD_V1</t>
        </is>
      </c>
      <c r="BG348" s="0" t="inlineStr">
        <is>
          <t>V03</t>
        </is>
      </c>
      <c r="BH348" s="0" t="inlineStr">
        <is>
          <t>12</t>
        </is>
      </c>
      <c r="BI348" s="0" t="inlineStr">
        <is>
          <t>2027</t>
        </is>
      </c>
      <c r="BJ348" s="0" t="inlineStr">
        <is>
          <t>PIGIER_BOR</t>
        </is>
      </c>
      <c r="BK348" s="0" t="inlineStr">
        <is>
          <t>PIGIER</t>
        </is>
      </c>
      <c r="BL348" s="0" t="inlineStr">
        <is>
          <t>BAC_RH</t>
        </is>
      </c>
      <c r="BM348" s="0" t="inlineStr">
        <is>
          <t>B1</t>
        </is>
      </c>
      <c r="BN348" s="0" t="inlineStr">
        <is>
          <t>ALT</t>
        </is>
      </c>
      <c r="BO348" s="0" t="n">
        <v>32.684119</v>
      </c>
      <c r="BP348" s="0" t="n">
        <v>2</v>
      </c>
      <c r="BQ348" s="0" t="n">
        <v>228861.391744</v>
      </c>
      <c r="BR348" s="0" t="n">
        <v>16007.555032</v>
      </c>
      <c r="BS348" s="0" t="n">
        <v>33405.784851</v>
      </c>
      <c r="BT348" s="0" t="n">
        <v>20497.254679</v>
      </c>
      <c r="BU348" s="0" t="n">
        <v>74879.02413000001</v>
      </c>
      <c r="BV348" s="0" t="n">
        <v>6544.810923</v>
      </c>
      <c r="BW348" s="0" t="n">
        <v>34813.55023</v>
      </c>
      <c r="BX348" s="0" t="n">
        <v>41358.361153</v>
      </c>
      <c r="BY348" s="0" t="n">
        <v>36504.809711</v>
      </c>
      <c r="BZ348" s="0" t="n">
        <v>149643.170134</v>
      </c>
      <c r="CA348" s="0" t="n">
        <v>186147.979845</v>
      </c>
      <c r="CB348" s="0" t="n">
        <v>42713.411899</v>
      </c>
      <c r="CC348" s="0" t="n">
        <v>32.684119</v>
      </c>
      <c r="CD348" s="0" t="n">
        <v>94711.414626</v>
      </c>
      <c r="CE348" s="0" t="n">
        <v>197650.992525</v>
      </c>
      <c r="CF348" s="0" t="n">
        <v>51814.105236</v>
      </c>
      <c r="CG348" s="0" t="n">
        <v>20869.6</v>
      </c>
      <c r="CH348" s="0" t="n">
        <v>374395.120652</v>
      </c>
      <c r="CI348" s="0" t="n">
        <v>3092074.3479</v>
      </c>
      <c r="CJ348" s="0" t="n">
        <v>642526.8</v>
      </c>
    </row>
    <row r="349" ht="14.4975" customHeight="1" s="64">
      <c r="BF349" s="0" t="inlineStr">
        <is>
          <t>2027BUD_V1</t>
        </is>
      </c>
      <c r="BG349" s="0" t="inlineStr">
        <is>
          <t>V03</t>
        </is>
      </c>
      <c r="BH349" s="0" t="inlineStr">
        <is>
          <t>12</t>
        </is>
      </c>
      <c r="BI349" s="0" t="inlineStr">
        <is>
          <t>2027</t>
        </is>
      </c>
      <c r="BJ349" s="0" t="inlineStr">
        <is>
          <t>PIGIER_BOR</t>
        </is>
      </c>
      <c r="BK349" s="0" t="inlineStr">
        <is>
          <t>PIGIER</t>
        </is>
      </c>
      <c r="BL349" s="0" t="inlineStr">
        <is>
          <t>BAC_RH</t>
        </is>
      </c>
      <c r="BM349" s="0" t="inlineStr">
        <is>
          <t>B2</t>
        </is>
      </c>
      <c r="BN349" s="0" t="inlineStr">
        <is>
          <t>ALT</t>
        </is>
      </c>
      <c r="BO349" s="0" t="n">
        <v>34.64</v>
      </c>
      <c r="BP349" s="0" t="n">
        <v>2</v>
      </c>
      <c r="BQ349" s="0" t="n">
        <v>239439.3008</v>
      </c>
      <c r="BR349" s="0" t="n">
        <v>16007.555032</v>
      </c>
      <c r="BS349" s="0" t="n">
        <v>33405.784851</v>
      </c>
      <c r="BT349" s="0" t="n">
        <v>10664.63821</v>
      </c>
      <c r="BU349" s="0" t="n">
        <v>74879.02413000001</v>
      </c>
      <c r="BV349" s="0" t="n">
        <v>6544.810923</v>
      </c>
      <c r="BW349" s="0" t="n">
        <v>34813.55023</v>
      </c>
      <c r="BX349" s="0" t="n">
        <v>41358.361153</v>
      </c>
      <c r="BY349" s="0" t="n">
        <v>26672.193242</v>
      </c>
      <c r="BZ349" s="0" t="n">
        <v>149643.170134</v>
      </c>
      <c r="CA349" s="0" t="n">
        <v>176315.363376</v>
      </c>
      <c r="CB349" s="0" t="n">
        <v>63123.937424</v>
      </c>
      <c r="CC349" s="0" t="n">
        <v>0</v>
      </c>
      <c r="CD349" s="0" t="n">
        <v>94711.414626</v>
      </c>
      <c r="CE349" s="0" t="n">
        <v>197650.992525</v>
      </c>
      <c r="CF349" s="0" t="n">
        <v>51814.105236</v>
      </c>
      <c r="CG349" s="0" t="n">
        <v>20869.6</v>
      </c>
      <c r="CH349" s="0" t="n">
        <v>374395.120652</v>
      </c>
      <c r="CI349" s="0" t="n">
        <v>3092074.3479</v>
      </c>
      <c r="CJ349" s="0" t="n">
        <v>642526.8</v>
      </c>
    </row>
    <row r="350" ht="14.4975" customHeight="1" s="64">
      <c r="BF350" s="0" t="inlineStr">
        <is>
          <t>2027BUD_V1</t>
        </is>
      </c>
      <c r="BG350" s="0" t="inlineStr">
        <is>
          <t>V03</t>
        </is>
      </c>
      <c r="BH350" s="0" t="inlineStr">
        <is>
          <t>12</t>
        </is>
      </c>
      <c r="BI350" s="0" t="inlineStr">
        <is>
          <t>2027</t>
        </is>
      </c>
      <c r="BJ350" s="0" t="inlineStr">
        <is>
          <t>PIGIER_BOR</t>
        </is>
      </c>
      <c r="BK350" s="0" t="inlineStr">
        <is>
          <t>PIGIER</t>
        </is>
      </c>
      <c r="BL350" s="0" t="inlineStr">
        <is>
          <t>BAC_RH</t>
        </is>
      </c>
      <c r="BM350" s="0" t="inlineStr">
        <is>
          <t>B3</t>
        </is>
      </c>
      <c r="BN350" s="0" t="inlineStr">
        <is>
          <t>ALT</t>
        </is>
      </c>
      <c r="BO350" s="0" t="n">
        <v>33.65</v>
      </c>
      <c r="BP350" s="0" t="n">
        <v>2</v>
      </c>
      <c r="BQ350" s="0" t="n">
        <v>232596.203</v>
      </c>
      <c r="BR350" s="0" t="n">
        <v>16007.555032</v>
      </c>
      <c r="BS350" s="0" t="n">
        <v>33405.784851</v>
      </c>
      <c r="BT350" s="0" t="n">
        <v>10359.815829</v>
      </c>
      <c r="BU350" s="0" t="n">
        <v>74879.02413000001</v>
      </c>
      <c r="BV350" s="0" t="n">
        <v>6544.810923</v>
      </c>
      <c r="BW350" s="0" t="n">
        <v>34813.55023</v>
      </c>
      <c r="BX350" s="0" t="n">
        <v>41358.361153</v>
      </c>
      <c r="BY350" s="0" t="n">
        <v>26367.370861</v>
      </c>
      <c r="BZ350" s="0" t="n">
        <v>149643.170134</v>
      </c>
      <c r="CA350" s="0" t="n">
        <v>176010.540995</v>
      </c>
      <c r="CB350" s="0" t="n">
        <v>56585.662005</v>
      </c>
      <c r="CC350" s="0" t="n">
        <v>0</v>
      </c>
      <c r="CD350" s="0" t="n">
        <v>94711.414626</v>
      </c>
      <c r="CE350" s="0" t="n">
        <v>197650.992525</v>
      </c>
      <c r="CF350" s="0" t="n">
        <v>51814.105236</v>
      </c>
      <c r="CG350" s="0" t="n">
        <v>20869.6</v>
      </c>
      <c r="CH350" s="0" t="n">
        <v>374395.120652</v>
      </c>
      <c r="CI350" s="0" t="n">
        <v>3092074.3479</v>
      </c>
      <c r="CJ350" s="0" t="n">
        <v>642526.8</v>
      </c>
    </row>
    <row r="351" ht="14.4975" customHeight="1" s="64">
      <c r="BF351" s="0" t="inlineStr">
        <is>
          <t>2027BUD_V1</t>
        </is>
      </c>
      <c r="BG351" s="0" t="inlineStr">
        <is>
          <t>V03</t>
        </is>
      </c>
      <c r="BH351" s="0" t="inlineStr">
        <is>
          <t>12</t>
        </is>
      </c>
      <c r="BI351" s="0" t="inlineStr">
        <is>
          <t>2027</t>
        </is>
      </c>
      <c r="BJ351" s="0" t="inlineStr">
        <is>
          <t>PIGIER_LYO</t>
        </is>
      </c>
      <c r="BK351" s="0" t="inlineStr">
        <is>
          <t>PIGIER</t>
        </is>
      </c>
      <c r="BL351" s="0" t="inlineStr">
        <is>
          <t>BAC_RH</t>
        </is>
      </c>
      <c r="BM351" s="0" t="inlineStr">
        <is>
          <t>B3</t>
        </is>
      </c>
      <c r="BN351" s="0" t="inlineStr">
        <is>
          <t>ALT</t>
        </is>
      </c>
      <c r="BO351" s="0" t="n">
        <v>43.55</v>
      </c>
      <c r="BP351" s="0" t="n">
        <v>2</v>
      </c>
      <c r="BQ351" s="0" t="n">
        <v>325854.165</v>
      </c>
      <c r="BR351" s="0" t="n">
        <v>16007.555032</v>
      </c>
      <c r="BS351" s="0" t="n">
        <v>44108.489334</v>
      </c>
      <c r="BT351" s="0" t="n">
        <v>13375.242222</v>
      </c>
      <c r="BU351" s="0" t="n">
        <v>115616.841047</v>
      </c>
      <c r="BV351" s="0" t="n">
        <v>8408.828845</v>
      </c>
      <c r="BW351" s="0" t="n">
        <v>44728.745997</v>
      </c>
      <c r="BX351" s="0" t="n">
        <v>53137.574842</v>
      </c>
      <c r="BY351" s="0" t="n">
        <v>29382.797254</v>
      </c>
      <c r="BZ351" s="0" t="n">
        <v>212862.905223</v>
      </c>
      <c r="CA351" s="0" t="n">
        <v>242245.702477</v>
      </c>
      <c r="CB351" s="0" t="n">
        <v>83608.46252299999</v>
      </c>
      <c r="CC351" s="0" t="n">
        <v>0</v>
      </c>
      <c r="CD351" s="0" t="n">
        <v>94711.414626</v>
      </c>
      <c r="CE351" s="0" t="n">
        <v>260975.35905</v>
      </c>
      <c r="CF351" s="0" t="n">
        <v>66409.683084</v>
      </c>
      <c r="CG351" s="0" t="n">
        <v>34781.4</v>
      </c>
      <c r="CH351" s="0" t="n">
        <v>578084.205236</v>
      </c>
      <c r="CI351" s="0" t="n">
        <v>3092074.3479</v>
      </c>
      <c r="CJ351" s="0" t="n">
        <v>642526.8</v>
      </c>
    </row>
    <row r="352" ht="14.4975" customHeight="1" s="64">
      <c r="BF352" s="0" t="inlineStr">
        <is>
          <t>2027BUD_V1</t>
        </is>
      </c>
      <c r="BG352" s="0" t="inlineStr">
        <is>
          <t>V03</t>
        </is>
      </c>
      <c r="BH352" s="0" t="inlineStr">
        <is>
          <t>12</t>
        </is>
      </c>
      <c r="BI352" s="0" t="inlineStr">
        <is>
          <t>2027</t>
        </is>
      </c>
      <c r="BJ352" s="0" t="inlineStr">
        <is>
          <t>PIGIER_LYO</t>
        </is>
      </c>
      <c r="BK352" s="0" t="inlineStr">
        <is>
          <t>PIGIER</t>
        </is>
      </c>
      <c r="BL352" s="0" t="inlineStr">
        <is>
          <t>BAC_RH</t>
        </is>
      </c>
      <c r="BM352" s="0" t="inlineStr">
        <is>
          <t>B2</t>
        </is>
      </c>
      <c r="BN352" s="0" t="inlineStr">
        <is>
          <t>ALT</t>
        </is>
      </c>
      <c r="BO352" s="0" t="n">
        <v>44.54</v>
      </c>
      <c r="BP352" s="0" t="n">
        <v>2</v>
      </c>
      <c r="BQ352" s="0" t="n">
        <v>333261.642</v>
      </c>
      <c r="BR352" s="0" t="n">
        <v>16007.555032</v>
      </c>
      <c r="BS352" s="0" t="n">
        <v>44108.489334</v>
      </c>
      <c r="BT352" s="0" t="n">
        <v>13679.265751</v>
      </c>
      <c r="BU352" s="0" t="n">
        <v>115616.841047</v>
      </c>
      <c r="BV352" s="0" t="n">
        <v>8408.828845</v>
      </c>
      <c r="BW352" s="0" t="n">
        <v>44728.745997</v>
      </c>
      <c r="BX352" s="0" t="n">
        <v>53137.574842</v>
      </c>
      <c r="BY352" s="0" t="n">
        <v>29686.820783</v>
      </c>
      <c r="BZ352" s="0" t="n">
        <v>212862.905223</v>
      </c>
      <c r="CA352" s="0" t="n">
        <v>242549.726006</v>
      </c>
      <c r="CB352" s="0" t="n">
        <v>90711.915994</v>
      </c>
      <c r="CC352" s="0" t="n">
        <v>0</v>
      </c>
      <c r="CD352" s="0" t="n">
        <v>94711.414626</v>
      </c>
      <c r="CE352" s="0" t="n">
        <v>260975.35905</v>
      </c>
      <c r="CF352" s="0" t="n">
        <v>66409.683084</v>
      </c>
      <c r="CG352" s="0" t="n">
        <v>34781.4</v>
      </c>
      <c r="CH352" s="0" t="n">
        <v>578084.205236</v>
      </c>
      <c r="CI352" s="0" t="n">
        <v>3092074.3479</v>
      </c>
      <c r="CJ352" s="0" t="n">
        <v>642526.8</v>
      </c>
    </row>
    <row r="353" ht="14.4975" customHeight="1" s="64">
      <c r="BF353" s="0" t="inlineStr">
        <is>
          <t>2027BUD_V1</t>
        </is>
      </c>
      <c r="BG353" s="0" t="inlineStr">
        <is>
          <t>V03</t>
        </is>
      </c>
      <c r="BH353" s="0" t="inlineStr">
        <is>
          <t>12</t>
        </is>
      </c>
      <c r="BI353" s="0" t="inlineStr">
        <is>
          <t>2027</t>
        </is>
      </c>
      <c r="BJ353" s="0" t="inlineStr">
        <is>
          <t>PIGIER_LYO</t>
        </is>
      </c>
      <c r="BK353" s="0" t="inlineStr">
        <is>
          <t>PIGIER</t>
        </is>
      </c>
      <c r="BL353" s="0" t="inlineStr">
        <is>
          <t>BTS_GES</t>
        </is>
      </c>
      <c r="BM353" s="0" t="inlineStr">
        <is>
          <t>BTS1</t>
        </is>
      </c>
      <c r="BN353" s="0" t="inlineStr">
        <is>
          <t>ALT</t>
        </is>
      </c>
      <c r="BO353" s="0" t="n">
        <v>41.800317</v>
      </c>
      <c r="BP353" s="0" t="n">
        <v>2</v>
      </c>
      <c r="BQ353" s="0" t="n">
        <v>271844.181578</v>
      </c>
      <c r="BR353" s="0" t="n">
        <v>23344.280054</v>
      </c>
      <c r="BS353" s="0" t="n">
        <v>64324.684548</v>
      </c>
      <c r="BT353" s="0" t="n">
        <v>30228.555066</v>
      </c>
      <c r="BU353" s="0" t="n">
        <v>115616.841047</v>
      </c>
      <c r="BV353" s="0" t="n">
        <v>8408.828845</v>
      </c>
      <c r="BW353" s="0" t="n">
        <v>44728.745997</v>
      </c>
      <c r="BX353" s="0" t="n">
        <v>53137.574842</v>
      </c>
      <c r="BY353" s="0" t="n">
        <v>53572.83512</v>
      </c>
      <c r="BZ353" s="0" t="n">
        <v>233079.100437</v>
      </c>
      <c r="CA353" s="0" t="n">
        <v>286651.935557</v>
      </c>
      <c r="CB353" s="0" t="n">
        <v>-14807.753979</v>
      </c>
      <c r="CC353" s="0" t="n">
        <v>41.800317</v>
      </c>
      <c r="CD353" s="0" t="n">
        <v>94711.414626</v>
      </c>
      <c r="CE353" s="0" t="n">
        <v>260975.35905</v>
      </c>
      <c r="CF353" s="0" t="n">
        <v>66409.683084</v>
      </c>
      <c r="CG353" s="0" t="n">
        <v>34781.4</v>
      </c>
      <c r="CH353" s="0" t="n">
        <v>578084.205236</v>
      </c>
      <c r="CI353" s="0" t="n">
        <v>3092074.3479</v>
      </c>
      <c r="CJ353" s="0" t="n">
        <v>642526.8</v>
      </c>
    </row>
    <row r="354" ht="14.4975" customHeight="1" s="64">
      <c r="BF354" s="0" t="inlineStr">
        <is>
          <t>2027BUD_V1</t>
        </is>
      </c>
      <c r="BG354" s="0" t="inlineStr">
        <is>
          <t>V03</t>
        </is>
      </c>
      <c r="BH354" s="0" t="inlineStr">
        <is>
          <t>12</t>
        </is>
      </c>
      <c r="BI354" s="0" t="inlineStr">
        <is>
          <t>2027</t>
        </is>
      </c>
      <c r="BJ354" s="0" t="inlineStr">
        <is>
          <t>PIGIER_LYO</t>
        </is>
      </c>
      <c r="BK354" s="0" t="inlineStr">
        <is>
          <t>PIGIER</t>
        </is>
      </c>
      <c r="BL354" s="0" t="inlineStr">
        <is>
          <t>BTS_GES</t>
        </is>
      </c>
      <c r="BM354" s="0" t="inlineStr">
        <is>
          <t>BTS2</t>
        </is>
      </c>
      <c r="BN354" s="0" t="inlineStr">
        <is>
          <t>ALT</t>
        </is>
      </c>
      <c r="BO354" s="0" t="n">
        <v>44.54</v>
      </c>
      <c r="BP354" s="0" t="n">
        <v>2</v>
      </c>
      <c r="BQ354" s="0" t="n">
        <v>285652.836</v>
      </c>
      <c r="BR354" s="0" t="n">
        <v>23344.280054</v>
      </c>
      <c r="BS354" s="0" t="n">
        <v>64324.684548</v>
      </c>
      <c r="BT354" s="0" t="n">
        <v>13679.265751</v>
      </c>
      <c r="BU354" s="0" t="n">
        <v>115616.841047</v>
      </c>
      <c r="BV354" s="0" t="n">
        <v>8408.828845</v>
      </c>
      <c r="BW354" s="0" t="n">
        <v>44728.745997</v>
      </c>
      <c r="BX354" s="0" t="n">
        <v>53137.574842</v>
      </c>
      <c r="BY354" s="0" t="n">
        <v>37023.545805</v>
      </c>
      <c r="BZ354" s="0" t="n">
        <v>233079.100437</v>
      </c>
      <c r="CA354" s="0" t="n">
        <v>270102.646242</v>
      </c>
      <c r="CB354" s="0" t="n">
        <v>15550.189758</v>
      </c>
      <c r="CC354" s="0" t="n">
        <v>0</v>
      </c>
      <c r="CD354" s="0" t="n">
        <v>94711.414626</v>
      </c>
      <c r="CE354" s="0" t="n">
        <v>260975.35905</v>
      </c>
      <c r="CF354" s="0" t="n">
        <v>66409.683084</v>
      </c>
      <c r="CG354" s="0" t="n">
        <v>34781.4</v>
      </c>
      <c r="CH354" s="0" t="n">
        <v>578084.205236</v>
      </c>
      <c r="CI354" s="0" t="n">
        <v>3092074.3479</v>
      </c>
      <c r="CJ354" s="0" t="n">
        <v>642526.8</v>
      </c>
    </row>
    <row r="355" ht="14.4975" customHeight="1" s="64">
      <c r="BF355" s="0" t="inlineStr">
        <is>
          <t>2027BUD_V1</t>
        </is>
      </c>
      <c r="BG355" s="0" t="inlineStr">
        <is>
          <t>V03</t>
        </is>
      </c>
      <c r="BH355" s="0" t="inlineStr">
        <is>
          <t>12</t>
        </is>
      </c>
      <c r="BI355" s="0" t="inlineStr">
        <is>
          <t>2027</t>
        </is>
      </c>
      <c r="BJ355" s="0" t="inlineStr">
        <is>
          <t>PIGIER_LYO</t>
        </is>
      </c>
      <c r="BK355" s="0" t="inlineStr">
        <is>
          <t>PIGIER</t>
        </is>
      </c>
      <c r="BL355" s="0" t="inlineStr">
        <is>
          <t>BAC_RH</t>
        </is>
      </c>
      <c r="BM355" s="0" t="inlineStr">
        <is>
          <t>B1</t>
        </is>
      </c>
      <c r="BN355" s="0" t="inlineStr">
        <is>
          <t>ALT</t>
        </is>
      </c>
      <c r="BO355" s="0" t="n">
        <v>41.800317</v>
      </c>
      <c r="BP355" s="0" t="n">
        <v>2</v>
      </c>
      <c r="BQ355" s="0" t="n">
        <v>316524.540419</v>
      </c>
      <c r="BR355" s="0" t="n">
        <v>16007.555032</v>
      </c>
      <c r="BS355" s="0" t="n">
        <v>44108.489334</v>
      </c>
      <c r="BT355" s="0" t="n">
        <v>30228.555066</v>
      </c>
      <c r="BU355" s="0" t="n">
        <v>115616.841047</v>
      </c>
      <c r="BV355" s="0" t="n">
        <v>8408.828845</v>
      </c>
      <c r="BW355" s="0" t="n">
        <v>44728.745997</v>
      </c>
      <c r="BX355" s="0" t="n">
        <v>53137.574842</v>
      </c>
      <c r="BY355" s="0" t="n">
        <v>46236.110098</v>
      </c>
      <c r="BZ355" s="0" t="n">
        <v>212862.905223</v>
      </c>
      <c r="CA355" s="0" t="n">
        <v>259099.015321</v>
      </c>
      <c r="CB355" s="0" t="n">
        <v>57425.525098</v>
      </c>
      <c r="CC355" s="0" t="n">
        <v>41.800317</v>
      </c>
      <c r="CD355" s="0" t="n">
        <v>94711.414626</v>
      </c>
      <c r="CE355" s="0" t="n">
        <v>260975.35905</v>
      </c>
      <c r="CF355" s="0" t="n">
        <v>66409.683084</v>
      </c>
      <c r="CG355" s="0" t="n">
        <v>34781.4</v>
      </c>
      <c r="CH355" s="0" t="n">
        <v>578084.205236</v>
      </c>
      <c r="CI355" s="0" t="n">
        <v>3092074.3479</v>
      </c>
      <c r="CJ355" s="0" t="n">
        <v>642526.8</v>
      </c>
    </row>
    <row r="356" ht="14.4975" customHeight="1" s="64">
      <c r="BF356" s="0" t="inlineStr">
        <is>
          <t>2027BUD_V1</t>
        </is>
      </c>
      <c r="BG356" s="0" t="inlineStr">
        <is>
          <t>V03</t>
        </is>
      </c>
      <c r="BH356" s="0" t="inlineStr">
        <is>
          <t>12</t>
        </is>
      </c>
      <c r="BI356" s="0" t="inlineStr">
        <is>
          <t>2027</t>
        </is>
      </c>
      <c r="BJ356" s="0" t="inlineStr">
        <is>
          <t>TUNON_LYO</t>
        </is>
      </c>
      <c r="BK356" s="0" t="inlineStr">
        <is>
          <t>TUNON</t>
        </is>
      </c>
      <c r="BL356" s="0" t="inlineStr">
        <is>
          <t>BAC_TOU</t>
        </is>
      </c>
      <c r="BM356" s="0" t="inlineStr">
        <is>
          <t>B1</t>
        </is>
      </c>
      <c r="BN356" s="0" t="inlineStr">
        <is>
          <t>ALT</t>
        </is>
      </c>
      <c r="BO356" s="0" t="n">
        <v>36.329613</v>
      </c>
      <c r="BP356" s="0" t="n">
        <v>2</v>
      </c>
      <c r="BQ356" s="0" t="n">
        <v>275899.796487</v>
      </c>
      <c r="BR356" s="0" t="n">
        <v>23678.075134</v>
      </c>
      <c r="BS356" s="0" t="n">
        <v>67034.086026</v>
      </c>
      <c r="BT356" s="0" t="n">
        <v>31688.960129</v>
      </c>
      <c r="BU356" s="0" t="n">
        <v>134506.078929</v>
      </c>
      <c r="BV356" s="0" t="n">
        <v>8304.365400000001</v>
      </c>
      <c r="BW356" s="0" t="n">
        <v>38798.800514</v>
      </c>
      <c r="BX356" s="0" t="n">
        <v>47103.165914</v>
      </c>
      <c r="BY356" s="0" t="n">
        <v>55367.035263</v>
      </c>
      <c r="BZ356" s="0" t="n">
        <v>248643.330869</v>
      </c>
      <c r="CA356" s="0" t="n">
        <v>304010.366132</v>
      </c>
      <c r="CB356" s="0" t="n">
        <v>-28110.569645</v>
      </c>
      <c r="CC356" s="0" t="n">
        <v>36.329613</v>
      </c>
      <c r="CD356" s="0" t="n">
        <v>71034.296436</v>
      </c>
      <c r="CE356" s="0" t="n">
        <v>201102.45918</v>
      </c>
      <c r="CF356" s="0" t="n">
        <v>42691.37877</v>
      </c>
      <c r="CG356" s="0" t="n">
        <v>17907.5</v>
      </c>
      <c r="CH356" s="0" t="n">
        <v>403518.640306</v>
      </c>
      <c r="CI356" s="0" t="n">
        <v>3092074.3479</v>
      </c>
      <c r="CJ356" s="0" t="n">
        <v>642526.8</v>
      </c>
    </row>
    <row r="357" ht="14.4975" customHeight="1" s="64">
      <c r="BF357" s="0" t="inlineStr">
        <is>
          <t>2027BUD_V1</t>
        </is>
      </c>
      <c r="BG357" s="0" t="inlineStr">
        <is>
          <t>V03</t>
        </is>
      </c>
      <c r="BH357" s="0" t="inlineStr">
        <is>
          <t>12</t>
        </is>
      </c>
      <c r="BI357" s="0" t="inlineStr">
        <is>
          <t>2027</t>
        </is>
      </c>
      <c r="BJ357" s="0" t="inlineStr">
        <is>
          <t>TUNON_LYO</t>
        </is>
      </c>
      <c r="BK357" s="0" t="inlineStr">
        <is>
          <t>TUNON</t>
        </is>
      </c>
      <c r="BL357" s="0" t="inlineStr">
        <is>
          <t>BAC_TOU</t>
        </is>
      </c>
      <c r="BM357" s="0" t="inlineStr">
        <is>
          <t>B2</t>
        </is>
      </c>
      <c r="BN357" s="0" t="inlineStr">
        <is>
          <t>ALT</t>
        </is>
      </c>
      <c r="BO357" s="0" t="n">
        <v>38.6</v>
      </c>
      <c r="BP357" s="0" t="n">
        <v>2</v>
      </c>
      <c r="BQ357" s="0" t="n">
        <v>289667.91</v>
      </c>
      <c r="BR357" s="0" t="n">
        <v>23678.075134</v>
      </c>
      <c r="BS357" s="0" t="n">
        <v>67034.086026</v>
      </c>
      <c r="BT357" s="0" t="n">
        <v>14642.716004</v>
      </c>
      <c r="BU357" s="0" t="n">
        <v>134506.078929</v>
      </c>
      <c r="BV357" s="0" t="n">
        <v>8304.365400000001</v>
      </c>
      <c r="BW357" s="0" t="n">
        <v>38798.800514</v>
      </c>
      <c r="BX357" s="0" t="n">
        <v>47103.165914</v>
      </c>
      <c r="BY357" s="0" t="n">
        <v>38320.791138</v>
      </c>
      <c r="BZ357" s="0" t="n">
        <v>248643.330869</v>
      </c>
      <c r="CA357" s="0" t="n">
        <v>286964.122007</v>
      </c>
      <c r="CB357" s="0" t="n">
        <v>2703.787993</v>
      </c>
      <c r="CC357" s="0" t="n">
        <v>0</v>
      </c>
      <c r="CD357" s="0" t="n">
        <v>71034.296436</v>
      </c>
      <c r="CE357" s="0" t="n">
        <v>201102.45918</v>
      </c>
      <c r="CF357" s="0" t="n">
        <v>42691.37877</v>
      </c>
      <c r="CG357" s="0" t="n">
        <v>17907.5</v>
      </c>
      <c r="CH357" s="0" t="n">
        <v>403518.640306</v>
      </c>
      <c r="CI357" s="0" t="n">
        <v>3092074.3479</v>
      </c>
      <c r="CJ357" s="0" t="n">
        <v>642526.8</v>
      </c>
    </row>
    <row r="358" ht="14.4975" customHeight="1" s="64">
      <c r="BF358" s="0" t="inlineStr">
        <is>
          <t>2027BUD_V1</t>
        </is>
      </c>
      <c r="BG358" s="0" t="inlineStr">
        <is>
          <t>V03</t>
        </is>
      </c>
      <c r="BH358" s="0" t="inlineStr">
        <is>
          <t>12</t>
        </is>
      </c>
      <c r="BI358" s="0" t="inlineStr">
        <is>
          <t>2027</t>
        </is>
      </c>
      <c r="BJ358" s="0" t="inlineStr">
        <is>
          <t>TUNON_LYO</t>
        </is>
      </c>
      <c r="BK358" s="0" t="inlineStr">
        <is>
          <t>TUNON</t>
        </is>
      </c>
      <c r="BL358" s="0" t="inlineStr">
        <is>
          <t>BAC_TOU</t>
        </is>
      </c>
      <c r="BM358" s="0" t="inlineStr">
        <is>
          <t>B3</t>
        </is>
      </c>
      <c r="BN358" s="0" t="inlineStr">
        <is>
          <t>ALT</t>
        </is>
      </c>
      <c r="BO358" s="0" t="n">
        <v>37.61</v>
      </c>
      <c r="BP358" s="0" t="n">
        <v>2</v>
      </c>
      <c r="BQ358" s="0" t="n">
        <v>282238.6035</v>
      </c>
      <c r="BR358" s="0" t="n">
        <v>23678.075134</v>
      </c>
      <c r="BS358" s="0" t="n">
        <v>67034.086026</v>
      </c>
      <c r="BT358" s="0" t="n">
        <v>14267.159945</v>
      </c>
      <c r="BU358" s="0" t="n">
        <v>134506.078929</v>
      </c>
      <c r="BV358" s="0" t="n">
        <v>8304.365400000001</v>
      </c>
      <c r="BW358" s="0" t="n">
        <v>38798.800514</v>
      </c>
      <c r="BX358" s="0" t="n">
        <v>47103.165914</v>
      </c>
      <c r="BY358" s="0" t="n">
        <v>37945.235079</v>
      </c>
      <c r="BZ358" s="0" t="n">
        <v>248643.330869</v>
      </c>
      <c r="CA358" s="0" t="n">
        <v>286588.565948</v>
      </c>
      <c r="CB358" s="0" t="n">
        <v>-4349.962448</v>
      </c>
      <c r="CC358" s="0" t="n">
        <v>0</v>
      </c>
      <c r="CD358" s="0" t="n">
        <v>71034.296436</v>
      </c>
      <c r="CE358" s="0" t="n">
        <v>201102.45918</v>
      </c>
      <c r="CF358" s="0" t="n">
        <v>42691.37877</v>
      </c>
      <c r="CG358" s="0" t="n">
        <v>17907.5</v>
      </c>
      <c r="CH358" s="0" t="n">
        <v>403518.640306</v>
      </c>
      <c r="CI358" s="0" t="n">
        <v>3092074.3479</v>
      </c>
      <c r="CJ358" s="0" t="n">
        <v>642526.8</v>
      </c>
    </row>
    <row r="359" ht="14.4975" customHeight="1" s="64">
      <c r="BF359" s="0" t="inlineStr">
        <is>
          <t>2027BUD_V1</t>
        </is>
      </c>
      <c r="BG359" s="0" t="inlineStr">
        <is>
          <t>V03</t>
        </is>
      </c>
      <c r="BH359" s="0" t="inlineStr">
        <is>
          <t>12</t>
        </is>
      </c>
      <c r="BI359" s="0" t="inlineStr">
        <is>
          <t>2027</t>
        </is>
      </c>
      <c r="BJ359" s="0" t="inlineStr">
        <is>
          <t>TUNON_PAR</t>
        </is>
      </c>
      <c r="BK359" s="0" t="inlineStr">
        <is>
          <t>TUNON</t>
        </is>
      </c>
      <c r="BL359" s="0" t="inlineStr">
        <is>
          <t>BAC_TOU</t>
        </is>
      </c>
      <c r="BM359" s="0" t="inlineStr">
        <is>
          <t>B1</t>
        </is>
      </c>
      <c r="BN359" s="0" t="inlineStr">
        <is>
          <t>ALT</t>
        </is>
      </c>
      <c r="BO359" s="0" t="n">
        <v>42.750668</v>
      </c>
      <c r="BP359" s="0" t="n">
        <v>2</v>
      </c>
      <c r="BQ359" s="0" t="n">
        <v>346051.26722</v>
      </c>
      <c r="BR359" s="0" t="n">
        <v>23678.075134</v>
      </c>
      <c r="BS359" s="0" t="n">
        <v>80524.62783</v>
      </c>
      <c r="BT359" s="0" t="n">
        <v>44935.277747</v>
      </c>
      <c r="BU359" s="0" t="n">
        <v>179661.036117</v>
      </c>
      <c r="BV359" s="0" t="n">
        <v>9800.932735</v>
      </c>
      <c r="BW359" s="0" t="n">
        <v>45790.908242</v>
      </c>
      <c r="BX359" s="0" t="n">
        <v>55591.840977</v>
      </c>
      <c r="BY359" s="0" t="n">
        <v>68613.352881</v>
      </c>
      <c r="BZ359" s="0" t="n">
        <v>315777.504924</v>
      </c>
      <c r="CA359" s="0" t="n">
        <v>384390.857805</v>
      </c>
      <c r="CB359" s="0" t="n">
        <v>-38339.590585</v>
      </c>
      <c r="CC359" s="0" t="n">
        <v>42.750668</v>
      </c>
      <c r="CD359" s="0" t="n">
        <v>71034.296436</v>
      </c>
      <c r="CE359" s="0" t="n">
        <v>241574.125065</v>
      </c>
      <c r="CF359" s="0" t="n">
        <v>50353.959078</v>
      </c>
      <c r="CG359" s="0" t="n">
        <v>28728</v>
      </c>
      <c r="CH359" s="0" t="n">
        <v>538983.647335</v>
      </c>
      <c r="CI359" s="0" t="n">
        <v>3092074.3479</v>
      </c>
      <c r="CJ359" s="0" t="n">
        <v>642526.8</v>
      </c>
    </row>
    <row r="360" ht="14.4975" customHeight="1" s="64">
      <c r="BF360" s="0" t="inlineStr">
        <is>
          <t>2027BUD_V1</t>
        </is>
      </c>
      <c r="BG360" s="0" t="inlineStr">
        <is>
          <t>V03</t>
        </is>
      </c>
      <c r="BH360" s="0" t="inlineStr">
        <is>
          <t>12</t>
        </is>
      </c>
      <c r="BI360" s="0" t="inlineStr">
        <is>
          <t>2027</t>
        </is>
      </c>
      <c r="BJ360" s="0" t="inlineStr">
        <is>
          <t>TUNON_PAR</t>
        </is>
      </c>
      <c r="BK360" s="0" t="inlineStr">
        <is>
          <t>TUNON</t>
        </is>
      </c>
      <c r="BL360" s="0" t="inlineStr">
        <is>
          <t>BAC_TOU</t>
        </is>
      </c>
      <c r="BM360" s="0" t="inlineStr">
        <is>
          <t>B2</t>
        </is>
      </c>
      <c r="BN360" s="0" t="inlineStr">
        <is>
          <t>ALT</t>
        </is>
      </c>
      <c r="BO360" s="0" t="n">
        <v>45.53</v>
      </c>
      <c r="BP360" s="0" t="n">
        <v>2</v>
      </c>
      <c r="BQ360" s="0" t="n">
        <v>364451.2592</v>
      </c>
      <c r="BR360" s="0" t="n">
        <v>23678.075134</v>
      </c>
      <c r="BS360" s="0" t="n">
        <v>80524.62783</v>
      </c>
      <c r="BT360" s="0" t="n">
        <v>17260.984694</v>
      </c>
      <c r="BU360" s="0" t="n">
        <v>179661.036117</v>
      </c>
      <c r="BV360" s="0" t="n">
        <v>9800.932735</v>
      </c>
      <c r="BW360" s="0" t="n">
        <v>45790.908242</v>
      </c>
      <c r="BX360" s="0" t="n">
        <v>55591.840977</v>
      </c>
      <c r="BY360" s="0" t="n">
        <v>40939.059828</v>
      </c>
      <c r="BZ360" s="0" t="n">
        <v>315777.504924</v>
      </c>
      <c r="CA360" s="0" t="n">
        <v>356716.564752</v>
      </c>
      <c r="CB360" s="0" t="n">
        <v>7734.694448</v>
      </c>
      <c r="CC360" s="0" t="n">
        <v>0</v>
      </c>
      <c r="CD360" s="0" t="n">
        <v>71034.296436</v>
      </c>
      <c r="CE360" s="0" t="n">
        <v>241574.125065</v>
      </c>
      <c r="CF360" s="0" t="n">
        <v>50353.959078</v>
      </c>
      <c r="CG360" s="0" t="n">
        <v>28728</v>
      </c>
      <c r="CH360" s="0" t="n">
        <v>538983.647335</v>
      </c>
      <c r="CI360" s="0" t="n">
        <v>3092074.3479</v>
      </c>
      <c r="CJ360" s="0" t="n">
        <v>642526.8</v>
      </c>
    </row>
    <row r="361" ht="14.4975" customHeight="1" s="64">
      <c r="BF361" s="0" t="inlineStr">
        <is>
          <t>2027BUD_V1</t>
        </is>
      </c>
      <c r="BG361" s="0" t="inlineStr">
        <is>
          <t>V03</t>
        </is>
      </c>
      <c r="BH361" s="0" t="inlineStr">
        <is>
          <t>12</t>
        </is>
      </c>
      <c r="BI361" s="0" t="inlineStr">
        <is>
          <t>2027</t>
        </is>
      </c>
      <c r="BJ361" s="0" t="inlineStr">
        <is>
          <t>TUNON_PAR</t>
        </is>
      </c>
      <c r="BK361" s="0" t="inlineStr">
        <is>
          <t>TUNON</t>
        </is>
      </c>
      <c r="BL361" s="0" t="inlineStr">
        <is>
          <t>BAC_TOU</t>
        </is>
      </c>
      <c r="BM361" s="0" t="inlineStr">
        <is>
          <t>B3</t>
        </is>
      </c>
      <c r="BN361" s="0" t="inlineStr">
        <is>
          <t>ALT</t>
        </is>
      </c>
      <c r="BO361" s="0" t="n">
        <v>44.54</v>
      </c>
      <c r="BP361" s="0" t="n">
        <v>2</v>
      </c>
      <c r="BQ361" s="0" t="n">
        <v>356526.6656</v>
      </c>
      <c r="BR361" s="0" t="n">
        <v>23678.075134</v>
      </c>
      <c r="BS361" s="0" t="n">
        <v>80524.62783</v>
      </c>
      <c r="BT361" s="0" t="n">
        <v>16885.646283</v>
      </c>
      <c r="BU361" s="0" t="n">
        <v>179661.036117</v>
      </c>
      <c r="BV361" s="0" t="n">
        <v>9800.932735</v>
      </c>
      <c r="BW361" s="0" t="n">
        <v>45790.908242</v>
      </c>
      <c r="BX361" s="0" t="n">
        <v>55591.840977</v>
      </c>
      <c r="BY361" s="0" t="n">
        <v>40563.721417</v>
      </c>
      <c r="BZ361" s="0" t="n">
        <v>315777.504924</v>
      </c>
      <c r="CA361" s="0" t="n">
        <v>356341.226341</v>
      </c>
      <c r="CB361" s="0" t="n">
        <v>185.439259</v>
      </c>
      <c r="CC361" s="0" t="n">
        <v>0</v>
      </c>
      <c r="CD361" s="0" t="n">
        <v>71034.296436</v>
      </c>
      <c r="CE361" s="0" t="n">
        <v>241574.125065</v>
      </c>
      <c r="CF361" s="0" t="n">
        <v>50353.959078</v>
      </c>
      <c r="CG361" s="0" t="n">
        <v>28728</v>
      </c>
      <c r="CH361" s="0" t="n">
        <v>538983.647335</v>
      </c>
      <c r="CI361" s="0" t="n">
        <v>3092074.3479</v>
      </c>
      <c r="CJ361" s="0" t="n">
        <v>642526.8</v>
      </c>
    </row>
  </sheetData>
  <conditionalFormatting sqref="M18:M97">
    <cfRule type="colorScale" priority="2">
      <colorScale>
        <cfvo type="min"/>
        <cfvo type="percentile" val="50"/>
        <cfvo type="max"/>
        <color rgb="00F6C9CC"/>
        <color rgb="00FFFFFF"/>
        <color rgb="00DCEBC0"/>
      </colorScale>
    </cfRule>
  </conditionalFormatting>
  <dataValidations count="1">
    <dataValidation sqref="C6:C9" showDropDown="0" showInputMessage="0" showErrorMessage="0" allowBlank="0" type="list">
      <formula1>"Chiffre d'affaires,Effectif,Nombre de classes"</formula1>
    </dataValidation>
  </dataValidations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49"/>
  <sheetViews>
    <sheetView topLeftCell="A1" workbookViewId="0">
      <selection activeCell="A1" sqref="A1"/>
    </sheetView>
  </sheetViews>
  <sheetFormatPr baseColWidth="8" defaultColWidth="9.140625" defaultRowHeight="14.4975" customHeight="1"/>
  <sheetData>
    <row r="1" ht="14.4975" customHeight="1" s="64">
      <c r="A1" s="0" t="inlineStr">
        <is>
          <t>EXERCICE</t>
        </is>
      </c>
      <c r="B1" s="0" t="inlineStr">
        <is>
          <t>ENTITY</t>
        </is>
      </c>
      <c r="C1" s="0" t="inlineStr">
        <is>
          <t>MARQUE</t>
        </is>
      </c>
      <c r="D1" s="0" t="inlineStr">
        <is>
          <t>PROG</t>
        </is>
      </c>
      <c r="E1" s="0" t="inlineStr">
        <is>
          <t>AN</t>
        </is>
      </c>
      <c r="F1" s="0" t="inlineStr">
        <is>
          <t>MOD</t>
        </is>
      </c>
      <c r="G1" s="0" t="inlineStr">
        <is>
          <t>VOL_EFF</t>
        </is>
      </c>
      <c r="H1" s="0" t="inlineStr">
        <is>
          <t>VOL_CLASS</t>
        </is>
      </c>
      <c r="I1" s="0" t="inlineStr">
        <is>
          <t>CA</t>
        </is>
      </c>
      <c r="J1" s="0" t="inlineStr">
        <is>
          <t>VOL_NEW</t>
        </is>
      </c>
      <c r="K1" s="0" t="inlineStr">
        <is>
          <t>HRS</t>
        </is>
      </c>
      <c r="L1" s="0" t="inlineStr">
        <is>
          <t>E_EFF</t>
        </is>
      </c>
      <c r="M1" s="0" t="inlineStr">
        <is>
          <t>E_CLS</t>
        </is>
      </c>
      <c r="N1" s="0" t="inlineStr">
        <is>
          <t>E_CA</t>
        </is>
      </c>
      <c r="O1" s="0" t="inlineStr">
        <is>
          <t>E_HRS</t>
        </is>
      </c>
      <c r="P1" s="0" t="inlineStr">
        <is>
          <t>E_NEW</t>
        </is>
      </c>
      <c r="Q1" s="0" t="inlineStr">
        <is>
          <t>M_EFF</t>
        </is>
      </c>
      <c r="R1" s="0" t="inlineStr">
        <is>
          <t>M_CLS</t>
        </is>
      </c>
      <c r="S1" s="0" t="inlineStr">
        <is>
          <t>M_CA</t>
        </is>
      </c>
      <c r="T1" s="0" t="inlineStr">
        <is>
          <t>G_EFF</t>
        </is>
      </c>
      <c r="U1" s="0" t="inlineStr">
        <is>
          <t>G_CLS</t>
        </is>
      </c>
      <c r="V1" s="0" t="inlineStr">
        <is>
          <t>G_CA</t>
        </is>
      </c>
      <c r="W1" s="0" t="inlineStr">
        <is>
          <t>VAC</t>
        </is>
      </c>
      <c r="X1" s="0" t="inlineStr">
        <is>
          <t>PERM</t>
        </is>
      </c>
      <c r="Y1" s="0" t="inlineStr">
        <is>
          <t>ODIR</t>
        </is>
      </c>
      <c r="Z1" s="0" t="inlineStr">
        <is>
          <t>MKT</t>
        </is>
      </c>
      <c r="AA1" s="0" t="inlineStr">
        <is>
          <t>STRUCT_CAMP</t>
        </is>
      </c>
      <c r="AB1" s="0" t="inlineStr">
        <is>
          <t>SIEGE</t>
        </is>
      </c>
      <c r="AC1" s="0" t="inlineStr">
        <is>
          <t>D3C</t>
        </is>
      </c>
      <c r="AD1" s="0" t="inlineStr">
        <is>
          <t>D3E</t>
        </is>
      </c>
      <c r="AE1" s="0" t="inlineStr">
        <is>
          <t>D2E</t>
        </is>
      </c>
      <c r="AF1" s="0" t="inlineStr">
        <is>
          <t>D2M</t>
        </is>
      </c>
      <c r="AG1" s="0" t="inlineStr">
        <is>
          <t>D1M</t>
        </is>
      </c>
      <c r="AH1" s="0" t="inlineStr">
        <is>
          <t>D1G</t>
        </is>
      </c>
      <c r="AI1" s="0" t="inlineStr">
        <is>
          <t>COST_VAC</t>
        </is>
      </c>
      <c r="AJ1" s="0" t="inlineStr">
        <is>
          <t>COST_PERM</t>
        </is>
      </c>
      <c r="AK1" s="0" t="inlineStr">
        <is>
          <t>COST_ODIR</t>
        </is>
      </c>
      <c r="AL1" s="0" t="inlineStr">
        <is>
          <t>COST_STRUCT</t>
        </is>
      </c>
      <c r="AM1" s="0" t="inlineStr">
        <is>
          <t>COST_SIEGE</t>
        </is>
      </c>
      <c r="AN1" s="0" t="inlineStr">
        <is>
          <t>MARGE</t>
        </is>
      </c>
      <c r="AO1" s="0" t="inlineStr">
        <is>
          <t>FRAIS_MARQUE_TOT</t>
        </is>
      </c>
      <c r="AP1" s="0" t="inlineStr">
        <is>
          <t>D1M_K4</t>
        </is>
      </c>
      <c r="AQ1" s="0" t="inlineStr">
        <is>
          <t>D1G_K4</t>
        </is>
      </c>
      <c r="AR1" s="0" t="inlineStr">
        <is>
          <t>COST_MARQUE</t>
        </is>
      </c>
      <c r="AS1" s="0" t="inlineStr">
        <is>
          <t>EXVER</t>
        </is>
      </c>
      <c r="AT1" s="0" t="inlineStr">
        <is>
          <t>■ VIOLET = colonne branchee sur une saisie (cad / Pilotage / 3_Allocation) -&gt; a recabler cote Tagetik</t>
        </is>
      </c>
    </row>
    <row r="2" ht="14.4975" customHeight="1" s="64">
      <c r="A2" s="0">
        <f>IF(Allocation!BI2="","",Allocation!BI2)</f>
        <v/>
      </c>
      <c r="B2" s="0">
        <f>IF(Allocation!BJ2="","",Allocation!BJ2)</f>
        <v/>
      </c>
      <c r="C2" s="0">
        <f>IF(Allocation!BK2="","",Allocation!BK2)</f>
        <v/>
      </c>
      <c r="D2" s="0">
        <f>IF(Allocation!BL2="","",Allocation!BL2)</f>
        <v/>
      </c>
      <c r="E2" s="0">
        <f>IF(Allocation!BM2="","",Allocation!BM2)</f>
        <v/>
      </c>
      <c r="F2" s="0">
        <f>IF(Allocation!BN2="","",Allocation!BN2)</f>
        <v/>
      </c>
      <c r="G2" s="0">
        <f>IF(Allocation!BO2="","",Allocation!BO2)</f>
        <v/>
      </c>
      <c r="H2" s="0">
        <f>IF(Allocation!BP2="","",Allocation!BP2)</f>
        <v/>
      </c>
      <c r="I2" s="0">
        <f>IF(Allocation!BQ2="","",Allocation!BQ2)</f>
        <v/>
      </c>
      <c r="J2" s="0">
        <f>IF(Allocation!CC2="","",Allocation!CC2)</f>
        <v/>
      </c>
      <c r="K2" s="0">
        <f>IF($A2="","",$H2*IF(AND(LEFT($D2,3)="BAC",$F2="INIT"),600,IF(LEFT($D2,3)="BAC",480,IF(AND(LEFT($D2,3)="MAS",$F2="INIT"),520,IF(LEFT($D2,3)="MAS",420,IF($F2="INIT",1000,700))))))</f>
        <v/>
      </c>
      <c r="L2" s="0">
        <f>IF($A2="","",SUMIFS($G$1:$G$349,$AS$1:$AS$349,$AS2,$B$1:$B$349,$B2))</f>
        <v/>
      </c>
      <c r="M2" s="0">
        <f>IF($A2="","",SUMIFS($H$1:$H$349,$AS$1:$AS$349,$AS2,$B$1:$B$349,$B2))</f>
        <v/>
      </c>
      <c r="N2" s="0">
        <f>IF($A2="","",SUMIFS($I$1:$I$349,$AS$1:$AS$349,$AS2,$B$1:$B$349,$B2))</f>
        <v/>
      </c>
      <c r="O2" s="0">
        <f>IF($A2="","",SUMIFS($K$1:$K$349,$AS$1:$AS$349,$AS2,$B$1:$B$349,$B2))</f>
        <v/>
      </c>
      <c r="P2" s="0">
        <f>IF($A2="","",SUMIFS($J$1:$J$349,$AS$1:$AS$349,$AS2,$B$1:$B$349,$B2))</f>
        <v/>
      </c>
      <c r="Q2" s="0">
        <f>IF($A2="","",SUMIFS($G$1:$G$349,$AS$1:$AS$349,$AS2,$C$1:$C$349,$C2))</f>
        <v/>
      </c>
      <c r="R2" s="0">
        <f>IF($A2="","",SUMIFS($H$1:$H$349,$AS$1:$AS$349,$AS2,$C$1:$C$349,$C2))</f>
        <v/>
      </c>
      <c r="S2" s="0">
        <f>IF($A2="","",SUMIFS($I$1:$I$349,$AS$1:$AS$349,$AS2,$C$1:$C$349,$C2))</f>
        <v/>
      </c>
      <c r="T2" s="0">
        <f>IF($A2="","",SUMIFS($G$1:$G$349,$AS$1:$AS$349,$AS2))</f>
        <v/>
      </c>
      <c r="U2" s="0">
        <f>IF($A2="","",SUMIFS($H$1:$H$349,$AS$1:$AS$349,$AS2))</f>
        <v/>
      </c>
      <c r="V2" s="0">
        <f>IF($A2="","",SUMIFS($I$1:$I$349,$AS$1:$AS$349,$AS2))</f>
        <v/>
      </c>
      <c r="W2" s="0">
        <f>IF($A2="","",Allocation!CD2)</f>
        <v/>
      </c>
      <c r="X2" s="0">
        <f>IF($A2="","",Allocation!CE2)</f>
        <v/>
      </c>
      <c r="Y2" s="0">
        <f>IF($A2="","",Allocation!CF2)</f>
        <v/>
      </c>
      <c r="Z2" s="0">
        <f>IF($A2="","",Allocation!CG2)</f>
        <v/>
      </c>
      <c r="AA2" s="0">
        <f>IF($A2="","",Allocation!CH2)</f>
        <v/>
      </c>
      <c r="AB2" s="0">
        <f>IF($A2="","",Allocation!CI2)</f>
        <v/>
      </c>
      <c r="AC2" s="0">
        <f>IF($A2="","",IF(Allocation!$N$4="VOL_EFF",$G2,IF(Allocation!$N$4="VOL_CLASS",$H2,$I2)))</f>
        <v/>
      </c>
      <c r="AD2" s="0">
        <f>IF($A2="","",IF(Allocation!$N$4="VOL_EFF",$L2,IF(Allocation!$N$4="VOL_CLASS",$M2,$N2)))</f>
        <v/>
      </c>
      <c r="AE2" s="0">
        <f>IF($A2="","",IF(Allocation!$N$3="VOL_EFF",$L2,IF(Allocation!$N$3="VOL_CLASS",$M2,$N2)))</f>
        <v/>
      </c>
      <c r="AF2" s="0">
        <f>IF($A2="","",IF(Allocation!$N$3="VOL_EFF",$Q2,IF(Allocation!$N$3="VOL_CLASS",$R2,$S2)))</f>
        <v/>
      </c>
      <c r="AG2" s="0">
        <f>IF($A2="","",IF(Allocation!$N$1="VOL_EFF",$Q2,IF(Allocation!$N$1="VOL_CLASS",$R2,$S2)))</f>
        <v/>
      </c>
      <c r="AH2" s="0">
        <f>IF($A2="","",IF(Allocation!$N$1="VOL_EFF",$T2,IF(Allocation!$N$1="VOL_CLASS",$U2,$V2)))</f>
        <v/>
      </c>
      <c r="AI2" s="0">
        <f>IF($A2="","",$W2*IFERROR($K2/$O2,0))</f>
        <v/>
      </c>
      <c r="AJ2" s="0">
        <f>IF($A2="","",$X2*IFERROR($K2/$O2,0))</f>
        <v/>
      </c>
      <c r="AK2" s="0">
        <f>IF($A2="","",$Y2*IFERROR($G2/$L2,0)+$Z2*IFERROR($J2/$P2,0))</f>
        <v/>
      </c>
      <c r="AL2" s="0">
        <f>IF($A2="","",$AA2*IFERROR($AC2/$AD2,0))</f>
        <v/>
      </c>
      <c r="AM2" s="0">
        <f>IF($A2="","",$AB2*IFERROR($AG2/$AH2,0)*IFERROR($AE2/$AF2,0)*IFERROR($AC2/$AD2,0))</f>
        <v/>
      </c>
      <c r="AN2" s="0">
        <f>IF($A2="","",$I2-($AI2+$AJ2+$AK2+$AL2+$AM2+$AR2))</f>
        <v/>
      </c>
      <c r="AO2" s="0">
        <f>IF($A2="","",Allocation!CJ2)</f>
        <v/>
      </c>
      <c r="AP2" s="0">
        <f>IF($A2="","",IF(Allocation!$N$2="VOL_EFF",$Q2,IF(Allocation!$N$2="VOL_CLASS",$R2,$S2)))</f>
        <v/>
      </c>
      <c r="AQ2" s="0">
        <f>IF($A2="","",IF(Allocation!$N$2="VOL_EFF",$T2,IF(Allocation!$N$2="VOL_CLASS",$U2,$V2)))</f>
        <v/>
      </c>
      <c r="AR2" s="0">
        <f>IF($A2="","",$AO2*IFERROR($AP2/$AQ2,0)*IFERROR($AE2/$AF2,0)*IFERROR($AC2/$AD2,0))</f>
        <v/>
      </c>
      <c r="AS2" s="0">
        <f>IF($A2="","",$A2&amp;"|"&amp;Allocation!BG2)</f>
        <v/>
      </c>
    </row>
    <row r="3" ht="14.4975" customHeight="1" s="64">
      <c r="A3" s="0">
        <f>IF(Allocation!BI3="","",Allocation!BI3)</f>
        <v/>
      </c>
      <c r="B3" s="0">
        <f>IF(Allocation!BJ3="","",Allocation!BJ3)</f>
        <v/>
      </c>
      <c r="C3" s="0">
        <f>IF(Allocation!BK3="","",Allocation!BK3)</f>
        <v/>
      </c>
      <c r="D3" s="0">
        <f>IF(Allocation!BL3="","",Allocation!BL3)</f>
        <v/>
      </c>
      <c r="E3" s="0">
        <f>IF(Allocation!BM3="","",Allocation!BM3)</f>
        <v/>
      </c>
      <c r="F3" s="0">
        <f>IF(Allocation!BN3="","",Allocation!BN3)</f>
        <v/>
      </c>
      <c r="G3" s="0">
        <f>IF(Allocation!BO3="","",Allocation!BO3)</f>
        <v/>
      </c>
      <c r="H3" s="0">
        <f>IF(Allocation!BP3="","",Allocation!BP3)</f>
        <v/>
      </c>
      <c r="I3" s="0">
        <f>IF(Allocation!BQ3="","",Allocation!BQ3)</f>
        <v/>
      </c>
      <c r="J3" s="0">
        <f>IF(Allocation!CC3="","",Allocation!CC3)</f>
        <v/>
      </c>
      <c r="K3" s="0">
        <f>IF($A3="","",$H3*IF(AND(LEFT($D3,3)="BAC",$F3="INIT"),600,IF(LEFT($D3,3)="BAC",480,IF(AND(LEFT($D3,3)="MAS",$F3="INIT"),520,IF(LEFT($D3,3)="MAS",420,IF($F3="INIT",1000,700))))))</f>
        <v/>
      </c>
      <c r="L3" s="0">
        <f>IF($A3="","",SUMIFS($G$1:$G$349,$AS$1:$AS$349,$AS3,$B$1:$B$349,$B3))</f>
        <v/>
      </c>
      <c r="M3" s="0">
        <f>IF($A3="","",SUMIFS($H$1:$H$349,$AS$1:$AS$349,$AS3,$B$1:$B$349,$B3))</f>
        <v/>
      </c>
      <c r="N3" s="0">
        <f>IF($A3="","",SUMIFS($I$1:$I$349,$AS$1:$AS$349,$AS3,$B$1:$B$349,$B3))</f>
        <v/>
      </c>
      <c r="O3" s="0">
        <f>IF($A3="","",SUMIFS($K$1:$K$349,$AS$1:$AS$349,$AS3,$B$1:$B$349,$B3))</f>
        <v/>
      </c>
      <c r="P3" s="0">
        <f>IF($A3="","",SUMIFS($J$1:$J$349,$AS$1:$AS$349,$AS3,$B$1:$B$349,$B3))</f>
        <v/>
      </c>
      <c r="Q3" s="0">
        <f>IF($A3="","",SUMIFS($G$1:$G$349,$AS$1:$AS$349,$AS3,$C$1:$C$349,$C3))</f>
        <v/>
      </c>
      <c r="R3" s="0">
        <f>IF($A3="","",SUMIFS($H$1:$H$349,$AS$1:$AS$349,$AS3,$C$1:$C$349,$C3))</f>
        <v/>
      </c>
      <c r="S3" s="0">
        <f>IF($A3="","",SUMIFS($I$1:$I$349,$AS$1:$AS$349,$AS3,$C$1:$C$349,$C3))</f>
        <v/>
      </c>
      <c r="T3" s="0">
        <f>IF($A3="","",SUMIFS($G$1:$G$349,$AS$1:$AS$349,$AS3))</f>
        <v/>
      </c>
      <c r="U3" s="0">
        <f>IF($A3="","",SUMIFS($H$1:$H$349,$AS$1:$AS$349,$AS3))</f>
        <v/>
      </c>
      <c r="V3" s="0">
        <f>IF($A3="","",SUMIFS($I$1:$I$349,$AS$1:$AS$349,$AS3))</f>
        <v/>
      </c>
      <c r="W3" s="0">
        <f>IF($A3="","",Allocation!CD3)</f>
        <v/>
      </c>
      <c r="X3" s="0">
        <f>IF($A3="","",Allocation!CE3)</f>
        <v/>
      </c>
      <c r="Y3" s="0">
        <f>IF($A3="","",Allocation!CF3)</f>
        <v/>
      </c>
      <c r="Z3" s="0">
        <f>IF($A3="","",Allocation!CG3)</f>
        <v/>
      </c>
      <c r="AA3" s="0">
        <f>IF($A3="","",Allocation!CH3)</f>
        <v/>
      </c>
      <c r="AB3" s="0">
        <f>IF($A3="","",Allocation!CI3)</f>
        <v/>
      </c>
      <c r="AC3" s="0">
        <f>IF($A3="","",IF(Allocation!$N$4="VOL_EFF",$G3,IF(Allocation!$N$4="VOL_CLASS",$H3,$I3)))</f>
        <v/>
      </c>
      <c r="AD3" s="0">
        <f>IF($A3="","",IF(Allocation!$N$4="VOL_EFF",$L3,IF(Allocation!$N$4="VOL_CLASS",$M3,$N3)))</f>
        <v/>
      </c>
      <c r="AE3" s="0">
        <f>IF($A3="","",IF(Allocation!$N$3="VOL_EFF",$L3,IF(Allocation!$N$3="VOL_CLASS",$M3,$N3)))</f>
        <v/>
      </c>
      <c r="AF3" s="0">
        <f>IF($A3="","",IF(Allocation!$N$3="VOL_EFF",$Q3,IF(Allocation!$N$3="VOL_CLASS",$R3,$S3)))</f>
        <v/>
      </c>
      <c r="AG3" s="0">
        <f>IF($A3="","",IF(Allocation!$N$1="VOL_EFF",$Q3,IF(Allocation!$N$1="VOL_CLASS",$R3,$S3)))</f>
        <v/>
      </c>
      <c r="AH3" s="0">
        <f>IF($A3="","",IF(Allocation!$N$1="VOL_EFF",$T3,IF(Allocation!$N$1="VOL_CLASS",$U3,$V3)))</f>
        <v/>
      </c>
      <c r="AI3" s="0">
        <f>IF($A3="","",$W3*IFERROR($K3/$O3,0))</f>
        <v/>
      </c>
      <c r="AJ3" s="0">
        <f>IF($A3="","",$X3*IFERROR($K3/$O3,0))</f>
        <v/>
      </c>
      <c r="AK3" s="0">
        <f>IF($A3="","",$Y3*IFERROR($G3/$L3,0)+$Z3*IFERROR($J3/$P3,0))</f>
        <v/>
      </c>
      <c r="AL3" s="0">
        <f>IF($A3="","",$AA3*IFERROR($AC3/$AD3,0))</f>
        <v/>
      </c>
      <c r="AM3" s="0">
        <f>IF($A3="","",$AB3*IFERROR($AG3/$AH3,0)*IFERROR($AE3/$AF3,0)*IFERROR($AC3/$AD3,0))</f>
        <v/>
      </c>
      <c r="AN3" s="0">
        <f>IF($A3="","",$I3-($AI3+$AJ3+$AK3+$AL3+$AM3+$AR3))</f>
        <v/>
      </c>
      <c r="AO3" s="0">
        <f>IF($A3="","",Allocation!CJ3)</f>
        <v/>
      </c>
      <c r="AP3" s="0">
        <f>IF($A3="","",IF(Allocation!$N$2="VOL_EFF",$Q3,IF(Allocation!$N$2="VOL_CLASS",$R3,$S3)))</f>
        <v/>
      </c>
      <c r="AQ3" s="0">
        <f>IF($A3="","",IF(Allocation!$N$2="VOL_EFF",$T3,IF(Allocation!$N$2="VOL_CLASS",$U3,$V3)))</f>
        <v/>
      </c>
      <c r="AR3" s="0">
        <f>IF($A3="","",$AO3*IFERROR($AP3/$AQ3,0)*IFERROR($AE3/$AF3,0)*IFERROR($AC3/$AD3,0))</f>
        <v/>
      </c>
      <c r="AS3" s="0">
        <f>IF($A3="","",$A3&amp;"|"&amp;Allocation!BG3)</f>
        <v/>
      </c>
    </row>
    <row r="4" ht="14.4975" customHeight="1" s="64">
      <c r="A4" s="0">
        <f>IF(Allocation!BI4="","",Allocation!BI4)</f>
        <v/>
      </c>
      <c r="B4" s="0">
        <f>IF(Allocation!BJ4="","",Allocation!BJ4)</f>
        <v/>
      </c>
      <c r="C4" s="0">
        <f>IF(Allocation!BK4="","",Allocation!BK4)</f>
        <v/>
      </c>
      <c r="D4" s="0">
        <f>IF(Allocation!BL4="","",Allocation!BL4)</f>
        <v/>
      </c>
      <c r="E4" s="0">
        <f>IF(Allocation!BM4="","",Allocation!BM4)</f>
        <v/>
      </c>
      <c r="F4" s="0">
        <f>IF(Allocation!BN4="","",Allocation!BN4)</f>
        <v/>
      </c>
      <c r="G4" s="0">
        <f>IF(Allocation!BO4="","",Allocation!BO4)</f>
        <v/>
      </c>
      <c r="H4" s="0">
        <f>IF(Allocation!BP4="","",Allocation!BP4)</f>
        <v/>
      </c>
      <c r="I4" s="0">
        <f>IF(Allocation!BQ4="","",Allocation!BQ4)</f>
        <v/>
      </c>
      <c r="J4" s="0">
        <f>IF(Allocation!CC4="","",Allocation!CC4)</f>
        <v/>
      </c>
      <c r="K4" s="0">
        <f>IF($A4="","",$H4*IF(AND(LEFT($D4,3)="BAC",$F4="INIT"),600,IF(LEFT($D4,3)="BAC",480,IF(AND(LEFT($D4,3)="MAS",$F4="INIT"),520,IF(LEFT($D4,3)="MAS",420,IF($F4="INIT",1000,700))))))</f>
        <v/>
      </c>
      <c r="L4" s="0">
        <f>IF($A4="","",SUMIFS($G$1:$G$349,$AS$1:$AS$349,$AS4,$B$1:$B$349,$B4))</f>
        <v/>
      </c>
      <c r="M4" s="0">
        <f>IF($A4="","",SUMIFS($H$1:$H$349,$AS$1:$AS$349,$AS4,$B$1:$B$349,$B4))</f>
        <v/>
      </c>
      <c r="N4" s="0">
        <f>IF($A4="","",SUMIFS($I$1:$I$349,$AS$1:$AS$349,$AS4,$B$1:$B$349,$B4))</f>
        <v/>
      </c>
      <c r="O4" s="0">
        <f>IF($A4="","",SUMIFS($K$1:$K$349,$AS$1:$AS$349,$AS4,$B$1:$B$349,$B4))</f>
        <v/>
      </c>
      <c r="P4" s="0">
        <f>IF($A4="","",SUMIFS($J$1:$J$349,$AS$1:$AS$349,$AS4,$B$1:$B$349,$B4))</f>
        <v/>
      </c>
      <c r="Q4" s="0">
        <f>IF($A4="","",SUMIFS($G$1:$G$349,$AS$1:$AS$349,$AS4,$C$1:$C$349,$C4))</f>
        <v/>
      </c>
      <c r="R4" s="0">
        <f>IF($A4="","",SUMIFS($H$1:$H$349,$AS$1:$AS$349,$AS4,$C$1:$C$349,$C4))</f>
        <v/>
      </c>
      <c r="S4" s="0">
        <f>IF($A4="","",SUMIFS($I$1:$I$349,$AS$1:$AS$349,$AS4,$C$1:$C$349,$C4))</f>
        <v/>
      </c>
      <c r="T4" s="0">
        <f>IF($A4="","",SUMIFS($G$1:$G$349,$AS$1:$AS$349,$AS4))</f>
        <v/>
      </c>
      <c r="U4" s="0">
        <f>IF($A4="","",SUMIFS($H$1:$H$349,$AS$1:$AS$349,$AS4))</f>
        <v/>
      </c>
      <c r="V4" s="0">
        <f>IF($A4="","",SUMIFS($I$1:$I$349,$AS$1:$AS$349,$AS4))</f>
        <v/>
      </c>
      <c r="W4" s="0">
        <f>IF($A4="","",Allocation!CD4)</f>
        <v/>
      </c>
      <c r="X4" s="0">
        <f>IF($A4="","",Allocation!CE4)</f>
        <v/>
      </c>
      <c r="Y4" s="0">
        <f>IF($A4="","",Allocation!CF4)</f>
        <v/>
      </c>
      <c r="Z4" s="0">
        <f>IF($A4="","",Allocation!CG4)</f>
        <v/>
      </c>
      <c r="AA4" s="0">
        <f>IF($A4="","",Allocation!CH4)</f>
        <v/>
      </c>
      <c r="AB4" s="0">
        <f>IF($A4="","",Allocation!CI4)</f>
        <v/>
      </c>
      <c r="AC4" s="0">
        <f>IF($A4="","",IF(Allocation!$N$4="VOL_EFF",$G4,IF(Allocation!$N$4="VOL_CLASS",$H4,$I4)))</f>
        <v/>
      </c>
      <c r="AD4" s="0">
        <f>IF($A4="","",IF(Allocation!$N$4="VOL_EFF",$L4,IF(Allocation!$N$4="VOL_CLASS",$M4,$N4)))</f>
        <v/>
      </c>
      <c r="AE4" s="0">
        <f>IF($A4="","",IF(Allocation!$N$3="VOL_EFF",$L4,IF(Allocation!$N$3="VOL_CLASS",$M4,$N4)))</f>
        <v/>
      </c>
      <c r="AF4" s="0">
        <f>IF($A4="","",IF(Allocation!$N$3="VOL_EFF",$Q4,IF(Allocation!$N$3="VOL_CLASS",$R4,$S4)))</f>
        <v/>
      </c>
      <c r="AG4" s="0">
        <f>IF($A4="","",IF(Allocation!$N$1="VOL_EFF",$Q4,IF(Allocation!$N$1="VOL_CLASS",$R4,$S4)))</f>
        <v/>
      </c>
      <c r="AH4" s="0">
        <f>IF($A4="","",IF(Allocation!$N$1="VOL_EFF",$T4,IF(Allocation!$N$1="VOL_CLASS",$U4,$V4)))</f>
        <v/>
      </c>
      <c r="AI4" s="0">
        <f>IF($A4="","",$W4*IFERROR($K4/$O4,0))</f>
        <v/>
      </c>
      <c r="AJ4" s="0">
        <f>IF($A4="","",$X4*IFERROR($K4/$O4,0))</f>
        <v/>
      </c>
      <c r="AK4" s="0">
        <f>IF($A4="","",$Y4*IFERROR($G4/$L4,0)+$Z4*IFERROR($J4/$P4,0))</f>
        <v/>
      </c>
      <c r="AL4" s="0">
        <f>IF($A4="","",$AA4*IFERROR($AC4/$AD4,0))</f>
        <v/>
      </c>
      <c r="AM4" s="0">
        <f>IF($A4="","",$AB4*IFERROR($AG4/$AH4,0)*IFERROR($AE4/$AF4,0)*IFERROR($AC4/$AD4,0))</f>
        <v/>
      </c>
      <c r="AN4" s="0">
        <f>IF($A4="","",$I4-($AI4+$AJ4+$AK4+$AL4+$AM4+$AR4))</f>
        <v/>
      </c>
      <c r="AO4" s="0">
        <f>IF($A4="","",Allocation!CJ4)</f>
        <v/>
      </c>
      <c r="AP4" s="0">
        <f>IF($A4="","",IF(Allocation!$N$2="VOL_EFF",$Q4,IF(Allocation!$N$2="VOL_CLASS",$R4,$S4)))</f>
        <v/>
      </c>
      <c r="AQ4" s="0">
        <f>IF($A4="","",IF(Allocation!$N$2="VOL_EFF",$T4,IF(Allocation!$N$2="VOL_CLASS",$U4,$V4)))</f>
        <v/>
      </c>
      <c r="AR4" s="0">
        <f>IF($A4="","",$AO4*IFERROR($AP4/$AQ4,0)*IFERROR($AE4/$AF4,0)*IFERROR($AC4/$AD4,0))</f>
        <v/>
      </c>
      <c r="AS4" s="0">
        <f>IF($A4="","",$A4&amp;"|"&amp;Allocation!BG4)</f>
        <v/>
      </c>
    </row>
    <row r="5" ht="14.4975" customHeight="1" s="64">
      <c r="A5" s="0">
        <f>IF(Allocation!BI5="","",Allocation!BI5)</f>
        <v/>
      </c>
      <c r="B5" s="0">
        <f>IF(Allocation!BJ5="","",Allocation!BJ5)</f>
        <v/>
      </c>
      <c r="C5" s="0">
        <f>IF(Allocation!BK5="","",Allocation!BK5)</f>
        <v/>
      </c>
      <c r="D5" s="0">
        <f>IF(Allocation!BL5="","",Allocation!BL5)</f>
        <v/>
      </c>
      <c r="E5" s="0">
        <f>IF(Allocation!BM5="","",Allocation!BM5)</f>
        <v/>
      </c>
      <c r="F5" s="0">
        <f>IF(Allocation!BN5="","",Allocation!BN5)</f>
        <v/>
      </c>
      <c r="G5" s="0">
        <f>IF(Allocation!BO5="","",Allocation!BO5)</f>
        <v/>
      </c>
      <c r="H5" s="0">
        <f>IF(Allocation!BP5="","",Allocation!BP5)</f>
        <v/>
      </c>
      <c r="I5" s="0">
        <f>IF(Allocation!BQ5="","",Allocation!BQ5)</f>
        <v/>
      </c>
      <c r="J5" s="0">
        <f>IF(Allocation!CC5="","",Allocation!CC5)</f>
        <v/>
      </c>
      <c r="K5" s="0">
        <f>IF($A5="","",$H5*IF(AND(LEFT($D5,3)="BAC",$F5="INIT"),600,IF(LEFT($D5,3)="BAC",480,IF(AND(LEFT($D5,3)="MAS",$F5="INIT"),520,IF(LEFT($D5,3)="MAS",420,IF($F5="INIT",1000,700))))))</f>
        <v/>
      </c>
      <c r="L5" s="0">
        <f>IF($A5="","",SUMIFS($G$1:$G$349,$AS$1:$AS$349,$AS5,$B$1:$B$349,$B5))</f>
        <v/>
      </c>
      <c r="M5" s="0">
        <f>IF($A5="","",SUMIFS($H$1:$H$349,$AS$1:$AS$349,$AS5,$B$1:$B$349,$B5))</f>
        <v/>
      </c>
      <c r="N5" s="0">
        <f>IF($A5="","",SUMIFS($I$1:$I$349,$AS$1:$AS$349,$AS5,$B$1:$B$349,$B5))</f>
        <v/>
      </c>
      <c r="O5" s="0">
        <f>IF($A5="","",SUMIFS($K$1:$K$349,$AS$1:$AS$349,$AS5,$B$1:$B$349,$B5))</f>
        <v/>
      </c>
      <c r="P5" s="0">
        <f>IF($A5="","",SUMIFS($J$1:$J$349,$AS$1:$AS$349,$AS5,$B$1:$B$349,$B5))</f>
        <v/>
      </c>
      <c r="Q5" s="0">
        <f>IF($A5="","",SUMIFS($G$1:$G$349,$AS$1:$AS$349,$AS5,$C$1:$C$349,$C5))</f>
        <v/>
      </c>
      <c r="R5" s="0">
        <f>IF($A5="","",SUMIFS($H$1:$H$349,$AS$1:$AS$349,$AS5,$C$1:$C$349,$C5))</f>
        <v/>
      </c>
      <c r="S5" s="0">
        <f>IF($A5="","",SUMIFS($I$1:$I$349,$AS$1:$AS$349,$AS5,$C$1:$C$349,$C5))</f>
        <v/>
      </c>
      <c r="T5" s="0">
        <f>IF($A5="","",SUMIFS($G$1:$G$349,$AS$1:$AS$349,$AS5))</f>
        <v/>
      </c>
      <c r="U5" s="0">
        <f>IF($A5="","",SUMIFS($H$1:$H$349,$AS$1:$AS$349,$AS5))</f>
        <v/>
      </c>
      <c r="V5" s="0">
        <f>IF($A5="","",SUMIFS($I$1:$I$349,$AS$1:$AS$349,$AS5))</f>
        <v/>
      </c>
      <c r="W5" s="0">
        <f>IF($A5="","",Allocation!CD5)</f>
        <v/>
      </c>
      <c r="X5" s="0">
        <f>IF($A5="","",Allocation!CE5)</f>
        <v/>
      </c>
      <c r="Y5" s="0">
        <f>IF($A5="","",Allocation!CF5)</f>
        <v/>
      </c>
      <c r="Z5" s="0">
        <f>IF($A5="","",Allocation!CG5)</f>
        <v/>
      </c>
      <c r="AA5" s="0">
        <f>IF($A5="","",Allocation!CH5)</f>
        <v/>
      </c>
      <c r="AB5" s="0">
        <f>IF($A5="","",Allocation!CI5)</f>
        <v/>
      </c>
      <c r="AC5" s="0">
        <f>IF($A5="","",IF(Allocation!$N$4="VOL_EFF",$G5,IF(Allocation!$N$4="VOL_CLASS",$H5,$I5)))</f>
        <v/>
      </c>
      <c r="AD5" s="0">
        <f>IF($A5="","",IF(Allocation!$N$4="VOL_EFF",$L5,IF(Allocation!$N$4="VOL_CLASS",$M5,$N5)))</f>
        <v/>
      </c>
      <c r="AE5" s="0">
        <f>IF($A5="","",IF(Allocation!$N$3="VOL_EFF",$L5,IF(Allocation!$N$3="VOL_CLASS",$M5,$N5)))</f>
        <v/>
      </c>
      <c r="AF5" s="0">
        <f>IF($A5="","",IF(Allocation!$N$3="VOL_EFF",$Q5,IF(Allocation!$N$3="VOL_CLASS",$R5,$S5)))</f>
        <v/>
      </c>
      <c r="AG5" s="0">
        <f>IF($A5="","",IF(Allocation!$N$1="VOL_EFF",$Q5,IF(Allocation!$N$1="VOL_CLASS",$R5,$S5)))</f>
        <v/>
      </c>
      <c r="AH5" s="0">
        <f>IF($A5="","",IF(Allocation!$N$1="VOL_EFF",$T5,IF(Allocation!$N$1="VOL_CLASS",$U5,$V5)))</f>
        <v/>
      </c>
      <c r="AI5" s="0">
        <f>IF($A5="","",$W5*IFERROR($K5/$O5,0))</f>
        <v/>
      </c>
      <c r="AJ5" s="0">
        <f>IF($A5="","",$X5*IFERROR($K5/$O5,0))</f>
        <v/>
      </c>
      <c r="AK5" s="0">
        <f>IF($A5="","",$Y5*IFERROR($G5/$L5,0)+$Z5*IFERROR($J5/$P5,0))</f>
        <v/>
      </c>
      <c r="AL5" s="0">
        <f>IF($A5="","",$AA5*IFERROR($AC5/$AD5,0))</f>
        <v/>
      </c>
      <c r="AM5" s="0">
        <f>IF($A5="","",$AB5*IFERROR($AG5/$AH5,0)*IFERROR($AE5/$AF5,0)*IFERROR($AC5/$AD5,0))</f>
        <v/>
      </c>
      <c r="AN5" s="0">
        <f>IF($A5="","",$I5-($AI5+$AJ5+$AK5+$AL5+$AM5+$AR5))</f>
        <v/>
      </c>
      <c r="AO5" s="0">
        <f>IF($A5="","",Allocation!CJ5)</f>
        <v/>
      </c>
      <c r="AP5" s="0">
        <f>IF($A5="","",IF(Allocation!$N$2="VOL_EFF",$Q5,IF(Allocation!$N$2="VOL_CLASS",$R5,$S5)))</f>
        <v/>
      </c>
      <c r="AQ5" s="0">
        <f>IF($A5="","",IF(Allocation!$N$2="VOL_EFF",$T5,IF(Allocation!$N$2="VOL_CLASS",$U5,$V5)))</f>
        <v/>
      </c>
      <c r="AR5" s="0">
        <f>IF($A5="","",$AO5*IFERROR($AP5/$AQ5,0)*IFERROR($AE5/$AF5,0)*IFERROR($AC5/$AD5,0))</f>
        <v/>
      </c>
      <c r="AS5" s="0">
        <f>IF($A5="","",$A5&amp;"|"&amp;Allocation!BG5)</f>
        <v/>
      </c>
    </row>
    <row r="6" ht="14.4975" customHeight="1" s="64">
      <c r="A6" s="0">
        <f>IF(Allocation!BI6="","",Allocation!BI6)</f>
        <v/>
      </c>
      <c r="B6" s="0">
        <f>IF(Allocation!BJ6="","",Allocation!BJ6)</f>
        <v/>
      </c>
      <c r="C6" s="0">
        <f>IF(Allocation!BK6="","",Allocation!BK6)</f>
        <v/>
      </c>
      <c r="D6" s="0">
        <f>IF(Allocation!BL6="","",Allocation!BL6)</f>
        <v/>
      </c>
      <c r="E6" s="0">
        <f>IF(Allocation!BM6="","",Allocation!BM6)</f>
        <v/>
      </c>
      <c r="F6" s="0">
        <f>IF(Allocation!BN6="","",Allocation!BN6)</f>
        <v/>
      </c>
      <c r="G6" s="0">
        <f>IF(Allocation!BO6="","",Allocation!BO6)</f>
        <v/>
      </c>
      <c r="H6" s="0">
        <f>IF(Allocation!BP6="","",Allocation!BP6)</f>
        <v/>
      </c>
      <c r="I6" s="0">
        <f>IF(Allocation!BQ6="","",Allocation!BQ6)</f>
        <v/>
      </c>
      <c r="J6" s="0">
        <f>IF(Allocation!CC6="","",Allocation!CC6)</f>
        <v/>
      </c>
      <c r="K6" s="0">
        <f>IF($A6="","",$H6*IF(AND(LEFT($D6,3)="BAC",$F6="INIT"),600,IF(LEFT($D6,3)="BAC",480,IF(AND(LEFT($D6,3)="MAS",$F6="INIT"),520,IF(LEFT($D6,3)="MAS",420,IF($F6="INIT",1000,700))))))</f>
        <v/>
      </c>
      <c r="L6" s="0">
        <f>IF($A6="","",SUMIFS($G$1:$G$349,$AS$1:$AS$349,$AS6,$B$1:$B$349,$B6))</f>
        <v/>
      </c>
      <c r="M6" s="0">
        <f>IF($A6="","",SUMIFS($H$1:$H$349,$AS$1:$AS$349,$AS6,$B$1:$B$349,$B6))</f>
        <v/>
      </c>
      <c r="N6" s="0">
        <f>IF($A6="","",SUMIFS($I$1:$I$349,$AS$1:$AS$349,$AS6,$B$1:$B$349,$B6))</f>
        <v/>
      </c>
      <c r="O6" s="0">
        <f>IF($A6="","",SUMIFS($K$1:$K$349,$AS$1:$AS$349,$AS6,$B$1:$B$349,$B6))</f>
        <v/>
      </c>
      <c r="P6" s="0">
        <f>IF($A6="","",SUMIFS($J$1:$J$349,$AS$1:$AS$349,$AS6,$B$1:$B$349,$B6))</f>
        <v/>
      </c>
      <c r="Q6" s="0">
        <f>IF($A6="","",SUMIFS($G$1:$G$349,$AS$1:$AS$349,$AS6,$C$1:$C$349,$C6))</f>
        <v/>
      </c>
      <c r="R6" s="0">
        <f>IF($A6="","",SUMIFS($H$1:$H$349,$AS$1:$AS$349,$AS6,$C$1:$C$349,$C6))</f>
        <v/>
      </c>
      <c r="S6" s="0">
        <f>IF($A6="","",SUMIFS($I$1:$I$349,$AS$1:$AS$349,$AS6,$C$1:$C$349,$C6))</f>
        <v/>
      </c>
      <c r="T6" s="0">
        <f>IF($A6="","",SUMIFS($G$1:$G$349,$AS$1:$AS$349,$AS6))</f>
        <v/>
      </c>
      <c r="U6" s="0">
        <f>IF($A6="","",SUMIFS($H$1:$H$349,$AS$1:$AS$349,$AS6))</f>
        <v/>
      </c>
      <c r="V6" s="0">
        <f>IF($A6="","",SUMIFS($I$1:$I$349,$AS$1:$AS$349,$AS6))</f>
        <v/>
      </c>
      <c r="W6" s="0">
        <f>IF($A6="","",Allocation!CD6)</f>
        <v/>
      </c>
      <c r="X6" s="0">
        <f>IF($A6="","",Allocation!CE6)</f>
        <v/>
      </c>
      <c r="Y6" s="0">
        <f>IF($A6="","",Allocation!CF6)</f>
        <v/>
      </c>
      <c r="Z6" s="0">
        <f>IF($A6="","",Allocation!CG6)</f>
        <v/>
      </c>
      <c r="AA6" s="0">
        <f>IF($A6="","",Allocation!CH6)</f>
        <v/>
      </c>
      <c r="AB6" s="0">
        <f>IF($A6="","",Allocation!CI6)</f>
        <v/>
      </c>
      <c r="AC6" s="0">
        <f>IF($A6="","",IF(Allocation!$N$4="VOL_EFF",$G6,IF(Allocation!$N$4="VOL_CLASS",$H6,$I6)))</f>
        <v/>
      </c>
      <c r="AD6" s="0">
        <f>IF($A6="","",IF(Allocation!$N$4="VOL_EFF",$L6,IF(Allocation!$N$4="VOL_CLASS",$M6,$N6)))</f>
        <v/>
      </c>
      <c r="AE6" s="0">
        <f>IF($A6="","",IF(Allocation!$N$3="VOL_EFF",$L6,IF(Allocation!$N$3="VOL_CLASS",$M6,$N6)))</f>
        <v/>
      </c>
      <c r="AF6" s="0">
        <f>IF($A6="","",IF(Allocation!$N$3="VOL_EFF",$Q6,IF(Allocation!$N$3="VOL_CLASS",$R6,$S6)))</f>
        <v/>
      </c>
      <c r="AG6" s="0">
        <f>IF($A6="","",IF(Allocation!$N$1="VOL_EFF",$Q6,IF(Allocation!$N$1="VOL_CLASS",$R6,$S6)))</f>
        <v/>
      </c>
      <c r="AH6" s="0">
        <f>IF($A6="","",IF(Allocation!$N$1="VOL_EFF",$T6,IF(Allocation!$N$1="VOL_CLASS",$U6,$V6)))</f>
        <v/>
      </c>
      <c r="AI6" s="0">
        <f>IF($A6="","",$W6*IFERROR($K6/$O6,0))</f>
        <v/>
      </c>
      <c r="AJ6" s="0">
        <f>IF($A6="","",$X6*IFERROR($K6/$O6,0))</f>
        <v/>
      </c>
      <c r="AK6" s="0">
        <f>IF($A6="","",$Y6*IFERROR($G6/$L6,0)+$Z6*IFERROR($J6/$P6,0))</f>
        <v/>
      </c>
      <c r="AL6" s="0">
        <f>IF($A6="","",$AA6*IFERROR($AC6/$AD6,0))</f>
        <v/>
      </c>
      <c r="AM6" s="0">
        <f>IF($A6="","",$AB6*IFERROR($AG6/$AH6,0)*IFERROR($AE6/$AF6,0)*IFERROR($AC6/$AD6,0))</f>
        <v/>
      </c>
      <c r="AN6" s="0">
        <f>IF($A6="","",$I6-($AI6+$AJ6+$AK6+$AL6+$AM6+$AR6))</f>
        <v/>
      </c>
      <c r="AO6" s="0">
        <f>IF($A6="","",Allocation!CJ6)</f>
        <v/>
      </c>
      <c r="AP6" s="0">
        <f>IF($A6="","",IF(Allocation!$N$2="VOL_EFF",$Q6,IF(Allocation!$N$2="VOL_CLASS",$R6,$S6)))</f>
        <v/>
      </c>
      <c r="AQ6" s="0">
        <f>IF($A6="","",IF(Allocation!$N$2="VOL_EFF",$T6,IF(Allocation!$N$2="VOL_CLASS",$U6,$V6)))</f>
        <v/>
      </c>
      <c r="AR6" s="0">
        <f>IF($A6="","",$AO6*IFERROR($AP6/$AQ6,0)*IFERROR($AE6/$AF6,0)*IFERROR($AC6/$AD6,0))</f>
        <v/>
      </c>
      <c r="AS6" s="0">
        <f>IF($A6="","",$A6&amp;"|"&amp;Allocation!BG6)</f>
        <v/>
      </c>
    </row>
    <row r="7" ht="14.4975" customHeight="1" s="64">
      <c r="A7" s="0">
        <f>IF(Allocation!BI7="","",Allocation!BI7)</f>
        <v/>
      </c>
      <c r="B7" s="0">
        <f>IF(Allocation!BJ7="","",Allocation!BJ7)</f>
        <v/>
      </c>
      <c r="C7" s="0">
        <f>IF(Allocation!BK7="","",Allocation!BK7)</f>
        <v/>
      </c>
      <c r="D7" s="0">
        <f>IF(Allocation!BL7="","",Allocation!BL7)</f>
        <v/>
      </c>
      <c r="E7" s="0">
        <f>IF(Allocation!BM7="","",Allocation!BM7)</f>
        <v/>
      </c>
      <c r="F7" s="0">
        <f>IF(Allocation!BN7="","",Allocation!BN7)</f>
        <v/>
      </c>
      <c r="G7" s="0">
        <f>IF(Allocation!BO7="","",Allocation!BO7)</f>
        <v/>
      </c>
      <c r="H7" s="0">
        <f>IF(Allocation!BP7="","",Allocation!BP7)</f>
        <v/>
      </c>
      <c r="I7" s="0">
        <f>IF(Allocation!BQ7="","",Allocation!BQ7)</f>
        <v/>
      </c>
      <c r="J7" s="0">
        <f>IF(Allocation!CC7="","",Allocation!CC7)</f>
        <v/>
      </c>
      <c r="K7" s="0">
        <f>IF($A7="","",$H7*IF(AND(LEFT($D7,3)="BAC",$F7="INIT"),600,IF(LEFT($D7,3)="BAC",480,IF(AND(LEFT($D7,3)="MAS",$F7="INIT"),520,IF(LEFT($D7,3)="MAS",420,IF($F7="INIT",1000,700))))))</f>
        <v/>
      </c>
      <c r="L7" s="0">
        <f>IF($A7="","",SUMIFS($G$1:$G$349,$AS$1:$AS$349,$AS7,$B$1:$B$349,$B7))</f>
        <v/>
      </c>
      <c r="M7" s="0">
        <f>IF($A7="","",SUMIFS($H$1:$H$349,$AS$1:$AS$349,$AS7,$B$1:$B$349,$B7))</f>
        <v/>
      </c>
      <c r="N7" s="0">
        <f>IF($A7="","",SUMIFS($I$1:$I$349,$AS$1:$AS$349,$AS7,$B$1:$B$349,$B7))</f>
        <v/>
      </c>
      <c r="O7" s="0">
        <f>IF($A7="","",SUMIFS($K$1:$K$349,$AS$1:$AS$349,$AS7,$B$1:$B$349,$B7))</f>
        <v/>
      </c>
      <c r="P7" s="0">
        <f>IF($A7="","",SUMIFS($J$1:$J$349,$AS$1:$AS$349,$AS7,$B$1:$B$349,$B7))</f>
        <v/>
      </c>
      <c r="Q7" s="0">
        <f>IF($A7="","",SUMIFS($G$1:$G$349,$AS$1:$AS$349,$AS7,$C$1:$C$349,$C7))</f>
        <v/>
      </c>
      <c r="R7" s="0">
        <f>IF($A7="","",SUMIFS($H$1:$H$349,$AS$1:$AS$349,$AS7,$C$1:$C$349,$C7))</f>
        <v/>
      </c>
      <c r="S7" s="0">
        <f>IF($A7="","",SUMIFS($I$1:$I$349,$AS$1:$AS$349,$AS7,$C$1:$C$349,$C7))</f>
        <v/>
      </c>
      <c r="T7" s="0">
        <f>IF($A7="","",SUMIFS($G$1:$G$349,$AS$1:$AS$349,$AS7))</f>
        <v/>
      </c>
      <c r="U7" s="0">
        <f>IF($A7="","",SUMIFS($H$1:$H$349,$AS$1:$AS$349,$AS7))</f>
        <v/>
      </c>
      <c r="V7" s="0">
        <f>IF($A7="","",SUMIFS($I$1:$I$349,$AS$1:$AS$349,$AS7))</f>
        <v/>
      </c>
      <c r="W7" s="0">
        <f>IF($A7="","",Allocation!CD7)</f>
        <v/>
      </c>
      <c r="X7" s="0">
        <f>IF($A7="","",Allocation!CE7)</f>
        <v/>
      </c>
      <c r="Y7" s="0">
        <f>IF($A7="","",Allocation!CF7)</f>
        <v/>
      </c>
      <c r="Z7" s="0">
        <f>IF($A7="","",Allocation!CG7)</f>
        <v/>
      </c>
      <c r="AA7" s="0">
        <f>IF($A7="","",Allocation!CH7)</f>
        <v/>
      </c>
      <c r="AB7" s="0">
        <f>IF($A7="","",Allocation!CI7)</f>
        <v/>
      </c>
      <c r="AC7" s="0">
        <f>IF($A7="","",IF(Allocation!$N$4="VOL_EFF",$G7,IF(Allocation!$N$4="VOL_CLASS",$H7,$I7)))</f>
        <v/>
      </c>
      <c r="AD7" s="0">
        <f>IF($A7="","",IF(Allocation!$N$4="VOL_EFF",$L7,IF(Allocation!$N$4="VOL_CLASS",$M7,$N7)))</f>
        <v/>
      </c>
      <c r="AE7" s="0">
        <f>IF($A7="","",IF(Allocation!$N$3="VOL_EFF",$L7,IF(Allocation!$N$3="VOL_CLASS",$M7,$N7)))</f>
        <v/>
      </c>
      <c r="AF7" s="0">
        <f>IF($A7="","",IF(Allocation!$N$3="VOL_EFF",$Q7,IF(Allocation!$N$3="VOL_CLASS",$R7,$S7)))</f>
        <v/>
      </c>
      <c r="AG7" s="0">
        <f>IF($A7="","",IF(Allocation!$N$1="VOL_EFF",$Q7,IF(Allocation!$N$1="VOL_CLASS",$R7,$S7)))</f>
        <v/>
      </c>
      <c r="AH7" s="0">
        <f>IF($A7="","",IF(Allocation!$N$1="VOL_EFF",$T7,IF(Allocation!$N$1="VOL_CLASS",$U7,$V7)))</f>
        <v/>
      </c>
      <c r="AI7" s="0">
        <f>IF($A7="","",$W7*IFERROR($K7/$O7,0))</f>
        <v/>
      </c>
      <c r="AJ7" s="0">
        <f>IF($A7="","",$X7*IFERROR($K7/$O7,0))</f>
        <v/>
      </c>
      <c r="AK7" s="0">
        <f>IF($A7="","",$Y7*IFERROR($G7/$L7,0)+$Z7*IFERROR($J7/$P7,0))</f>
        <v/>
      </c>
      <c r="AL7" s="0">
        <f>IF($A7="","",$AA7*IFERROR($AC7/$AD7,0))</f>
        <v/>
      </c>
      <c r="AM7" s="0">
        <f>IF($A7="","",$AB7*IFERROR($AG7/$AH7,0)*IFERROR($AE7/$AF7,0)*IFERROR($AC7/$AD7,0))</f>
        <v/>
      </c>
      <c r="AN7" s="0">
        <f>IF($A7="","",$I7-($AI7+$AJ7+$AK7+$AL7+$AM7+$AR7))</f>
        <v/>
      </c>
      <c r="AO7" s="0">
        <f>IF($A7="","",Allocation!CJ7)</f>
        <v/>
      </c>
      <c r="AP7" s="0">
        <f>IF($A7="","",IF(Allocation!$N$2="VOL_EFF",$Q7,IF(Allocation!$N$2="VOL_CLASS",$R7,$S7)))</f>
        <v/>
      </c>
      <c r="AQ7" s="0">
        <f>IF($A7="","",IF(Allocation!$N$2="VOL_EFF",$T7,IF(Allocation!$N$2="VOL_CLASS",$U7,$V7)))</f>
        <v/>
      </c>
      <c r="AR7" s="0">
        <f>IF($A7="","",$AO7*IFERROR($AP7/$AQ7,0)*IFERROR($AE7/$AF7,0)*IFERROR($AC7/$AD7,0))</f>
        <v/>
      </c>
      <c r="AS7" s="0">
        <f>IF($A7="","",$A7&amp;"|"&amp;Allocation!BG7)</f>
        <v/>
      </c>
    </row>
    <row r="8" ht="14.4975" customHeight="1" s="64">
      <c r="A8" s="0">
        <f>IF(Allocation!BI8="","",Allocation!BI8)</f>
        <v/>
      </c>
      <c r="B8" s="0">
        <f>IF(Allocation!BJ8="","",Allocation!BJ8)</f>
        <v/>
      </c>
      <c r="C8" s="0">
        <f>IF(Allocation!BK8="","",Allocation!BK8)</f>
        <v/>
      </c>
      <c r="D8" s="0">
        <f>IF(Allocation!BL8="","",Allocation!BL8)</f>
        <v/>
      </c>
      <c r="E8" s="0">
        <f>IF(Allocation!BM8="","",Allocation!BM8)</f>
        <v/>
      </c>
      <c r="F8" s="0">
        <f>IF(Allocation!BN8="","",Allocation!BN8)</f>
        <v/>
      </c>
      <c r="G8" s="0">
        <f>IF(Allocation!BO8="","",Allocation!BO8)</f>
        <v/>
      </c>
      <c r="H8" s="0">
        <f>IF(Allocation!BP8="","",Allocation!BP8)</f>
        <v/>
      </c>
      <c r="I8" s="0">
        <f>IF(Allocation!BQ8="","",Allocation!BQ8)</f>
        <v/>
      </c>
      <c r="J8" s="0">
        <f>IF(Allocation!CC8="","",Allocation!CC8)</f>
        <v/>
      </c>
      <c r="K8" s="0">
        <f>IF($A8="","",$H8*IF(AND(LEFT($D8,3)="BAC",$F8="INIT"),600,IF(LEFT($D8,3)="BAC",480,IF(AND(LEFT($D8,3)="MAS",$F8="INIT"),520,IF(LEFT($D8,3)="MAS",420,IF($F8="INIT",1000,700))))))</f>
        <v/>
      </c>
      <c r="L8" s="0">
        <f>IF($A8="","",SUMIFS($G$1:$G$349,$AS$1:$AS$349,$AS8,$B$1:$B$349,$B8))</f>
        <v/>
      </c>
      <c r="M8" s="0">
        <f>IF($A8="","",SUMIFS($H$1:$H$349,$AS$1:$AS$349,$AS8,$B$1:$B$349,$B8))</f>
        <v/>
      </c>
      <c r="N8" s="0">
        <f>IF($A8="","",SUMIFS($I$1:$I$349,$AS$1:$AS$349,$AS8,$B$1:$B$349,$B8))</f>
        <v/>
      </c>
      <c r="O8" s="0">
        <f>IF($A8="","",SUMIFS($K$1:$K$349,$AS$1:$AS$349,$AS8,$B$1:$B$349,$B8))</f>
        <v/>
      </c>
      <c r="P8" s="0">
        <f>IF($A8="","",SUMIFS($J$1:$J$349,$AS$1:$AS$349,$AS8,$B$1:$B$349,$B8))</f>
        <v/>
      </c>
      <c r="Q8" s="0">
        <f>IF($A8="","",SUMIFS($G$1:$G$349,$AS$1:$AS$349,$AS8,$C$1:$C$349,$C8))</f>
        <v/>
      </c>
      <c r="R8" s="0">
        <f>IF($A8="","",SUMIFS($H$1:$H$349,$AS$1:$AS$349,$AS8,$C$1:$C$349,$C8))</f>
        <v/>
      </c>
      <c r="S8" s="0">
        <f>IF($A8="","",SUMIFS($I$1:$I$349,$AS$1:$AS$349,$AS8,$C$1:$C$349,$C8))</f>
        <v/>
      </c>
      <c r="T8" s="0">
        <f>IF($A8="","",SUMIFS($G$1:$G$349,$AS$1:$AS$349,$AS8))</f>
        <v/>
      </c>
      <c r="U8" s="0">
        <f>IF($A8="","",SUMIFS($H$1:$H$349,$AS$1:$AS$349,$AS8))</f>
        <v/>
      </c>
      <c r="V8" s="0">
        <f>IF($A8="","",SUMIFS($I$1:$I$349,$AS$1:$AS$349,$AS8))</f>
        <v/>
      </c>
      <c r="W8" s="0">
        <f>IF($A8="","",Allocation!CD8)</f>
        <v/>
      </c>
      <c r="X8" s="0">
        <f>IF($A8="","",Allocation!CE8)</f>
        <v/>
      </c>
      <c r="Y8" s="0">
        <f>IF($A8="","",Allocation!CF8)</f>
        <v/>
      </c>
      <c r="Z8" s="0">
        <f>IF($A8="","",Allocation!CG8)</f>
        <v/>
      </c>
      <c r="AA8" s="0">
        <f>IF($A8="","",Allocation!CH8)</f>
        <v/>
      </c>
      <c r="AB8" s="0">
        <f>IF($A8="","",Allocation!CI8)</f>
        <v/>
      </c>
      <c r="AC8" s="0">
        <f>IF($A8="","",IF(Allocation!$N$4="VOL_EFF",$G8,IF(Allocation!$N$4="VOL_CLASS",$H8,$I8)))</f>
        <v/>
      </c>
      <c r="AD8" s="0">
        <f>IF($A8="","",IF(Allocation!$N$4="VOL_EFF",$L8,IF(Allocation!$N$4="VOL_CLASS",$M8,$N8)))</f>
        <v/>
      </c>
      <c r="AE8" s="0">
        <f>IF($A8="","",IF(Allocation!$N$3="VOL_EFF",$L8,IF(Allocation!$N$3="VOL_CLASS",$M8,$N8)))</f>
        <v/>
      </c>
      <c r="AF8" s="0">
        <f>IF($A8="","",IF(Allocation!$N$3="VOL_EFF",$Q8,IF(Allocation!$N$3="VOL_CLASS",$R8,$S8)))</f>
        <v/>
      </c>
      <c r="AG8" s="0">
        <f>IF($A8="","",IF(Allocation!$N$1="VOL_EFF",$Q8,IF(Allocation!$N$1="VOL_CLASS",$R8,$S8)))</f>
        <v/>
      </c>
      <c r="AH8" s="0">
        <f>IF($A8="","",IF(Allocation!$N$1="VOL_EFF",$T8,IF(Allocation!$N$1="VOL_CLASS",$U8,$V8)))</f>
        <v/>
      </c>
      <c r="AI8" s="0">
        <f>IF($A8="","",$W8*IFERROR($K8/$O8,0))</f>
        <v/>
      </c>
      <c r="AJ8" s="0">
        <f>IF($A8="","",$X8*IFERROR($K8/$O8,0))</f>
        <v/>
      </c>
      <c r="AK8" s="0">
        <f>IF($A8="","",$Y8*IFERROR($G8/$L8,0)+$Z8*IFERROR($J8/$P8,0))</f>
        <v/>
      </c>
      <c r="AL8" s="0">
        <f>IF($A8="","",$AA8*IFERROR($AC8/$AD8,0))</f>
        <v/>
      </c>
      <c r="AM8" s="0">
        <f>IF($A8="","",$AB8*IFERROR($AG8/$AH8,0)*IFERROR($AE8/$AF8,0)*IFERROR($AC8/$AD8,0))</f>
        <v/>
      </c>
      <c r="AN8" s="0">
        <f>IF($A8="","",$I8-($AI8+$AJ8+$AK8+$AL8+$AM8+$AR8))</f>
        <v/>
      </c>
      <c r="AO8" s="0">
        <f>IF($A8="","",Allocation!CJ8)</f>
        <v/>
      </c>
      <c r="AP8" s="0">
        <f>IF($A8="","",IF(Allocation!$N$2="VOL_EFF",$Q8,IF(Allocation!$N$2="VOL_CLASS",$R8,$S8)))</f>
        <v/>
      </c>
      <c r="AQ8" s="0">
        <f>IF($A8="","",IF(Allocation!$N$2="VOL_EFF",$T8,IF(Allocation!$N$2="VOL_CLASS",$U8,$V8)))</f>
        <v/>
      </c>
      <c r="AR8" s="0">
        <f>IF($A8="","",$AO8*IFERROR($AP8/$AQ8,0)*IFERROR($AE8/$AF8,0)*IFERROR($AC8/$AD8,0))</f>
        <v/>
      </c>
      <c r="AS8" s="0">
        <f>IF($A8="","",$A8&amp;"|"&amp;Allocation!BG8)</f>
        <v/>
      </c>
    </row>
    <row r="9" ht="14.4975" customHeight="1" s="64">
      <c r="A9" s="0">
        <f>IF(Allocation!BI9="","",Allocation!BI9)</f>
        <v/>
      </c>
      <c r="B9" s="0">
        <f>IF(Allocation!BJ9="","",Allocation!BJ9)</f>
        <v/>
      </c>
      <c r="C9" s="0">
        <f>IF(Allocation!BK9="","",Allocation!BK9)</f>
        <v/>
      </c>
      <c r="D9" s="0">
        <f>IF(Allocation!BL9="","",Allocation!BL9)</f>
        <v/>
      </c>
      <c r="E9" s="0">
        <f>IF(Allocation!BM9="","",Allocation!BM9)</f>
        <v/>
      </c>
      <c r="F9" s="0">
        <f>IF(Allocation!BN9="","",Allocation!BN9)</f>
        <v/>
      </c>
      <c r="G9" s="0">
        <f>IF(Allocation!BO9="","",Allocation!BO9)</f>
        <v/>
      </c>
      <c r="H9" s="0">
        <f>IF(Allocation!BP9="","",Allocation!BP9)</f>
        <v/>
      </c>
      <c r="I9" s="0">
        <f>IF(Allocation!BQ9="","",Allocation!BQ9)</f>
        <v/>
      </c>
      <c r="J9" s="0">
        <f>IF(Allocation!CC9="","",Allocation!CC9)</f>
        <v/>
      </c>
      <c r="K9" s="0">
        <f>IF($A9="","",$H9*IF(AND(LEFT($D9,3)="BAC",$F9="INIT"),600,IF(LEFT($D9,3)="BAC",480,IF(AND(LEFT($D9,3)="MAS",$F9="INIT"),520,IF(LEFT($D9,3)="MAS",420,IF($F9="INIT",1000,700))))))</f>
        <v/>
      </c>
      <c r="L9" s="0">
        <f>IF($A9="","",SUMIFS($G$1:$G$349,$AS$1:$AS$349,$AS9,$B$1:$B$349,$B9))</f>
        <v/>
      </c>
      <c r="M9" s="0">
        <f>IF($A9="","",SUMIFS($H$1:$H$349,$AS$1:$AS$349,$AS9,$B$1:$B$349,$B9))</f>
        <v/>
      </c>
      <c r="N9" s="0">
        <f>IF($A9="","",SUMIFS($I$1:$I$349,$AS$1:$AS$349,$AS9,$B$1:$B$349,$B9))</f>
        <v/>
      </c>
      <c r="O9" s="0">
        <f>IF($A9="","",SUMIFS($K$1:$K$349,$AS$1:$AS$349,$AS9,$B$1:$B$349,$B9))</f>
        <v/>
      </c>
      <c r="P9" s="0">
        <f>IF($A9="","",SUMIFS($J$1:$J$349,$AS$1:$AS$349,$AS9,$B$1:$B$349,$B9))</f>
        <v/>
      </c>
      <c r="Q9" s="0">
        <f>IF($A9="","",SUMIFS($G$1:$G$349,$AS$1:$AS$349,$AS9,$C$1:$C$349,$C9))</f>
        <v/>
      </c>
      <c r="R9" s="0">
        <f>IF($A9="","",SUMIFS($H$1:$H$349,$AS$1:$AS$349,$AS9,$C$1:$C$349,$C9))</f>
        <v/>
      </c>
      <c r="S9" s="0">
        <f>IF($A9="","",SUMIFS($I$1:$I$349,$AS$1:$AS$349,$AS9,$C$1:$C$349,$C9))</f>
        <v/>
      </c>
      <c r="T9" s="0">
        <f>IF($A9="","",SUMIFS($G$1:$G$349,$AS$1:$AS$349,$AS9))</f>
        <v/>
      </c>
      <c r="U9" s="0">
        <f>IF($A9="","",SUMIFS($H$1:$H$349,$AS$1:$AS$349,$AS9))</f>
        <v/>
      </c>
      <c r="V9" s="0">
        <f>IF($A9="","",SUMIFS($I$1:$I$349,$AS$1:$AS$349,$AS9))</f>
        <v/>
      </c>
      <c r="W9" s="0">
        <f>IF($A9="","",Allocation!CD9)</f>
        <v/>
      </c>
      <c r="X9" s="0">
        <f>IF($A9="","",Allocation!CE9)</f>
        <v/>
      </c>
      <c r="Y9" s="0">
        <f>IF($A9="","",Allocation!CF9)</f>
        <v/>
      </c>
      <c r="Z9" s="0">
        <f>IF($A9="","",Allocation!CG9)</f>
        <v/>
      </c>
      <c r="AA9" s="0">
        <f>IF($A9="","",Allocation!CH9)</f>
        <v/>
      </c>
      <c r="AB9" s="0">
        <f>IF($A9="","",Allocation!CI9)</f>
        <v/>
      </c>
      <c r="AC9" s="0">
        <f>IF($A9="","",IF(Allocation!$N$4="VOL_EFF",$G9,IF(Allocation!$N$4="VOL_CLASS",$H9,$I9)))</f>
        <v/>
      </c>
      <c r="AD9" s="0">
        <f>IF($A9="","",IF(Allocation!$N$4="VOL_EFF",$L9,IF(Allocation!$N$4="VOL_CLASS",$M9,$N9)))</f>
        <v/>
      </c>
      <c r="AE9" s="0">
        <f>IF($A9="","",IF(Allocation!$N$3="VOL_EFF",$L9,IF(Allocation!$N$3="VOL_CLASS",$M9,$N9)))</f>
        <v/>
      </c>
      <c r="AF9" s="0">
        <f>IF($A9="","",IF(Allocation!$N$3="VOL_EFF",$Q9,IF(Allocation!$N$3="VOL_CLASS",$R9,$S9)))</f>
        <v/>
      </c>
      <c r="AG9" s="0">
        <f>IF($A9="","",IF(Allocation!$N$1="VOL_EFF",$Q9,IF(Allocation!$N$1="VOL_CLASS",$R9,$S9)))</f>
        <v/>
      </c>
      <c r="AH9" s="0">
        <f>IF($A9="","",IF(Allocation!$N$1="VOL_EFF",$T9,IF(Allocation!$N$1="VOL_CLASS",$U9,$V9)))</f>
        <v/>
      </c>
      <c r="AI9" s="0">
        <f>IF($A9="","",$W9*IFERROR($K9/$O9,0))</f>
        <v/>
      </c>
      <c r="AJ9" s="0">
        <f>IF($A9="","",$X9*IFERROR($K9/$O9,0))</f>
        <v/>
      </c>
      <c r="AK9" s="0">
        <f>IF($A9="","",$Y9*IFERROR($G9/$L9,0)+$Z9*IFERROR($J9/$P9,0))</f>
        <v/>
      </c>
      <c r="AL9" s="0">
        <f>IF($A9="","",$AA9*IFERROR($AC9/$AD9,0))</f>
        <v/>
      </c>
      <c r="AM9" s="0">
        <f>IF($A9="","",$AB9*IFERROR($AG9/$AH9,0)*IFERROR($AE9/$AF9,0)*IFERROR($AC9/$AD9,0))</f>
        <v/>
      </c>
      <c r="AN9" s="0">
        <f>IF($A9="","",$I9-($AI9+$AJ9+$AK9+$AL9+$AM9+$AR9))</f>
        <v/>
      </c>
      <c r="AO9" s="0">
        <f>IF($A9="","",Allocation!CJ9)</f>
        <v/>
      </c>
      <c r="AP9" s="0">
        <f>IF($A9="","",IF(Allocation!$N$2="VOL_EFF",$Q9,IF(Allocation!$N$2="VOL_CLASS",$R9,$S9)))</f>
        <v/>
      </c>
      <c r="AQ9" s="0">
        <f>IF($A9="","",IF(Allocation!$N$2="VOL_EFF",$T9,IF(Allocation!$N$2="VOL_CLASS",$U9,$V9)))</f>
        <v/>
      </c>
      <c r="AR9" s="0">
        <f>IF($A9="","",$AO9*IFERROR($AP9/$AQ9,0)*IFERROR($AE9/$AF9,0)*IFERROR($AC9/$AD9,0))</f>
        <v/>
      </c>
      <c r="AS9" s="0">
        <f>IF($A9="","",$A9&amp;"|"&amp;Allocation!BG9)</f>
        <v/>
      </c>
    </row>
    <row r="10" ht="14.4975" customHeight="1" s="64">
      <c r="A10" s="0">
        <f>IF(Allocation!BI10="","",Allocation!BI10)</f>
        <v/>
      </c>
      <c r="B10" s="0">
        <f>IF(Allocation!BJ10="","",Allocation!BJ10)</f>
        <v/>
      </c>
      <c r="C10" s="0">
        <f>IF(Allocation!BK10="","",Allocation!BK10)</f>
        <v/>
      </c>
      <c r="D10" s="0">
        <f>IF(Allocation!BL10="","",Allocation!BL10)</f>
        <v/>
      </c>
      <c r="E10" s="0">
        <f>IF(Allocation!BM10="","",Allocation!BM10)</f>
        <v/>
      </c>
      <c r="F10" s="0">
        <f>IF(Allocation!BN10="","",Allocation!BN10)</f>
        <v/>
      </c>
      <c r="G10" s="0">
        <f>IF(Allocation!BO10="","",Allocation!BO10)</f>
        <v/>
      </c>
      <c r="H10" s="0">
        <f>IF(Allocation!BP10="","",Allocation!BP10)</f>
        <v/>
      </c>
      <c r="I10" s="0">
        <f>IF(Allocation!BQ10="","",Allocation!BQ10)</f>
        <v/>
      </c>
      <c r="J10" s="0">
        <f>IF(Allocation!CC10="","",Allocation!CC10)</f>
        <v/>
      </c>
      <c r="K10" s="0">
        <f>IF($A10="","",$H10*IF(AND(LEFT($D10,3)="BAC",$F10="INIT"),600,IF(LEFT($D10,3)="BAC",480,IF(AND(LEFT($D10,3)="MAS",$F10="INIT"),520,IF(LEFT($D10,3)="MAS",420,IF($F10="INIT",1000,700))))))</f>
        <v/>
      </c>
      <c r="L10" s="0">
        <f>IF($A10="","",SUMIFS($G$1:$G$349,$AS$1:$AS$349,$AS10,$B$1:$B$349,$B10))</f>
        <v/>
      </c>
      <c r="M10" s="0">
        <f>IF($A10="","",SUMIFS($H$1:$H$349,$AS$1:$AS$349,$AS10,$B$1:$B$349,$B10))</f>
        <v/>
      </c>
      <c r="N10" s="0">
        <f>IF($A10="","",SUMIFS($I$1:$I$349,$AS$1:$AS$349,$AS10,$B$1:$B$349,$B10))</f>
        <v/>
      </c>
      <c r="O10" s="0">
        <f>IF($A10="","",SUMIFS($K$1:$K$349,$AS$1:$AS$349,$AS10,$B$1:$B$349,$B10))</f>
        <v/>
      </c>
      <c r="P10" s="0">
        <f>IF($A10="","",SUMIFS($J$1:$J$349,$AS$1:$AS$349,$AS10,$B$1:$B$349,$B10))</f>
        <v/>
      </c>
      <c r="Q10" s="0">
        <f>IF($A10="","",SUMIFS($G$1:$G$349,$AS$1:$AS$349,$AS10,$C$1:$C$349,$C10))</f>
        <v/>
      </c>
      <c r="R10" s="0">
        <f>IF($A10="","",SUMIFS($H$1:$H$349,$AS$1:$AS$349,$AS10,$C$1:$C$349,$C10))</f>
        <v/>
      </c>
      <c r="S10" s="0">
        <f>IF($A10="","",SUMIFS($I$1:$I$349,$AS$1:$AS$349,$AS10,$C$1:$C$349,$C10))</f>
        <v/>
      </c>
      <c r="T10" s="0">
        <f>IF($A10="","",SUMIFS($G$1:$G$349,$AS$1:$AS$349,$AS10))</f>
        <v/>
      </c>
      <c r="U10" s="0">
        <f>IF($A10="","",SUMIFS($H$1:$H$349,$AS$1:$AS$349,$AS10))</f>
        <v/>
      </c>
      <c r="V10" s="0">
        <f>IF($A10="","",SUMIFS($I$1:$I$349,$AS$1:$AS$349,$AS10))</f>
        <v/>
      </c>
      <c r="W10" s="0">
        <f>IF($A10="","",Allocation!CD10)</f>
        <v/>
      </c>
      <c r="X10" s="0">
        <f>IF($A10="","",Allocation!CE10)</f>
        <v/>
      </c>
      <c r="Y10" s="0">
        <f>IF($A10="","",Allocation!CF10)</f>
        <v/>
      </c>
      <c r="Z10" s="0">
        <f>IF($A10="","",Allocation!CG10)</f>
        <v/>
      </c>
      <c r="AA10" s="0">
        <f>IF($A10="","",Allocation!CH10)</f>
        <v/>
      </c>
      <c r="AB10" s="0">
        <f>IF($A10="","",Allocation!CI10)</f>
        <v/>
      </c>
      <c r="AC10" s="0">
        <f>IF($A10="","",IF(Allocation!$N$4="VOL_EFF",$G10,IF(Allocation!$N$4="VOL_CLASS",$H10,$I10)))</f>
        <v/>
      </c>
      <c r="AD10" s="0">
        <f>IF($A10="","",IF(Allocation!$N$4="VOL_EFF",$L10,IF(Allocation!$N$4="VOL_CLASS",$M10,$N10)))</f>
        <v/>
      </c>
      <c r="AE10" s="0">
        <f>IF($A10="","",IF(Allocation!$N$3="VOL_EFF",$L10,IF(Allocation!$N$3="VOL_CLASS",$M10,$N10)))</f>
        <v/>
      </c>
      <c r="AF10" s="0">
        <f>IF($A10="","",IF(Allocation!$N$3="VOL_EFF",$Q10,IF(Allocation!$N$3="VOL_CLASS",$R10,$S10)))</f>
        <v/>
      </c>
      <c r="AG10" s="0">
        <f>IF($A10="","",IF(Allocation!$N$1="VOL_EFF",$Q10,IF(Allocation!$N$1="VOL_CLASS",$R10,$S10)))</f>
        <v/>
      </c>
      <c r="AH10" s="0">
        <f>IF($A10="","",IF(Allocation!$N$1="VOL_EFF",$T10,IF(Allocation!$N$1="VOL_CLASS",$U10,$V10)))</f>
        <v/>
      </c>
      <c r="AI10" s="0">
        <f>IF($A10="","",$W10*IFERROR($K10/$O10,0))</f>
        <v/>
      </c>
      <c r="AJ10" s="0">
        <f>IF($A10="","",$X10*IFERROR($K10/$O10,0))</f>
        <v/>
      </c>
      <c r="AK10" s="0">
        <f>IF($A10="","",$Y10*IFERROR($G10/$L10,0)+$Z10*IFERROR($J10/$P10,0))</f>
        <v/>
      </c>
      <c r="AL10" s="0">
        <f>IF($A10="","",$AA10*IFERROR($AC10/$AD10,0))</f>
        <v/>
      </c>
      <c r="AM10" s="0">
        <f>IF($A10="","",$AB10*IFERROR($AG10/$AH10,0)*IFERROR($AE10/$AF10,0)*IFERROR($AC10/$AD10,0))</f>
        <v/>
      </c>
      <c r="AN10" s="0">
        <f>IF($A10="","",$I10-($AI10+$AJ10+$AK10+$AL10+$AM10+$AR10))</f>
        <v/>
      </c>
      <c r="AO10" s="0">
        <f>IF($A10="","",Allocation!CJ10)</f>
        <v/>
      </c>
      <c r="AP10" s="0">
        <f>IF($A10="","",IF(Allocation!$N$2="VOL_EFF",$Q10,IF(Allocation!$N$2="VOL_CLASS",$R10,$S10)))</f>
        <v/>
      </c>
      <c r="AQ10" s="0">
        <f>IF($A10="","",IF(Allocation!$N$2="VOL_EFF",$T10,IF(Allocation!$N$2="VOL_CLASS",$U10,$V10)))</f>
        <v/>
      </c>
      <c r="AR10" s="0">
        <f>IF($A10="","",$AO10*IFERROR($AP10/$AQ10,0)*IFERROR($AE10/$AF10,0)*IFERROR($AC10/$AD10,0))</f>
        <v/>
      </c>
      <c r="AS10" s="0">
        <f>IF($A10="","",$A10&amp;"|"&amp;Allocation!BG10)</f>
        <v/>
      </c>
    </row>
    <row r="11" ht="14.4975" customHeight="1" s="64">
      <c r="A11" s="0">
        <f>IF(Allocation!BI11="","",Allocation!BI11)</f>
        <v/>
      </c>
      <c r="B11" s="0">
        <f>IF(Allocation!BJ11="","",Allocation!BJ11)</f>
        <v/>
      </c>
      <c r="C11" s="0">
        <f>IF(Allocation!BK11="","",Allocation!BK11)</f>
        <v/>
      </c>
      <c r="D11" s="0">
        <f>IF(Allocation!BL11="","",Allocation!BL11)</f>
        <v/>
      </c>
      <c r="E11" s="0">
        <f>IF(Allocation!BM11="","",Allocation!BM11)</f>
        <v/>
      </c>
      <c r="F11" s="0">
        <f>IF(Allocation!BN11="","",Allocation!BN11)</f>
        <v/>
      </c>
      <c r="G11" s="0">
        <f>IF(Allocation!BO11="","",Allocation!BO11)</f>
        <v/>
      </c>
      <c r="H11" s="0">
        <f>IF(Allocation!BP11="","",Allocation!BP11)</f>
        <v/>
      </c>
      <c r="I11" s="0">
        <f>IF(Allocation!BQ11="","",Allocation!BQ11)</f>
        <v/>
      </c>
      <c r="J11" s="0">
        <f>IF(Allocation!CC11="","",Allocation!CC11)</f>
        <v/>
      </c>
      <c r="K11" s="0">
        <f>IF($A11="","",$H11*IF(AND(LEFT($D11,3)="BAC",$F11="INIT"),600,IF(LEFT($D11,3)="BAC",480,IF(AND(LEFT($D11,3)="MAS",$F11="INIT"),520,IF(LEFT($D11,3)="MAS",420,IF($F11="INIT",1000,700))))))</f>
        <v/>
      </c>
      <c r="L11" s="0">
        <f>IF($A11="","",SUMIFS($G$1:$G$349,$AS$1:$AS$349,$AS11,$B$1:$B$349,$B11))</f>
        <v/>
      </c>
      <c r="M11" s="0">
        <f>IF($A11="","",SUMIFS($H$1:$H$349,$AS$1:$AS$349,$AS11,$B$1:$B$349,$B11))</f>
        <v/>
      </c>
      <c r="N11" s="0">
        <f>IF($A11="","",SUMIFS($I$1:$I$349,$AS$1:$AS$349,$AS11,$B$1:$B$349,$B11))</f>
        <v/>
      </c>
      <c r="O11" s="0">
        <f>IF($A11="","",SUMIFS($K$1:$K$349,$AS$1:$AS$349,$AS11,$B$1:$B$349,$B11))</f>
        <v/>
      </c>
      <c r="P11" s="0">
        <f>IF($A11="","",SUMIFS($J$1:$J$349,$AS$1:$AS$349,$AS11,$B$1:$B$349,$B11))</f>
        <v/>
      </c>
      <c r="Q11" s="0">
        <f>IF($A11="","",SUMIFS($G$1:$G$349,$AS$1:$AS$349,$AS11,$C$1:$C$349,$C11))</f>
        <v/>
      </c>
      <c r="R11" s="0">
        <f>IF($A11="","",SUMIFS($H$1:$H$349,$AS$1:$AS$349,$AS11,$C$1:$C$349,$C11))</f>
        <v/>
      </c>
      <c r="S11" s="0">
        <f>IF($A11="","",SUMIFS($I$1:$I$349,$AS$1:$AS$349,$AS11,$C$1:$C$349,$C11))</f>
        <v/>
      </c>
      <c r="T11" s="0">
        <f>IF($A11="","",SUMIFS($G$1:$G$349,$AS$1:$AS$349,$AS11))</f>
        <v/>
      </c>
      <c r="U11" s="0">
        <f>IF($A11="","",SUMIFS($H$1:$H$349,$AS$1:$AS$349,$AS11))</f>
        <v/>
      </c>
      <c r="V11" s="0">
        <f>IF($A11="","",SUMIFS($I$1:$I$349,$AS$1:$AS$349,$AS11))</f>
        <v/>
      </c>
      <c r="W11" s="0">
        <f>IF($A11="","",Allocation!CD11)</f>
        <v/>
      </c>
      <c r="X11" s="0">
        <f>IF($A11="","",Allocation!CE11)</f>
        <v/>
      </c>
      <c r="Y11" s="0">
        <f>IF($A11="","",Allocation!CF11)</f>
        <v/>
      </c>
      <c r="Z11" s="0">
        <f>IF($A11="","",Allocation!CG11)</f>
        <v/>
      </c>
      <c r="AA11" s="0">
        <f>IF($A11="","",Allocation!CH11)</f>
        <v/>
      </c>
      <c r="AB11" s="0">
        <f>IF($A11="","",Allocation!CI11)</f>
        <v/>
      </c>
      <c r="AC11" s="0">
        <f>IF($A11="","",IF(Allocation!$N$4="VOL_EFF",$G11,IF(Allocation!$N$4="VOL_CLASS",$H11,$I11)))</f>
        <v/>
      </c>
      <c r="AD11" s="0">
        <f>IF($A11="","",IF(Allocation!$N$4="VOL_EFF",$L11,IF(Allocation!$N$4="VOL_CLASS",$M11,$N11)))</f>
        <v/>
      </c>
      <c r="AE11" s="0">
        <f>IF($A11="","",IF(Allocation!$N$3="VOL_EFF",$L11,IF(Allocation!$N$3="VOL_CLASS",$M11,$N11)))</f>
        <v/>
      </c>
      <c r="AF11" s="0">
        <f>IF($A11="","",IF(Allocation!$N$3="VOL_EFF",$Q11,IF(Allocation!$N$3="VOL_CLASS",$R11,$S11)))</f>
        <v/>
      </c>
      <c r="AG11" s="0">
        <f>IF($A11="","",IF(Allocation!$N$1="VOL_EFF",$Q11,IF(Allocation!$N$1="VOL_CLASS",$R11,$S11)))</f>
        <v/>
      </c>
      <c r="AH11" s="0">
        <f>IF($A11="","",IF(Allocation!$N$1="VOL_EFF",$T11,IF(Allocation!$N$1="VOL_CLASS",$U11,$V11)))</f>
        <v/>
      </c>
      <c r="AI11" s="0">
        <f>IF($A11="","",$W11*IFERROR($K11/$O11,0))</f>
        <v/>
      </c>
      <c r="AJ11" s="0">
        <f>IF($A11="","",$X11*IFERROR($K11/$O11,0))</f>
        <v/>
      </c>
      <c r="AK11" s="0">
        <f>IF($A11="","",$Y11*IFERROR($G11/$L11,0)+$Z11*IFERROR($J11/$P11,0))</f>
        <v/>
      </c>
      <c r="AL11" s="0">
        <f>IF($A11="","",$AA11*IFERROR($AC11/$AD11,0))</f>
        <v/>
      </c>
      <c r="AM11" s="0">
        <f>IF($A11="","",$AB11*IFERROR($AG11/$AH11,0)*IFERROR($AE11/$AF11,0)*IFERROR($AC11/$AD11,0))</f>
        <v/>
      </c>
      <c r="AN11" s="0">
        <f>IF($A11="","",$I11-($AI11+$AJ11+$AK11+$AL11+$AM11+$AR11))</f>
        <v/>
      </c>
      <c r="AO11" s="0">
        <f>IF($A11="","",Allocation!CJ11)</f>
        <v/>
      </c>
      <c r="AP11" s="0">
        <f>IF($A11="","",IF(Allocation!$N$2="VOL_EFF",$Q11,IF(Allocation!$N$2="VOL_CLASS",$R11,$S11)))</f>
        <v/>
      </c>
      <c r="AQ11" s="0">
        <f>IF($A11="","",IF(Allocation!$N$2="VOL_EFF",$T11,IF(Allocation!$N$2="VOL_CLASS",$U11,$V11)))</f>
        <v/>
      </c>
      <c r="AR11" s="0">
        <f>IF($A11="","",$AO11*IFERROR($AP11/$AQ11,0)*IFERROR($AE11/$AF11,0)*IFERROR($AC11/$AD11,0))</f>
        <v/>
      </c>
      <c r="AS11" s="0">
        <f>IF($A11="","",$A11&amp;"|"&amp;Allocation!BG11)</f>
        <v/>
      </c>
    </row>
    <row r="12" ht="14.4975" customHeight="1" s="64">
      <c r="A12" s="0">
        <f>IF(Allocation!BI12="","",Allocation!BI12)</f>
        <v/>
      </c>
      <c r="B12" s="0">
        <f>IF(Allocation!BJ12="","",Allocation!BJ12)</f>
        <v/>
      </c>
      <c r="C12" s="0">
        <f>IF(Allocation!BK12="","",Allocation!BK12)</f>
        <v/>
      </c>
      <c r="D12" s="0">
        <f>IF(Allocation!BL12="","",Allocation!BL12)</f>
        <v/>
      </c>
      <c r="E12" s="0">
        <f>IF(Allocation!BM12="","",Allocation!BM12)</f>
        <v/>
      </c>
      <c r="F12" s="0">
        <f>IF(Allocation!BN12="","",Allocation!BN12)</f>
        <v/>
      </c>
      <c r="G12" s="0">
        <f>IF(Allocation!BO12="","",Allocation!BO12)</f>
        <v/>
      </c>
      <c r="H12" s="0">
        <f>IF(Allocation!BP12="","",Allocation!BP12)</f>
        <v/>
      </c>
      <c r="I12" s="0">
        <f>IF(Allocation!BQ12="","",Allocation!BQ12)</f>
        <v/>
      </c>
      <c r="J12" s="0">
        <f>IF(Allocation!CC12="","",Allocation!CC12)</f>
        <v/>
      </c>
      <c r="K12" s="0">
        <f>IF($A12="","",$H12*IF(AND(LEFT($D12,3)="BAC",$F12="INIT"),600,IF(LEFT($D12,3)="BAC",480,IF(AND(LEFT($D12,3)="MAS",$F12="INIT"),520,IF(LEFT($D12,3)="MAS",420,IF($F12="INIT",1000,700))))))</f>
        <v/>
      </c>
      <c r="L12" s="0">
        <f>IF($A12="","",SUMIFS($G$1:$G$349,$AS$1:$AS$349,$AS12,$B$1:$B$349,$B12))</f>
        <v/>
      </c>
      <c r="M12" s="0">
        <f>IF($A12="","",SUMIFS($H$1:$H$349,$AS$1:$AS$349,$AS12,$B$1:$B$349,$B12))</f>
        <v/>
      </c>
      <c r="N12" s="0">
        <f>IF($A12="","",SUMIFS($I$1:$I$349,$AS$1:$AS$349,$AS12,$B$1:$B$349,$B12))</f>
        <v/>
      </c>
      <c r="O12" s="0">
        <f>IF($A12="","",SUMIFS($K$1:$K$349,$AS$1:$AS$349,$AS12,$B$1:$B$349,$B12))</f>
        <v/>
      </c>
      <c r="P12" s="0">
        <f>IF($A12="","",SUMIFS($J$1:$J$349,$AS$1:$AS$349,$AS12,$B$1:$B$349,$B12))</f>
        <v/>
      </c>
      <c r="Q12" s="0">
        <f>IF($A12="","",SUMIFS($G$1:$G$349,$AS$1:$AS$349,$AS12,$C$1:$C$349,$C12))</f>
        <v/>
      </c>
      <c r="R12" s="0">
        <f>IF($A12="","",SUMIFS($H$1:$H$349,$AS$1:$AS$349,$AS12,$C$1:$C$349,$C12))</f>
        <v/>
      </c>
      <c r="S12" s="0">
        <f>IF($A12="","",SUMIFS($I$1:$I$349,$AS$1:$AS$349,$AS12,$C$1:$C$349,$C12))</f>
        <v/>
      </c>
      <c r="T12" s="0">
        <f>IF($A12="","",SUMIFS($G$1:$G$349,$AS$1:$AS$349,$AS12))</f>
        <v/>
      </c>
      <c r="U12" s="0">
        <f>IF($A12="","",SUMIFS($H$1:$H$349,$AS$1:$AS$349,$AS12))</f>
        <v/>
      </c>
      <c r="V12" s="0">
        <f>IF($A12="","",SUMIFS($I$1:$I$349,$AS$1:$AS$349,$AS12))</f>
        <v/>
      </c>
      <c r="W12" s="0">
        <f>IF($A12="","",Allocation!CD12)</f>
        <v/>
      </c>
      <c r="X12" s="0">
        <f>IF($A12="","",Allocation!CE12)</f>
        <v/>
      </c>
      <c r="Y12" s="0">
        <f>IF($A12="","",Allocation!CF12)</f>
        <v/>
      </c>
      <c r="Z12" s="0">
        <f>IF($A12="","",Allocation!CG12)</f>
        <v/>
      </c>
      <c r="AA12" s="0">
        <f>IF($A12="","",Allocation!CH12)</f>
        <v/>
      </c>
      <c r="AB12" s="0">
        <f>IF($A12="","",Allocation!CI12)</f>
        <v/>
      </c>
      <c r="AC12" s="0">
        <f>IF($A12="","",IF(Allocation!$N$4="VOL_EFF",$G12,IF(Allocation!$N$4="VOL_CLASS",$H12,$I12)))</f>
        <v/>
      </c>
      <c r="AD12" s="0">
        <f>IF($A12="","",IF(Allocation!$N$4="VOL_EFF",$L12,IF(Allocation!$N$4="VOL_CLASS",$M12,$N12)))</f>
        <v/>
      </c>
      <c r="AE12" s="0">
        <f>IF($A12="","",IF(Allocation!$N$3="VOL_EFF",$L12,IF(Allocation!$N$3="VOL_CLASS",$M12,$N12)))</f>
        <v/>
      </c>
      <c r="AF12" s="0">
        <f>IF($A12="","",IF(Allocation!$N$3="VOL_EFF",$Q12,IF(Allocation!$N$3="VOL_CLASS",$R12,$S12)))</f>
        <v/>
      </c>
      <c r="AG12" s="0">
        <f>IF($A12="","",IF(Allocation!$N$1="VOL_EFF",$Q12,IF(Allocation!$N$1="VOL_CLASS",$R12,$S12)))</f>
        <v/>
      </c>
      <c r="AH12" s="0">
        <f>IF($A12="","",IF(Allocation!$N$1="VOL_EFF",$T12,IF(Allocation!$N$1="VOL_CLASS",$U12,$V12)))</f>
        <v/>
      </c>
      <c r="AI12" s="0">
        <f>IF($A12="","",$W12*IFERROR($K12/$O12,0))</f>
        <v/>
      </c>
      <c r="AJ12" s="0">
        <f>IF($A12="","",$X12*IFERROR($K12/$O12,0))</f>
        <v/>
      </c>
      <c r="AK12" s="0">
        <f>IF($A12="","",$Y12*IFERROR($G12/$L12,0)+$Z12*IFERROR($J12/$P12,0))</f>
        <v/>
      </c>
      <c r="AL12" s="0">
        <f>IF($A12="","",$AA12*IFERROR($AC12/$AD12,0))</f>
        <v/>
      </c>
      <c r="AM12" s="0">
        <f>IF($A12="","",$AB12*IFERROR($AG12/$AH12,0)*IFERROR($AE12/$AF12,0)*IFERROR($AC12/$AD12,0))</f>
        <v/>
      </c>
      <c r="AN12" s="0">
        <f>IF($A12="","",$I12-($AI12+$AJ12+$AK12+$AL12+$AM12+$AR12))</f>
        <v/>
      </c>
      <c r="AO12" s="0">
        <f>IF($A12="","",Allocation!CJ12)</f>
        <v/>
      </c>
      <c r="AP12" s="0">
        <f>IF($A12="","",IF(Allocation!$N$2="VOL_EFF",$Q12,IF(Allocation!$N$2="VOL_CLASS",$R12,$S12)))</f>
        <v/>
      </c>
      <c r="AQ12" s="0">
        <f>IF($A12="","",IF(Allocation!$N$2="VOL_EFF",$T12,IF(Allocation!$N$2="VOL_CLASS",$U12,$V12)))</f>
        <v/>
      </c>
      <c r="AR12" s="0">
        <f>IF($A12="","",$AO12*IFERROR($AP12/$AQ12,0)*IFERROR($AE12/$AF12,0)*IFERROR($AC12/$AD12,0))</f>
        <v/>
      </c>
      <c r="AS12" s="0">
        <f>IF($A12="","",$A12&amp;"|"&amp;Allocation!BG12)</f>
        <v/>
      </c>
    </row>
    <row r="13" ht="14.4975" customHeight="1" s="64">
      <c r="A13" s="0">
        <f>IF(Allocation!BI13="","",Allocation!BI13)</f>
        <v/>
      </c>
      <c r="B13" s="0">
        <f>IF(Allocation!BJ13="","",Allocation!BJ13)</f>
        <v/>
      </c>
      <c r="C13" s="0">
        <f>IF(Allocation!BK13="","",Allocation!BK13)</f>
        <v/>
      </c>
      <c r="D13" s="0">
        <f>IF(Allocation!BL13="","",Allocation!BL13)</f>
        <v/>
      </c>
      <c r="E13" s="0">
        <f>IF(Allocation!BM13="","",Allocation!BM13)</f>
        <v/>
      </c>
      <c r="F13" s="0">
        <f>IF(Allocation!BN13="","",Allocation!BN13)</f>
        <v/>
      </c>
      <c r="G13" s="0">
        <f>IF(Allocation!BO13="","",Allocation!BO13)</f>
        <v/>
      </c>
      <c r="H13" s="0">
        <f>IF(Allocation!BP13="","",Allocation!BP13)</f>
        <v/>
      </c>
      <c r="I13" s="0">
        <f>IF(Allocation!BQ13="","",Allocation!BQ13)</f>
        <v/>
      </c>
      <c r="J13" s="0">
        <f>IF(Allocation!CC13="","",Allocation!CC13)</f>
        <v/>
      </c>
      <c r="K13" s="0">
        <f>IF($A13="","",$H13*IF(AND(LEFT($D13,3)="BAC",$F13="INIT"),600,IF(LEFT($D13,3)="BAC",480,IF(AND(LEFT($D13,3)="MAS",$F13="INIT"),520,IF(LEFT($D13,3)="MAS",420,IF($F13="INIT",1000,700))))))</f>
        <v/>
      </c>
      <c r="L13" s="0">
        <f>IF($A13="","",SUMIFS($G$1:$G$349,$AS$1:$AS$349,$AS13,$B$1:$B$349,$B13))</f>
        <v/>
      </c>
      <c r="M13" s="0">
        <f>IF($A13="","",SUMIFS($H$1:$H$349,$AS$1:$AS$349,$AS13,$B$1:$B$349,$B13))</f>
        <v/>
      </c>
      <c r="N13" s="0">
        <f>IF($A13="","",SUMIFS($I$1:$I$349,$AS$1:$AS$349,$AS13,$B$1:$B$349,$B13))</f>
        <v/>
      </c>
      <c r="O13" s="0">
        <f>IF($A13="","",SUMIFS($K$1:$K$349,$AS$1:$AS$349,$AS13,$B$1:$B$349,$B13))</f>
        <v/>
      </c>
      <c r="P13" s="0">
        <f>IF($A13="","",SUMIFS($J$1:$J$349,$AS$1:$AS$349,$AS13,$B$1:$B$349,$B13))</f>
        <v/>
      </c>
      <c r="Q13" s="0">
        <f>IF($A13="","",SUMIFS($G$1:$G$349,$AS$1:$AS$349,$AS13,$C$1:$C$349,$C13))</f>
        <v/>
      </c>
      <c r="R13" s="0">
        <f>IF($A13="","",SUMIFS($H$1:$H$349,$AS$1:$AS$349,$AS13,$C$1:$C$349,$C13))</f>
        <v/>
      </c>
      <c r="S13" s="0">
        <f>IF($A13="","",SUMIFS($I$1:$I$349,$AS$1:$AS$349,$AS13,$C$1:$C$349,$C13))</f>
        <v/>
      </c>
      <c r="T13" s="0">
        <f>IF($A13="","",SUMIFS($G$1:$G$349,$AS$1:$AS$349,$AS13))</f>
        <v/>
      </c>
      <c r="U13" s="0">
        <f>IF($A13="","",SUMIFS($H$1:$H$349,$AS$1:$AS$349,$AS13))</f>
        <v/>
      </c>
      <c r="V13" s="0">
        <f>IF($A13="","",SUMIFS($I$1:$I$349,$AS$1:$AS$349,$AS13))</f>
        <v/>
      </c>
      <c r="W13" s="0">
        <f>IF($A13="","",Allocation!CD13)</f>
        <v/>
      </c>
      <c r="X13" s="0">
        <f>IF($A13="","",Allocation!CE13)</f>
        <v/>
      </c>
      <c r="Y13" s="0">
        <f>IF($A13="","",Allocation!CF13)</f>
        <v/>
      </c>
      <c r="Z13" s="0">
        <f>IF($A13="","",Allocation!CG13)</f>
        <v/>
      </c>
      <c r="AA13" s="0">
        <f>IF($A13="","",Allocation!CH13)</f>
        <v/>
      </c>
      <c r="AB13" s="0">
        <f>IF($A13="","",Allocation!CI13)</f>
        <v/>
      </c>
      <c r="AC13" s="0">
        <f>IF($A13="","",IF(Allocation!$N$4="VOL_EFF",$G13,IF(Allocation!$N$4="VOL_CLASS",$H13,$I13)))</f>
        <v/>
      </c>
      <c r="AD13" s="0">
        <f>IF($A13="","",IF(Allocation!$N$4="VOL_EFF",$L13,IF(Allocation!$N$4="VOL_CLASS",$M13,$N13)))</f>
        <v/>
      </c>
      <c r="AE13" s="0">
        <f>IF($A13="","",IF(Allocation!$N$3="VOL_EFF",$L13,IF(Allocation!$N$3="VOL_CLASS",$M13,$N13)))</f>
        <v/>
      </c>
      <c r="AF13" s="0">
        <f>IF($A13="","",IF(Allocation!$N$3="VOL_EFF",$Q13,IF(Allocation!$N$3="VOL_CLASS",$R13,$S13)))</f>
        <v/>
      </c>
      <c r="AG13" s="0">
        <f>IF($A13="","",IF(Allocation!$N$1="VOL_EFF",$Q13,IF(Allocation!$N$1="VOL_CLASS",$R13,$S13)))</f>
        <v/>
      </c>
      <c r="AH13" s="0">
        <f>IF($A13="","",IF(Allocation!$N$1="VOL_EFF",$T13,IF(Allocation!$N$1="VOL_CLASS",$U13,$V13)))</f>
        <v/>
      </c>
      <c r="AI13" s="0">
        <f>IF($A13="","",$W13*IFERROR($K13/$O13,0))</f>
        <v/>
      </c>
      <c r="AJ13" s="0">
        <f>IF($A13="","",$X13*IFERROR($K13/$O13,0))</f>
        <v/>
      </c>
      <c r="AK13" s="0">
        <f>IF($A13="","",$Y13*IFERROR($G13/$L13,0)+$Z13*IFERROR($J13/$P13,0))</f>
        <v/>
      </c>
      <c r="AL13" s="0">
        <f>IF($A13="","",$AA13*IFERROR($AC13/$AD13,0))</f>
        <v/>
      </c>
      <c r="AM13" s="0">
        <f>IF($A13="","",$AB13*IFERROR($AG13/$AH13,0)*IFERROR($AE13/$AF13,0)*IFERROR($AC13/$AD13,0))</f>
        <v/>
      </c>
      <c r="AN13" s="0">
        <f>IF($A13="","",$I13-($AI13+$AJ13+$AK13+$AL13+$AM13+$AR13))</f>
        <v/>
      </c>
      <c r="AO13" s="0">
        <f>IF($A13="","",Allocation!CJ13)</f>
        <v/>
      </c>
      <c r="AP13" s="0">
        <f>IF($A13="","",IF(Allocation!$N$2="VOL_EFF",$Q13,IF(Allocation!$N$2="VOL_CLASS",$R13,$S13)))</f>
        <v/>
      </c>
      <c r="AQ13" s="0">
        <f>IF($A13="","",IF(Allocation!$N$2="VOL_EFF",$T13,IF(Allocation!$N$2="VOL_CLASS",$U13,$V13)))</f>
        <v/>
      </c>
      <c r="AR13" s="0">
        <f>IF($A13="","",$AO13*IFERROR($AP13/$AQ13,0)*IFERROR($AE13/$AF13,0)*IFERROR($AC13/$AD13,0))</f>
        <v/>
      </c>
      <c r="AS13" s="0">
        <f>IF($A13="","",$A13&amp;"|"&amp;Allocation!BG13)</f>
        <v/>
      </c>
    </row>
    <row r="14" ht="14.4975" customHeight="1" s="64">
      <c r="A14" s="0">
        <f>IF(Allocation!BI14="","",Allocation!BI14)</f>
        <v/>
      </c>
      <c r="B14" s="0">
        <f>IF(Allocation!BJ14="","",Allocation!BJ14)</f>
        <v/>
      </c>
      <c r="C14" s="0">
        <f>IF(Allocation!BK14="","",Allocation!BK14)</f>
        <v/>
      </c>
      <c r="D14" s="0">
        <f>IF(Allocation!BL14="","",Allocation!BL14)</f>
        <v/>
      </c>
      <c r="E14" s="0">
        <f>IF(Allocation!BM14="","",Allocation!BM14)</f>
        <v/>
      </c>
      <c r="F14" s="0">
        <f>IF(Allocation!BN14="","",Allocation!BN14)</f>
        <v/>
      </c>
      <c r="G14" s="0">
        <f>IF(Allocation!BO14="","",Allocation!BO14)</f>
        <v/>
      </c>
      <c r="H14" s="0">
        <f>IF(Allocation!BP14="","",Allocation!BP14)</f>
        <v/>
      </c>
      <c r="I14" s="0">
        <f>IF(Allocation!BQ14="","",Allocation!BQ14)</f>
        <v/>
      </c>
      <c r="J14" s="0">
        <f>IF(Allocation!CC14="","",Allocation!CC14)</f>
        <v/>
      </c>
      <c r="K14" s="0">
        <f>IF($A14="","",$H14*IF(AND(LEFT($D14,3)="BAC",$F14="INIT"),600,IF(LEFT($D14,3)="BAC",480,IF(AND(LEFT($D14,3)="MAS",$F14="INIT"),520,IF(LEFT($D14,3)="MAS",420,IF($F14="INIT",1000,700))))))</f>
        <v/>
      </c>
      <c r="L14" s="0">
        <f>IF($A14="","",SUMIFS($G$1:$G$349,$AS$1:$AS$349,$AS14,$B$1:$B$349,$B14))</f>
        <v/>
      </c>
      <c r="M14" s="0">
        <f>IF($A14="","",SUMIFS($H$1:$H$349,$AS$1:$AS$349,$AS14,$B$1:$B$349,$B14))</f>
        <v/>
      </c>
      <c r="N14" s="0">
        <f>IF($A14="","",SUMIFS($I$1:$I$349,$AS$1:$AS$349,$AS14,$B$1:$B$349,$B14))</f>
        <v/>
      </c>
      <c r="O14" s="0">
        <f>IF($A14="","",SUMIFS($K$1:$K$349,$AS$1:$AS$349,$AS14,$B$1:$B$349,$B14))</f>
        <v/>
      </c>
      <c r="P14" s="0">
        <f>IF($A14="","",SUMIFS($J$1:$J$349,$AS$1:$AS$349,$AS14,$B$1:$B$349,$B14))</f>
        <v/>
      </c>
      <c r="Q14" s="0">
        <f>IF($A14="","",SUMIFS($G$1:$G$349,$AS$1:$AS$349,$AS14,$C$1:$C$349,$C14))</f>
        <v/>
      </c>
      <c r="R14" s="0">
        <f>IF($A14="","",SUMIFS($H$1:$H$349,$AS$1:$AS$349,$AS14,$C$1:$C$349,$C14))</f>
        <v/>
      </c>
      <c r="S14" s="0">
        <f>IF($A14="","",SUMIFS($I$1:$I$349,$AS$1:$AS$349,$AS14,$C$1:$C$349,$C14))</f>
        <v/>
      </c>
      <c r="T14" s="0">
        <f>IF($A14="","",SUMIFS($G$1:$G$349,$AS$1:$AS$349,$AS14))</f>
        <v/>
      </c>
      <c r="U14" s="0">
        <f>IF($A14="","",SUMIFS($H$1:$H$349,$AS$1:$AS$349,$AS14))</f>
        <v/>
      </c>
      <c r="V14" s="0">
        <f>IF($A14="","",SUMIFS($I$1:$I$349,$AS$1:$AS$349,$AS14))</f>
        <v/>
      </c>
      <c r="W14" s="0">
        <f>IF($A14="","",Allocation!CD14)</f>
        <v/>
      </c>
      <c r="X14" s="0">
        <f>IF($A14="","",Allocation!CE14)</f>
        <v/>
      </c>
      <c r="Y14" s="0">
        <f>IF($A14="","",Allocation!CF14)</f>
        <v/>
      </c>
      <c r="Z14" s="0">
        <f>IF($A14="","",Allocation!CG14)</f>
        <v/>
      </c>
      <c r="AA14" s="0">
        <f>IF($A14="","",Allocation!CH14)</f>
        <v/>
      </c>
      <c r="AB14" s="0">
        <f>IF($A14="","",Allocation!CI14)</f>
        <v/>
      </c>
      <c r="AC14" s="0">
        <f>IF($A14="","",IF(Allocation!$N$4="VOL_EFF",$G14,IF(Allocation!$N$4="VOL_CLASS",$H14,$I14)))</f>
        <v/>
      </c>
      <c r="AD14" s="0">
        <f>IF($A14="","",IF(Allocation!$N$4="VOL_EFF",$L14,IF(Allocation!$N$4="VOL_CLASS",$M14,$N14)))</f>
        <v/>
      </c>
      <c r="AE14" s="0">
        <f>IF($A14="","",IF(Allocation!$N$3="VOL_EFF",$L14,IF(Allocation!$N$3="VOL_CLASS",$M14,$N14)))</f>
        <v/>
      </c>
      <c r="AF14" s="0">
        <f>IF($A14="","",IF(Allocation!$N$3="VOL_EFF",$Q14,IF(Allocation!$N$3="VOL_CLASS",$R14,$S14)))</f>
        <v/>
      </c>
      <c r="AG14" s="0">
        <f>IF($A14="","",IF(Allocation!$N$1="VOL_EFF",$Q14,IF(Allocation!$N$1="VOL_CLASS",$R14,$S14)))</f>
        <v/>
      </c>
      <c r="AH14" s="0">
        <f>IF($A14="","",IF(Allocation!$N$1="VOL_EFF",$T14,IF(Allocation!$N$1="VOL_CLASS",$U14,$V14)))</f>
        <v/>
      </c>
      <c r="AI14" s="0">
        <f>IF($A14="","",$W14*IFERROR($K14/$O14,0))</f>
        <v/>
      </c>
      <c r="AJ14" s="0">
        <f>IF($A14="","",$X14*IFERROR($K14/$O14,0))</f>
        <v/>
      </c>
      <c r="AK14" s="0">
        <f>IF($A14="","",$Y14*IFERROR($G14/$L14,0)+$Z14*IFERROR($J14/$P14,0))</f>
        <v/>
      </c>
      <c r="AL14" s="0">
        <f>IF($A14="","",$AA14*IFERROR($AC14/$AD14,0))</f>
        <v/>
      </c>
      <c r="AM14" s="0">
        <f>IF($A14="","",$AB14*IFERROR($AG14/$AH14,0)*IFERROR($AE14/$AF14,0)*IFERROR($AC14/$AD14,0))</f>
        <v/>
      </c>
      <c r="AN14" s="0">
        <f>IF($A14="","",$I14-($AI14+$AJ14+$AK14+$AL14+$AM14+$AR14))</f>
        <v/>
      </c>
      <c r="AO14" s="0">
        <f>IF($A14="","",Allocation!CJ14)</f>
        <v/>
      </c>
      <c r="AP14" s="0">
        <f>IF($A14="","",IF(Allocation!$N$2="VOL_EFF",$Q14,IF(Allocation!$N$2="VOL_CLASS",$R14,$S14)))</f>
        <v/>
      </c>
      <c r="AQ14" s="0">
        <f>IF($A14="","",IF(Allocation!$N$2="VOL_EFF",$T14,IF(Allocation!$N$2="VOL_CLASS",$U14,$V14)))</f>
        <v/>
      </c>
      <c r="AR14" s="0">
        <f>IF($A14="","",$AO14*IFERROR($AP14/$AQ14,0)*IFERROR($AE14/$AF14,0)*IFERROR($AC14/$AD14,0))</f>
        <v/>
      </c>
      <c r="AS14" s="0">
        <f>IF($A14="","",$A14&amp;"|"&amp;Allocation!BG14)</f>
        <v/>
      </c>
    </row>
    <row r="15" ht="14.4975" customHeight="1" s="64">
      <c r="A15" s="0">
        <f>IF(Allocation!BI15="","",Allocation!BI15)</f>
        <v/>
      </c>
      <c r="B15" s="0">
        <f>IF(Allocation!BJ15="","",Allocation!BJ15)</f>
        <v/>
      </c>
      <c r="C15" s="0">
        <f>IF(Allocation!BK15="","",Allocation!BK15)</f>
        <v/>
      </c>
      <c r="D15" s="0">
        <f>IF(Allocation!BL15="","",Allocation!BL15)</f>
        <v/>
      </c>
      <c r="E15" s="0">
        <f>IF(Allocation!BM15="","",Allocation!BM15)</f>
        <v/>
      </c>
      <c r="F15" s="0">
        <f>IF(Allocation!BN15="","",Allocation!BN15)</f>
        <v/>
      </c>
      <c r="G15" s="0">
        <f>IF(Allocation!BO15="","",Allocation!BO15)</f>
        <v/>
      </c>
      <c r="H15" s="0">
        <f>IF(Allocation!BP15="","",Allocation!BP15)</f>
        <v/>
      </c>
      <c r="I15" s="0">
        <f>IF(Allocation!BQ15="","",Allocation!BQ15)</f>
        <v/>
      </c>
      <c r="J15" s="0">
        <f>IF(Allocation!CC15="","",Allocation!CC15)</f>
        <v/>
      </c>
      <c r="K15" s="0">
        <f>IF($A15="","",$H15*IF(AND(LEFT($D15,3)="BAC",$F15="INIT"),600,IF(LEFT($D15,3)="BAC",480,IF(AND(LEFT($D15,3)="MAS",$F15="INIT"),520,IF(LEFT($D15,3)="MAS",420,IF($F15="INIT",1000,700))))))</f>
        <v/>
      </c>
      <c r="L15" s="0">
        <f>IF($A15="","",SUMIFS($G$1:$G$349,$AS$1:$AS$349,$AS15,$B$1:$B$349,$B15))</f>
        <v/>
      </c>
      <c r="M15" s="0">
        <f>IF($A15="","",SUMIFS($H$1:$H$349,$AS$1:$AS$349,$AS15,$B$1:$B$349,$B15))</f>
        <v/>
      </c>
      <c r="N15" s="0">
        <f>IF($A15="","",SUMIFS($I$1:$I$349,$AS$1:$AS$349,$AS15,$B$1:$B$349,$B15))</f>
        <v/>
      </c>
      <c r="O15" s="0">
        <f>IF($A15="","",SUMIFS($K$1:$K$349,$AS$1:$AS$349,$AS15,$B$1:$B$349,$B15))</f>
        <v/>
      </c>
      <c r="P15" s="0">
        <f>IF($A15="","",SUMIFS($J$1:$J$349,$AS$1:$AS$349,$AS15,$B$1:$B$349,$B15))</f>
        <v/>
      </c>
      <c r="Q15" s="0">
        <f>IF($A15="","",SUMIFS($G$1:$G$349,$AS$1:$AS$349,$AS15,$C$1:$C$349,$C15))</f>
        <v/>
      </c>
      <c r="R15" s="0">
        <f>IF($A15="","",SUMIFS($H$1:$H$349,$AS$1:$AS$349,$AS15,$C$1:$C$349,$C15))</f>
        <v/>
      </c>
      <c r="S15" s="0">
        <f>IF($A15="","",SUMIFS($I$1:$I$349,$AS$1:$AS$349,$AS15,$C$1:$C$349,$C15))</f>
        <v/>
      </c>
      <c r="T15" s="0">
        <f>IF($A15="","",SUMIFS($G$1:$G$349,$AS$1:$AS$349,$AS15))</f>
        <v/>
      </c>
      <c r="U15" s="0">
        <f>IF($A15="","",SUMIFS($H$1:$H$349,$AS$1:$AS$349,$AS15))</f>
        <v/>
      </c>
      <c r="V15" s="0">
        <f>IF($A15="","",SUMIFS($I$1:$I$349,$AS$1:$AS$349,$AS15))</f>
        <v/>
      </c>
      <c r="W15" s="0">
        <f>IF($A15="","",Allocation!CD15)</f>
        <v/>
      </c>
      <c r="X15" s="0">
        <f>IF($A15="","",Allocation!CE15)</f>
        <v/>
      </c>
      <c r="Y15" s="0">
        <f>IF($A15="","",Allocation!CF15)</f>
        <v/>
      </c>
      <c r="Z15" s="0">
        <f>IF($A15="","",Allocation!CG15)</f>
        <v/>
      </c>
      <c r="AA15" s="0">
        <f>IF($A15="","",Allocation!CH15)</f>
        <v/>
      </c>
      <c r="AB15" s="0">
        <f>IF($A15="","",Allocation!CI15)</f>
        <v/>
      </c>
      <c r="AC15" s="0">
        <f>IF($A15="","",IF(Allocation!$N$4="VOL_EFF",$G15,IF(Allocation!$N$4="VOL_CLASS",$H15,$I15)))</f>
        <v/>
      </c>
      <c r="AD15" s="0">
        <f>IF($A15="","",IF(Allocation!$N$4="VOL_EFF",$L15,IF(Allocation!$N$4="VOL_CLASS",$M15,$N15)))</f>
        <v/>
      </c>
      <c r="AE15" s="0">
        <f>IF($A15="","",IF(Allocation!$N$3="VOL_EFF",$L15,IF(Allocation!$N$3="VOL_CLASS",$M15,$N15)))</f>
        <v/>
      </c>
      <c r="AF15" s="0">
        <f>IF($A15="","",IF(Allocation!$N$3="VOL_EFF",$Q15,IF(Allocation!$N$3="VOL_CLASS",$R15,$S15)))</f>
        <v/>
      </c>
      <c r="AG15" s="0">
        <f>IF($A15="","",IF(Allocation!$N$1="VOL_EFF",$Q15,IF(Allocation!$N$1="VOL_CLASS",$R15,$S15)))</f>
        <v/>
      </c>
      <c r="AH15" s="0">
        <f>IF($A15="","",IF(Allocation!$N$1="VOL_EFF",$T15,IF(Allocation!$N$1="VOL_CLASS",$U15,$V15)))</f>
        <v/>
      </c>
      <c r="AI15" s="0">
        <f>IF($A15="","",$W15*IFERROR($K15/$O15,0))</f>
        <v/>
      </c>
      <c r="AJ15" s="0">
        <f>IF($A15="","",$X15*IFERROR($K15/$O15,0))</f>
        <v/>
      </c>
      <c r="AK15" s="0">
        <f>IF($A15="","",$Y15*IFERROR($G15/$L15,0)+$Z15*IFERROR($J15/$P15,0))</f>
        <v/>
      </c>
      <c r="AL15" s="0">
        <f>IF($A15="","",$AA15*IFERROR($AC15/$AD15,0))</f>
        <v/>
      </c>
      <c r="AM15" s="0">
        <f>IF($A15="","",$AB15*IFERROR($AG15/$AH15,0)*IFERROR($AE15/$AF15,0)*IFERROR($AC15/$AD15,0))</f>
        <v/>
      </c>
      <c r="AN15" s="0">
        <f>IF($A15="","",$I15-($AI15+$AJ15+$AK15+$AL15+$AM15+$AR15))</f>
        <v/>
      </c>
      <c r="AO15" s="0">
        <f>IF($A15="","",Allocation!CJ15)</f>
        <v/>
      </c>
      <c r="AP15" s="0">
        <f>IF($A15="","",IF(Allocation!$N$2="VOL_EFF",$Q15,IF(Allocation!$N$2="VOL_CLASS",$R15,$S15)))</f>
        <v/>
      </c>
      <c r="AQ15" s="0">
        <f>IF($A15="","",IF(Allocation!$N$2="VOL_EFF",$T15,IF(Allocation!$N$2="VOL_CLASS",$U15,$V15)))</f>
        <v/>
      </c>
      <c r="AR15" s="0">
        <f>IF($A15="","",$AO15*IFERROR($AP15/$AQ15,0)*IFERROR($AE15/$AF15,0)*IFERROR($AC15/$AD15,0))</f>
        <v/>
      </c>
      <c r="AS15" s="0">
        <f>IF($A15="","",$A15&amp;"|"&amp;Allocation!BG15)</f>
        <v/>
      </c>
    </row>
    <row r="16" ht="14.4975" customHeight="1" s="64">
      <c r="A16" s="0">
        <f>IF(Allocation!BI16="","",Allocation!BI16)</f>
        <v/>
      </c>
      <c r="B16" s="0">
        <f>IF(Allocation!BJ16="","",Allocation!BJ16)</f>
        <v/>
      </c>
      <c r="C16" s="0">
        <f>IF(Allocation!BK16="","",Allocation!BK16)</f>
        <v/>
      </c>
      <c r="D16" s="0">
        <f>IF(Allocation!BL16="","",Allocation!BL16)</f>
        <v/>
      </c>
      <c r="E16" s="0">
        <f>IF(Allocation!BM16="","",Allocation!BM16)</f>
        <v/>
      </c>
      <c r="F16" s="0">
        <f>IF(Allocation!BN16="","",Allocation!BN16)</f>
        <v/>
      </c>
      <c r="G16" s="0">
        <f>IF(Allocation!BO16="","",Allocation!BO16)</f>
        <v/>
      </c>
      <c r="H16" s="0">
        <f>IF(Allocation!BP16="","",Allocation!BP16)</f>
        <v/>
      </c>
      <c r="I16" s="0">
        <f>IF(Allocation!BQ16="","",Allocation!BQ16)</f>
        <v/>
      </c>
      <c r="J16" s="0">
        <f>IF(Allocation!CC16="","",Allocation!CC16)</f>
        <v/>
      </c>
      <c r="K16" s="0">
        <f>IF($A16="","",$H16*IF(AND(LEFT($D16,3)="BAC",$F16="INIT"),600,IF(LEFT($D16,3)="BAC",480,IF(AND(LEFT($D16,3)="MAS",$F16="INIT"),520,IF(LEFT($D16,3)="MAS",420,IF($F16="INIT",1000,700))))))</f>
        <v/>
      </c>
      <c r="L16" s="0">
        <f>IF($A16="","",SUMIFS($G$1:$G$349,$AS$1:$AS$349,$AS16,$B$1:$B$349,$B16))</f>
        <v/>
      </c>
      <c r="M16" s="0">
        <f>IF($A16="","",SUMIFS($H$1:$H$349,$AS$1:$AS$349,$AS16,$B$1:$B$349,$B16))</f>
        <v/>
      </c>
      <c r="N16" s="0">
        <f>IF($A16="","",SUMIFS($I$1:$I$349,$AS$1:$AS$349,$AS16,$B$1:$B$349,$B16))</f>
        <v/>
      </c>
      <c r="O16" s="0">
        <f>IF($A16="","",SUMIFS($K$1:$K$349,$AS$1:$AS$349,$AS16,$B$1:$B$349,$B16))</f>
        <v/>
      </c>
      <c r="P16" s="0">
        <f>IF($A16="","",SUMIFS($J$1:$J$349,$AS$1:$AS$349,$AS16,$B$1:$B$349,$B16))</f>
        <v/>
      </c>
      <c r="Q16" s="0">
        <f>IF($A16="","",SUMIFS($G$1:$G$349,$AS$1:$AS$349,$AS16,$C$1:$C$349,$C16))</f>
        <v/>
      </c>
      <c r="R16" s="0">
        <f>IF($A16="","",SUMIFS($H$1:$H$349,$AS$1:$AS$349,$AS16,$C$1:$C$349,$C16))</f>
        <v/>
      </c>
      <c r="S16" s="0">
        <f>IF($A16="","",SUMIFS($I$1:$I$349,$AS$1:$AS$349,$AS16,$C$1:$C$349,$C16))</f>
        <v/>
      </c>
      <c r="T16" s="0">
        <f>IF($A16="","",SUMIFS($G$1:$G$349,$AS$1:$AS$349,$AS16))</f>
        <v/>
      </c>
      <c r="U16" s="0">
        <f>IF($A16="","",SUMIFS($H$1:$H$349,$AS$1:$AS$349,$AS16))</f>
        <v/>
      </c>
      <c r="V16" s="0">
        <f>IF($A16="","",SUMIFS($I$1:$I$349,$AS$1:$AS$349,$AS16))</f>
        <v/>
      </c>
      <c r="W16" s="0">
        <f>IF($A16="","",Allocation!CD16)</f>
        <v/>
      </c>
      <c r="X16" s="0">
        <f>IF($A16="","",Allocation!CE16)</f>
        <v/>
      </c>
      <c r="Y16" s="0">
        <f>IF($A16="","",Allocation!CF16)</f>
        <v/>
      </c>
      <c r="Z16" s="0">
        <f>IF($A16="","",Allocation!CG16)</f>
        <v/>
      </c>
      <c r="AA16" s="0">
        <f>IF($A16="","",Allocation!CH16)</f>
        <v/>
      </c>
      <c r="AB16" s="0">
        <f>IF($A16="","",Allocation!CI16)</f>
        <v/>
      </c>
      <c r="AC16" s="0">
        <f>IF($A16="","",IF(Allocation!$N$4="VOL_EFF",$G16,IF(Allocation!$N$4="VOL_CLASS",$H16,$I16)))</f>
        <v/>
      </c>
      <c r="AD16" s="0">
        <f>IF($A16="","",IF(Allocation!$N$4="VOL_EFF",$L16,IF(Allocation!$N$4="VOL_CLASS",$M16,$N16)))</f>
        <v/>
      </c>
      <c r="AE16" s="0">
        <f>IF($A16="","",IF(Allocation!$N$3="VOL_EFF",$L16,IF(Allocation!$N$3="VOL_CLASS",$M16,$N16)))</f>
        <v/>
      </c>
      <c r="AF16" s="0">
        <f>IF($A16="","",IF(Allocation!$N$3="VOL_EFF",$Q16,IF(Allocation!$N$3="VOL_CLASS",$R16,$S16)))</f>
        <v/>
      </c>
      <c r="AG16" s="0">
        <f>IF($A16="","",IF(Allocation!$N$1="VOL_EFF",$Q16,IF(Allocation!$N$1="VOL_CLASS",$R16,$S16)))</f>
        <v/>
      </c>
      <c r="AH16" s="0">
        <f>IF($A16="","",IF(Allocation!$N$1="VOL_EFF",$T16,IF(Allocation!$N$1="VOL_CLASS",$U16,$V16)))</f>
        <v/>
      </c>
      <c r="AI16" s="0">
        <f>IF($A16="","",$W16*IFERROR($K16/$O16,0))</f>
        <v/>
      </c>
      <c r="AJ16" s="0">
        <f>IF($A16="","",$X16*IFERROR($K16/$O16,0))</f>
        <v/>
      </c>
      <c r="AK16" s="0">
        <f>IF($A16="","",$Y16*IFERROR($G16/$L16,0)+$Z16*IFERROR($J16/$P16,0))</f>
        <v/>
      </c>
      <c r="AL16" s="0">
        <f>IF($A16="","",$AA16*IFERROR($AC16/$AD16,0))</f>
        <v/>
      </c>
      <c r="AM16" s="0">
        <f>IF($A16="","",$AB16*IFERROR($AG16/$AH16,0)*IFERROR($AE16/$AF16,0)*IFERROR($AC16/$AD16,0))</f>
        <v/>
      </c>
      <c r="AN16" s="0">
        <f>IF($A16="","",$I16-($AI16+$AJ16+$AK16+$AL16+$AM16+$AR16))</f>
        <v/>
      </c>
      <c r="AO16" s="0">
        <f>IF($A16="","",Allocation!CJ16)</f>
        <v/>
      </c>
      <c r="AP16" s="0">
        <f>IF($A16="","",IF(Allocation!$N$2="VOL_EFF",$Q16,IF(Allocation!$N$2="VOL_CLASS",$R16,$S16)))</f>
        <v/>
      </c>
      <c r="AQ16" s="0">
        <f>IF($A16="","",IF(Allocation!$N$2="VOL_EFF",$T16,IF(Allocation!$N$2="VOL_CLASS",$U16,$V16)))</f>
        <v/>
      </c>
      <c r="AR16" s="0">
        <f>IF($A16="","",$AO16*IFERROR($AP16/$AQ16,0)*IFERROR($AE16/$AF16,0)*IFERROR($AC16/$AD16,0))</f>
        <v/>
      </c>
      <c r="AS16" s="0">
        <f>IF($A16="","",$A16&amp;"|"&amp;Allocation!BG16)</f>
        <v/>
      </c>
    </row>
    <row r="17" ht="14.4975" customHeight="1" s="64">
      <c r="A17" s="0">
        <f>IF(Allocation!BI17="","",Allocation!BI17)</f>
        <v/>
      </c>
      <c r="B17" s="0">
        <f>IF(Allocation!BJ17="","",Allocation!BJ17)</f>
        <v/>
      </c>
      <c r="C17" s="0">
        <f>IF(Allocation!BK17="","",Allocation!BK17)</f>
        <v/>
      </c>
      <c r="D17" s="0">
        <f>IF(Allocation!BL17="","",Allocation!BL17)</f>
        <v/>
      </c>
      <c r="E17" s="0">
        <f>IF(Allocation!BM17="","",Allocation!BM17)</f>
        <v/>
      </c>
      <c r="F17" s="0">
        <f>IF(Allocation!BN17="","",Allocation!BN17)</f>
        <v/>
      </c>
      <c r="G17" s="0">
        <f>IF(Allocation!BO17="","",Allocation!BO17)</f>
        <v/>
      </c>
      <c r="H17" s="0">
        <f>IF(Allocation!BP17="","",Allocation!BP17)</f>
        <v/>
      </c>
      <c r="I17" s="0">
        <f>IF(Allocation!BQ17="","",Allocation!BQ17)</f>
        <v/>
      </c>
      <c r="J17" s="0">
        <f>IF(Allocation!CC17="","",Allocation!CC17)</f>
        <v/>
      </c>
      <c r="K17" s="0">
        <f>IF($A17="","",$H17*IF(AND(LEFT($D17,3)="BAC",$F17="INIT"),600,IF(LEFT($D17,3)="BAC",480,IF(AND(LEFT($D17,3)="MAS",$F17="INIT"),520,IF(LEFT($D17,3)="MAS",420,IF($F17="INIT",1000,700))))))</f>
        <v/>
      </c>
      <c r="L17" s="0">
        <f>IF($A17="","",SUMIFS($G$1:$G$349,$AS$1:$AS$349,$AS17,$B$1:$B$349,$B17))</f>
        <v/>
      </c>
      <c r="M17" s="0">
        <f>IF($A17="","",SUMIFS($H$1:$H$349,$AS$1:$AS$349,$AS17,$B$1:$B$349,$B17))</f>
        <v/>
      </c>
      <c r="N17" s="0">
        <f>IF($A17="","",SUMIFS($I$1:$I$349,$AS$1:$AS$349,$AS17,$B$1:$B$349,$B17))</f>
        <v/>
      </c>
      <c r="O17" s="0">
        <f>IF($A17="","",SUMIFS($K$1:$K$349,$AS$1:$AS$349,$AS17,$B$1:$B$349,$B17))</f>
        <v/>
      </c>
      <c r="P17" s="0">
        <f>IF($A17="","",SUMIFS($J$1:$J$349,$AS$1:$AS$349,$AS17,$B$1:$B$349,$B17))</f>
        <v/>
      </c>
      <c r="Q17" s="0">
        <f>IF($A17="","",SUMIFS($G$1:$G$349,$AS$1:$AS$349,$AS17,$C$1:$C$349,$C17))</f>
        <v/>
      </c>
      <c r="R17" s="0">
        <f>IF($A17="","",SUMIFS($H$1:$H$349,$AS$1:$AS$349,$AS17,$C$1:$C$349,$C17))</f>
        <v/>
      </c>
      <c r="S17" s="0">
        <f>IF($A17="","",SUMIFS($I$1:$I$349,$AS$1:$AS$349,$AS17,$C$1:$C$349,$C17))</f>
        <v/>
      </c>
      <c r="T17" s="0">
        <f>IF($A17="","",SUMIFS($G$1:$G$349,$AS$1:$AS$349,$AS17))</f>
        <v/>
      </c>
      <c r="U17" s="0">
        <f>IF($A17="","",SUMIFS($H$1:$H$349,$AS$1:$AS$349,$AS17))</f>
        <v/>
      </c>
      <c r="V17" s="0">
        <f>IF($A17="","",SUMIFS($I$1:$I$349,$AS$1:$AS$349,$AS17))</f>
        <v/>
      </c>
      <c r="W17" s="0">
        <f>IF($A17="","",Allocation!CD17)</f>
        <v/>
      </c>
      <c r="X17" s="0">
        <f>IF($A17="","",Allocation!CE17)</f>
        <v/>
      </c>
      <c r="Y17" s="0">
        <f>IF($A17="","",Allocation!CF17)</f>
        <v/>
      </c>
      <c r="Z17" s="0">
        <f>IF($A17="","",Allocation!CG17)</f>
        <v/>
      </c>
      <c r="AA17" s="0">
        <f>IF($A17="","",Allocation!CH17)</f>
        <v/>
      </c>
      <c r="AB17" s="0">
        <f>IF($A17="","",Allocation!CI17)</f>
        <v/>
      </c>
      <c r="AC17" s="0">
        <f>IF($A17="","",IF(Allocation!$N$4="VOL_EFF",$G17,IF(Allocation!$N$4="VOL_CLASS",$H17,$I17)))</f>
        <v/>
      </c>
      <c r="AD17" s="0">
        <f>IF($A17="","",IF(Allocation!$N$4="VOL_EFF",$L17,IF(Allocation!$N$4="VOL_CLASS",$M17,$N17)))</f>
        <v/>
      </c>
      <c r="AE17" s="0">
        <f>IF($A17="","",IF(Allocation!$N$3="VOL_EFF",$L17,IF(Allocation!$N$3="VOL_CLASS",$M17,$N17)))</f>
        <v/>
      </c>
      <c r="AF17" s="0">
        <f>IF($A17="","",IF(Allocation!$N$3="VOL_EFF",$Q17,IF(Allocation!$N$3="VOL_CLASS",$R17,$S17)))</f>
        <v/>
      </c>
      <c r="AG17" s="0">
        <f>IF($A17="","",IF(Allocation!$N$1="VOL_EFF",$Q17,IF(Allocation!$N$1="VOL_CLASS",$R17,$S17)))</f>
        <v/>
      </c>
      <c r="AH17" s="0">
        <f>IF($A17="","",IF(Allocation!$N$1="VOL_EFF",$T17,IF(Allocation!$N$1="VOL_CLASS",$U17,$V17)))</f>
        <v/>
      </c>
      <c r="AI17" s="0">
        <f>IF($A17="","",$W17*IFERROR($K17/$O17,0))</f>
        <v/>
      </c>
      <c r="AJ17" s="0">
        <f>IF($A17="","",$X17*IFERROR($K17/$O17,0))</f>
        <v/>
      </c>
      <c r="AK17" s="0">
        <f>IF($A17="","",$Y17*IFERROR($G17/$L17,0)+$Z17*IFERROR($J17/$P17,0))</f>
        <v/>
      </c>
      <c r="AL17" s="0">
        <f>IF($A17="","",$AA17*IFERROR($AC17/$AD17,0))</f>
        <v/>
      </c>
      <c r="AM17" s="0">
        <f>IF($A17="","",$AB17*IFERROR($AG17/$AH17,0)*IFERROR($AE17/$AF17,0)*IFERROR($AC17/$AD17,0))</f>
        <v/>
      </c>
      <c r="AN17" s="0">
        <f>IF($A17="","",$I17-($AI17+$AJ17+$AK17+$AL17+$AM17+$AR17))</f>
        <v/>
      </c>
      <c r="AO17" s="0">
        <f>IF($A17="","",Allocation!CJ17)</f>
        <v/>
      </c>
      <c r="AP17" s="0">
        <f>IF($A17="","",IF(Allocation!$N$2="VOL_EFF",$Q17,IF(Allocation!$N$2="VOL_CLASS",$R17,$S17)))</f>
        <v/>
      </c>
      <c r="AQ17" s="0">
        <f>IF($A17="","",IF(Allocation!$N$2="VOL_EFF",$T17,IF(Allocation!$N$2="VOL_CLASS",$U17,$V17)))</f>
        <v/>
      </c>
      <c r="AR17" s="0">
        <f>IF($A17="","",$AO17*IFERROR($AP17/$AQ17,0)*IFERROR($AE17/$AF17,0)*IFERROR($AC17/$AD17,0))</f>
        <v/>
      </c>
      <c r="AS17" s="0">
        <f>IF($A17="","",$A17&amp;"|"&amp;Allocation!BG17)</f>
        <v/>
      </c>
    </row>
    <row r="18" ht="14.4975" customHeight="1" s="64">
      <c r="A18" s="0">
        <f>IF(Allocation!BI18="","",Allocation!BI18)</f>
        <v/>
      </c>
      <c r="B18" s="0">
        <f>IF(Allocation!BJ18="","",Allocation!BJ18)</f>
        <v/>
      </c>
      <c r="C18" s="0">
        <f>IF(Allocation!BK18="","",Allocation!BK18)</f>
        <v/>
      </c>
      <c r="D18" s="0">
        <f>IF(Allocation!BL18="","",Allocation!BL18)</f>
        <v/>
      </c>
      <c r="E18" s="0">
        <f>IF(Allocation!BM18="","",Allocation!BM18)</f>
        <v/>
      </c>
      <c r="F18" s="0">
        <f>IF(Allocation!BN18="","",Allocation!BN18)</f>
        <v/>
      </c>
      <c r="G18" s="0">
        <f>IF(Allocation!BO18="","",Allocation!BO18)</f>
        <v/>
      </c>
      <c r="H18" s="0">
        <f>IF(Allocation!BP18="","",Allocation!BP18)</f>
        <v/>
      </c>
      <c r="I18" s="0">
        <f>IF(Allocation!BQ18="","",Allocation!BQ18)</f>
        <v/>
      </c>
      <c r="J18" s="0">
        <f>IF(Allocation!CC18="","",Allocation!CC18)</f>
        <v/>
      </c>
      <c r="K18" s="0">
        <f>IF($A18="","",$H18*IF(AND(LEFT($D18,3)="BAC",$F18="INIT"),600,IF(LEFT($D18,3)="BAC",480,IF(AND(LEFT($D18,3)="MAS",$F18="INIT"),520,IF(LEFT($D18,3)="MAS",420,IF($F18="INIT",1000,700))))))</f>
        <v/>
      </c>
      <c r="L18" s="0">
        <f>IF($A18="","",SUMIFS($G$1:$G$349,$AS$1:$AS$349,$AS18,$B$1:$B$349,$B18))</f>
        <v/>
      </c>
      <c r="M18" s="0">
        <f>IF($A18="","",SUMIFS($H$1:$H$349,$AS$1:$AS$349,$AS18,$B$1:$B$349,$B18))</f>
        <v/>
      </c>
      <c r="N18" s="0">
        <f>IF($A18="","",SUMIFS($I$1:$I$349,$AS$1:$AS$349,$AS18,$B$1:$B$349,$B18))</f>
        <v/>
      </c>
      <c r="O18" s="0">
        <f>IF($A18="","",SUMIFS($K$1:$K$349,$AS$1:$AS$349,$AS18,$B$1:$B$349,$B18))</f>
        <v/>
      </c>
      <c r="P18" s="0">
        <f>IF($A18="","",SUMIFS($J$1:$J$349,$AS$1:$AS$349,$AS18,$B$1:$B$349,$B18))</f>
        <v/>
      </c>
      <c r="Q18" s="0">
        <f>IF($A18="","",SUMIFS($G$1:$G$349,$AS$1:$AS$349,$AS18,$C$1:$C$349,$C18))</f>
        <v/>
      </c>
      <c r="R18" s="0">
        <f>IF($A18="","",SUMIFS($H$1:$H$349,$AS$1:$AS$349,$AS18,$C$1:$C$349,$C18))</f>
        <v/>
      </c>
      <c r="S18" s="0">
        <f>IF($A18="","",SUMIFS($I$1:$I$349,$AS$1:$AS$349,$AS18,$C$1:$C$349,$C18))</f>
        <v/>
      </c>
      <c r="T18" s="0">
        <f>IF($A18="","",SUMIFS($G$1:$G$349,$AS$1:$AS$349,$AS18))</f>
        <v/>
      </c>
      <c r="U18" s="0">
        <f>IF($A18="","",SUMIFS($H$1:$H$349,$AS$1:$AS$349,$AS18))</f>
        <v/>
      </c>
      <c r="V18" s="0">
        <f>IF($A18="","",SUMIFS($I$1:$I$349,$AS$1:$AS$349,$AS18))</f>
        <v/>
      </c>
      <c r="W18" s="0">
        <f>IF($A18="","",Allocation!CD18)</f>
        <v/>
      </c>
      <c r="X18" s="0">
        <f>IF($A18="","",Allocation!CE18)</f>
        <v/>
      </c>
      <c r="Y18" s="0">
        <f>IF($A18="","",Allocation!CF18)</f>
        <v/>
      </c>
      <c r="Z18" s="0">
        <f>IF($A18="","",Allocation!CG18)</f>
        <v/>
      </c>
      <c r="AA18" s="0">
        <f>IF($A18="","",Allocation!CH18)</f>
        <v/>
      </c>
      <c r="AB18" s="0">
        <f>IF($A18="","",Allocation!CI18)</f>
        <v/>
      </c>
      <c r="AC18" s="0">
        <f>IF($A18="","",IF(Allocation!$N$4="VOL_EFF",$G18,IF(Allocation!$N$4="VOL_CLASS",$H18,$I18)))</f>
        <v/>
      </c>
      <c r="AD18" s="0">
        <f>IF($A18="","",IF(Allocation!$N$4="VOL_EFF",$L18,IF(Allocation!$N$4="VOL_CLASS",$M18,$N18)))</f>
        <v/>
      </c>
      <c r="AE18" s="0">
        <f>IF($A18="","",IF(Allocation!$N$3="VOL_EFF",$L18,IF(Allocation!$N$3="VOL_CLASS",$M18,$N18)))</f>
        <v/>
      </c>
      <c r="AF18" s="0">
        <f>IF($A18="","",IF(Allocation!$N$3="VOL_EFF",$Q18,IF(Allocation!$N$3="VOL_CLASS",$R18,$S18)))</f>
        <v/>
      </c>
      <c r="AG18" s="0">
        <f>IF($A18="","",IF(Allocation!$N$1="VOL_EFF",$Q18,IF(Allocation!$N$1="VOL_CLASS",$R18,$S18)))</f>
        <v/>
      </c>
      <c r="AH18" s="0">
        <f>IF($A18="","",IF(Allocation!$N$1="VOL_EFF",$T18,IF(Allocation!$N$1="VOL_CLASS",$U18,$V18)))</f>
        <v/>
      </c>
      <c r="AI18" s="0">
        <f>IF($A18="","",$W18*IFERROR($K18/$O18,0))</f>
        <v/>
      </c>
      <c r="AJ18" s="0">
        <f>IF($A18="","",$X18*IFERROR($K18/$O18,0))</f>
        <v/>
      </c>
      <c r="AK18" s="0">
        <f>IF($A18="","",$Y18*IFERROR($G18/$L18,0)+$Z18*IFERROR($J18/$P18,0))</f>
        <v/>
      </c>
      <c r="AL18" s="0">
        <f>IF($A18="","",$AA18*IFERROR($AC18/$AD18,0))</f>
        <v/>
      </c>
      <c r="AM18" s="0">
        <f>IF($A18="","",$AB18*IFERROR($AG18/$AH18,0)*IFERROR($AE18/$AF18,0)*IFERROR($AC18/$AD18,0))</f>
        <v/>
      </c>
      <c r="AN18" s="0">
        <f>IF($A18="","",$I18-($AI18+$AJ18+$AK18+$AL18+$AM18+$AR18))</f>
        <v/>
      </c>
      <c r="AO18" s="0">
        <f>IF($A18="","",Allocation!CJ18)</f>
        <v/>
      </c>
      <c r="AP18" s="0">
        <f>IF($A18="","",IF(Allocation!$N$2="VOL_EFF",$Q18,IF(Allocation!$N$2="VOL_CLASS",$R18,$S18)))</f>
        <v/>
      </c>
      <c r="AQ18" s="0">
        <f>IF($A18="","",IF(Allocation!$N$2="VOL_EFF",$T18,IF(Allocation!$N$2="VOL_CLASS",$U18,$V18)))</f>
        <v/>
      </c>
      <c r="AR18" s="0">
        <f>IF($A18="","",$AO18*IFERROR($AP18/$AQ18,0)*IFERROR($AE18/$AF18,0)*IFERROR($AC18/$AD18,0))</f>
        <v/>
      </c>
      <c r="AS18" s="0">
        <f>IF($A18="","",$A18&amp;"|"&amp;Allocation!BG18)</f>
        <v/>
      </c>
    </row>
    <row r="19" ht="14.4975" customHeight="1" s="64">
      <c r="A19" s="0">
        <f>IF(Allocation!BI19="","",Allocation!BI19)</f>
        <v/>
      </c>
      <c r="B19" s="0">
        <f>IF(Allocation!BJ19="","",Allocation!BJ19)</f>
        <v/>
      </c>
      <c r="C19" s="0">
        <f>IF(Allocation!BK19="","",Allocation!BK19)</f>
        <v/>
      </c>
      <c r="D19" s="0">
        <f>IF(Allocation!BL19="","",Allocation!BL19)</f>
        <v/>
      </c>
      <c r="E19" s="0">
        <f>IF(Allocation!BM19="","",Allocation!BM19)</f>
        <v/>
      </c>
      <c r="F19" s="0">
        <f>IF(Allocation!BN19="","",Allocation!BN19)</f>
        <v/>
      </c>
      <c r="G19" s="0">
        <f>IF(Allocation!BO19="","",Allocation!BO19)</f>
        <v/>
      </c>
      <c r="H19" s="0">
        <f>IF(Allocation!BP19="","",Allocation!BP19)</f>
        <v/>
      </c>
      <c r="I19" s="0">
        <f>IF(Allocation!BQ19="","",Allocation!BQ19)</f>
        <v/>
      </c>
      <c r="J19" s="0">
        <f>IF(Allocation!CC19="","",Allocation!CC19)</f>
        <v/>
      </c>
      <c r="K19" s="0">
        <f>IF($A19="","",$H19*IF(AND(LEFT($D19,3)="BAC",$F19="INIT"),600,IF(LEFT($D19,3)="BAC",480,IF(AND(LEFT($D19,3)="MAS",$F19="INIT"),520,IF(LEFT($D19,3)="MAS",420,IF($F19="INIT",1000,700))))))</f>
        <v/>
      </c>
      <c r="L19" s="0">
        <f>IF($A19="","",SUMIFS($G$1:$G$349,$AS$1:$AS$349,$AS19,$B$1:$B$349,$B19))</f>
        <v/>
      </c>
      <c r="M19" s="0">
        <f>IF($A19="","",SUMIFS($H$1:$H$349,$AS$1:$AS$349,$AS19,$B$1:$B$349,$B19))</f>
        <v/>
      </c>
      <c r="N19" s="0">
        <f>IF($A19="","",SUMIFS($I$1:$I$349,$AS$1:$AS$349,$AS19,$B$1:$B$349,$B19))</f>
        <v/>
      </c>
      <c r="O19" s="0">
        <f>IF($A19="","",SUMIFS($K$1:$K$349,$AS$1:$AS$349,$AS19,$B$1:$B$349,$B19))</f>
        <v/>
      </c>
      <c r="P19" s="0">
        <f>IF($A19="","",SUMIFS($J$1:$J$349,$AS$1:$AS$349,$AS19,$B$1:$B$349,$B19))</f>
        <v/>
      </c>
      <c r="Q19" s="0">
        <f>IF($A19="","",SUMIFS($G$1:$G$349,$AS$1:$AS$349,$AS19,$C$1:$C$349,$C19))</f>
        <v/>
      </c>
      <c r="R19" s="0">
        <f>IF($A19="","",SUMIFS($H$1:$H$349,$AS$1:$AS$349,$AS19,$C$1:$C$349,$C19))</f>
        <v/>
      </c>
      <c r="S19" s="0">
        <f>IF($A19="","",SUMIFS($I$1:$I$349,$AS$1:$AS$349,$AS19,$C$1:$C$349,$C19))</f>
        <v/>
      </c>
      <c r="T19" s="0">
        <f>IF($A19="","",SUMIFS($G$1:$G$349,$AS$1:$AS$349,$AS19))</f>
        <v/>
      </c>
      <c r="U19" s="0">
        <f>IF($A19="","",SUMIFS($H$1:$H$349,$AS$1:$AS$349,$AS19))</f>
        <v/>
      </c>
      <c r="V19" s="0">
        <f>IF($A19="","",SUMIFS($I$1:$I$349,$AS$1:$AS$349,$AS19))</f>
        <v/>
      </c>
      <c r="W19" s="0">
        <f>IF($A19="","",Allocation!CD19)</f>
        <v/>
      </c>
      <c r="X19" s="0">
        <f>IF($A19="","",Allocation!CE19)</f>
        <v/>
      </c>
      <c r="Y19" s="0">
        <f>IF($A19="","",Allocation!CF19)</f>
        <v/>
      </c>
      <c r="Z19" s="0">
        <f>IF($A19="","",Allocation!CG19)</f>
        <v/>
      </c>
      <c r="AA19" s="0">
        <f>IF($A19="","",Allocation!CH19)</f>
        <v/>
      </c>
      <c r="AB19" s="0">
        <f>IF($A19="","",Allocation!CI19)</f>
        <v/>
      </c>
      <c r="AC19" s="0">
        <f>IF($A19="","",IF(Allocation!$N$4="VOL_EFF",$G19,IF(Allocation!$N$4="VOL_CLASS",$H19,$I19)))</f>
        <v/>
      </c>
      <c r="AD19" s="0">
        <f>IF($A19="","",IF(Allocation!$N$4="VOL_EFF",$L19,IF(Allocation!$N$4="VOL_CLASS",$M19,$N19)))</f>
        <v/>
      </c>
      <c r="AE19" s="0">
        <f>IF($A19="","",IF(Allocation!$N$3="VOL_EFF",$L19,IF(Allocation!$N$3="VOL_CLASS",$M19,$N19)))</f>
        <v/>
      </c>
      <c r="AF19" s="0">
        <f>IF($A19="","",IF(Allocation!$N$3="VOL_EFF",$Q19,IF(Allocation!$N$3="VOL_CLASS",$R19,$S19)))</f>
        <v/>
      </c>
      <c r="AG19" s="0">
        <f>IF($A19="","",IF(Allocation!$N$1="VOL_EFF",$Q19,IF(Allocation!$N$1="VOL_CLASS",$R19,$S19)))</f>
        <v/>
      </c>
      <c r="AH19" s="0">
        <f>IF($A19="","",IF(Allocation!$N$1="VOL_EFF",$T19,IF(Allocation!$N$1="VOL_CLASS",$U19,$V19)))</f>
        <v/>
      </c>
      <c r="AI19" s="0">
        <f>IF($A19="","",$W19*IFERROR($K19/$O19,0))</f>
        <v/>
      </c>
      <c r="AJ19" s="0">
        <f>IF($A19="","",$X19*IFERROR($K19/$O19,0))</f>
        <v/>
      </c>
      <c r="AK19" s="0">
        <f>IF($A19="","",$Y19*IFERROR($G19/$L19,0)+$Z19*IFERROR($J19/$P19,0))</f>
        <v/>
      </c>
      <c r="AL19" s="0">
        <f>IF($A19="","",$AA19*IFERROR($AC19/$AD19,0))</f>
        <v/>
      </c>
      <c r="AM19" s="0">
        <f>IF($A19="","",$AB19*IFERROR($AG19/$AH19,0)*IFERROR($AE19/$AF19,0)*IFERROR($AC19/$AD19,0))</f>
        <v/>
      </c>
      <c r="AN19" s="0">
        <f>IF($A19="","",$I19-($AI19+$AJ19+$AK19+$AL19+$AM19+$AR19))</f>
        <v/>
      </c>
      <c r="AO19" s="0">
        <f>IF($A19="","",Allocation!CJ19)</f>
        <v/>
      </c>
      <c r="AP19" s="0">
        <f>IF($A19="","",IF(Allocation!$N$2="VOL_EFF",$Q19,IF(Allocation!$N$2="VOL_CLASS",$R19,$S19)))</f>
        <v/>
      </c>
      <c r="AQ19" s="0">
        <f>IF($A19="","",IF(Allocation!$N$2="VOL_EFF",$T19,IF(Allocation!$N$2="VOL_CLASS",$U19,$V19)))</f>
        <v/>
      </c>
      <c r="AR19" s="0">
        <f>IF($A19="","",$AO19*IFERROR($AP19/$AQ19,0)*IFERROR($AE19/$AF19,0)*IFERROR($AC19/$AD19,0))</f>
        <v/>
      </c>
      <c r="AS19" s="0">
        <f>IF($A19="","",$A19&amp;"|"&amp;Allocation!BG19)</f>
        <v/>
      </c>
    </row>
    <row r="20" ht="14.4975" customHeight="1" s="64">
      <c r="A20" s="0">
        <f>IF(Allocation!BI20="","",Allocation!BI20)</f>
        <v/>
      </c>
      <c r="B20" s="0">
        <f>IF(Allocation!BJ20="","",Allocation!BJ20)</f>
        <v/>
      </c>
      <c r="C20" s="0">
        <f>IF(Allocation!BK20="","",Allocation!BK20)</f>
        <v/>
      </c>
      <c r="D20" s="0">
        <f>IF(Allocation!BL20="","",Allocation!BL20)</f>
        <v/>
      </c>
      <c r="E20" s="0">
        <f>IF(Allocation!BM20="","",Allocation!BM20)</f>
        <v/>
      </c>
      <c r="F20" s="0">
        <f>IF(Allocation!BN20="","",Allocation!BN20)</f>
        <v/>
      </c>
      <c r="G20" s="0">
        <f>IF(Allocation!BO20="","",Allocation!BO20)</f>
        <v/>
      </c>
      <c r="H20" s="0">
        <f>IF(Allocation!BP20="","",Allocation!BP20)</f>
        <v/>
      </c>
      <c r="I20" s="0">
        <f>IF(Allocation!BQ20="","",Allocation!BQ20)</f>
        <v/>
      </c>
      <c r="J20" s="0">
        <f>IF(Allocation!CC20="","",Allocation!CC20)</f>
        <v/>
      </c>
      <c r="K20" s="0">
        <f>IF($A20="","",$H20*IF(AND(LEFT($D20,3)="BAC",$F20="INIT"),600,IF(LEFT($D20,3)="BAC",480,IF(AND(LEFT($D20,3)="MAS",$F20="INIT"),520,IF(LEFT($D20,3)="MAS",420,IF($F20="INIT",1000,700))))))</f>
        <v/>
      </c>
      <c r="L20" s="0">
        <f>IF($A20="","",SUMIFS($G$1:$G$349,$AS$1:$AS$349,$AS20,$B$1:$B$349,$B20))</f>
        <v/>
      </c>
      <c r="M20" s="0">
        <f>IF($A20="","",SUMIFS($H$1:$H$349,$AS$1:$AS$349,$AS20,$B$1:$B$349,$B20))</f>
        <v/>
      </c>
      <c r="N20" s="0">
        <f>IF($A20="","",SUMIFS($I$1:$I$349,$AS$1:$AS$349,$AS20,$B$1:$B$349,$B20))</f>
        <v/>
      </c>
      <c r="O20" s="0">
        <f>IF($A20="","",SUMIFS($K$1:$K$349,$AS$1:$AS$349,$AS20,$B$1:$B$349,$B20))</f>
        <v/>
      </c>
      <c r="P20" s="0">
        <f>IF($A20="","",SUMIFS($J$1:$J$349,$AS$1:$AS$349,$AS20,$B$1:$B$349,$B20))</f>
        <v/>
      </c>
      <c r="Q20" s="0">
        <f>IF($A20="","",SUMIFS($G$1:$G$349,$AS$1:$AS$349,$AS20,$C$1:$C$349,$C20))</f>
        <v/>
      </c>
      <c r="R20" s="0">
        <f>IF($A20="","",SUMIFS($H$1:$H$349,$AS$1:$AS$349,$AS20,$C$1:$C$349,$C20))</f>
        <v/>
      </c>
      <c r="S20" s="0">
        <f>IF($A20="","",SUMIFS($I$1:$I$349,$AS$1:$AS$349,$AS20,$C$1:$C$349,$C20))</f>
        <v/>
      </c>
      <c r="T20" s="0">
        <f>IF($A20="","",SUMIFS($G$1:$G$349,$AS$1:$AS$349,$AS20))</f>
        <v/>
      </c>
      <c r="U20" s="0">
        <f>IF($A20="","",SUMIFS($H$1:$H$349,$AS$1:$AS$349,$AS20))</f>
        <v/>
      </c>
      <c r="V20" s="0">
        <f>IF($A20="","",SUMIFS($I$1:$I$349,$AS$1:$AS$349,$AS20))</f>
        <v/>
      </c>
      <c r="W20" s="0">
        <f>IF($A20="","",Allocation!CD20)</f>
        <v/>
      </c>
      <c r="X20" s="0">
        <f>IF($A20="","",Allocation!CE20)</f>
        <v/>
      </c>
      <c r="Y20" s="0">
        <f>IF($A20="","",Allocation!CF20)</f>
        <v/>
      </c>
      <c r="Z20" s="0">
        <f>IF($A20="","",Allocation!CG20)</f>
        <v/>
      </c>
      <c r="AA20" s="0">
        <f>IF($A20="","",Allocation!CH20)</f>
        <v/>
      </c>
      <c r="AB20" s="0">
        <f>IF($A20="","",Allocation!CI20)</f>
        <v/>
      </c>
      <c r="AC20" s="0">
        <f>IF($A20="","",IF(Allocation!$N$4="VOL_EFF",$G20,IF(Allocation!$N$4="VOL_CLASS",$H20,$I20)))</f>
        <v/>
      </c>
      <c r="AD20" s="0">
        <f>IF($A20="","",IF(Allocation!$N$4="VOL_EFF",$L20,IF(Allocation!$N$4="VOL_CLASS",$M20,$N20)))</f>
        <v/>
      </c>
      <c r="AE20" s="0">
        <f>IF($A20="","",IF(Allocation!$N$3="VOL_EFF",$L20,IF(Allocation!$N$3="VOL_CLASS",$M20,$N20)))</f>
        <v/>
      </c>
      <c r="AF20" s="0">
        <f>IF($A20="","",IF(Allocation!$N$3="VOL_EFF",$Q20,IF(Allocation!$N$3="VOL_CLASS",$R20,$S20)))</f>
        <v/>
      </c>
      <c r="AG20" s="0">
        <f>IF($A20="","",IF(Allocation!$N$1="VOL_EFF",$Q20,IF(Allocation!$N$1="VOL_CLASS",$R20,$S20)))</f>
        <v/>
      </c>
      <c r="AH20" s="0">
        <f>IF($A20="","",IF(Allocation!$N$1="VOL_EFF",$T20,IF(Allocation!$N$1="VOL_CLASS",$U20,$V20)))</f>
        <v/>
      </c>
      <c r="AI20" s="0">
        <f>IF($A20="","",$W20*IFERROR($K20/$O20,0))</f>
        <v/>
      </c>
      <c r="AJ20" s="0">
        <f>IF($A20="","",$X20*IFERROR($K20/$O20,0))</f>
        <v/>
      </c>
      <c r="AK20" s="0">
        <f>IF($A20="","",$Y20*IFERROR($G20/$L20,0)+$Z20*IFERROR($J20/$P20,0))</f>
        <v/>
      </c>
      <c r="AL20" s="0">
        <f>IF($A20="","",$AA20*IFERROR($AC20/$AD20,0))</f>
        <v/>
      </c>
      <c r="AM20" s="0">
        <f>IF($A20="","",$AB20*IFERROR($AG20/$AH20,0)*IFERROR($AE20/$AF20,0)*IFERROR($AC20/$AD20,0))</f>
        <v/>
      </c>
      <c r="AN20" s="0">
        <f>IF($A20="","",$I20-($AI20+$AJ20+$AK20+$AL20+$AM20+$AR20))</f>
        <v/>
      </c>
      <c r="AO20" s="0">
        <f>IF($A20="","",Allocation!CJ20)</f>
        <v/>
      </c>
      <c r="AP20" s="0">
        <f>IF($A20="","",IF(Allocation!$N$2="VOL_EFF",$Q20,IF(Allocation!$N$2="VOL_CLASS",$R20,$S20)))</f>
        <v/>
      </c>
      <c r="AQ20" s="0">
        <f>IF($A20="","",IF(Allocation!$N$2="VOL_EFF",$T20,IF(Allocation!$N$2="VOL_CLASS",$U20,$V20)))</f>
        <v/>
      </c>
      <c r="AR20" s="0">
        <f>IF($A20="","",$AO20*IFERROR($AP20/$AQ20,0)*IFERROR($AE20/$AF20,0)*IFERROR($AC20/$AD20,0))</f>
        <v/>
      </c>
      <c r="AS20" s="0">
        <f>IF($A20="","",$A20&amp;"|"&amp;Allocation!BG20)</f>
        <v/>
      </c>
    </row>
    <row r="21" ht="14.4975" customHeight="1" s="64">
      <c r="A21" s="0">
        <f>IF(Allocation!BI21="","",Allocation!BI21)</f>
        <v/>
      </c>
      <c r="B21" s="0">
        <f>IF(Allocation!BJ21="","",Allocation!BJ21)</f>
        <v/>
      </c>
      <c r="C21" s="0">
        <f>IF(Allocation!BK21="","",Allocation!BK21)</f>
        <v/>
      </c>
      <c r="D21" s="0">
        <f>IF(Allocation!BL21="","",Allocation!BL21)</f>
        <v/>
      </c>
      <c r="E21" s="0">
        <f>IF(Allocation!BM21="","",Allocation!BM21)</f>
        <v/>
      </c>
      <c r="F21" s="0">
        <f>IF(Allocation!BN21="","",Allocation!BN21)</f>
        <v/>
      </c>
      <c r="G21" s="0">
        <f>IF(Allocation!BO21="","",Allocation!BO21)</f>
        <v/>
      </c>
      <c r="H21" s="0">
        <f>IF(Allocation!BP21="","",Allocation!BP21)</f>
        <v/>
      </c>
      <c r="I21" s="0">
        <f>IF(Allocation!BQ21="","",Allocation!BQ21)</f>
        <v/>
      </c>
      <c r="J21" s="0">
        <f>IF(Allocation!CC21="","",Allocation!CC21)</f>
        <v/>
      </c>
      <c r="K21" s="0">
        <f>IF($A21="","",$H21*IF(AND(LEFT($D21,3)="BAC",$F21="INIT"),600,IF(LEFT($D21,3)="BAC",480,IF(AND(LEFT($D21,3)="MAS",$F21="INIT"),520,IF(LEFT($D21,3)="MAS",420,IF($F21="INIT",1000,700))))))</f>
        <v/>
      </c>
      <c r="L21" s="0">
        <f>IF($A21="","",SUMIFS($G$1:$G$349,$AS$1:$AS$349,$AS21,$B$1:$B$349,$B21))</f>
        <v/>
      </c>
      <c r="M21" s="0">
        <f>IF($A21="","",SUMIFS($H$1:$H$349,$AS$1:$AS$349,$AS21,$B$1:$B$349,$B21))</f>
        <v/>
      </c>
      <c r="N21" s="0">
        <f>IF($A21="","",SUMIFS($I$1:$I$349,$AS$1:$AS$349,$AS21,$B$1:$B$349,$B21))</f>
        <v/>
      </c>
      <c r="O21" s="0">
        <f>IF($A21="","",SUMIFS($K$1:$K$349,$AS$1:$AS$349,$AS21,$B$1:$B$349,$B21))</f>
        <v/>
      </c>
      <c r="P21" s="0">
        <f>IF($A21="","",SUMIFS($J$1:$J$349,$AS$1:$AS$349,$AS21,$B$1:$B$349,$B21))</f>
        <v/>
      </c>
      <c r="Q21" s="0">
        <f>IF($A21="","",SUMIFS($G$1:$G$349,$AS$1:$AS$349,$AS21,$C$1:$C$349,$C21))</f>
        <v/>
      </c>
      <c r="R21" s="0">
        <f>IF($A21="","",SUMIFS($H$1:$H$349,$AS$1:$AS$349,$AS21,$C$1:$C$349,$C21))</f>
        <v/>
      </c>
      <c r="S21" s="0">
        <f>IF($A21="","",SUMIFS($I$1:$I$349,$AS$1:$AS$349,$AS21,$C$1:$C$349,$C21))</f>
        <v/>
      </c>
      <c r="T21" s="0">
        <f>IF($A21="","",SUMIFS($G$1:$G$349,$AS$1:$AS$349,$AS21))</f>
        <v/>
      </c>
      <c r="U21" s="0">
        <f>IF($A21="","",SUMIFS($H$1:$H$349,$AS$1:$AS$349,$AS21))</f>
        <v/>
      </c>
      <c r="V21" s="0">
        <f>IF($A21="","",SUMIFS($I$1:$I$349,$AS$1:$AS$349,$AS21))</f>
        <v/>
      </c>
      <c r="W21" s="0">
        <f>IF($A21="","",Allocation!CD21)</f>
        <v/>
      </c>
      <c r="X21" s="0">
        <f>IF($A21="","",Allocation!CE21)</f>
        <v/>
      </c>
      <c r="Y21" s="0">
        <f>IF($A21="","",Allocation!CF21)</f>
        <v/>
      </c>
      <c r="Z21" s="0">
        <f>IF($A21="","",Allocation!CG21)</f>
        <v/>
      </c>
      <c r="AA21" s="0">
        <f>IF($A21="","",Allocation!CH21)</f>
        <v/>
      </c>
      <c r="AB21" s="0">
        <f>IF($A21="","",Allocation!CI21)</f>
        <v/>
      </c>
      <c r="AC21" s="0">
        <f>IF($A21="","",IF(Allocation!$N$4="VOL_EFF",$G21,IF(Allocation!$N$4="VOL_CLASS",$H21,$I21)))</f>
        <v/>
      </c>
      <c r="AD21" s="0">
        <f>IF($A21="","",IF(Allocation!$N$4="VOL_EFF",$L21,IF(Allocation!$N$4="VOL_CLASS",$M21,$N21)))</f>
        <v/>
      </c>
      <c r="AE21" s="0">
        <f>IF($A21="","",IF(Allocation!$N$3="VOL_EFF",$L21,IF(Allocation!$N$3="VOL_CLASS",$M21,$N21)))</f>
        <v/>
      </c>
      <c r="AF21" s="0">
        <f>IF($A21="","",IF(Allocation!$N$3="VOL_EFF",$Q21,IF(Allocation!$N$3="VOL_CLASS",$R21,$S21)))</f>
        <v/>
      </c>
      <c r="AG21" s="0">
        <f>IF($A21="","",IF(Allocation!$N$1="VOL_EFF",$Q21,IF(Allocation!$N$1="VOL_CLASS",$R21,$S21)))</f>
        <v/>
      </c>
      <c r="AH21" s="0">
        <f>IF($A21="","",IF(Allocation!$N$1="VOL_EFF",$T21,IF(Allocation!$N$1="VOL_CLASS",$U21,$V21)))</f>
        <v/>
      </c>
      <c r="AI21" s="0">
        <f>IF($A21="","",$W21*IFERROR($K21/$O21,0))</f>
        <v/>
      </c>
      <c r="AJ21" s="0">
        <f>IF($A21="","",$X21*IFERROR($K21/$O21,0))</f>
        <v/>
      </c>
      <c r="AK21" s="0">
        <f>IF($A21="","",$Y21*IFERROR($G21/$L21,0)+$Z21*IFERROR($J21/$P21,0))</f>
        <v/>
      </c>
      <c r="AL21" s="0">
        <f>IF($A21="","",$AA21*IFERROR($AC21/$AD21,0))</f>
        <v/>
      </c>
      <c r="AM21" s="0">
        <f>IF($A21="","",$AB21*IFERROR($AG21/$AH21,0)*IFERROR($AE21/$AF21,0)*IFERROR($AC21/$AD21,0))</f>
        <v/>
      </c>
      <c r="AN21" s="0">
        <f>IF($A21="","",$I21-($AI21+$AJ21+$AK21+$AL21+$AM21+$AR21))</f>
        <v/>
      </c>
      <c r="AO21" s="0">
        <f>IF($A21="","",Allocation!CJ21)</f>
        <v/>
      </c>
      <c r="AP21" s="0">
        <f>IF($A21="","",IF(Allocation!$N$2="VOL_EFF",$Q21,IF(Allocation!$N$2="VOL_CLASS",$R21,$S21)))</f>
        <v/>
      </c>
      <c r="AQ21" s="0">
        <f>IF($A21="","",IF(Allocation!$N$2="VOL_EFF",$T21,IF(Allocation!$N$2="VOL_CLASS",$U21,$V21)))</f>
        <v/>
      </c>
      <c r="AR21" s="0">
        <f>IF($A21="","",$AO21*IFERROR($AP21/$AQ21,0)*IFERROR($AE21/$AF21,0)*IFERROR($AC21/$AD21,0))</f>
        <v/>
      </c>
      <c r="AS21" s="0">
        <f>IF($A21="","",$A21&amp;"|"&amp;Allocation!BG21)</f>
        <v/>
      </c>
    </row>
    <row r="22" ht="14.4975" customHeight="1" s="64">
      <c r="A22" s="0">
        <f>IF(Allocation!BI22="","",Allocation!BI22)</f>
        <v/>
      </c>
      <c r="B22" s="0">
        <f>IF(Allocation!BJ22="","",Allocation!BJ22)</f>
        <v/>
      </c>
      <c r="C22" s="0">
        <f>IF(Allocation!BK22="","",Allocation!BK22)</f>
        <v/>
      </c>
      <c r="D22" s="0">
        <f>IF(Allocation!BL22="","",Allocation!BL22)</f>
        <v/>
      </c>
      <c r="E22" s="0">
        <f>IF(Allocation!BM22="","",Allocation!BM22)</f>
        <v/>
      </c>
      <c r="F22" s="0">
        <f>IF(Allocation!BN22="","",Allocation!BN22)</f>
        <v/>
      </c>
      <c r="G22" s="0">
        <f>IF(Allocation!BO22="","",Allocation!BO22)</f>
        <v/>
      </c>
      <c r="H22" s="0">
        <f>IF(Allocation!BP22="","",Allocation!BP22)</f>
        <v/>
      </c>
      <c r="I22" s="0">
        <f>IF(Allocation!BQ22="","",Allocation!BQ22)</f>
        <v/>
      </c>
      <c r="J22" s="0">
        <f>IF(Allocation!CC22="","",Allocation!CC22)</f>
        <v/>
      </c>
      <c r="K22" s="0">
        <f>IF($A22="","",$H22*IF(AND(LEFT($D22,3)="BAC",$F22="INIT"),600,IF(LEFT($D22,3)="BAC",480,IF(AND(LEFT($D22,3)="MAS",$F22="INIT"),520,IF(LEFT($D22,3)="MAS",420,IF($F22="INIT",1000,700))))))</f>
        <v/>
      </c>
      <c r="L22" s="0">
        <f>IF($A22="","",SUMIFS($G$1:$G$349,$AS$1:$AS$349,$AS22,$B$1:$B$349,$B22))</f>
        <v/>
      </c>
      <c r="M22" s="0">
        <f>IF($A22="","",SUMIFS($H$1:$H$349,$AS$1:$AS$349,$AS22,$B$1:$B$349,$B22))</f>
        <v/>
      </c>
      <c r="N22" s="0">
        <f>IF($A22="","",SUMIFS($I$1:$I$349,$AS$1:$AS$349,$AS22,$B$1:$B$349,$B22))</f>
        <v/>
      </c>
      <c r="O22" s="0">
        <f>IF($A22="","",SUMIFS($K$1:$K$349,$AS$1:$AS$349,$AS22,$B$1:$B$349,$B22))</f>
        <v/>
      </c>
      <c r="P22" s="0">
        <f>IF($A22="","",SUMIFS($J$1:$J$349,$AS$1:$AS$349,$AS22,$B$1:$B$349,$B22))</f>
        <v/>
      </c>
      <c r="Q22" s="0">
        <f>IF($A22="","",SUMIFS($G$1:$G$349,$AS$1:$AS$349,$AS22,$C$1:$C$349,$C22))</f>
        <v/>
      </c>
      <c r="R22" s="0">
        <f>IF($A22="","",SUMIFS($H$1:$H$349,$AS$1:$AS$349,$AS22,$C$1:$C$349,$C22))</f>
        <v/>
      </c>
      <c r="S22" s="0">
        <f>IF($A22="","",SUMIFS($I$1:$I$349,$AS$1:$AS$349,$AS22,$C$1:$C$349,$C22))</f>
        <v/>
      </c>
      <c r="T22" s="0">
        <f>IF($A22="","",SUMIFS($G$1:$G$349,$AS$1:$AS$349,$AS22))</f>
        <v/>
      </c>
      <c r="U22" s="0">
        <f>IF($A22="","",SUMIFS($H$1:$H$349,$AS$1:$AS$349,$AS22))</f>
        <v/>
      </c>
      <c r="V22" s="0">
        <f>IF($A22="","",SUMIFS($I$1:$I$349,$AS$1:$AS$349,$AS22))</f>
        <v/>
      </c>
      <c r="W22" s="0">
        <f>IF($A22="","",Allocation!CD22)</f>
        <v/>
      </c>
      <c r="X22" s="0">
        <f>IF($A22="","",Allocation!CE22)</f>
        <v/>
      </c>
      <c r="Y22" s="0">
        <f>IF($A22="","",Allocation!CF22)</f>
        <v/>
      </c>
      <c r="Z22" s="0">
        <f>IF($A22="","",Allocation!CG22)</f>
        <v/>
      </c>
      <c r="AA22" s="0">
        <f>IF($A22="","",Allocation!CH22)</f>
        <v/>
      </c>
      <c r="AB22" s="0">
        <f>IF($A22="","",Allocation!CI22)</f>
        <v/>
      </c>
      <c r="AC22" s="0">
        <f>IF($A22="","",IF(Allocation!$N$4="VOL_EFF",$G22,IF(Allocation!$N$4="VOL_CLASS",$H22,$I22)))</f>
        <v/>
      </c>
      <c r="AD22" s="0">
        <f>IF($A22="","",IF(Allocation!$N$4="VOL_EFF",$L22,IF(Allocation!$N$4="VOL_CLASS",$M22,$N22)))</f>
        <v/>
      </c>
      <c r="AE22" s="0">
        <f>IF($A22="","",IF(Allocation!$N$3="VOL_EFF",$L22,IF(Allocation!$N$3="VOL_CLASS",$M22,$N22)))</f>
        <v/>
      </c>
      <c r="AF22" s="0">
        <f>IF($A22="","",IF(Allocation!$N$3="VOL_EFF",$Q22,IF(Allocation!$N$3="VOL_CLASS",$R22,$S22)))</f>
        <v/>
      </c>
      <c r="AG22" s="0">
        <f>IF($A22="","",IF(Allocation!$N$1="VOL_EFF",$Q22,IF(Allocation!$N$1="VOL_CLASS",$R22,$S22)))</f>
        <v/>
      </c>
      <c r="AH22" s="0">
        <f>IF($A22="","",IF(Allocation!$N$1="VOL_EFF",$T22,IF(Allocation!$N$1="VOL_CLASS",$U22,$V22)))</f>
        <v/>
      </c>
      <c r="AI22" s="0">
        <f>IF($A22="","",$W22*IFERROR($K22/$O22,0))</f>
        <v/>
      </c>
      <c r="AJ22" s="0">
        <f>IF($A22="","",$X22*IFERROR($K22/$O22,0))</f>
        <v/>
      </c>
      <c r="AK22" s="0">
        <f>IF($A22="","",$Y22*IFERROR($G22/$L22,0)+$Z22*IFERROR($J22/$P22,0))</f>
        <v/>
      </c>
      <c r="AL22" s="0">
        <f>IF($A22="","",$AA22*IFERROR($AC22/$AD22,0))</f>
        <v/>
      </c>
      <c r="AM22" s="0">
        <f>IF($A22="","",$AB22*IFERROR($AG22/$AH22,0)*IFERROR($AE22/$AF22,0)*IFERROR($AC22/$AD22,0))</f>
        <v/>
      </c>
      <c r="AN22" s="0">
        <f>IF($A22="","",$I22-($AI22+$AJ22+$AK22+$AL22+$AM22+$AR22))</f>
        <v/>
      </c>
      <c r="AO22" s="0">
        <f>IF($A22="","",Allocation!CJ22)</f>
        <v/>
      </c>
      <c r="AP22" s="0">
        <f>IF($A22="","",IF(Allocation!$N$2="VOL_EFF",$Q22,IF(Allocation!$N$2="VOL_CLASS",$R22,$S22)))</f>
        <v/>
      </c>
      <c r="AQ22" s="0">
        <f>IF($A22="","",IF(Allocation!$N$2="VOL_EFF",$T22,IF(Allocation!$N$2="VOL_CLASS",$U22,$V22)))</f>
        <v/>
      </c>
      <c r="AR22" s="0">
        <f>IF($A22="","",$AO22*IFERROR($AP22/$AQ22,0)*IFERROR($AE22/$AF22,0)*IFERROR($AC22/$AD22,0))</f>
        <v/>
      </c>
      <c r="AS22" s="0">
        <f>IF($A22="","",$A22&amp;"|"&amp;Allocation!BG22)</f>
        <v/>
      </c>
    </row>
    <row r="23" ht="14.4975" customHeight="1" s="64">
      <c r="A23" s="0">
        <f>IF(Allocation!BI23="","",Allocation!BI23)</f>
        <v/>
      </c>
      <c r="B23" s="0">
        <f>IF(Allocation!BJ23="","",Allocation!BJ23)</f>
        <v/>
      </c>
      <c r="C23" s="0">
        <f>IF(Allocation!BK23="","",Allocation!BK23)</f>
        <v/>
      </c>
      <c r="D23" s="0">
        <f>IF(Allocation!BL23="","",Allocation!BL23)</f>
        <v/>
      </c>
      <c r="E23" s="0">
        <f>IF(Allocation!BM23="","",Allocation!BM23)</f>
        <v/>
      </c>
      <c r="F23" s="0">
        <f>IF(Allocation!BN23="","",Allocation!BN23)</f>
        <v/>
      </c>
      <c r="G23" s="0">
        <f>IF(Allocation!BO23="","",Allocation!BO23)</f>
        <v/>
      </c>
      <c r="H23" s="0">
        <f>IF(Allocation!BP23="","",Allocation!BP23)</f>
        <v/>
      </c>
      <c r="I23" s="0">
        <f>IF(Allocation!BQ23="","",Allocation!BQ23)</f>
        <v/>
      </c>
      <c r="J23" s="0">
        <f>IF(Allocation!CC23="","",Allocation!CC23)</f>
        <v/>
      </c>
      <c r="K23" s="0">
        <f>IF($A23="","",$H23*IF(AND(LEFT($D23,3)="BAC",$F23="INIT"),600,IF(LEFT($D23,3)="BAC",480,IF(AND(LEFT($D23,3)="MAS",$F23="INIT"),520,IF(LEFT($D23,3)="MAS",420,IF($F23="INIT",1000,700))))))</f>
        <v/>
      </c>
      <c r="L23" s="0">
        <f>IF($A23="","",SUMIFS($G$1:$G$349,$AS$1:$AS$349,$AS23,$B$1:$B$349,$B23))</f>
        <v/>
      </c>
      <c r="M23" s="0">
        <f>IF($A23="","",SUMIFS($H$1:$H$349,$AS$1:$AS$349,$AS23,$B$1:$B$349,$B23))</f>
        <v/>
      </c>
      <c r="N23" s="0">
        <f>IF($A23="","",SUMIFS($I$1:$I$349,$AS$1:$AS$349,$AS23,$B$1:$B$349,$B23))</f>
        <v/>
      </c>
      <c r="O23" s="0">
        <f>IF($A23="","",SUMIFS($K$1:$K$349,$AS$1:$AS$349,$AS23,$B$1:$B$349,$B23))</f>
        <v/>
      </c>
      <c r="P23" s="0">
        <f>IF($A23="","",SUMIFS($J$1:$J$349,$AS$1:$AS$349,$AS23,$B$1:$B$349,$B23))</f>
        <v/>
      </c>
      <c r="Q23" s="0">
        <f>IF($A23="","",SUMIFS($G$1:$G$349,$AS$1:$AS$349,$AS23,$C$1:$C$349,$C23))</f>
        <v/>
      </c>
      <c r="R23" s="0">
        <f>IF($A23="","",SUMIFS($H$1:$H$349,$AS$1:$AS$349,$AS23,$C$1:$C$349,$C23))</f>
        <v/>
      </c>
      <c r="S23" s="0">
        <f>IF($A23="","",SUMIFS($I$1:$I$349,$AS$1:$AS$349,$AS23,$C$1:$C$349,$C23))</f>
        <v/>
      </c>
      <c r="T23" s="0">
        <f>IF($A23="","",SUMIFS($G$1:$G$349,$AS$1:$AS$349,$AS23))</f>
        <v/>
      </c>
      <c r="U23" s="0">
        <f>IF($A23="","",SUMIFS($H$1:$H$349,$AS$1:$AS$349,$AS23))</f>
        <v/>
      </c>
      <c r="V23" s="0">
        <f>IF($A23="","",SUMIFS($I$1:$I$349,$AS$1:$AS$349,$AS23))</f>
        <v/>
      </c>
      <c r="W23" s="0">
        <f>IF($A23="","",Allocation!CD23)</f>
        <v/>
      </c>
      <c r="X23" s="0">
        <f>IF($A23="","",Allocation!CE23)</f>
        <v/>
      </c>
      <c r="Y23" s="0">
        <f>IF($A23="","",Allocation!CF23)</f>
        <v/>
      </c>
      <c r="Z23" s="0">
        <f>IF($A23="","",Allocation!CG23)</f>
        <v/>
      </c>
      <c r="AA23" s="0">
        <f>IF($A23="","",Allocation!CH23)</f>
        <v/>
      </c>
      <c r="AB23" s="0">
        <f>IF($A23="","",Allocation!CI23)</f>
        <v/>
      </c>
      <c r="AC23" s="0">
        <f>IF($A23="","",IF(Allocation!$N$4="VOL_EFF",$G23,IF(Allocation!$N$4="VOL_CLASS",$H23,$I23)))</f>
        <v/>
      </c>
      <c r="AD23" s="0">
        <f>IF($A23="","",IF(Allocation!$N$4="VOL_EFF",$L23,IF(Allocation!$N$4="VOL_CLASS",$M23,$N23)))</f>
        <v/>
      </c>
      <c r="AE23" s="0">
        <f>IF($A23="","",IF(Allocation!$N$3="VOL_EFF",$L23,IF(Allocation!$N$3="VOL_CLASS",$M23,$N23)))</f>
        <v/>
      </c>
      <c r="AF23" s="0">
        <f>IF($A23="","",IF(Allocation!$N$3="VOL_EFF",$Q23,IF(Allocation!$N$3="VOL_CLASS",$R23,$S23)))</f>
        <v/>
      </c>
      <c r="AG23" s="0">
        <f>IF($A23="","",IF(Allocation!$N$1="VOL_EFF",$Q23,IF(Allocation!$N$1="VOL_CLASS",$R23,$S23)))</f>
        <v/>
      </c>
      <c r="AH23" s="0">
        <f>IF($A23="","",IF(Allocation!$N$1="VOL_EFF",$T23,IF(Allocation!$N$1="VOL_CLASS",$U23,$V23)))</f>
        <v/>
      </c>
      <c r="AI23" s="0">
        <f>IF($A23="","",$W23*IFERROR($K23/$O23,0))</f>
        <v/>
      </c>
      <c r="AJ23" s="0">
        <f>IF($A23="","",$X23*IFERROR($K23/$O23,0))</f>
        <v/>
      </c>
      <c r="AK23" s="0">
        <f>IF($A23="","",$Y23*IFERROR($G23/$L23,0)+$Z23*IFERROR($J23/$P23,0))</f>
        <v/>
      </c>
      <c r="AL23" s="0">
        <f>IF($A23="","",$AA23*IFERROR($AC23/$AD23,0))</f>
        <v/>
      </c>
      <c r="AM23" s="0">
        <f>IF($A23="","",$AB23*IFERROR($AG23/$AH23,0)*IFERROR($AE23/$AF23,0)*IFERROR($AC23/$AD23,0))</f>
        <v/>
      </c>
      <c r="AN23" s="0">
        <f>IF($A23="","",$I23-($AI23+$AJ23+$AK23+$AL23+$AM23+$AR23))</f>
        <v/>
      </c>
      <c r="AO23" s="0">
        <f>IF($A23="","",Allocation!CJ23)</f>
        <v/>
      </c>
      <c r="AP23" s="0">
        <f>IF($A23="","",IF(Allocation!$N$2="VOL_EFF",$Q23,IF(Allocation!$N$2="VOL_CLASS",$R23,$S23)))</f>
        <v/>
      </c>
      <c r="AQ23" s="0">
        <f>IF($A23="","",IF(Allocation!$N$2="VOL_EFF",$T23,IF(Allocation!$N$2="VOL_CLASS",$U23,$V23)))</f>
        <v/>
      </c>
      <c r="AR23" s="0">
        <f>IF($A23="","",$AO23*IFERROR($AP23/$AQ23,0)*IFERROR($AE23/$AF23,0)*IFERROR($AC23/$AD23,0))</f>
        <v/>
      </c>
      <c r="AS23" s="0">
        <f>IF($A23="","",$A23&amp;"|"&amp;Allocation!BG23)</f>
        <v/>
      </c>
    </row>
    <row r="24" ht="14.4975" customHeight="1" s="64">
      <c r="A24" s="0">
        <f>IF(Allocation!BI24="","",Allocation!BI24)</f>
        <v/>
      </c>
      <c r="B24" s="0">
        <f>IF(Allocation!BJ24="","",Allocation!BJ24)</f>
        <v/>
      </c>
      <c r="C24" s="0">
        <f>IF(Allocation!BK24="","",Allocation!BK24)</f>
        <v/>
      </c>
      <c r="D24" s="0">
        <f>IF(Allocation!BL24="","",Allocation!BL24)</f>
        <v/>
      </c>
      <c r="E24" s="0">
        <f>IF(Allocation!BM24="","",Allocation!BM24)</f>
        <v/>
      </c>
      <c r="F24" s="0">
        <f>IF(Allocation!BN24="","",Allocation!BN24)</f>
        <v/>
      </c>
      <c r="G24" s="0">
        <f>IF(Allocation!BO24="","",Allocation!BO24)</f>
        <v/>
      </c>
      <c r="H24" s="0">
        <f>IF(Allocation!BP24="","",Allocation!BP24)</f>
        <v/>
      </c>
      <c r="I24" s="0">
        <f>IF(Allocation!BQ24="","",Allocation!BQ24)</f>
        <v/>
      </c>
      <c r="J24" s="0">
        <f>IF(Allocation!CC24="","",Allocation!CC24)</f>
        <v/>
      </c>
      <c r="K24" s="0">
        <f>IF($A24="","",$H24*IF(AND(LEFT($D24,3)="BAC",$F24="INIT"),600,IF(LEFT($D24,3)="BAC",480,IF(AND(LEFT($D24,3)="MAS",$F24="INIT"),520,IF(LEFT($D24,3)="MAS",420,IF($F24="INIT",1000,700))))))</f>
        <v/>
      </c>
      <c r="L24" s="0">
        <f>IF($A24="","",SUMIFS($G$1:$G$349,$AS$1:$AS$349,$AS24,$B$1:$B$349,$B24))</f>
        <v/>
      </c>
      <c r="M24" s="0">
        <f>IF($A24="","",SUMIFS($H$1:$H$349,$AS$1:$AS$349,$AS24,$B$1:$B$349,$B24))</f>
        <v/>
      </c>
      <c r="N24" s="0">
        <f>IF($A24="","",SUMIFS($I$1:$I$349,$AS$1:$AS$349,$AS24,$B$1:$B$349,$B24))</f>
        <v/>
      </c>
      <c r="O24" s="0">
        <f>IF($A24="","",SUMIFS($K$1:$K$349,$AS$1:$AS$349,$AS24,$B$1:$B$349,$B24))</f>
        <v/>
      </c>
      <c r="P24" s="0">
        <f>IF($A24="","",SUMIFS($J$1:$J$349,$AS$1:$AS$349,$AS24,$B$1:$B$349,$B24))</f>
        <v/>
      </c>
      <c r="Q24" s="0">
        <f>IF($A24="","",SUMIFS($G$1:$G$349,$AS$1:$AS$349,$AS24,$C$1:$C$349,$C24))</f>
        <v/>
      </c>
      <c r="R24" s="0">
        <f>IF($A24="","",SUMIFS($H$1:$H$349,$AS$1:$AS$349,$AS24,$C$1:$C$349,$C24))</f>
        <v/>
      </c>
      <c r="S24" s="0">
        <f>IF($A24="","",SUMIFS($I$1:$I$349,$AS$1:$AS$349,$AS24,$C$1:$C$349,$C24))</f>
        <v/>
      </c>
      <c r="T24" s="0">
        <f>IF($A24="","",SUMIFS($G$1:$G$349,$AS$1:$AS$349,$AS24))</f>
        <v/>
      </c>
      <c r="U24" s="0">
        <f>IF($A24="","",SUMIFS($H$1:$H$349,$AS$1:$AS$349,$AS24))</f>
        <v/>
      </c>
      <c r="V24" s="0">
        <f>IF($A24="","",SUMIFS($I$1:$I$349,$AS$1:$AS$349,$AS24))</f>
        <v/>
      </c>
      <c r="W24" s="0">
        <f>IF($A24="","",Allocation!CD24)</f>
        <v/>
      </c>
      <c r="X24" s="0">
        <f>IF($A24="","",Allocation!CE24)</f>
        <v/>
      </c>
      <c r="Y24" s="0">
        <f>IF($A24="","",Allocation!CF24)</f>
        <v/>
      </c>
      <c r="Z24" s="0">
        <f>IF($A24="","",Allocation!CG24)</f>
        <v/>
      </c>
      <c r="AA24" s="0">
        <f>IF($A24="","",Allocation!CH24)</f>
        <v/>
      </c>
      <c r="AB24" s="0">
        <f>IF($A24="","",Allocation!CI24)</f>
        <v/>
      </c>
      <c r="AC24" s="0">
        <f>IF($A24="","",IF(Allocation!$N$4="VOL_EFF",$G24,IF(Allocation!$N$4="VOL_CLASS",$H24,$I24)))</f>
        <v/>
      </c>
      <c r="AD24" s="0">
        <f>IF($A24="","",IF(Allocation!$N$4="VOL_EFF",$L24,IF(Allocation!$N$4="VOL_CLASS",$M24,$N24)))</f>
        <v/>
      </c>
      <c r="AE24" s="0">
        <f>IF($A24="","",IF(Allocation!$N$3="VOL_EFF",$L24,IF(Allocation!$N$3="VOL_CLASS",$M24,$N24)))</f>
        <v/>
      </c>
      <c r="AF24" s="0">
        <f>IF($A24="","",IF(Allocation!$N$3="VOL_EFF",$Q24,IF(Allocation!$N$3="VOL_CLASS",$R24,$S24)))</f>
        <v/>
      </c>
      <c r="AG24" s="0">
        <f>IF($A24="","",IF(Allocation!$N$1="VOL_EFF",$Q24,IF(Allocation!$N$1="VOL_CLASS",$R24,$S24)))</f>
        <v/>
      </c>
      <c r="AH24" s="0">
        <f>IF($A24="","",IF(Allocation!$N$1="VOL_EFF",$T24,IF(Allocation!$N$1="VOL_CLASS",$U24,$V24)))</f>
        <v/>
      </c>
      <c r="AI24" s="0">
        <f>IF($A24="","",$W24*IFERROR($K24/$O24,0))</f>
        <v/>
      </c>
      <c r="AJ24" s="0">
        <f>IF($A24="","",$X24*IFERROR($K24/$O24,0))</f>
        <v/>
      </c>
      <c r="AK24" s="0">
        <f>IF($A24="","",$Y24*IFERROR($G24/$L24,0)+$Z24*IFERROR($J24/$P24,0))</f>
        <v/>
      </c>
      <c r="AL24" s="0">
        <f>IF($A24="","",$AA24*IFERROR($AC24/$AD24,0))</f>
        <v/>
      </c>
      <c r="AM24" s="0">
        <f>IF($A24="","",$AB24*IFERROR($AG24/$AH24,0)*IFERROR($AE24/$AF24,0)*IFERROR($AC24/$AD24,0))</f>
        <v/>
      </c>
      <c r="AN24" s="0">
        <f>IF($A24="","",$I24-($AI24+$AJ24+$AK24+$AL24+$AM24+$AR24))</f>
        <v/>
      </c>
      <c r="AO24" s="0">
        <f>IF($A24="","",Allocation!CJ24)</f>
        <v/>
      </c>
      <c r="AP24" s="0">
        <f>IF($A24="","",IF(Allocation!$N$2="VOL_EFF",$Q24,IF(Allocation!$N$2="VOL_CLASS",$R24,$S24)))</f>
        <v/>
      </c>
      <c r="AQ24" s="0">
        <f>IF($A24="","",IF(Allocation!$N$2="VOL_EFF",$T24,IF(Allocation!$N$2="VOL_CLASS",$U24,$V24)))</f>
        <v/>
      </c>
      <c r="AR24" s="0">
        <f>IF($A24="","",$AO24*IFERROR($AP24/$AQ24,0)*IFERROR($AE24/$AF24,0)*IFERROR($AC24/$AD24,0))</f>
        <v/>
      </c>
      <c r="AS24" s="0">
        <f>IF($A24="","",$A24&amp;"|"&amp;Allocation!BG24)</f>
        <v/>
      </c>
    </row>
    <row r="25" ht="14.4975" customHeight="1" s="64">
      <c r="A25" s="0">
        <f>IF(Allocation!BI25="","",Allocation!BI25)</f>
        <v/>
      </c>
      <c r="B25" s="0">
        <f>IF(Allocation!BJ25="","",Allocation!BJ25)</f>
        <v/>
      </c>
      <c r="C25" s="0">
        <f>IF(Allocation!BK25="","",Allocation!BK25)</f>
        <v/>
      </c>
      <c r="D25" s="0">
        <f>IF(Allocation!BL25="","",Allocation!BL25)</f>
        <v/>
      </c>
      <c r="E25" s="0">
        <f>IF(Allocation!BM25="","",Allocation!BM25)</f>
        <v/>
      </c>
      <c r="F25" s="0">
        <f>IF(Allocation!BN25="","",Allocation!BN25)</f>
        <v/>
      </c>
      <c r="G25" s="0">
        <f>IF(Allocation!BO25="","",Allocation!BO25)</f>
        <v/>
      </c>
      <c r="H25" s="0">
        <f>IF(Allocation!BP25="","",Allocation!BP25)</f>
        <v/>
      </c>
      <c r="I25" s="0">
        <f>IF(Allocation!BQ25="","",Allocation!BQ25)</f>
        <v/>
      </c>
      <c r="J25" s="0">
        <f>IF(Allocation!CC25="","",Allocation!CC25)</f>
        <v/>
      </c>
      <c r="K25" s="0">
        <f>IF($A25="","",$H25*IF(AND(LEFT($D25,3)="BAC",$F25="INIT"),600,IF(LEFT($D25,3)="BAC",480,IF(AND(LEFT($D25,3)="MAS",$F25="INIT"),520,IF(LEFT($D25,3)="MAS",420,IF($F25="INIT",1000,700))))))</f>
        <v/>
      </c>
      <c r="L25" s="0">
        <f>IF($A25="","",SUMIFS($G$1:$G$349,$AS$1:$AS$349,$AS25,$B$1:$B$349,$B25))</f>
        <v/>
      </c>
      <c r="M25" s="0">
        <f>IF($A25="","",SUMIFS($H$1:$H$349,$AS$1:$AS$349,$AS25,$B$1:$B$349,$B25))</f>
        <v/>
      </c>
      <c r="N25" s="0">
        <f>IF($A25="","",SUMIFS($I$1:$I$349,$AS$1:$AS$349,$AS25,$B$1:$B$349,$B25))</f>
        <v/>
      </c>
      <c r="O25" s="0">
        <f>IF($A25="","",SUMIFS($K$1:$K$349,$AS$1:$AS$349,$AS25,$B$1:$B$349,$B25))</f>
        <v/>
      </c>
      <c r="P25" s="0">
        <f>IF($A25="","",SUMIFS($J$1:$J$349,$AS$1:$AS$349,$AS25,$B$1:$B$349,$B25))</f>
        <v/>
      </c>
      <c r="Q25" s="0">
        <f>IF($A25="","",SUMIFS($G$1:$G$349,$AS$1:$AS$349,$AS25,$C$1:$C$349,$C25))</f>
        <v/>
      </c>
      <c r="R25" s="0">
        <f>IF($A25="","",SUMIFS($H$1:$H$349,$AS$1:$AS$349,$AS25,$C$1:$C$349,$C25))</f>
        <v/>
      </c>
      <c r="S25" s="0">
        <f>IF($A25="","",SUMIFS($I$1:$I$349,$AS$1:$AS$349,$AS25,$C$1:$C$349,$C25))</f>
        <v/>
      </c>
      <c r="T25" s="0">
        <f>IF($A25="","",SUMIFS($G$1:$G$349,$AS$1:$AS$349,$AS25))</f>
        <v/>
      </c>
      <c r="U25" s="0">
        <f>IF($A25="","",SUMIFS($H$1:$H$349,$AS$1:$AS$349,$AS25))</f>
        <v/>
      </c>
      <c r="V25" s="0">
        <f>IF($A25="","",SUMIFS($I$1:$I$349,$AS$1:$AS$349,$AS25))</f>
        <v/>
      </c>
      <c r="W25" s="0">
        <f>IF($A25="","",Allocation!CD25)</f>
        <v/>
      </c>
      <c r="X25" s="0">
        <f>IF($A25="","",Allocation!CE25)</f>
        <v/>
      </c>
      <c r="Y25" s="0">
        <f>IF($A25="","",Allocation!CF25)</f>
        <v/>
      </c>
      <c r="Z25" s="0">
        <f>IF($A25="","",Allocation!CG25)</f>
        <v/>
      </c>
      <c r="AA25" s="0">
        <f>IF($A25="","",Allocation!CH25)</f>
        <v/>
      </c>
      <c r="AB25" s="0">
        <f>IF($A25="","",Allocation!CI25)</f>
        <v/>
      </c>
      <c r="AC25" s="0">
        <f>IF($A25="","",IF(Allocation!$N$4="VOL_EFF",$G25,IF(Allocation!$N$4="VOL_CLASS",$H25,$I25)))</f>
        <v/>
      </c>
      <c r="AD25" s="0">
        <f>IF($A25="","",IF(Allocation!$N$4="VOL_EFF",$L25,IF(Allocation!$N$4="VOL_CLASS",$M25,$N25)))</f>
        <v/>
      </c>
      <c r="AE25" s="0">
        <f>IF($A25="","",IF(Allocation!$N$3="VOL_EFF",$L25,IF(Allocation!$N$3="VOL_CLASS",$M25,$N25)))</f>
        <v/>
      </c>
      <c r="AF25" s="0">
        <f>IF($A25="","",IF(Allocation!$N$3="VOL_EFF",$Q25,IF(Allocation!$N$3="VOL_CLASS",$R25,$S25)))</f>
        <v/>
      </c>
      <c r="AG25" s="0">
        <f>IF($A25="","",IF(Allocation!$N$1="VOL_EFF",$Q25,IF(Allocation!$N$1="VOL_CLASS",$R25,$S25)))</f>
        <v/>
      </c>
      <c r="AH25" s="0">
        <f>IF($A25="","",IF(Allocation!$N$1="VOL_EFF",$T25,IF(Allocation!$N$1="VOL_CLASS",$U25,$V25)))</f>
        <v/>
      </c>
      <c r="AI25" s="0">
        <f>IF($A25="","",$W25*IFERROR($K25/$O25,0))</f>
        <v/>
      </c>
      <c r="AJ25" s="0">
        <f>IF($A25="","",$X25*IFERROR($K25/$O25,0))</f>
        <v/>
      </c>
      <c r="AK25" s="0">
        <f>IF($A25="","",$Y25*IFERROR($G25/$L25,0)+$Z25*IFERROR($J25/$P25,0))</f>
        <v/>
      </c>
      <c r="AL25" s="0">
        <f>IF($A25="","",$AA25*IFERROR($AC25/$AD25,0))</f>
        <v/>
      </c>
      <c r="AM25" s="0">
        <f>IF($A25="","",$AB25*IFERROR($AG25/$AH25,0)*IFERROR($AE25/$AF25,0)*IFERROR($AC25/$AD25,0))</f>
        <v/>
      </c>
      <c r="AN25" s="0">
        <f>IF($A25="","",$I25-($AI25+$AJ25+$AK25+$AL25+$AM25+$AR25))</f>
        <v/>
      </c>
      <c r="AO25" s="0">
        <f>IF($A25="","",Allocation!CJ25)</f>
        <v/>
      </c>
      <c r="AP25" s="0">
        <f>IF($A25="","",IF(Allocation!$N$2="VOL_EFF",$Q25,IF(Allocation!$N$2="VOL_CLASS",$R25,$S25)))</f>
        <v/>
      </c>
      <c r="AQ25" s="0">
        <f>IF($A25="","",IF(Allocation!$N$2="VOL_EFF",$T25,IF(Allocation!$N$2="VOL_CLASS",$U25,$V25)))</f>
        <v/>
      </c>
      <c r="AR25" s="0">
        <f>IF($A25="","",$AO25*IFERROR($AP25/$AQ25,0)*IFERROR($AE25/$AF25,0)*IFERROR($AC25/$AD25,0))</f>
        <v/>
      </c>
      <c r="AS25" s="0">
        <f>IF($A25="","",$A25&amp;"|"&amp;Allocation!BG25)</f>
        <v/>
      </c>
    </row>
    <row r="26" ht="14.4975" customHeight="1" s="64">
      <c r="A26" s="0">
        <f>IF(Allocation!BI26="","",Allocation!BI26)</f>
        <v/>
      </c>
      <c r="B26" s="0">
        <f>IF(Allocation!BJ26="","",Allocation!BJ26)</f>
        <v/>
      </c>
      <c r="C26" s="0">
        <f>IF(Allocation!BK26="","",Allocation!BK26)</f>
        <v/>
      </c>
      <c r="D26" s="0">
        <f>IF(Allocation!BL26="","",Allocation!BL26)</f>
        <v/>
      </c>
      <c r="E26" s="0">
        <f>IF(Allocation!BM26="","",Allocation!BM26)</f>
        <v/>
      </c>
      <c r="F26" s="0">
        <f>IF(Allocation!BN26="","",Allocation!BN26)</f>
        <v/>
      </c>
      <c r="G26" s="0">
        <f>IF(Allocation!BO26="","",Allocation!BO26)</f>
        <v/>
      </c>
      <c r="H26" s="0">
        <f>IF(Allocation!BP26="","",Allocation!BP26)</f>
        <v/>
      </c>
      <c r="I26" s="0">
        <f>IF(Allocation!BQ26="","",Allocation!BQ26)</f>
        <v/>
      </c>
      <c r="J26" s="0">
        <f>IF(Allocation!CC26="","",Allocation!CC26)</f>
        <v/>
      </c>
      <c r="K26" s="0">
        <f>IF($A26="","",$H26*IF(AND(LEFT($D26,3)="BAC",$F26="INIT"),600,IF(LEFT($D26,3)="BAC",480,IF(AND(LEFT($D26,3)="MAS",$F26="INIT"),520,IF(LEFT($D26,3)="MAS",420,IF($F26="INIT",1000,700))))))</f>
        <v/>
      </c>
      <c r="L26" s="0">
        <f>IF($A26="","",SUMIFS($G$1:$G$349,$AS$1:$AS$349,$AS26,$B$1:$B$349,$B26))</f>
        <v/>
      </c>
      <c r="M26" s="0">
        <f>IF($A26="","",SUMIFS($H$1:$H$349,$AS$1:$AS$349,$AS26,$B$1:$B$349,$B26))</f>
        <v/>
      </c>
      <c r="N26" s="0">
        <f>IF($A26="","",SUMIFS($I$1:$I$349,$AS$1:$AS$349,$AS26,$B$1:$B$349,$B26))</f>
        <v/>
      </c>
      <c r="O26" s="0">
        <f>IF($A26="","",SUMIFS($K$1:$K$349,$AS$1:$AS$349,$AS26,$B$1:$B$349,$B26))</f>
        <v/>
      </c>
      <c r="P26" s="0">
        <f>IF($A26="","",SUMIFS($J$1:$J$349,$AS$1:$AS$349,$AS26,$B$1:$B$349,$B26))</f>
        <v/>
      </c>
      <c r="Q26" s="0">
        <f>IF($A26="","",SUMIFS($G$1:$G$349,$AS$1:$AS$349,$AS26,$C$1:$C$349,$C26))</f>
        <v/>
      </c>
      <c r="R26" s="0">
        <f>IF($A26="","",SUMIFS($H$1:$H$349,$AS$1:$AS$349,$AS26,$C$1:$C$349,$C26))</f>
        <v/>
      </c>
      <c r="S26" s="0">
        <f>IF($A26="","",SUMIFS($I$1:$I$349,$AS$1:$AS$349,$AS26,$C$1:$C$349,$C26))</f>
        <v/>
      </c>
      <c r="T26" s="0">
        <f>IF($A26="","",SUMIFS($G$1:$G$349,$AS$1:$AS$349,$AS26))</f>
        <v/>
      </c>
      <c r="U26" s="0">
        <f>IF($A26="","",SUMIFS($H$1:$H$349,$AS$1:$AS$349,$AS26))</f>
        <v/>
      </c>
      <c r="V26" s="0">
        <f>IF($A26="","",SUMIFS($I$1:$I$349,$AS$1:$AS$349,$AS26))</f>
        <v/>
      </c>
      <c r="W26" s="0">
        <f>IF($A26="","",Allocation!CD26)</f>
        <v/>
      </c>
      <c r="X26" s="0">
        <f>IF($A26="","",Allocation!CE26)</f>
        <v/>
      </c>
      <c r="Y26" s="0">
        <f>IF($A26="","",Allocation!CF26)</f>
        <v/>
      </c>
      <c r="Z26" s="0">
        <f>IF($A26="","",Allocation!CG26)</f>
        <v/>
      </c>
      <c r="AA26" s="0">
        <f>IF($A26="","",Allocation!CH26)</f>
        <v/>
      </c>
      <c r="AB26" s="0">
        <f>IF($A26="","",Allocation!CI26)</f>
        <v/>
      </c>
      <c r="AC26" s="0">
        <f>IF($A26="","",IF(Allocation!$N$4="VOL_EFF",$G26,IF(Allocation!$N$4="VOL_CLASS",$H26,$I26)))</f>
        <v/>
      </c>
      <c r="AD26" s="0">
        <f>IF($A26="","",IF(Allocation!$N$4="VOL_EFF",$L26,IF(Allocation!$N$4="VOL_CLASS",$M26,$N26)))</f>
        <v/>
      </c>
      <c r="AE26" s="0">
        <f>IF($A26="","",IF(Allocation!$N$3="VOL_EFF",$L26,IF(Allocation!$N$3="VOL_CLASS",$M26,$N26)))</f>
        <v/>
      </c>
      <c r="AF26" s="0">
        <f>IF($A26="","",IF(Allocation!$N$3="VOL_EFF",$Q26,IF(Allocation!$N$3="VOL_CLASS",$R26,$S26)))</f>
        <v/>
      </c>
      <c r="AG26" s="0">
        <f>IF($A26="","",IF(Allocation!$N$1="VOL_EFF",$Q26,IF(Allocation!$N$1="VOL_CLASS",$R26,$S26)))</f>
        <v/>
      </c>
      <c r="AH26" s="0">
        <f>IF($A26="","",IF(Allocation!$N$1="VOL_EFF",$T26,IF(Allocation!$N$1="VOL_CLASS",$U26,$V26)))</f>
        <v/>
      </c>
      <c r="AI26" s="0">
        <f>IF($A26="","",$W26*IFERROR($K26/$O26,0))</f>
        <v/>
      </c>
      <c r="AJ26" s="0">
        <f>IF($A26="","",$X26*IFERROR($K26/$O26,0))</f>
        <v/>
      </c>
      <c r="AK26" s="0">
        <f>IF($A26="","",$Y26*IFERROR($G26/$L26,0)+$Z26*IFERROR($J26/$P26,0))</f>
        <v/>
      </c>
      <c r="AL26" s="0">
        <f>IF($A26="","",$AA26*IFERROR($AC26/$AD26,0))</f>
        <v/>
      </c>
      <c r="AM26" s="0">
        <f>IF($A26="","",$AB26*IFERROR($AG26/$AH26,0)*IFERROR($AE26/$AF26,0)*IFERROR($AC26/$AD26,0))</f>
        <v/>
      </c>
      <c r="AN26" s="0">
        <f>IF($A26="","",$I26-($AI26+$AJ26+$AK26+$AL26+$AM26+$AR26))</f>
        <v/>
      </c>
      <c r="AO26" s="0">
        <f>IF($A26="","",Allocation!CJ26)</f>
        <v/>
      </c>
      <c r="AP26" s="0">
        <f>IF($A26="","",IF(Allocation!$N$2="VOL_EFF",$Q26,IF(Allocation!$N$2="VOL_CLASS",$R26,$S26)))</f>
        <v/>
      </c>
      <c r="AQ26" s="0">
        <f>IF($A26="","",IF(Allocation!$N$2="VOL_EFF",$T26,IF(Allocation!$N$2="VOL_CLASS",$U26,$V26)))</f>
        <v/>
      </c>
      <c r="AR26" s="0">
        <f>IF($A26="","",$AO26*IFERROR($AP26/$AQ26,0)*IFERROR($AE26/$AF26,0)*IFERROR($AC26/$AD26,0))</f>
        <v/>
      </c>
      <c r="AS26" s="0">
        <f>IF($A26="","",$A26&amp;"|"&amp;Allocation!BG26)</f>
        <v/>
      </c>
    </row>
    <row r="27" ht="14.4975" customHeight="1" s="64">
      <c r="A27" s="0">
        <f>IF(Allocation!BI27="","",Allocation!BI27)</f>
        <v/>
      </c>
      <c r="B27" s="0">
        <f>IF(Allocation!BJ27="","",Allocation!BJ27)</f>
        <v/>
      </c>
      <c r="C27" s="0">
        <f>IF(Allocation!BK27="","",Allocation!BK27)</f>
        <v/>
      </c>
      <c r="D27" s="0">
        <f>IF(Allocation!BL27="","",Allocation!BL27)</f>
        <v/>
      </c>
      <c r="E27" s="0">
        <f>IF(Allocation!BM27="","",Allocation!BM27)</f>
        <v/>
      </c>
      <c r="F27" s="0">
        <f>IF(Allocation!BN27="","",Allocation!BN27)</f>
        <v/>
      </c>
      <c r="G27" s="0">
        <f>IF(Allocation!BO27="","",Allocation!BO27)</f>
        <v/>
      </c>
      <c r="H27" s="0">
        <f>IF(Allocation!BP27="","",Allocation!BP27)</f>
        <v/>
      </c>
      <c r="I27" s="0">
        <f>IF(Allocation!BQ27="","",Allocation!BQ27)</f>
        <v/>
      </c>
      <c r="J27" s="0">
        <f>IF(Allocation!CC27="","",Allocation!CC27)</f>
        <v/>
      </c>
      <c r="K27" s="0">
        <f>IF($A27="","",$H27*IF(AND(LEFT($D27,3)="BAC",$F27="INIT"),600,IF(LEFT($D27,3)="BAC",480,IF(AND(LEFT($D27,3)="MAS",$F27="INIT"),520,IF(LEFT($D27,3)="MAS",420,IF($F27="INIT",1000,700))))))</f>
        <v/>
      </c>
      <c r="L27" s="0">
        <f>IF($A27="","",SUMIFS($G$1:$G$349,$AS$1:$AS$349,$AS27,$B$1:$B$349,$B27))</f>
        <v/>
      </c>
      <c r="M27" s="0">
        <f>IF($A27="","",SUMIFS($H$1:$H$349,$AS$1:$AS$349,$AS27,$B$1:$B$349,$B27))</f>
        <v/>
      </c>
      <c r="N27" s="0">
        <f>IF($A27="","",SUMIFS($I$1:$I$349,$AS$1:$AS$349,$AS27,$B$1:$B$349,$B27))</f>
        <v/>
      </c>
      <c r="O27" s="0">
        <f>IF($A27="","",SUMIFS($K$1:$K$349,$AS$1:$AS$349,$AS27,$B$1:$B$349,$B27))</f>
        <v/>
      </c>
      <c r="P27" s="0">
        <f>IF($A27="","",SUMIFS($J$1:$J$349,$AS$1:$AS$349,$AS27,$B$1:$B$349,$B27))</f>
        <v/>
      </c>
      <c r="Q27" s="0">
        <f>IF($A27="","",SUMIFS($G$1:$G$349,$AS$1:$AS$349,$AS27,$C$1:$C$349,$C27))</f>
        <v/>
      </c>
      <c r="R27" s="0">
        <f>IF($A27="","",SUMIFS($H$1:$H$349,$AS$1:$AS$349,$AS27,$C$1:$C$349,$C27))</f>
        <v/>
      </c>
      <c r="S27" s="0">
        <f>IF($A27="","",SUMIFS($I$1:$I$349,$AS$1:$AS$349,$AS27,$C$1:$C$349,$C27))</f>
        <v/>
      </c>
      <c r="T27" s="0">
        <f>IF($A27="","",SUMIFS($G$1:$G$349,$AS$1:$AS$349,$AS27))</f>
        <v/>
      </c>
      <c r="U27" s="0">
        <f>IF($A27="","",SUMIFS($H$1:$H$349,$AS$1:$AS$349,$AS27))</f>
        <v/>
      </c>
      <c r="V27" s="0">
        <f>IF($A27="","",SUMIFS($I$1:$I$349,$AS$1:$AS$349,$AS27))</f>
        <v/>
      </c>
      <c r="W27" s="0">
        <f>IF($A27="","",Allocation!CD27)</f>
        <v/>
      </c>
      <c r="X27" s="0">
        <f>IF($A27="","",Allocation!CE27)</f>
        <v/>
      </c>
      <c r="Y27" s="0">
        <f>IF($A27="","",Allocation!CF27)</f>
        <v/>
      </c>
      <c r="Z27" s="0">
        <f>IF($A27="","",Allocation!CG27)</f>
        <v/>
      </c>
      <c r="AA27" s="0">
        <f>IF($A27="","",Allocation!CH27)</f>
        <v/>
      </c>
      <c r="AB27" s="0">
        <f>IF($A27="","",Allocation!CI27)</f>
        <v/>
      </c>
      <c r="AC27" s="0">
        <f>IF($A27="","",IF(Allocation!$N$4="VOL_EFF",$G27,IF(Allocation!$N$4="VOL_CLASS",$H27,$I27)))</f>
        <v/>
      </c>
      <c r="AD27" s="0">
        <f>IF($A27="","",IF(Allocation!$N$4="VOL_EFF",$L27,IF(Allocation!$N$4="VOL_CLASS",$M27,$N27)))</f>
        <v/>
      </c>
      <c r="AE27" s="0">
        <f>IF($A27="","",IF(Allocation!$N$3="VOL_EFF",$L27,IF(Allocation!$N$3="VOL_CLASS",$M27,$N27)))</f>
        <v/>
      </c>
      <c r="AF27" s="0">
        <f>IF($A27="","",IF(Allocation!$N$3="VOL_EFF",$Q27,IF(Allocation!$N$3="VOL_CLASS",$R27,$S27)))</f>
        <v/>
      </c>
      <c r="AG27" s="0">
        <f>IF($A27="","",IF(Allocation!$N$1="VOL_EFF",$Q27,IF(Allocation!$N$1="VOL_CLASS",$R27,$S27)))</f>
        <v/>
      </c>
      <c r="AH27" s="0">
        <f>IF($A27="","",IF(Allocation!$N$1="VOL_EFF",$T27,IF(Allocation!$N$1="VOL_CLASS",$U27,$V27)))</f>
        <v/>
      </c>
      <c r="AI27" s="0">
        <f>IF($A27="","",$W27*IFERROR($K27/$O27,0))</f>
        <v/>
      </c>
      <c r="AJ27" s="0">
        <f>IF($A27="","",$X27*IFERROR($K27/$O27,0))</f>
        <v/>
      </c>
      <c r="AK27" s="0">
        <f>IF($A27="","",$Y27*IFERROR($G27/$L27,0)+$Z27*IFERROR($J27/$P27,0))</f>
        <v/>
      </c>
      <c r="AL27" s="0">
        <f>IF($A27="","",$AA27*IFERROR($AC27/$AD27,0))</f>
        <v/>
      </c>
      <c r="AM27" s="0">
        <f>IF($A27="","",$AB27*IFERROR($AG27/$AH27,0)*IFERROR($AE27/$AF27,0)*IFERROR($AC27/$AD27,0))</f>
        <v/>
      </c>
      <c r="AN27" s="0">
        <f>IF($A27="","",$I27-($AI27+$AJ27+$AK27+$AL27+$AM27+$AR27))</f>
        <v/>
      </c>
      <c r="AO27" s="0">
        <f>IF($A27="","",Allocation!CJ27)</f>
        <v/>
      </c>
      <c r="AP27" s="0">
        <f>IF($A27="","",IF(Allocation!$N$2="VOL_EFF",$Q27,IF(Allocation!$N$2="VOL_CLASS",$R27,$S27)))</f>
        <v/>
      </c>
      <c r="AQ27" s="0">
        <f>IF($A27="","",IF(Allocation!$N$2="VOL_EFF",$T27,IF(Allocation!$N$2="VOL_CLASS",$U27,$V27)))</f>
        <v/>
      </c>
      <c r="AR27" s="0">
        <f>IF($A27="","",$AO27*IFERROR($AP27/$AQ27,0)*IFERROR($AE27/$AF27,0)*IFERROR($AC27/$AD27,0))</f>
        <v/>
      </c>
      <c r="AS27" s="0">
        <f>IF($A27="","",$A27&amp;"|"&amp;Allocation!BG27)</f>
        <v/>
      </c>
    </row>
    <row r="28" ht="14.4975" customHeight="1" s="64">
      <c r="A28" s="0">
        <f>IF(Allocation!BI28="","",Allocation!BI28)</f>
        <v/>
      </c>
      <c r="B28" s="0">
        <f>IF(Allocation!BJ28="","",Allocation!BJ28)</f>
        <v/>
      </c>
      <c r="C28" s="0">
        <f>IF(Allocation!BK28="","",Allocation!BK28)</f>
        <v/>
      </c>
      <c r="D28" s="0">
        <f>IF(Allocation!BL28="","",Allocation!BL28)</f>
        <v/>
      </c>
      <c r="E28" s="0">
        <f>IF(Allocation!BM28="","",Allocation!BM28)</f>
        <v/>
      </c>
      <c r="F28" s="0">
        <f>IF(Allocation!BN28="","",Allocation!BN28)</f>
        <v/>
      </c>
      <c r="G28" s="0">
        <f>IF(Allocation!BO28="","",Allocation!BO28)</f>
        <v/>
      </c>
      <c r="H28" s="0">
        <f>IF(Allocation!BP28="","",Allocation!BP28)</f>
        <v/>
      </c>
      <c r="I28" s="0">
        <f>IF(Allocation!BQ28="","",Allocation!BQ28)</f>
        <v/>
      </c>
      <c r="J28" s="0">
        <f>IF(Allocation!CC28="","",Allocation!CC28)</f>
        <v/>
      </c>
      <c r="K28" s="0">
        <f>IF($A28="","",$H28*IF(AND(LEFT($D28,3)="BAC",$F28="INIT"),600,IF(LEFT($D28,3)="BAC",480,IF(AND(LEFT($D28,3)="MAS",$F28="INIT"),520,IF(LEFT($D28,3)="MAS",420,IF($F28="INIT",1000,700))))))</f>
        <v/>
      </c>
      <c r="L28" s="0">
        <f>IF($A28="","",SUMIFS($G$1:$G$349,$AS$1:$AS$349,$AS28,$B$1:$B$349,$B28))</f>
        <v/>
      </c>
      <c r="M28" s="0">
        <f>IF($A28="","",SUMIFS($H$1:$H$349,$AS$1:$AS$349,$AS28,$B$1:$B$349,$B28))</f>
        <v/>
      </c>
      <c r="N28" s="0">
        <f>IF($A28="","",SUMIFS($I$1:$I$349,$AS$1:$AS$349,$AS28,$B$1:$B$349,$B28))</f>
        <v/>
      </c>
      <c r="O28" s="0">
        <f>IF($A28="","",SUMIFS($K$1:$K$349,$AS$1:$AS$349,$AS28,$B$1:$B$349,$B28))</f>
        <v/>
      </c>
      <c r="P28" s="0">
        <f>IF($A28="","",SUMIFS($J$1:$J$349,$AS$1:$AS$349,$AS28,$B$1:$B$349,$B28))</f>
        <v/>
      </c>
      <c r="Q28" s="0">
        <f>IF($A28="","",SUMIFS($G$1:$G$349,$AS$1:$AS$349,$AS28,$C$1:$C$349,$C28))</f>
        <v/>
      </c>
      <c r="R28" s="0">
        <f>IF($A28="","",SUMIFS($H$1:$H$349,$AS$1:$AS$349,$AS28,$C$1:$C$349,$C28))</f>
        <v/>
      </c>
      <c r="S28" s="0">
        <f>IF($A28="","",SUMIFS($I$1:$I$349,$AS$1:$AS$349,$AS28,$C$1:$C$349,$C28))</f>
        <v/>
      </c>
      <c r="T28" s="0">
        <f>IF($A28="","",SUMIFS($G$1:$G$349,$AS$1:$AS$349,$AS28))</f>
        <v/>
      </c>
      <c r="U28" s="0">
        <f>IF($A28="","",SUMIFS($H$1:$H$349,$AS$1:$AS$349,$AS28))</f>
        <v/>
      </c>
      <c r="V28" s="0">
        <f>IF($A28="","",SUMIFS($I$1:$I$349,$AS$1:$AS$349,$AS28))</f>
        <v/>
      </c>
      <c r="W28" s="0">
        <f>IF($A28="","",Allocation!CD28)</f>
        <v/>
      </c>
      <c r="X28" s="0">
        <f>IF($A28="","",Allocation!CE28)</f>
        <v/>
      </c>
      <c r="Y28" s="0">
        <f>IF($A28="","",Allocation!CF28)</f>
        <v/>
      </c>
      <c r="Z28" s="0">
        <f>IF($A28="","",Allocation!CG28)</f>
        <v/>
      </c>
      <c r="AA28" s="0">
        <f>IF($A28="","",Allocation!CH28)</f>
        <v/>
      </c>
      <c r="AB28" s="0">
        <f>IF($A28="","",Allocation!CI28)</f>
        <v/>
      </c>
      <c r="AC28" s="0">
        <f>IF($A28="","",IF(Allocation!$N$4="VOL_EFF",$G28,IF(Allocation!$N$4="VOL_CLASS",$H28,$I28)))</f>
        <v/>
      </c>
      <c r="AD28" s="0">
        <f>IF($A28="","",IF(Allocation!$N$4="VOL_EFF",$L28,IF(Allocation!$N$4="VOL_CLASS",$M28,$N28)))</f>
        <v/>
      </c>
      <c r="AE28" s="0">
        <f>IF($A28="","",IF(Allocation!$N$3="VOL_EFF",$L28,IF(Allocation!$N$3="VOL_CLASS",$M28,$N28)))</f>
        <v/>
      </c>
      <c r="AF28" s="0">
        <f>IF($A28="","",IF(Allocation!$N$3="VOL_EFF",$Q28,IF(Allocation!$N$3="VOL_CLASS",$R28,$S28)))</f>
        <v/>
      </c>
      <c r="AG28" s="0">
        <f>IF($A28="","",IF(Allocation!$N$1="VOL_EFF",$Q28,IF(Allocation!$N$1="VOL_CLASS",$R28,$S28)))</f>
        <v/>
      </c>
      <c r="AH28" s="0">
        <f>IF($A28="","",IF(Allocation!$N$1="VOL_EFF",$T28,IF(Allocation!$N$1="VOL_CLASS",$U28,$V28)))</f>
        <v/>
      </c>
      <c r="AI28" s="0">
        <f>IF($A28="","",$W28*IFERROR($K28/$O28,0))</f>
        <v/>
      </c>
      <c r="AJ28" s="0">
        <f>IF($A28="","",$X28*IFERROR($K28/$O28,0))</f>
        <v/>
      </c>
      <c r="AK28" s="0">
        <f>IF($A28="","",$Y28*IFERROR($G28/$L28,0)+$Z28*IFERROR($J28/$P28,0))</f>
        <v/>
      </c>
      <c r="AL28" s="0">
        <f>IF($A28="","",$AA28*IFERROR($AC28/$AD28,0))</f>
        <v/>
      </c>
      <c r="AM28" s="0">
        <f>IF($A28="","",$AB28*IFERROR($AG28/$AH28,0)*IFERROR($AE28/$AF28,0)*IFERROR($AC28/$AD28,0))</f>
        <v/>
      </c>
      <c r="AN28" s="0">
        <f>IF($A28="","",$I28-($AI28+$AJ28+$AK28+$AL28+$AM28+$AR28))</f>
        <v/>
      </c>
      <c r="AO28" s="0">
        <f>IF($A28="","",Allocation!CJ28)</f>
        <v/>
      </c>
      <c r="AP28" s="0">
        <f>IF($A28="","",IF(Allocation!$N$2="VOL_EFF",$Q28,IF(Allocation!$N$2="VOL_CLASS",$R28,$S28)))</f>
        <v/>
      </c>
      <c r="AQ28" s="0">
        <f>IF($A28="","",IF(Allocation!$N$2="VOL_EFF",$T28,IF(Allocation!$N$2="VOL_CLASS",$U28,$V28)))</f>
        <v/>
      </c>
      <c r="AR28" s="0">
        <f>IF($A28="","",$AO28*IFERROR($AP28/$AQ28,0)*IFERROR($AE28/$AF28,0)*IFERROR($AC28/$AD28,0))</f>
        <v/>
      </c>
      <c r="AS28" s="0">
        <f>IF($A28="","",$A28&amp;"|"&amp;Allocation!BG28)</f>
        <v/>
      </c>
    </row>
    <row r="29" ht="14.4975" customHeight="1" s="64">
      <c r="A29" s="0">
        <f>IF(Allocation!BI29="","",Allocation!BI29)</f>
        <v/>
      </c>
      <c r="B29" s="0">
        <f>IF(Allocation!BJ29="","",Allocation!BJ29)</f>
        <v/>
      </c>
      <c r="C29" s="0">
        <f>IF(Allocation!BK29="","",Allocation!BK29)</f>
        <v/>
      </c>
      <c r="D29" s="0">
        <f>IF(Allocation!BL29="","",Allocation!BL29)</f>
        <v/>
      </c>
      <c r="E29" s="0">
        <f>IF(Allocation!BM29="","",Allocation!BM29)</f>
        <v/>
      </c>
      <c r="F29" s="0">
        <f>IF(Allocation!BN29="","",Allocation!BN29)</f>
        <v/>
      </c>
      <c r="G29" s="0">
        <f>IF(Allocation!BO29="","",Allocation!BO29)</f>
        <v/>
      </c>
      <c r="H29" s="0">
        <f>IF(Allocation!BP29="","",Allocation!BP29)</f>
        <v/>
      </c>
      <c r="I29" s="0">
        <f>IF(Allocation!BQ29="","",Allocation!BQ29)</f>
        <v/>
      </c>
      <c r="J29" s="0">
        <f>IF(Allocation!CC29="","",Allocation!CC29)</f>
        <v/>
      </c>
      <c r="K29" s="0">
        <f>IF($A29="","",$H29*IF(AND(LEFT($D29,3)="BAC",$F29="INIT"),600,IF(LEFT($D29,3)="BAC",480,IF(AND(LEFT($D29,3)="MAS",$F29="INIT"),520,IF(LEFT($D29,3)="MAS",420,IF($F29="INIT",1000,700))))))</f>
        <v/>
      </c>
      <c r="L29" s="0">
        <f>IF($A29="","",SUMIFS($G$1:$G$349,$AS$1:$AS$349,$AS29,$B$1:$B$349,$B29))</f>
        <v/>
      </c>
      <c r="M29" s="0">
        <f>IF($A29="","",SUMIFS($H$1:$H$349,$AS$1:$AS$349,$AS29,$B$1:$B$349,$B29))</f>
        <v/>
      </c>
      <c r="N29" s="0">
        <f>IF($A29="","",SUMIFS($I$1:$I$349,$AS$1:$AS$349,$AS29,$B$1:$B$349,$B29))</f>
        <v/>
      </c>
      <c r="O29" s="0">
        <f>IF($A29="","",SUMIFS($K$1:$K$349,$AS$1:$AS$349,$AS29,$B$1:$B$349,$B29))</f>
        <v/>
      </c>
      <c r="P29" s="0">
        <f>IF($A29="","",SUMIFS($J$1:$J$349,$AS$1:$AS$349,$AS29,$B$1:$B$349,$B29))</f>
        <v/>
      </c>
      <c r="Q29" s="0">
        <f>IF($A29="","",SUMIFS($G$1:$G$349,$AS$1:$AS$349,$AS29,$C$1:$C$349,$C29))</f>
        <v/>
      </c>
      <c r="R29" s="0">
        <f>IF($A29="","",SUMIFS($H$1:$H$349,$AS$1:$AS$349,$AS29,$C$1:$C$349,$C29))</f>
        <v/>
      </c>
      <c r="S29" s="0">
        <f>IF($A29="","",SUMIFS($I$1:$I$349,$AS$1:$AS$349,$AS29,$C$1:$C$349,$C29))</f>
        <v/>
      </c>
      <c r="T29" s="0">
        <f>IF($A29="","",SUMIFS($G$1:$G$349,$AS$1:$AS$349,$AS29))</f>
        <v/>
      </c>
      <c r="U29" s="0">
        <f>IF($A29="","",SUMIFS($H$1:$H$349,$AS$1:$AS$349,$AS29))</f>
        <v/>
      </c>
      <c r="V29" s="0">
        <f>IF($A29="","",SUMIFS($I$1:$I$349,$AS$1:$AS$349,$AS29))</f>
        <v/>
      </c>
      <c r="W29" s="0">
        <f>IF($A29="","",Allocation!CD29)</f>
        <v/>
      </c>
      <c r="X29" s="0">
        <f>IF($A29="","",Allocation!CE29)</f>
        <v/>
      </c>
      <c r="Y29" s="0">
        <f>IF($A29="","",Allocation!CF29)</f>
        <v/>
      </c>
      <c r="Z29" s="0">
        <f>IF($A29="","",Allocation!CG29)</f>
        <v/>
      </c>
      <c r="AA29" s="0">
        <f>IF($A29="","",Allocation!CH29)</f>
        <v/>
      </c>
      <c r="AB29" s="0">
        <f>IF($A29="","",Allocation!CI29)</f>
        <v/>
      </c>
      <c r="AC29" s="0">
        <f>IF($A29="","",IF(Allocation!$N$4="VOL_EFF",$G29,IF(Allocation!$N$4="VOL_CLASS",$H29,$I29)))</f>
        <v/>
      </c>
      <c r="AD29" s="0">
        <f>IF($A29="","",IF(Allocation!$N$4="VOL_EFF",$L29,IF(Allocation!$N$4="VOL_CLASS",$M29,$N29)))</f>
        <v/>
      </c>
      <c r="AE29" s="0">
        <f>IF($A29="","",IF(Allocation!$N$3="VOL_EFF",$L29,IF(Allocation!$N$3="VOL_CLASS",$M29,$N29)))</f>
        <v/>
      </c>
      <c r="AF29" s="0">
        <f>IF($A29="","",IF(Allocation!$N$3="VOL_EFF",$Q29,IF(Allocation!$N$3="VOL_CLASS",$R29,$S29)))</f>
        <v/>
      </c>
      <c r="AG29" s="0">
        <f>IF($A29="","",IF(Allocation!$N$1="VOL_EFF",$Q29,IF(Allocation!$N$1="VOL_CLASS",$R29,$S29)))</f>
        <v/>
      </c>
      <c r="AH29" s="0">
        <f>IF($A29="","",IF(Allocation!$N$1="VOL_EFF",$T29,IF(Allocation!$N$1="VOL_CLASS",$U29,$V29)))</f>
        <v/>
      </c>
      <c r="AI29" s="0">
        <f>IF($A29="","",$W29*IFERROR($K29/$O29,0))</f>
        <v/>
      </c>
      <c r="AJ29" s="0">
        <f>IF($A29="","",$X29*IFERROR($K29/$O29,0))</f>
        <v/>
      </c>
      <c r="AK29" s="0">
        <f>IF($A29="","",$Y29*IFERROR($G29/$L29,0)+$Z29*IFERROR($J29/$P29,0))</f>
        <v/>
      </c>
      <c r="AL29" s="0">
        <f>IF($A29="","",$AA29*IFERROR($AC29/$AD29,0))</f>
        <v/>
      </c>
      <c r="AM29" s="0">
        <f>IF($A29="","",$AB29*IFERROR($AG29/$AH29,0)*IFERROR($AE29/$AF29,0)*IFERROR($AC29/$AD29,0))</f>
        <v/>
      </c>
      <c r="AN29" s="0">
        <f>IF($A29="","",$I29-($AI29+$AJ29+$AK29+$AL29+$AM29+$AR29))</f>
        <v/>
      </c>
      <c r="AO29" s="0">
        <f>IF($A29="","",Allocation!CJ29)</f>
        <v/>
      </c>
      <c r="AP29" s="0">
        <f>IF($A29="","",IF(Allocation!$N$2="VOL_EFF",$Q29,IF(Allocation!$N$2="VOL_CLASS",$R29,$S29)))</f>
        <v/>
      </c>
      <c r="AQ29" s="0">
        <f>IF($A29="","",IF(Allocation!$N$2="VOL_EFF",$T29,IF(Allocation!$N$2="VOL_CLASS",$U29,$V29)))</f>
        <v/>
      </c>
      <c r="AR29" s="0">
        <f>IF($A29="","",$AO29*IFERROR($AP29/$AQ29,0)*IFERROR($AE29/$AF29,0)*IFERROR($AC29/$AD29,0))</f>
        <v/>
      </c>
      <c r="AS29" s="0">
        <f>IF($A29="","",$A29&amp;"|"&amp;Allocation!BG29)</f>
        <v/>
      </c>
    </row>
    <row r="30" ht="14.4975" customHeight="1" s="64">
      <c r="A30" s="0">
        <f>IF(Allocation!BI30="","",Allocation!BI30)</f>
        <v/>
      </c>
      <c r="B30" s="0">
        <f>IF(Allocation!BJ30="","",Allocation!BJ30)</f>
        <v/>
      </c>
      <c r="C30" s="0">
        <f>IF(Allocation!BK30="","",Allocation!BK30)</f>
        <v/>
      </c>
      <c r="D30" s="0">
        <f>IF(Allocation!BL30="","",Allocation!BL30)</f>
        <v/>
      </c>
      <c r="E30" s="0">
        <f>IF(Allocation!BM30="","",Allocation!BM30)</f>
        <v/>
      </c>
      <c r="F30" s="0">
        <f>IF(Allocation!BN30="","",Allocation!BN30)</f>
        <v/>
      </c>
      <c r="G30" s="0">
        <f>IF(Allocation!BO30="","",Allocation!BO30)</f>
        <v/>
      </c>
      <c r="H30" s="0">
        <f>IF(Allocation!BP30="","",Allocation!BP30)</f>
        <v/>
      </c>
      <c r="I30" s="0">
        <f>IF(Allocation!BQ30="","",Allocation!BQ30)</f>
        <v/>
      </c>
      <c r="J30" s="0">
        <f>IF(Allocation!CC30="","",Allocation!CC30)</f>
        <v/>
      </c>
      <c r="K30" s="0">
        <f>IF($A30="","",$H30*IF(AND(LEFT($D30,3)="BAC",$F30="INIT"),600,IF(LEFT($D30,3)="BAC",480,IF(AND(LEFT($D30,3)="MAS",$F30="INIT"),520,IF(LEFT($D30,3)="MAS",420,IF($F30="INIT",1000,700))))))</f>
        <v/>
      </c>
      <c r="L30" s="0">
        <f>IF($A30="","",SUMIFS($G$1:$G$349,$AS$1:$AS$349,$AS30,$B$1:$B$349,$B30))</f>
        <v/>
      </c>
      <c r="M30" s="0">
        <f>IF($A30="","",SUMIFS($H$1:$H$349,$AS$1:$AS$349,$AS30,$B$1:$B$349,$B30))</f>
        <v/>
      </c>
      <c r="N30" s="0">
        <f>IF($A30="","",SUMIFS($I$1:$I$349,$AS$1:$AS$349,$AS30,$B$1:$B$349,$B30))</f>
        <v/>
      </c>
      <c r="O30" s="0">
        <f>IF($A30="","",SUMIFS($K$1:$K$349,$AS$1:$AS$349,$AS30,$B$1:$B$349,$B30))</f>
        <v/>
      </c>
      <c r="P30" s="0">
        <f>IF($A30="","",SUMIFS($J$1:$J$349,$AS$1:$AS$349,$AS30,$B$1:$B$349,$B30))</f>
        <v/>
      </c>
      <c r="Q30" s="0">
        <f>IF($A30="","",SUMIFS($G$1:$G$349,$AS$1:$AS$349,$AS30,$C$1:$C$349,$C30))</f>
        <v/>
      </c>
      <c r="R30" s="0">
        <f>IF($A30="","",SUMIFS($H$1:$H$349,$AS$1:$AS$349,$AS30,$C$1:$C$349,$C30))</f>
        <v/>
      </c>
      <c r="S30" s="0">
        <f>IF($A30="","",SUMIFS($I$1:$I$349,$AS$1:$AS$349,$AS30,$C$1:$C$349,$C30))</f>
        <v/>
      </c>
      <c r="T30" s="0">
        <f>IF($A30="","",SUMIFS($G$1:$G$349,$AS$1:$AS$349,$AS30))</f>
        <v/>
      </c>
      <c r="U30" s="0">
        <f>IF($A30="","",SUMIFS($H$1:$H$349,$AS$1:$AS$349,$AS30))</f>
        <v/>
      </c>
      <c r="V30" s="0">
        <f>IF($A30="","",SUMIFS($I$1:$I$349,$AS$1:$AS$349,$AS30))</f>
        <v/>
      </c>
      <c r="W30" s="0">
        <f>IF($A30="","",Allocation!CD30)</f>
        <v/>
      </c>
      <c r="X30" s="0">
        <f>IF($A30="","",Allocation!CE30)</f>
        <v/>
      </c>
      <c r="Y30" s="0">
        <f>IF($A30="","",Allocation!CF30)</f>
        <v/>
      </c>
      <c r="Z30" s="0">
        <f>IF($A30="","",Allocation!CG30)</f>
        <v/>
      </c>
      <c r="AA30" s="0">
        <f>IF($A30="","",Allocation!CH30)</f>
        <v/>
      </c>
      <c r="AB30" s="0">
        <f>IF($A30="","",Allocation!CI30)</f>
        <v/>
      </c>
      <c r="AC30" s="0">
        <f>IF($A30="","",IF(Allocation!$N$4="VOL_EFF",$G30,IF(Allocation!$N$4="VOL_CLASS",$H30,$I30)))</f>
        <v/>
      </c>
      <c r="AD30" s="0">
        <f>IF($A30="","",IF(Allocation!$N$4="VOL_EFF",$L30,IF(Allocation!$N$4="VOL_CLASS",$M30,$N30)))</f>
        <v/>
      </c>
      <c r="AE30" s="0">
        <f>IF($A30="","",IF(Allocation!$N$3="VOL_EFF",$L30,IF(Allocation!$N$3="VOL_CLASS",$M30,$N30)))</f>
        <v/>
      </c>
      <c r="AF30" s="0">
        <f>IF($A30="","",IF(Allocation!$N$3="VOL_EFF",$Q30,IF(Allocation!$N$3="VOL_CLASS",$R30,$S30)))</f>
        <v/>
      </c>
      <c r="AG30" s="0">
        <f>IF($A30="","",IF(Allocation!$N$1="VOL_EFF",$Q30,IF(Allocation!$N$1="VOL_CLASS",$R30,$S30)))</f>
        <v/>
      </c>
      <c r="AH30" s="0">
        <f>IF($A30="","",IF(Allocation!$N$1="VOL_EFF",$T30,IF(Allocation!$N$1="VOL_CLASS",$U30,$V30)))</f>
        <v/>
      </c>
      <c r="AI30" s="0">
        <f>IF($A30="","",$W30*IFERROR($K30/$O30,0))</f>
        <v/>
      </c>
      <c r="AJ30" s="0">
        <f>IF($A30="","",$X30*IFERROR($K30/$O30,0))</f>
        <v/>
      </c>
      <c r="AK30" s="0">
        <f>IF($A30="","",$Y30*IFERROR($G30/$L30,0)+$Z30*IFERROR($J30/$P30,0))</f>
        <v/>
      </c>
      <c r="AL30" s="0">
        <f>IF($A30="","",$AA30*IFERROR($AC30/$AD30,0))</f>
        <v/>
      </c>
      <c r="AM30" s="0">
        <f>IF($A30="","",$AB30*IFERROR($AG30/$AH30,0)*IFERROR($AE30/$AF30,0)*IFERROR($AC30/$AD30,0))</f>
        <v/>
      </c>
      <c r="AN30" s="0">
        <f>IF($A30="","",$I30-($AI30+$AJ30+$AK30+$AL30+$AM30+$AR30))</f>
        <v/>
      </c>
      <c r="AO30" s="0">
        <f>IF($A30="","",Allocation!CJ30)</f>
        <v/>
      </c>
      <c r="AP30" s="0">
        <f>IF($A30="","",IF(Allocation!$N$2="VOL_EFF",$Q30,IF(Allocation!$N$2="VOL_CLASS",$R30,$S30)))</f>
        <v/>
      </c>
      <c r="AQ30" s="0">
        <f>IF($A30="","",IF(Allocation!$N$2="VOL_EFF",$T30,IF(Allocation!$N$2="VOL_CLASS",$U30,$V30)))</f>
        <v/>
      </c>
      <c r="AR30" s="0">
        <f>IF($A30="","",$AO30*IFERROR($AP30/$AQ30,0)*IFERROR($AE30/$AF30,0)*IFERROR($AC30/$AD30,0))</f>
        <v/>
      </c>
      <c r="AS30" s="0">
        <f>IF($A30="","",$A30&amp;"|"&amp;Allocation!BG30)</f>
        <v/>
      </c>
    </row>
    <row r="31" ht="14.4975" customHeight="1" s="64">
      <c r="A31" s="0">
        <f>IF(Allocation!BI31="","",Allocation!BI31)</f>
        <v/>
      </c>
      <c r="B31" s="0">
        <f>IF(Allocation!BJ31="","",Allocation!BJ31)</f>
        <v/>
      </c>
      <c r="C31" s="0">
        <f>IF(Allocation!BK31="","",Allocation!BK31)</f>
        <v/>
      </c>
      <c r="D31" s="0">
        <f>IF(Allocation!BL31="","",Allocation!BL31)</f>
        <v/>
      </c>
      <c r="E31" s="0">
        <f>IF(Allocation!BM31="","",Allocation!BM31)</f>
        <v/>
      </c>
      <c r="F31" s="0">
        <f>IF(Allocation!BN31="","",Allocation!BN31)</f>
        <v/>
      </c>
      <c r="G31" s="0">
        <f>IF(Allocation!BO31="","",Allocation!BO31)</f>
        <v/>
      </c>
      <c r="H31" s="0">
        <f>IF(Allocation!BP31="","",Allocation!BP31)</f>
        <v/>
      </c>
      <c r="I31" s="0">
        <f>IF(Allocation!BQ31="","",Allocation!BQ31)</f>
        <v/>
      </c>
      <c r="J31" s="0">
        <f>IF(Allocation!CC31="","",Allocation!CC31)</f>
        <v/>
      </c>
      <c r="K31" s="0">
        <f>IF($A31="","",$H31*IF(AND(LEFT($D31,3)="BAC",$F31="INIT"),600,IF(LEFT($D31,3)="BAC",480,IF(AND(LEFT($D31,3)="MAS",$F31="INIT"),520,IF(LEFT($D31,3)="MAS",420,IF($F31="INIT",1000,700))))))</f>
        <v/>
      </c>
      <c r="L31" s="0">
        <f>IF($A31="","",SUMIFS($G$1:$G$349,$AS$1:$AS$349,$AS31,$B$1:$B$349,$B31))</f>
        <v/>
      </c>
      <c r="M31" s="0">
        <f>IF($A31="","",SUMIFS($H$1:$H$349,$AS$1:$AS$349,$AS31,$B$1:$B$349,$B31))</f>
        <v/>
      </c>
      <c r="N31" s="0">
        <f>IF($A31="","",SUMIFS($I$1:$I$349,$AS$1:$AS$349,$AS31,$B$1:$B$349,$B31))</f>
        <v/>
      </c>
      <c r="O31" s="0">
        <f>IF($A31="","",SUMIFS($K$1:$K$349,$AS$1:$AS$349,$AS31,$B$1:$B$349,$B31))</f>
        <v/>
      </c>
      <c r="P31" s="0">
        <f>IF($A31="","",SUMIFS($J$1:$J$349,$AS$1:$AS$349,$AS31,$B$1:$B$349,$B31))</f>
        <v/>
      </c>
      <c r="Q31" s="0">
        <f>IF($A31="","",SUMIFS($G$1:$G$349,$AS$1:$AS$349,$AS31,$C$1:$C$349,$C31))</f>
        <v/>
      </c>
      <c r="R31" s="0">
        <f>IF($A31="","",SUMIFS($H$1:$H$349,$AS$1:$AS$349,$AS31,$C$1:$C$349,$C31))</f>
        <v/>
      </c>
      <c r="S31" s="0">
        <f>IF($A31="","",SUMIFS($I$1:$I$349,$AS$1:$AS$349,$AS31,$C$1:$C$349,$C31))</f>
        <v/>
      </c>
      <c r="T31" s="0">
        <f>IF($A31="","",SUMIFS($G$1:$G$349,$AS$1:$AS$349,$AS31))</f>
        <v/>
      </c>
      <c r="U31" s="0">
        <f>IF($A31="","",SUMIFS($H$1:$H$349,$AS$1:$AS$349,$AS31))</f>
        <v/>
      </c>
      <c r="V31" s="0">
        <f>IF($A31="","",SUMIFS($I$1:$I$349,$AS$1:$AS$349,$AS31))</f>
        <v/>
      </c>
      <c r="W31" s="0">
        <f>IF($A31="","",Allocation!CD31)</f>
        <v/>
      </c>
      <c r="X31" s="0">
        <f>IF($A31="","",Allocation!CE31)</f>
        <v/>
      </c>
      <c r="Y31" s="0">
        <f>IF($A31="","",Allocation!CF31)</f>
        <v/>
      </c>
      <c r="Z31" s="0">
        <f>IF($A31="","",Allocation!CG31)</f>
        <v/>
      </c>
      <c r="AA31" s="0">
        <f>IF($A31="","",Allocation!CH31)</f>
        <v/>
      </c>
      <c r="AB31" s="0">
        <f>IF($A31="","",Allocation!CI31)</f>
        <v/>
      </c>
      <c r="AC31" s="0">
        <f>IF($A31="","",IF(Allocation!$N$4="VOL_EFF",$G31,IF(Allocation!$N$4="VOL_CLASS",$H31,$I31)))</f>
        <v/>
      </c>
      <c r="AD31" s="0">
        <f>IF($A31="","",IF(Allocation!$N$4="VOL_EFF",$L31,IF(Allocation!$N$4="VOL_CLASS",$M31,$N31)))</f>
        <v/>
      </c>
      <c r="AE31" s="0">
        <f>IF($A31="","",IF(Allocation!$N$3="VOL_EFF",$L31,IF(Allocation!$N$3="VOL_CLASS",$M31,$N31)))</f>
        <v/>
      </c>
      <c r="AF31" s="0">
        <f>IF($A31="","",IF(Allocation!$N$3="VOL_EFF",$Q31,IF(Allocation!$N$3="VOL_CLASS",$R31,$S31)))</f>
        <v/>
      </c>
      <c r="AG31" s="0">
        <f>IF($A31="","",IF(Allocation!$N$1="VOL_EFF",$Q31,IF(Allocation!$N$1="VOL_CLASS",$R31,$S31)))</f>
        <v/>
      </c>
      <c r="AH31" s="0">
        <f>IF($A31="","",IF(Allocation!$N$1="VOL_EFF",$T31,IF(Allocation!$N$1="VOL_CLASS",$U31,$V31)))</f>
        <v/>
      </c>
      <c r="AI31" s="0">
        <f>IF($A31="","",$W31*IFERROR($K31/$O31,0))</f>
        <v/>
      </c>
      <c r="AJ31" s="0">
        <f>IF($A31="","",$X31*IFERROR($K31/$O31,0))</f>
        <v/>
      </c>
      <c r="AK31" s="0">
        <f>IF($A31="","",$Y31*IFERROR($G31/$L31,0)+$Z31*IFERROR($J31/$P31,0))</f>
        <v/>
      </c>
      <c r="AL31" s="0">
        <f>IF($A31="","",$AA31*IFERROR($AC31/$AD31,0))</f>
        <v/>
      </c>
      <c r="AM31" s="0">
        <f>IF($A31="","",$AB31*IFERROR($AG31/$AH31,0)*IFERROR($AE31/$AF31,0)*IFERROR($AC31/$AD31,0))</f>
        <v/>
      </c>
      <c r="AN31" s="0">
        <f>IF($A31="","",$I31-($AI31+$AJ31+$AK31+$AL31+$AM31+$AR31))</f>
        <v/>
      </c>
      <c r="AO31" s="0">
        <f>IF($A31="","",Allocation!CJ31)</f>
        <v/>
      </c>
      <c r="AP31" s="0">
        <f>IF($A31="","",IF(Allocation!$N$2="VOL_EFF",$Q31,IF(Allocation!$N$2="VOL_CLASS",$R31,$S31)))</f>
        <v/>
      </c>
      <c r="AQ31" s="0">
        <f>IF($A31="","",IF(Allocation!$N$2="VOL_EFF",$T31,IF(Allocation!$N$2="VOL_CLASS",$U31,$V31)))</f>
        <v/>
      </c>
      <c r="AR31" s="0">
        <f>IF($A31="","",$AO31*IFERROR($AP31/$AQ31,0)*IFERROR($AE31/$AF31,0)*IFERROR($AC31/$AD31,0))</f>
        <v/>
      </c>
      <c r="AS31" s="0">
        <f>IF($A31="","",$A31&amp;"|"&amp;Allocation!BG31)</f>
        <v/>
      </c>
    </row>
    <row r="32" ht="14.4975" customHeight="1" s="64">
      <c r="A32" s="0">
        <f>IF(Allocation!BI32="","",Allocation!BI32)</f>
        <v/>
      </c>
      <c r="B32" s="0">
        <f>IF(Allocation!BJ32="","",Allocation!BJ32)</f>
        <v/>
      </c>
      <c r="C32" s="0">
        <f>IF(Allocation!BK32="","",Allocation!BK32)</f>
        <v/>
      </c>
      <c r="D32" s="0">
        <f>IF(Allocation!BL32="","",Allocation!BL32)</f>
        <v/>
      </c>
      <c r="E32" s="0">
        <f>IF(Allocation!BM32="","",Allocation!BM32)</f>
        <v/>
      </c>
      <c r="F32" s="0">
        <f>IF(Allocation!BN32="","",Allocation!BN32)</f>
        <v/>
      </c>
      <c r="G32" s="0">
        <f>IF(Allocation!BO32="","",Allocation!BO32)</f>
        <v/>
      </c>
      <c r="H32" s="0">
        <f>IF(Allocation!BP32="","",Allocation!BP32)</f>
        <v/>
      </c>
      <c r="I32" s="0">
        <f>IF(Allocation!BQ32="","",Allocation!BQ32)</f>
        <v/>
      </c>
      <c r="J32" s="0">
        <f>IF(Allocation!CC32="","",Allocation!CC32)</f>
        <v/>
      </c>
      <c r="K32" s="0">
        <f>IF($A32="","",$H32*IF(AND(LEFT($D32,3)="BAC",$F32="INIT"),600,IF(LEFT($D32,3)="BAC",480,IF(AND(LEFT($D32,3)="MAS",$F32="INIT"),520,IF(LEFT($D32,3)="MAS",420,IF($F32="INIT",1000,700))))))</f>
        <v/>
      </c>
      <c r="L32" s="0">
        <f>IF($A32="","",SUMIFS($G$1:$G$349,$AS$1:$AS$349,$AS32,$B$1:$B$349,$B32))</f>
        <v/>
      </c>
      <c r="M32" s="0">
        <f>IF($A32="","",SUMIFS($H$1:$H$349,$AS$1:$AS$349,$AS32,$B$1:$B$349,$B32))</f>
        <v/>
      </c>
      <c r="N32" s="0">
        <f>IF($A32="","",SUMIFS($I$1:$I$349,$AS$1:$AS$349,$AS32,$B$1:$B$349,$B32))</f>
        <v/>
      </c>
      <c r="O32" s="0">
        <f>IF($A32="","",SUMIFS($K$1:$K$349,$AS$1:$AS$349,$AS32,$B$1:$B$349,$B32))</f>
        <v/>
      </c>
      <c r="P32" s="0">
        <f>IF($A32="","",SUMIFS($J$1:$J$349,$AS$1:$AS$349,$AS32,$B$1:$B$349,$B32))</f>
        <v/>
      </c>
      <c r="Q32" s="0">
        <f>IF($A32="","",SUMIFS($G$1:$G$349,$AS$1:$AS$349,$AS32,$C$1:$C$349,$C32))</f>
        <v/>
      </c>
      <c r="R32" s="0">
        <f>IF($A32="","",SUMIFS($H$1:$H$349,$AS$1:$AS$349,$AS32,$C$1:$C$349,$C32))</f>
        <v/>
      </c>
      <c r="S32" s="0">
        <f>IF($A32="","",SUMIFS($I$1:$I$349,$AS$1:$AS$349,$AS32,$C$1:$C$349,$C32))</f>
        <v/>
      </c>
      <c r="T32" s="0">
        <f>IF($A32="","",SUMIFS($G$1:$G$349,$AS$1:$AS$349,$AS32))</f>
        <v/>
      </c>
      <c r="U32" s="0">
        <f>IF($A32="","",SUMIFS($H$1:$H$349,$AS$1:$AS$349,$AS32))</f>
        <v/>
      </c>
      <c r="V32" s="0">
        <f>IF($A32="","",SUMIFS($I$1:$I$349,$AS$1:$AS$349,$AS32))</f>
        <v/>
      </c>
      <c r="W32" s="0">
        <f>IF($A32="","",Allocation!CD32)</f>
        <v/>
      </c>
      <c r="X32" s="0">
        <f>IF($A32="","",Allocation!CE32)</f>
        <v/>
      </c>
      <c r="Y32" s="0">
        <f>IF($A32="","",Allocation!CF32)</f>
        <v/>
      </c>
      <c r="Z32" s="0">
        <f>IF($A32="","",Allocation!CG32)</f>
        <v/>
      </c>
      <c r="AA32" s="0">
        <f>IF($A32="","",Allocation!CH32)</f>
        <v/>
      </c>
      <c r="AB32" s="0">
        <f>IF($A32="","",Allocation!CI32)</f>
        <v/>
      </c>
      <c r="AC32" s="0">
        <f>IF($A32="","",IF(Allocation!$N$4="VOL_EFF",$G32,IF(Allocation!$N$4="VOL_CLASS",$H32,$I32)))</f>
        <v/>
      </c>
      <c r="AD32" s="0">
        <f>IF($A32="","",IF(Allocation!$N$4="VOL_EFF",$L32,IF(Allocation!$N$4="VOL_CLASS",$M32,$N32)))</f>
        <v/>
      </c>
      <c r="AE32" s="0">
        <f>IF($A32="","",IF(Allocation!$N$3="VOL_EFF",$L32,IF(Allocation!$N$3="VOL_CLASS",$M32,$N32)))</f>
        <v/>
      </c>
      <c r="AF32" s="0">
        <f>IF($A32="","",IF(Allocation!$N$3="VOL_EFF",$Q32,IF(Allocation!$N$3="VOL_CLASS",$R32,$S32)))</f>
        <v/>
      </c>
      <c r="AG32" s="0">
        <f>IF($A32="","",IF(Allocation!$N$1="VOL_EFF",$Q32,IF(Allocation!$N$1="VOL_CLASS",$R32,$S32)))</f>
        <v/>
      </c>
      <c r="AH32" s="0">
        <f>IF($A32="","",IF(Allocation!$N$1="VOL_EFF",$T32,IF(Allocation!$N$1="VOL_CLASS",$U32,$V32)))</f>
        <v/>
      </c>
      <c r="AI32" s="0">
        <f>IF($A32="","",$W32*IFERROR($K32/$O32,0))</f>
        <v/>
      </c>
      <c r="AJ32" s="0">
        <f>IF($A32="","",$X32*IFERROR($K32/$O32,0))</f>
        <v/>
      </c>
      <c r="AK32" s="0">
        <f>IF($A32="","",$Y32*IFERROR($G32/$L32,0)+$Z32*IFERROR($J32/$P32,0))</f>
        <v/>
      </c>
      <c r="AL32" s="0">
        <f>IF($A32="","",$AA32*IFERROR($AC32/$AD32,0))</f>
        <v/>
      </c>
      <c r="AM32" s="0">
        <f>IF($A32="","",$AB32*IFERROR($AG32/$AH32,0)*IFERROR($AE32/$AF32,0)*IFERROR($AC32/$AD32,0))</f>
        <v/>
      </c>
      <c r="AN32" s="0">
        <f>IF($A32="","",$I32-($AI32+$AJ32+$AK32+$AL32+$AM32+$AR32))</f>
        <v/>
      </c>
      <c r="AO32" s="0">
        <f>IF($A32="","",Allocation!CJ32)</f>
        <v/>
      </c>
      <c r="AP32" s="0">
        <f>IF($A32="","",IF(Allocation!$N$2="VOL_EFF",$Q32,IF(Allocation!$N$2="VOL_CLASS",$R32,$S32)))</f>
        <v/>
      </c>
      <c r="AQ32" s="0">
        <f>IF($A32="","",IF(Allocation!$N$2="VOL_EFF",$T32,IF(Allocation!$N$2="VOL_CLASS",$U32,$V32)))</f>
        <v/>
      </c>
      <c r="AR32" s="0">
        <f>IF($A32="","",$AO32*IFERROR($AP32/$AQ32,0)*IFERROR($AE32/$AF32,0)*IFERROR($AC32/$AD32,0))</f>
        <v/>
      </c>
      <c r="AS32" s="0">
        <f>IF($A32="","",$A32&amp;"|"&amp;Allocation!BG32)</f>
        <v/>
      </c>
    </row>
    <row r="33" ht="14.4975" customHeight="1" s="64">
      <c r="A33" s="0">
        <f>IF(Allocation!BI33="","",Allocation!BI33)</f>
        <v/>
      </c>
      <c r="B33" s="0">
        <f>IF(Allocation!BJ33="","",Allocation!BJ33)</f>
        <v/>
      </c>
      <c r="C33" s="0">
        <f>IF(Allocation!BK33="","",Allocation!BK33)</f>
        <v/>
      </c>
      <c r="D33" s="0">
        <f>IF(Allocation!BL33="","",Allocation!BL33)</f>
        <v/>
      </c>
      <c r="E33" s="0">
        <f>IF(Allocation!BM33="","",Allocation!BM33)</f>
        <v/>
      </c>
      <c r="F33" s="0">
        <f>IF(Allocation!BN33="","",Allocation!BN33)</f>
        <v/>
      </c>
      <c r="G33" s="0">
        <f>IF(Allocation!BO33="","",Allocation!BO33)</f>
        <v/>
      </c>
      <c r="H33" s="0">
        <f>IF(Allocation!BP33="","",Allocation!BP33)</f>
        <v/>
      </c>
      <c r="I33" s="0">
        <f>IF(Allocation!BQ33="","",Allocation!BQ33)</f>
        <v/>
      </c>
      <c r="J33" s="0">
        <f>IF(Allocation!CC33="","",Allocation!CC33)</f>
        <v/>
      </c>
      <c r="K33" s="0">
        <f>IF($A33="","",$H33*IF(AND(LEFT($D33,3)="BAC",$F33="INIT"),600,IF(LEFT($D33,3)="BAC",480,IF(AND(LEFT($D33,3)="MAS",$F33="INIT"),520,IF(LEFT($D33,3)="MAS",420,IF($F33="INIT",1000,700))))))</f>
        <v/>
      </c>
      <c r="L33" s="0">
        <f>IF($A33="","",SUMIFS($G$1:$G$349,$AS$1:$AS$349,$AS33,$B$1:$B$349,$B33))</f>
        <v/>
      </c>
      <c r="M33" s="0">
        <f>IF($A33="","",SUMIFS($H$1:$H$349,$AS$1:$AS$349,$AS33,$B$1:$B$349,$B33))</f>
        <v/>
      </c>
      <c r="N33" s="0">
        <f>IF($A33="","",SUMIFS($I$1:$I$349,$AS$1:$AS$349,$AS33,$B$1:$B$349,$B33))</f>
        <v/>
      </c>
      <c r="O33" s="0">
        <f>IF($A33="","",SUMIFS($K$1:$K$349,$AS$1:$AS$349,$AS33,$B$1:$B$349,$B33))</f>
        <v/>
      </c>
      <c r="P33" s="0">
        <f>IF($A33="","",SUMIFS($J$1:$J$349,$AS$1:$AS$349,$AS33,$B$1:$B$349,$B33))</f>
        <v/>
      </c>
      <c r="Q33" s="0">
        <f>IF($A33="","",SUMIFS($G$1:$G$349,$AS$1:$AS$349,$AS33,$C$1:$C$349,$C33))</f>
        <v/>
      </c>
      <c r="R33" s="0">
        <f>IF($A33="","",SUMIFS($H$1:$H$349,$AS$1:$AS$349,$AS33,$C$1:$C$349,$C33))</f>
        <v/>
      </c>
      <c r="S33" s="0">
        <f>IF($A33="","",SUMIFS($I$1:$I$349,$AS$1:$AS$349,$AS33,$C$1:$C$349,$C33))</f>
        <v/>
      </c>
      <c r="T33" s="0">
        <f>IF($A33="","",SUMIFS($G$1:$G$349,$AS$1:$AS$349,$AS33))</f>
        <v/>
      </c>
      <c r="U33" s="0">
        <f>IF($A33="","",SUMIFS($H$1:$H$349,$AS$1:$AS$349,$AS33))</f>
        <v/>
      </c>
      <c r="V33" s="0">
        <f>IF($A33="","",SUMIFS($I$1:$I$349,$AS$1:$AS$349,$AS33))</f>
        <v/>
      </c>
      <c r="W33" s="0">
        <f>IF($A33="","",Allocation!CD33)</f>
        <v/>
      </c>
      <c r="X33" s="0">
        <f>IF($A33="","",Allocation!CE33)</f>
        <v/>
      </c>
      <c r="Y33" s="0">
        <f>IF($A33="","",Allocation!CF33)</f>
        <v/>
      </c>
      <c r="Z33" s="0">
        <f>IF($A33="","",Allocation!CG33)</f>
        <v/>
      </c>
      <c r="AA33" s="0">
        <f>IF($A33="","",Allocation!CH33)</f>
        <v/>
      </c>
      <c r="AB33" s="0">
        <f>IF($A33="","",Allocation!CI33)</f>
        <v/>
      </c>
      <c r="AC33" s="0">
        <f>IF($A33="","",IF(Allocation!$N$4="VOL_EFF",$G33,IF(Allocation!$N$4="VOL_CLASS",$H33,$I33)))</f>
        <v/>
      </c>
      <c r="AD33" s="0">
        <f>IF($A33="","",IF(Allocation!$N$4="VOL_EFF",$L33,IF(Allocation!$N$4="VOL_CLASS",$M33,$N33)))</f>
        <v/>
      </c>
      <c r="AE33" s="0">
        <f>IF($A33="","",IF(Allocation!$N$3="VOL_EFF",$L33,IF(Allocation!$N$3="VOL_CLASS",$M33,$N33)))</f>
        <v/>
      </c>
      <c r="AF33" s="0">
        <f>IF($A33="","",IF(Allocation!$N$3="VOL_EFF",$Q33,IF(Allocation!$N$3="VOL_CLASS",$R33,$S33)))</f>
        <v/>
      </c>
      <c r="AG33" s="0">
        <f>IF($A33="","",IF(Allocation!$N$1="VOL_EFF",$Q33,IF(Allocation!$N$1="VOL_CLASS",$R33,$S33)))</f>
        <v/>
      </c>
      <c r="AH33" s="0">
        <f>IF($A33="","",IF(Allocation!$N$1="VOL_EFF",$T33,IF(Allocation!$N$1="VOL_CLASS",$U33,$V33)))</f>
        <v/>
      </c>
      <c r="AI33" s="0">
        <f>IF($A33="","",$W33*IFERROR($K33/$O33,0))</f>
        <v/>
      </c>
      <c r="AJ33" s="0">
        <f>IF($A33="","",$X33*IFERROR($K33/$O33,0))</f>
        <v/>
      </c>
      <c r="AK33" s="0">
        <f>IF($A33="","",$Y33*IFERROR($G33/$L33,0)+$Z33*IFERROR($J33/$P33,0))</f>
        <v/>
      </c>
      <c r="AL33" s="0">
        <f>IF($A33="","",$AA33*IFERROR($AC33/$AD33,0))</f>
        <v/>
      </c>
      <c r="AM33" s="0">
        <f>IF($A33="","",$AB33*IFERROR($AG33/$AH33,0)*IFERROR($AE33/$AF33,0)*IFERROR($AC33/$AD33,0))</f>
        <v/>
      </c>
      <c r="AN33" s="0">
        <f>IF($A33="","",$I33-($AI33+$AJ33+$AK33+$AL33+$AM33+$AR33))</f>
        <v/>
      </c>
      <c r="AO33" s="0">
        <f>IF($A33="","",Allocation!CJ33)</f>
        <v/>
      </c>
      <c r="AP33" s="0">
        <f>IF($A33="","",IF(Allocation!$N$2="VOL_EFF",$Q33,IF(Allocation!$N$2="VOL_CLASS",$R33,$S33)))</f>
        <v/>
      </c>
      <c r="AQ33" s="0">
        <f>IF($A33="","",IF(Allocation!$N$2="VOL_EFF",$T33,IF(Allocation!$N$2="VOL_CLASS",$U33,$V33)))</f>
        <v/>
      </c>
      <c r="AR33" s="0">
        <f>IF($A33="","",$AO33*IFERROR($AP33/$AQ33,0)*IFERROR($AE33/$AF33,0)*IFERROR($AC33/$AD33,0))</f>
        <v/>
      </c>
      <c r="AS33" s="0">
        <f>IF($A33="","",$A33&amp;"|"&amp;Allocation!BG33)</f>
        <v/>
      </c>
    </row>
    <row r="34" ht="14.4975" customHeight="1" s="64">
      <c r="A34" s="0">
        <f>IF(Allocation!BI34="","",Allocation!BI34)</f>
        <v/>
      </c>
      <c r="B34" s="0">
        <f>IF(Allocation!BJ34="","",Allocation!BJ34)</f>
        <v/>
      </c>
      <c r="C34" s="0">
        <f>IF(Allocation!BK34="","",Allocation!BK34)</f>
        <v/>
      </c>
      <c r="D34" s="0">
        <f>IF(Allocation!BL34="","",Allocation!BL34)</f>
        <v/>
      </c>
      <c r="E34" s="0">
        <f>IF(Allocation!BM34="","",Allocation!BM34)</f>
        <v/>
      </c>
      <c r="F34" s="0">
        <f>IF(Allocation!BN34="","",Allocation!BN34)</f>
        <v/>
      </c>
      <c r="G34" s="0">
        <f>IF(Allocation!BO34="","",Allocation!BO34)</f>
        <v/>
      </c>
      <c r="H34" s="0">
        <f>IF(Allocation!BP34="","",Allocation!BP34)</f>
        <v/>
      </c>
      <c r="I34" s="0">
        <f>IF(Allocation!BQ34="","",Allocation!BQ34)</f>
        <v/>
      </c>
      <c r="J34" s="0">
        <f>IF(Allocation!CC34="","",Allocation!CC34)</f>
        <v/>
      </c>
      <c r="K34" s="0">
        <f>IF($A34="","",$H34*IF(AND(LEFT($D34,3)="BAC",$F34="INIT"),600,IF(LEFT($D34,3)="BAC",480,IF(AND(LEFT($D34,3)="MAS",$F34="INIT"),520,IF(LEFT($D34,3)="MAS",420,IF($F34="INIT",1000,700))))))</f>
        <v/>
      </c>
      <c r="L34" s="0">
        <f>IF($A34="","",SUMIFS($G$1:$G$349,$AS$1:$AS$349,$AS34,$B$1:$B$349,$B34))</f>
        <v/>
      </c>
      <c r="M34" s="0">
        <f>IF($A34="","",SUMIFS($H$1:$H$349,$AS$1:$AS$349,$AS34,$B$1:$B$349,$B34))</f>
        <v/>
      </c>
      <c r="N34" s="0">
        <f>IF($A34="","",SUMIFS($I$1:$I$349,$AS$1:$AS$349,$AS34,$B$1:$B$349,$B34))</f>
        <v/>
      </c>
      <c r="O34" s="0">
        <f>IF($A34="","",SUMIFS($K$1:$K$349,$AS$1:$AS$349,$AS34,$B$1:$B$349,$B34))</f>
        <v/>
      </c>
      <c r="P34" s="0">
        <f>IF($A34="","",SUMIFS($J$1:$J$349,$AS$1:$AS$349,$AS34,$B$1:$B$349,$B34))</f>
        <v/>
      </c>
      <c r="Q34" s="0">
        <f>IF($A34="","",SUMIFS($G$1:$G$349,$AS$1:$AS$349,$AS34,$C$1:$C$349,$C34))</f>
        <v/>
      </c>
      <c r="R34" s="0">
        <f>IF($A34="","",SUMIFS($H$1:$H$349,$AS$1:$AS$349,$AS34,$C$1:$C$349,$C34))</f>
        <v/>
      </c>
      <c r="S34" s="0">
        <f>IF($A34="","",SUMIFS($I$1:$I$349,$AS$1:$AS$349,$AS34,$C$1:$C$349,$C34))</f>
        <v/>
      </c>
      <c r="T34" s="0">
        <f>IF($A34="","",SUMIFS($G$1:$G$349,$AS$1:$AS$349,$AS34))</f>
        <v/>
      </c>
      <c r="U34" s="0">
        <f>IF($A34="","",SUMIFS($H$1:$H$349,$AS$1:$AS$349,$AS34))</f>
        <v/>
      </c>
      <c r="V34" s="0">
        <f>IF($A34="","",SUMIFS($I$1:$I$349,$AS$1:$AS$349,$AS34))</f>
        <v/>
      </c>
      <c r="W34" s="0">
        <f>IF($A34="","",Allocation!CD34)</f>
        <v/>
      </c>
      <c r="X34" s="0">
        <f>IF($A34="","",Allocation!CE34)</f>
        <v/>
      </c>
      <c r="Y34" s="0">
        <f>IF($A34="","",Allocation!CF34)</f>
        <v/>
      </c>
      <c r="Z34" s="0">
        <f>IF($A34="","",Allocation!CG34)</f>
        <v/>
      </c>
      <c r="AA34" s="0">
        <f>IF($A34="","",Allocation!CH34)</f>
        <v/>
      </c>
      <c r="AB34" s="0">
        <f>IF($A34="","",Allocation!CI34)</f>
        <v/>
      </c>
      <c r="AC34" s="0">
        <f>IF($A34="","",IF(Allocation!$N$4="VOL_EFF",$G34,IF(Allocation!$N$4="VOL_CLASS",$H34,$I34)))</f>
        <v/>
      </c>
      <c r="AD34" s="0">
        <f>IF($A34="","",IF(Allocation!$N$4="VOL_EFF",$L34,IF(Allocation!$N$4="VOL_CLASS",$M34,$N34)))</f>
        <v/>
      </c>
      <c r="AE34" s="0">
        <f>IF($A34="","",IF(Allocation!$N$3="VOL_EFF",$L34,IF(Allocation!$N$3="VOL_CLASS",$M34,$N34)))</f>
        <v/>
      </c>
      <c r="AF34" s="0">
        <f>IF($A34="","",IF(Allocation!$N$3="VOL_EFF",$Q34,IF(Allocation!$N$3="VOL_CLASS",$R34,$S34)))</f>
        <v/>
      </c>
      <c r="AG34" s="0">
        <f>IF($A34="","",IF(Allocation!$N$1="VOL_EFF",$Q34,IF(Allocation!$N$1="VOL_CLASS",$R34,$S34)))</f>
        <v/>
      </c>
      <c r="AH34" s="0">
        <f>IF($A34="","",IF(Allocation!$N$1="VOL_EFF",$T34,IF(Allocation!$N$1="VOL_CLASS",$U34,$V34)))</f>
        <v/>
      </c>
      <c r="AI34" s="0">
        <f>IF($A34="","",$W34*IFERROR($K34/$O34,0))</f>
        <v/>
      </c>
      <c r="AJ34" s="0">
        <f>IF($A34="","",$X34*IFERROR($K34/$O34,0))</f>
        <v/>
      </c>
      <c r="AK34" s="0">
        <f>IF($A34="","",$Y34*IFERROR($G34/$L34,0)+$Z34*IFERROR($J34/$P34,0))</f>
        <v/>
      </c>
      <c r="AL34" s="0">
        <f>IF($A34="","",$AA34*IFERROR($AC34/$AD34,0))</f>
        <v/>
      </c>
      <c r="AM34" s="0">
        <f>IF($A34="","",$AB34*IFERROR($AG34/$AH34,0)*IFERROR($AE34/$AF34,0)*IFERROR($AC34/$AD34,0))</f>
        <v/>
      </c>
      <c r="AN34" s="0">
        <f>IF($A34="","",$I34-($AI34+$AJ34+$AK34+$AL34+$AM34+$AR34))</f>
        <v/>
      </c>
      <c r="AO34" s="0">
        <f>IF($A34="","",Allocation!CJ34)</f>
        <v/>
      </c>
      <c r="AP34" s="0">
        <f>IF($A34="","",IF(Allocation!$N$2="VOL_EFF",$Q34,IF(Allocation!$N$2="VOL_CLASS",$R34,$S34)))</f>
        <v/>
      </c>
      <c r="AQ34" s="0">
        <f>IF($A34="","",IF(Allocation!$N$2="VOL_EFF",$T34,IF(Allocation!$N$2="VOL_CLASS",$U34,$V34)))</f>
        <v/>
      </c>
      <c r="AR34" s="0">
        <f>IF($A34="","",$AO34*IFERROR($AP34/$AQ34,0)*IFERROR($AE34/$AF34,0)*IFERROR($AC34/$AD34,0))</f>
        <v/>
      </c>
      <c r="AS34" s="0">
        <f>IF($A34="","",$A34&amp;"|"&amp;Allocation!BG34)</f>
        <v/>
      </c>
    </row>
    <row r="35" ht="14.4975" customHeight="1" s="64">
      <c r="A35" s="0">
        <f>IF(Allocation!BI35="","",Allocation!BI35)</f>
        <v/>
      </c>
      <c r="B35" s="0">
        <f>IF(Allocation!BJ35="","",Allocation!BJ35)</f>
        <v/>
      </c>
      <c r="C35" s="0">
        <f>IF(Allocation!BK35="","",Allocation!BK35)</f>
        <v/>
      </c>
      <c r="D35" s="0">
        <f>IF(Allocation!BL35="","",Allocation!BL35)</f>
        <v/>
      </c>
      <c r="E35" s="0">
        <f>IF(Allocation!BM35="","",Allocation!BM35)</f>
        <v/>
      </c>
      <c r="F35" s="0">
        <f>IF(Allocation!BN35="","",Allocation!BN35)</f>
        <v/>
      </c>
      <c r="G35" s="0">
        <f>IF(Allocation!BO35="","",Allocation!BO35)</f>
        <v/>
      </c>
      <c r="H35" s="0">
        <f>IF(Allocation!BP35="","",Allocation!BP35)</f>
        <v/>
      </c>
      <c r="I35" s="0">
        <f>IF(Allocation!BQ35="","",Allocation!BQ35)</f>
        <v/>
      </c>
      <c r="J35" s="0">
        <f>IF(Allocation!CC35="","",Allocation!CC35)</f>
        <v/>
      </c>
      <c r="K35" s="0">
        <f>IF($A35="","",$H35*IF(AND(LEFT($D35,3)="BAC",$F35="INIT"),600,IF(LEFT($D35,3)="BAC",480,IF(AND(LEFT($D35,3)="MAS",$F35="INIT"),520,IF(LEFT($D35,3)="MAS",420,IF($F35="INIT",1000,700))))))</f>
        <v/>
      </c>
      <c r="L35" s="0">
        <f>IF($A35="","",SUMIFS($G$1:$G$349,$AS$1:$AS$349,$AS35,$B$1:$B$349,$B35))</f>
        <v/>
      </c>
      <c r="M35" s="0">
        <f>IF($A35="","",SUMIFS($H$1:$H$349,$AS$1:$AS$349,$AS35,$B$1:$B$349,$B35))</f>
        <v/>
      </c>
      <c r="N35" s="0">
        <f>IF($A35="","",SUMIFS($I$1:$I$349,$AS$1:$AS$349,$AS35,$B$1:$B$349,$B35))</f>
        <v/>
      </c>
      <c r="O35" s="0">
        <f>IF($A35="","",SUMIFS($K$1:$K$349,$AS$1:$AS$349,$AS35,$B$1:$B$349,$B35))</f>
        <v/>
      </c>
      <c r="P35" s="0">
        <f>IF($A35="","",SUMIFS($J$1:$J$349,$AS$1:$AS$349,$AS35,$B$1:$B$349,$B35))</f>
        <v/>
      </c>
      <c r="Q35" s="0">
        <f>IF($A35="","",SUMIFS($G$1:$G$349,$AS$1:$AS$349,$AS35,$C$1:$C$349,$C35))</f>
        <v/>
      </c>
      <c r="R35" s="0">
        <f>IF($A35="","",SUMIFS($H$1:$H$349,$AS$1:$AS$349,$AS35,$C$1:$C$349,$C35))</f>
        <v/>
      </c>
      <c r="S35" s="0">
        <f>IF($A35="","",SUMIFS($I$1:$I$349,$AS$1:$AS$349,$AS35,$C$1:$C$349,$C35))</f>
        <v/>
      </c>
      <c r="T35" s="0">
        <f>IF($A35="","",SUMIFS($G$1:$G$349,$AS$1:$AS$349,$AS35))</f>
        <v/>
      </c>
      <c r="U35" s="0">
        <f>IF($A35="","",SUMIFS($H$1:$H$349,$AS$1:$AS$349,$AS35))</f>
        <v/>
      </c>
      <c r="V35" s="0">
        <f>IF($A35="","",SUMIFS($I$1:$I$349,$AS$1:$AS$349,$AS35))</f>
        <v/>
      </c>
      <c r="W35" s="0">
        <f>IF($A35="","",Allocation!CD35)</f>
        <v/>
      </c>
      <c r="X35" s="0">
        <f>IF($A35="","",Allocation!CE35)</f>
        <v/>
      </c>
      <c r="Y35" s="0">
        <f>IF($A35="","",Allocation!CF35)</f>
        <v/>
      </c>
      <c r="Z35" s="0">
        <f>IF($A35="","",Allocation!CG35)</f>
        <v/>
      </c>
      <c r="AA35" s="0">
        <f>IF($A35="","",Allocation!CH35)</f>
        <v/>
      </c>
      <c r="AB35" s="0">
        <f>IF($A35="","",Allocation!CI35)</f>
        <v/>
      </c>
      <c r="AC35" s="0">
        <f>IF($A35="","",IF(Allocation!$N$4="VOL_EFF",$G35,IF(Allocation!$N$4="VOL_CLASS",$H35,$I35)))</f>
        <v/>
      </c>
      <c r="AD35" s="0">
        <f>IF($A35="","",IF(Allocation!$N$4="VOL_EFF",$L35,IF(Allocation!$N$4="VOL_CLASS",$M35,$N35)))</f>
        <v/>
      </c>
      <c r="AE35" s="0">
        <f>IF($A35="","",IF(Allocation!$N$3="VOL_EFF",$L35,IF(Allocation!$N$3="VOL_CLASS",$M35,$N35)))</f>
        <v/>
      </c>
      <c r="AF35" s="0">
        <f>IF($A35="","",IF(Allocation!$N$3="VOL_EFF",$Q35,IF(Allocation!$N$3="VOL_CLASS",$R35,$S35)))</f>
        <v/>
      </c>
      <c r="AG35" s="0">
        <f>IF($A35="","",IF(Allocation!$N$1="VOL_EFF",$Q35,IF(Allocation!$N$1="VOL_CLASS",$R35,$S35)))</f>
        <v/>
      </c>
      <c r="AH35" s="0">
        <f>IF($A35="","",IF(Allocation!$N$1="VOL_EFF",$T35,IF(Allocation!$N$1="VOL_CLASS",$U35,$V35)))</f>
        <v/>
      </c>
      <c r="AI35" s="0">
        <f>IF($A35="","",$W35*IFERROR($K35/$O35,0))</f>
        <v/>
      </c>
      <c r="AJ35" s="0">
        <f>IF($A35="","",$X35*IFERROR($K35/$O35,0))</f>
        <v/>
      </c>
      <c r="AK35" s="0">
        <f>IF($A35="","",$Y35*IFERROR($G35/$L35,0)+$Z35*IFERROR($J35/$P35,0))</f>
        <v/>
      </c>
      <c r="AL35" s="0">
        <f>IF($A35="","",$AA35*IFERROR($AC35/$AD35,0))</f>
        <v/>
      </c>
      <c r="AM35" s="0">
        <f>IF($A35="","",$AB35*IFERROR($AG35/$AH35,0)*IFERROR($AE35/$AF35,0)*IFERROR($AC35/$AD35,0))</f>
        <v/>
      </c>
      <c r="AN35" s="0">
        <f>IF($A35="","",$I35-($AI35+$AJ35+$AK35+$AL35+$AM35+$AR35))</f>
        <v/>
      </c>
      <c r="AO35" s="0">
        <f>IF($A35="","",Allocation!CJ35)</f>
        <v/>
      </c>
      <c r="AP35" s="0">
        <f>IF($A35="","",IF(Allocation!$N$2="VOL_EFF",$Q35,IF(Allocation!$N$2="VOL_CLASS",$R35,$S35)))</f>
        <v/>
      </c>
      <c r="AQ35" s="0">
        <f>IF($A35="","",IF(Allocation!$N$2="VOL_EFF",$T35,IF(Allocation!$N$2="VOL_CLASS",$U35,$V35)))</f>
        <v/>
      </c>
      <c r="AR35" s="0">
        <f>IF($A35="","",$AO35*IFERROR($AP35/$AQ35,0)*IFERROR($AE35/$AF35,0)*IFERROR($AC35/$AD35,0))</f>
        <v/>
      </c>
      <c r="AS35" s="0">
        <f>IF($A35="","",$A35&amp;"|"&amp;Allocation!BG35)</f>
        <v/>
      </c>
    </row>
    <row r="36" ht="14.4975" customHeight="1" s="64">
      <c r="A36" s="0">
        <f>IF(Allocation!BI36="","",Allocation!BI36)</f>
        <v/>
      </c>
      <c r="B36" s="0">
        <f>IF(Allocation!BJ36="","",Allocation!BJ36)</f>
        <v/>
      </c>
      <c r="C36" s="0">
        <f>IF(Allocation!BK36="","",Allocation!BK36)</f>
        <v/>
      </c>
      <c r="D36" s="0">
        <f>IF(Allocation!BL36="","",Allocation!BL36)</f>
        <v/>
      </c>
      <c r="E36" s="0">
        <f>IF(Allocation!BM36="","",Allocation!BM36)</f>
        <v/>
      </c>
      <c r="F36" s="0">
        <f>IF(Allocation!BN36="","",Allocation!BN36)</f>
        <v/>
      </c>
      <c r="G36" s="0">
        <f>IF(Allocation!BO36="","",Allocation!BO36)</f>
        <v/>
      </c>
      <c r="H36" s="0">
        <f>IF(Allocation!BP36="","",Allocation!BP36)</f>
        <v/>
      </c>
      <c r="I36" s="0">
        <f>IF(Allocation!BQ36="","",Allocation!BQ36)</f>
        <v/>
      </c>
      <c r="J36" s="0">
        <f>IF(Allocation!CC36="","",Allocation!CC36)</f>
        <v/>
      </c>
      <c r="K36" s="0">
        <f>IF($A36="","",$H36*IF(AND(LEFT($D36,3)="BAC",$F36="INIT"),600,IF(LEFT($D36,3)="BAC",480,IF(AND(LEFT($D36,3)="MAS",$F36="INIT"),520,IF(LEFT($D36,3)="MAS",420,IF($F36="INIT",1000,700))))))</f>
        <v/>
      </c>
      <c r="L36" s="0">
        <f>IF($A36="","",SUMIFS($G$1:$G$349,$AS$1:$AS$349,$AS36,$B$1:$B$349,$B36))</f>
        <v/>
      </c>
      <c r="M36" s="0">
        <f>IF($A36="","",SUMIFS($H$1:$H$349,$AS$1:$AS$349,$AS36,$B$1:$B$349,$B36))</f>
        <v/>
      </c>
      <c r="N36" s="0">
        <f>IF($A36="","",SUMIFS($I$1:$I$349,$AS$1:$AS$349,$AS36,$B$1:$B$349,$B36))</f>
        <v/>
      </c>
      <c r="O36" s="0">
        <f>IF($A36="","",SUMIFS($K$1:$K$349,$AS$1:$AS$349,$AS36,$B$1:$B$349,$B36))</f>
        <v/>
      </c>
      <c r="P36" s="0">
        <f>IF($A36="","",SUMIFS($J$1:$J$349,$AS$1:$AS$349,$AS36,$B$1:$B$349,$B36))</f>
        <v/>
      </c>
      <c r="Q36" s="0">
        <f>IF($A36="","",SUMIFS($G$1:$G$349,$AS$1:$AS$349,$AS36,$C$1:$C$349,$C36))</f>
        <v/>
      </c>
      <c r="R36" s="0">
        <f>IF($A36="","",SUMIFS($H$1:$H$349,$AS$1:$AS$349,$AS36,$C$1:$C$349,$C36))</f>
        <v/>
      </c>
      <c r="S36" s="0">
        <f>IF($A36="","",SUMIFS($I$1:$I$349,$AS$1:$AS$349,$AS36,$C$1:$C$349,$C36))</f>
        <v/>
      </c>
      <c r="T36" s="0">
        <f>IF($A36="","",SUMIFS($G$1:$G$349,$AS$1:$AS$349,$AS36))</f>
        <v/>
      </c>
      <c r="U36" s="0">
        <f>IF($A36="","",SUMIFS($H$1:$H$349,$AS$1:$AS$349,$AS36))</f>
        <v/>
      </c>
      <c r="V36" s="0">
        <f>IF($A36="","",SUMIFS($I$1:$I$349,$AS$1:$AS$349,$AS36))</f>
        <v/>
      </c>
      <c r="W36" s="0">
        <f>IF($A36="","",Allocation!CD36)</f>
        <v/>
      </c>
      <c r="X36" s="0">
        <f>IF($A36="","",Allocation!CE36)</f>
        <v/>
      </c>
      <c r="Y36" s="0">
        <f>IF($A36="","",Allocation!CF36)</f>
        <v/>
      </c>
      <c r="Z36" s="0">
        <f>IF($A36="","",Allocation!CG36)</f>
        <v/>
      </c>
      <c r="AA36" s="0">
        <f>IF($A36="","",Allocation!CH36)</f>
        <v/>
      </c>
      <c r="AB36" s="0">
        <f>IF($A36="","",Allocation!CI36)</f>
        <v/>
      </c>
      <c r="AC36" s="0">
        <f>IF($A36="","",IF(Allocation!$N$4="VOL_EFF",$G36,IF(Allocation!$N$4="VOL_CLASS",$H36,$I36)))</f>
        <v/>
      </c>
      <c r="AD36" s="0">
        <f>IF($A36="","",IF(Allocation!$N$4="VOL_EFF",$L36,IF(Allocation!$N$4="VOL_CLASS",$M36,$N36)))</f>
        <v/>
      </c>
      <c r="AE36" s="0">
        <f>IF($A36="","",IF(Allocation!$N$3="VOL_EFF",$L36,IF(Allocation!$N$3="VOL_CLASS",$M36,$N36)))</f>
        <v/>
      </c>
      <c r="AF36" s="0">
        <f>IF($A36="","",IF(Allocation!$N$3="VOL_EFF",$Q36,IF(Allocation!$N$3="VOL_CLASS",$R36,$S36)))</f>
        <v/>
      </c>
      <c r="AG36" s="0">
        <f>IF($A36="","",IF(Allocation!$N$1="VOL_EFF",$Q36,IF(Allocation!$N$1="VOL_CLASS",$R36,$S36)))</f>
        <v/>
      </c>
      <c r="AH36" s="0">
        <f>IF($A36="","",IF(Allocation!$N$1="VOL_EFF",$T36,IF(Allocation!$N$1="VOL_CLASS",$U36,$V36)))</f>
        <v/>
      </c>
      <c r="AI36" s="0">
        <f>IF($A36="","",$W36*IFERROR($K36/$O36,0))</f>
        <v/>
      </c>
      <c r="AJ36" s="0">
        <f>IF($A36="","",$X36*IFERROR($K36/$O36,0))</f>
        <v/>
      </c>
      <c r="AK36" s="0">
        <f>IF($A36="","",$Y36*IFERROR($G36/$L36,0)+$Z36*IFERROR($J36/$P36,0))</f>
        <v/>
      </c>
      <c r="AL36" s="0">
        <f>IF($A36="","",$AA36*IFERROR($AC36/$AD36,0))</f>
        <v/>
      </c>
      <c r="AM36" s="0">
        <f>IF($A36="","",$AB36*IFERROR($AG36/$AH36,0)*IFERROR($AE36/$AF36,0)*IFERROR($AC36/$AD36,0))</f>
        <v/>
      </c>
      <c r="AN36" s="0">
        <f>IF($A36="","",$I36-($AI36+$AJ36+$AK36+$AL36+$AM36+$AR36))</f>
        <v/>
      </c>
      <c r="AO36" s="0">
        <f>IF($A36="","",Allocation!CJ36)</f>
        <v/>
      </c>
      <c r="AP36" s="0">
        <f>IF($A36="","",IF(Allocation!$N$2="VOL_EFF",$Q36,IF(Allocation!$N$2="VOL_CLASS",$R36,$S36)))</f>
        <v/>
      </c>
      <c r="AQ36" s="0">
        <f>IF($A36="","",IF(Allocation!$N$2="VOL_EFF",$T36,IF(Allocation!$N$2="VOL_CLASS",$U36,$V36)))</f>
        <v/>
      </c>
      <c r="AR36" s="0">
        <f>IF($A36="","",$AO36*IFERROR($AP36/$AQ36,0)*IFERROR($AE36/$AF36,0)*IFERROR($AC36/$AD36,0))</f>
        <v/>
      </c>
      <c r="AS36" s="0">
        <f>IF($A36="","",$A36&amp;"|"&amp;Allocation!BG36)</f>
        <v/>
      </c>
    </row>
    <row r="37" ht="14.4975" customHeight="1" s="64">
      <c r="A37" s="0">
        <f>IF(Allocation!BI37="","",Allocation!BI37)</f>
        <v/>
      </c>
      <c r="B37" s="0">
        <f>IF(Allocation!BJ37="","",Allocation!BJ37)</f>
        <v/>
      </c>
      <c r="C37" s="0">
        <f>IF(Allocation!BK37="","",Allocation!BK37)</f>
        <v/>
      </c>
      <c r="D37" s="0">
        <f>IF(Allocation!BL37="","",Allocation!BL37)</f>
        <v/>
      </c>
      <c r="E37" s="0">
        <f>IF(Allocation!BM37="","",Allocation!BM37)</f>
        <v/>
      </c>
      <c r="F37" s="0">
        <f>IF(Allocation!BN37="","",Allocation!BN37)</f>
        <v/>
      </c>
      <c r="G37" s="0">
        <f>IF(Allocation!BO37="","",Allocation!BO37)</f>
        <v/>
      </c>
      <c r="H37" s="0">
        <f>IF(Allocation!BP37="","",Allocation!BP37)</f>
        <v/>
      </c>
      <c r="I37" s="0">
        <f>IF(Allocation!BQ37="","",Allocation!BQ37)</f>
        <v/>
      </c>
      <c r="J37" s="0">
        <f>IF(Allocation!CC37="","",Allocation!CC37)</f>
        <v/>
      </c>
      <c r="K37" s="0">
        <f>IF($A37="","",$H37*IF(AND(LEFT($D37,3)="BAC",$F37="INIT"),600,IF(LEFT($D37,3)="BAC",480,IF(AND(LEFT($D37,3)="MAS",$F37="INIT"),520,IF(LEFT($D37,3)="MAS",420,IF($F37="INIT",1000,700))))))</f>
        <v/>
      </c>
      <c r="L37" s="0">
        <f>IF($A37="","",SUMIFS($G$1:$G$349,$AS$1:$AS$349,$AS37,$B$1:$B$349,$B37))</f>
        <v/>
      </c>
      <c r="M37" s="0">
        <f>IF($A37="","",SUMIFS($H$1:$H$349,$AS$1:$AS$349,$AS37,$B$1:$B$349,$B37))</f>
        <v/>
      </c>
      <c r="N37" s="0">
        <f>IF($A37="","",SUMIFS($I$1:$I$349,$AS$1:$AS$349,$AS37,$B$1:$B$349,$B37))</f>
        <v/>
      </c>
      <c r="O37" s="0">
        <f>IF($A37="","",SUMIFS($K$1:$K$349,$AS$1:$AS$349,$AS37,$B$1:$B$349,$B37))</f>
        <v/>
      </c>
      <c r="P37" s="0">
        <f>IF($A37="","",SUMIFS($J$1:$J$349,$AS$1:$AS$349,$AS37,$B$1:$B$349,$B37))</f>
        <v/>
      </c>
      <c r="Q37" s="0">
        <f>IF($A37="","",SUMIFS($G$1:$G$349,$AS$1:$AS$349,$AS37,$C$1:$C$349,$C37))</f>
        <v/>
      </c>
      <c r="R37" s="0">
        <f>IF($A37="","",SUMIFS($H$1:$H$349,$AS$1:$AS$349,$AS37,$C$1:$C$349,$C37))</f>
        <v/>
      </c>
      <c r="S37" s="0">
        <f>IF($A37="","",SUMIFS($I$1:$I$349,$AS$1:$AS$349,$AS37,$C$1:$C$349,$C37))</f>
        <v/>
      </c>
      <c r="T37" s="0">
        <f>IF($A37="","",SUMIFS($G$1:$G$349,$AS$1:$AS$349,$AS37))</f>
        <v/>
      </c>
      <c r="U37" s="0">
        <f>IF($A37="","",SUMIFS($H$1:$H$349,$AS$1:$AS$349,$AS37))</f>
        <v/>
      </c>
      <c r="V37" s="0">
        <f>IF($A37="","",SUMIFS($I$1:$I$349,$AS$1:$AS$349,$AS37))</f>
        <v/>
      </c>
      <c r="W37" s="0">
        <f>IF($A37="","",Allocation!CD37)</f>
        <v/>
      </c>
      <c r="X37" s="0">
        <f>IF($A37="","",Allocation!CE37)</f>
        <v/>
      </c>
      <c r="Y37" s="0">
        <f>IF($A37="","",Allocation!CF37)</f>
        <v/>
      </c>
      <c r="Z37" s="0">
        <f>IF($A37="","",Allocation!CG37)</f>
        <v/>
      </c>
      <c r="AA37" s="0">
        <f>IF($A37="","",Allocation!CH37)</f>
        <v/>
      </c>
      <c r="AB37" s="0">
        <f>IF($A37="","",Allocation!CI37)</f>
        <v/>
      </c>
      <c r="AC37" s="0">
        <f>IF($A37="","",IF(Allocation!$N$4="VOL_EFF",$G37,IF(Allocation!$N$4="VOL_CLASS",$H37,$I37)))</f>
        <v/>
      </c>
      <c r="AD37" s="0">
        <f>IF($A37="","",IF(Allocation!$N$4="VOL_EFF",$L37,IF(Allocation!$N$4="VOL_CLASS",$M37,$N37)))</f>
        <v/>
      </c>
      <c r="AE37" s="0">
        <f>IF($A37="","",IF(Allocation!$N$3="VOL_EFF",$L37,IF(Allocation!$N$3="VOL_CLASS",$M37,$N37)))</f>
        <v/>
      </c>
      <c r="AF37" s="0">
        <f>IF($A37="","",IF(Allocation!$N$3="VOL_EFF",$Q37,IF(Allocation!$N$3="VOL_CLASS",$R37,$S37)))</f>
        <v/>
      </c>
      <c r="AG37" s="0">
        <f>IF($A37="","",IF(Allocation!$N$1="VOL_EFF",$Q37,IF(Allocation!$N$1="VOL_CLASS",$R37,$S37)))</f>
        <v/>
      </c>
      <c r="AH37" s="0">
        <f>IF($A37="","",IF(Allocation!$N$1="VOL_EFF",$T37,IF(Allocation!$N$1="VOL_CLASS",$U37,$V37)))</f>
        <v/>
      </c>
      <c r="AI37" s="0">
        <f>IF($A37="","",$W37*IFERROR($K37/$O37,0))</f>
        <v/>
      </c>
      <c r="AJ37" s="0">
        <f>IF($A37="","",$X37*IFERROR($K37/$O37,0))</f>
        <v/>
      </c>
      <c r="AK37" s="0">
        <f>IF($A37="","",$Y37*IFERROR($G37/$L37,0)+$Z37*IFERROR($J37/$P37,0))</f>
        <v/>
      </c>
      <c r="AL37" s="0">
        <f>IF($A37="","",$AA37*IFERROR($AC37/$AD37,0))</f>
        <v/>
      </c>
      <c r="AM37" s="0">
        <f>IF($A37="","",$AB37*IFERROR($AG37/$AH37,0)*IFERROR($AE37/$AF37,0)*IFERROR($AC37/$AD37,0))</f>
        <v/>
      </c>
      <c r="AN37" s="0">
        <f>IF($A37="","",$I37-($AI37+$AJ37+$AK37+$AL37+$AM37+$AR37))</f>
        <v/>
      </c>
      <c r="AO37" s="0">
        <f>IF($A37="","",Allocation!CJ37)</f>
        <v/>
      </c>
      <c r="AP37" s="0">
        <f>IF($A37="","",IF(Allocation!$N$2="VOL_EFF",$Q37,IF(Allocation!$N$2="VOL_CLASS",$R37,$S37)))</f>
        <v/>
      </c>
      <c r="AQ37" s="0">
        <f>IF($A37="","",IF(Allocation!$N$2="VOL_EFF",$T37,IF(Allocation!$N$2="VOL_CLASS",$U37,$V37)))</f>
        <v/>
      </c>
      <c r="AR37" s="0">
        <f>IF($A37="","",$AO37*IFERROR($AP37/$AQ37,0)*IFERROR($AE37/$AF37,0)*IFERROR($AC37/$AD37,0))</f>
        <v/>
      </c>
      <c r="AS37" s="0">
        <f>IF($A37="","",$A37&amp;"|"&amp;Allocation!BG37)</f>
        <v/>
      </c>
    </row>
    <row r="38" ht="14.4975" customHeight="1" s="64">
      <c r="A38" s="0">
        <f>IF(Allocation!BI38="","",Allocation!BI38)</f>
        <v/>
      </c>
      <c r="B38" s="0">
        <f>IF(Allocation!BJ38="","",Allocation!BJ38)</f>
        <v/>
      </c>
      <c r="C38" s="0">
        <f>IF(Allocation!BK38="","",Allocation!BK38)</f>
        <v/>
      </c>
      <c r="D38" s="0">
        <f>IF(Allocation!BL38="","",Allocation!BL38)</f>
        <v/>
      </c>
      <c r="E38" s="0">
        <f>IF(Allocation!BM38="","",Allocation!BM38)</f>
        <v/>
      </c>
      <c r="F38" s="0">
        <f>IF(Allocation!BN38="","",Allocation!BN38)</f>
        <v/>
      </c>
      <c r="G38" s="0">
        <f>IF(Allocation!BO38="","",Allocation!BO38)</f>
        <v/>
      </c>
      <c r="H38" s="0">
        <f>IF(Allocation!BP38="","",Allocation!BP38)</f>
        <v/>
      </c>
      <c r="I38" s="0">
        <f>IF(Allocation!BQ38="","",Allocation!BQ38)</f>
        <v/>
      </c>
      <c r="J38" s="0">
        <f>IF(Allocation!CC38="","",Allocation!CC38)</f>
        <v/>
      </c>
      <c r="K38" s="0">
        <f>IF($A38="","",$H38*IF(AND(LEFT($D38,3)="BAC",$F38="INIT"),600,IF(LEFT($D38,3)="BAC",480,IF(AND(LEFT($D38,3)="MAS",$F38="INIT"),520,IF(LEFT($D38,3)="MAS",420,IF($F38="INIT",1000,700))))))</f>
        <v/>
      </c>
      <c r="L38" s="0">
        <f>IF($A38="","",SUMIFS($G$1:$G$349,$AS$1:$AS$349,$AS38,$B$1:$B$349,$B38))</f>
        <v/>
      </c>
      <c r="M38" s="0">
        <f>IF($A38="","",SUMIFS($H$1:$H$349,$AS$1:$AS$349,$AS38,$B$1:$B$349,$B38))</f>
        <v/>
      </c>
      <c r="N38" s="0">
        <f>IF($A38="","",SUMIFS($I$1:$I$349,$AS$1:$AS$349,$AS38,$B$1:$B$349,$B38))</f>
        <v/>
      </c>
      <c r="O38" s="0">
        <f>IF($A38="","",SUMIFS($K$1:$K$349,$AS$1:$AS$349,$AS38,$B$1:$B$349,$B38))</f>
        <v/>
      </c>
      <c r="P38" s="0">
        <f>IF($A38="","",SUMIFS($J$1:$J$349,$AS$1:$AS$349,$AS38,$B$1:$B$349,$B38))</f>
        <v/>
      </c>
      <c r="Q38" s="0">
        <f>IF($A38="","",SUMIFS($G$1:$G$349,$AS$1:$AS$349,$AS38,$C$1:$C$349,$C38))</f>
        <v/>
      </c>
      <c r="R38" s="0">
        <f>IF($A38="","",SUMIFS($H$1:$H$349,$AS$1:$AS$349,$AS38,$C$1:$C$349,$C38))</f>
        <v/>
      </c>
      <c r="S38" s="0">
        <f>IF($A38="","",SUMIFS($I$1:$I$349,$AS$1:$AS$349,$AS38,$C$1:$C$349,$C38))</f>
        <v/>
      </c>
      <c r="T38" s="0">
        <f>IF($A38="","",SUMIFS($G$1:$G$349,$AS$1:$AS$349,$AS38))</f>
        <v/>
      </c>
      <c r="U38" s="0">
        <f>IF($A38="","",SUMIFS($H$1:$H$349,$AS$1:$AS$349,$AS38))</f>
        <v/>
      </c>
      <c r="V38" s="0">
        <f>IF($A38="","",SUMIFS($I$1:$I$349,$AS$1:$AS$349,$AS38))</f>
        <v/>
      </c>
      <c r="W38" s="0">
        <f>IF($A38="","",Allocation!CD38)</f>
        <v/>
      </c>
      <c r="X38" s="0">
        <f>IF($A38="","",Allocation!CE38)</f>
        <v/>
      </c>
      <c r="Y38" s="0">
        <f>IF($A38="","",Allocation!CF38)</f>
        <v/>
      </c>
      <c r="Z38" s="0">
        <f>IF($A38="","",Allocation!CG38)</f>
        <v/>
      </c>
      <c r="AA38" s="0">
        <f>IF($A38="","",Allocation!CH38)</f>
        <v/>
      </c>
      <c r="AB38" s="0">
        <f>IF($A38="","",Allocation!CI38)</f>
        <v/>
      </c>
      <c r="AC38" s="0">
        <f>IF($A38="","",IF(Allocation!$N$4="VOL_EFF",$G38,IF(Allocation!$N$4="VOL_CLASS",$H38,$I38)))</f>
        <v/>
      </c>
      <c r="AD38" s="0">
        <f>IF($A38="","",IF(Allocation!$N$4="VOL_EFF",$L38,IF(Allocation!$N$4="VOL_CLASS",$M38,$N38)))</f>
        <v/>
      </c>
      <c r="AE38" s="0">
        <f>IF($A38="","",IF(Allocation!$N$3="VOL_EFF",$L38,IF(Allocation!$N$3="VOL_CLASS",$M38,$N38)))</f>
        <v/>
      </c>
      <c r="AF38" s="0">
        <f>IF($A38="","",IF(Allocation!$N$3="VOL_EFF",$Q38,IF(Allocation!$N$3="VOL_CLASS",$R38,$S38)))</f>
        <v/>
      </c>
      <c r="AG38" s="0">
        <f>IF($A38="","",IF(Allocation!$N$1="VOL_EFF",$Q38,IF(Allocation!$N$1="VOL_CLASS",$R38,$S38)))</f>
        <v/>
      </c>
      <c r="AH38" s="0">
        <f>IF($A38="","",IF(Allocation!$N$1="VOL_EFF",$T38,IF(Allocation!$N$1="VOL_CLASS",$U38,$V38)))</f>
        <v/>
      </c>
      <c r="AI38" s="0">
        <f>IF($A38="","",$W38*IFERROR($K38/$O38,0))</f>
        <v/>
      </c>
      <c r="AJ38" s="0">
        <f>IF($A38="","",$X38*IFERROR($K38/$O38,0))</f>
        <v/>
      </c>
      <c r="AK38" s="0">
        <f>IF($A38="","",$Y38*IFERROR($G38/$L38,0)+$Z38*IFERROR($J38/$P38,0))</f>
        <v/>
      </c>
      <c r="AL38" s="0">
        <f>IF($A38="","",$AA38*IFERROR($AC38/$AD38,0))</f>
        <v/>
      </c>
      <c r="AM38" s="0">
        <f>IF($A38="","",$AB38*IFERROR($AG38/$AH38,0)*IFERROR($AE38/$AF38,0)*IFERROR($AC38/$AD38,0))</f>
        <v/>
      </c>
      <c r="AN38" s="0">
        <f>IF($A38="","",$I38-($AI38+$AJ38+$AK38+$AL38+$AM38+$AR38))</f>
        <v/>
      </c>
      <c r="AO38" s="0">
        <f>IF($A38="","",Allocation!CJ38)</f>
        <v/>
      </c>
      <c r="AP38" s="0">
        <f>IF($A38="","",IF(Allocation!$N$2="VOL_EFF",$Q38,IF(Allocation!$N$2="VOL_CLASS",$R38,$S38)))</f>
        <v/>
      </c>
      <c r="AQ38" s="0">
        <f>IF($A38="","",IF(Allocation!$N$2="VOL_EFF",$T38,IF(Allocation!$N$2="VOL_CLASS",$U38,$V38)))</f>
        <v/>
      </c>
      <c r="AR38" s="0">
        <f>IF($A38="","",$AO38*IFERROR($AP38/$AQ38,0)*IFERROR($AE38/$AF38,0)*IFERROR($AC38/$AD38,0))</f>
        <v/>
      </c>
      <c r="AS38" s="0">
        <f>IF($A38="","",$A38&amp;"|"&amp;Allocation!BG38)</f>
        <v/>
      </c>
    </row>
    <row r="39" ht="14.4975" customHeight="1" s="64">
      <c r="A39" s="0">
        <f>IF(Allocation!BI39="","",Allocation!BI39)</f>
        <v/>
      </c>
      <c r="B39" s="0">
        <f>IF(Allocation!BJ39="","",Allocation!BJ39)</f>
        <v/>
      </c>
      <c r="C39" s="0">
        <f>IF(Allocation!BK39="","",Allocation!BK39)</f>
        <v/>
      </c>
      <c r="D39" s="0">
        <f>IF(Allocation!BL39="","",Allocation!BL39)</f>
        <v/>
      </c>
      <c r="E39" s="0">
        <f>IF(Allocation!BM39="","",Allocation!BM39)</f>
        <v/>
      </c>
      <c r="F39" s="0">
        <f>IF(Allocation!BN39="","",Allocation!BN39)</f>
        <v/>
      </c>
      <c r="G39" s="0">
        <f>IF(Allocation!BO39="","",Allocation!BO39)</f>
        <v/>
      </c>
      <c r="H39" s="0">
        <f>IF(Allocation!BP39="","",Allocation!BP39)</f>
        <v/>
      </c>
      <c r="I39" s="0">
        <f>IF(Allocation!BQ39="","",Allocation!BQ39)</f>
        <v/>
      </c>
      <c r="J39" s="0">
        <f>IF(Allocation!CC39="","",Allocation!CC39)</f>
        <v/>
      </c>
      <c r="K39" s="0">
        <f>IF($A39="","",$H39*IF(AND(LEFT($D39,3)="BAC",$F39="INIT"),600,IF(LEFT($D39,3)="BAC",480,IF(AND(LEFT($D39,3)="MAS",$F39="INIT"),520,IF(LEFT($D39,3)="MAS",420,IF($F39="INIT",1000,700))))))</f>
        <v/>
      </c>
      <c r="L39" s="0">
        <f>IF($A39="","",SUMIFS($G$1:$G$349,$AS$1:$AS$349,$AS39,$B$1:$B$349,$B39))</f>
        <v/>
      </c>
      <c r="M39" s="0">
        <f>IF($A39="","",SUMIFS($H$1:$H$349,$AS$1:$AS$349,$AS39,$B$1:$B$349,$B39))</f>
        <v/>
      </c>
      <c r="N39" s="0">
        <f>IF($A39="","",SUMIFS($I$1:$I$349,$AS$1:$AS$349,$AS39,$B$1:$B$349,$B39))</f>
        <v/>
      </c>
      <c r="O39" s="0">
        <f>IF($A39="","",SUMIFS($K$1:$K$349,$AS$1:$AS$349,$AS39,$B$1:$B$349,$B39))</f>
        <v/>
      </c>
      <c r="P39" s="0">
        <f>IF($A39="","",SUMIFS($J$1:$J$349,$AS$1:$AS$349,$AS39,$B$1:$B$349,$B39))</f>
        <v/>
      </c>
      <c r="Q39" s="0">
        <f>IF($A39="","",SUMIFS($G$1:$G$349,$AS$1:$AS$349,$AS39,$C$1:$C$349,$C39))</f>
        <v/>
      </c>
      <c r="R39" s="0">
        <f>IF($A39="","",SUMIFS($H$1:$H$349,$AS$1:$AS$349,$AS39,$C$1:$C$349,$C39))</f>
        <v/>
      </c>
      <c r="S39" s="0">
        <f>IF($A39="","",SUMIFS($I$1:$I$349,$AS$1:$AS$349,$AS39,$C$1:$C$349,$C39))</f>
        <v/>
      </c>
      <c r="T39" s="0">
        <f>IF($A39="","",SUMIFS($G$1:$G$349,$AS$1:$AS$349,$AS39))</f>
        <v/>
      </c>
      <c r="U39" s="0">
        <f>IF($A39="","",SUMIFS($H$1:$H$349,$AS$1:$AS$349,$AS39))</f>
        <v/>
      </c>
      <c r="V39" s="0">
        <f>IF($A39="","",SUMIFS($I$1:$I$349,$AS$1:$AS$349,$AS39))</f>
        <v/>
      </c>
      <c r="W39" s="0">
        <f>IF($A39="","",Allocation!CD39)</f>
        <v/>
      </c>
      <c r="X39" s="0">
        <f>IF($A39="","",Allocation!CE39)</f>
        <v/>
      </c>
      <c r="Y39" s="0">
        <f>IF($A39="","",Allocation!CF39)</f>
        <v/>
      </c>
      <c r="Z39" s="0">
        <f>IF($A39="","",Allocation!CG39)</f>
        <v/>
      </c>
      <c r="AA39" s="0">
        <f>IF($A39="","",Allocation!CH39)</f>
        <v/>
      </c>
      <c r="AB39" s="0">
        <f>IF($A39="","",Allocation!CI39)</f>
        <v/>
      </c>
      <c r="AC39" s="0">
        <f>IF($A39="","",IF(Allocation!$N$4="VOL_EFF",$G39,IF(Allocation!$N$4="VOL_CLASS",$H39,$I39)))</f>
        <v/>
      </c>
      <c r="AD39" s="0">
        <f>IF($A39="","",IF(Allocation!$N$4="VOL_EFF",$L39,IF(Allocation!$N$4="VOL_CLASS",$M39,$N39)))</f>
        <v/>
      </c>
      <c r="AE39" s="0">
        <f>IF($A39="","",IF(Allocation!$N$3="VOL_EFF",$L39,IF(Allocation!$N$3="VOL_CLASS",$M39,$N39)))</f>
        <v/>
      </c>
      <c r="AF39" s="0">
        <f>IF($A39="","",IF(Allocation!$N$3="VOL_EFF",$Q39,IF(Allocation!$N$3="VOL_CLASS",$R39,$S39)))</f>
        <v/>
      </c>
      <c r="AG39" s="0">
        <f>IF($A39="","",IF(Allocation!$N$1="VOL_EFF",$Q39,IF(Allocation!$N$1="VOL_CLASS",$R39,$S39)))</f>
        <v/>
      </c>
      <c r="AH39" s="0">
        <f>IF($A39="","",IF(Allocation!$N$1="VOL_EFF",$T39,IF(Allocation!$N$1="VOL_CLASS",$U39,$V39)))</f>
        <v/>
      </c>
      <c r="AI39" s="0">
        <f>IF($A39="","",$W39*IFERROR($K39/$O39,0))</f>
        <v/>
      </c>
      <c r="AJ39" s="0">
        <f>IF($A39="","",$X39*IFERROR($K39/$O39,0))</f>
        <v/>
      </c>
      <c r="AK39" s="0">
        <f>IF($A39="","",$Y39*IFERROR($G39/$L39,0)+$Z39*IFERROR($J39/$P39,0))</f>
        <v/>
      </c>
      <c r="AL39" s="0">
        <f>IF($A39="","",$AA39*IFERROR($AC39/$AD39,0))</f>
        <v/>
      </c>
      <c r="AM39" s="0">
        <f>IF($A39="","",$AB39*IFERROR($AG39/$AH39,0)*IFERROR($AE39/$AF39,0)*IFERROR($AC39/$AD39,0))</f>
        <v/>
      </c>
      <c r="AN39" s="0">
        <f>IF($A39="","",$I39-($AI39+$AJ39+$AK39+$AL39+$AM39+$AR39))</f>
        <v/>
      </c>
      <c r="AO39" s="0">
        <f>IF($A39="","",Allocation!CJ39)</f>
        <v/>
      </c>
      <c r="AP39" s="0">
        <f>IF($A39="","",IF(Allocation!$N$2="VOL_EFF",$Q39,IF(Allocation!$N$2="VOL_CLASS",$R39,$S39)))</f>
        <v/>
      </c>
      <c r="AQ39" s="0">
        <f>IF($A39="","",IF(Allocation!$N$2="VOL_EFF",$T39,IF(Allocation!$N$2="VOL_CLASS",$U39,$V39)))</f>
        <v/>
      </c>
      <c r="AR39" s="0">
        <f>IF($A39="","",$AO39*IFERROR($AP39/$AQ39,0)*IFERROR($AE39/$AF39,0)*IFERROR($AC39/$AD39,0))</f>
        <v/>
      </c>
      <c r="AS39" s="0">
        <f>IF($A39="","",$A39&amp;"|"&amp;Allocation!BG39)</f>
        <v/>
      </c>
    </row>
    <row r="40" ht="14.4975" customHeight="1" s="64">
      <c r="A40" s="0">
        <f>IF(Allocation!BI40="","",Allocation!BI40)</f>
        <v/>
      </c>
      <c r="B40" s="0">
        <f>IF(Allocation!BJ40="","",Allocation!BJ40)</f>
        <v/>
      </c>
      <c r="C40" s="0">
        <f>IF(Allocation!BK40="","",Allocation!BK40)</f>
        <v/>
      </c>
      <c r="D40" s="0">
        <f>IF(Allocation!BL40="","",Allocation!BL40)</f>
        <v/>
      </c>
      <c r="E40" s="0">
        <f>IF(Allocation!BM40="","",Allocation!BM40)</f>
        <v/>
      </c>
      <c r="F40" s="0">
        <f>IF(Allocation!BN40="","",Allocation!BN40)</f>
        <v/>
      </c>
      <c r="G40" s="0">
        <f>IF(Allocation!BO40="","",Allocation!BO40)</f>
        <v/>
      </c>
      <c r="H40" s="0">
        <f>IF(Allocation!BP40="","",Allocation!BP40)</f>
        <v/>
      </c>
      <c r="I40" s="0">
        <f>IF(Allocation!BQ40="","",Allocation!BQ40)</f>
        <v/>
      </c>
      <c r="J40" s="0">
        <f>IF(Allocation!CC40="","",Allocation!CC40)</f>
        <v/>
      </c>
      <c r="K40" s="0">
        <f>IF($A40="","",$H40*IF(AND(LEFT($D40,3)="BAC",$F40="INIT"),600,IF(LEFT($D40,3)="BAC",480,IF(AND(LEFT($D40,3)="MAS",$F40="INIT"),520,IF(LEFT($D40,3)="MAS",420,IF($F40="INIT",1000,700))))))</f>
        <v/>
      </c>
      <c r="L40" s="0">
        <f>IF($A40="","",SUMIFS($G$1:$G$349,$AS$1:$AS$349,$AS40,$B$1:$B$349,$B40))</f>
        <v/>
      </c>
      <c r="M40" s="0">
        <f>IF($A40="","",SUMIFS($H$1:$H$349,$AS$1:$AS$349,$AS40,$B$1:$B$349,$B40))</f>
        <v/>
      </c>
      <c r="N40" s="0">
        <f>IF($A40="","",SUMIFS($I$1:$I$349,$AS$1:$AS$349,$AS40,$B$1:$B$349,$B40))</f>
        <v/>
      </c>
      <c r="O40" s="0">
        <f>IF($A40="","",SUMIFS($K$1:$K$349,$AS$1:$AS$349,$AS40,$B$1:$B$349,$B40))</f>
        <v/>
      </c>
      <c r="P40" s="0">
        <f>IF($A40="","",SUMIFS($J$1:$J$349,$AS$1:$AS$349,$AS40,$B$1:$B$349,$B40))</f>
        <v/>
      </c>
      <c r="Q40" s="0">
        <f>IF($A40="","",SUMIFS($G$1:$G$349,$AS$1:$AS$349,$AS40,$C$1:$C$349,$C40))</f>
        <v/>
      </c>
      <c r="R40" s="0">
        <f>IF($A40="","",SUMIFS($H$1:$H$349,$AS$1:$AS$349,$AS40,$C$1:$C$349,$C40))</f>
        <v/>
      </c>
      <c r="S40" s="0">
        <f>IF($A40="","",SUMIFS($I$1:$I$349,$AS$1:$AS$349,$AS40,$C$1:$C$349,$C40))</f>
        <v/>
      </c>
      <c r="T40" s="0">
        <f>IF($A40="","",SUMIFS($G$1:$G$349,$AS$1:$AS$349,$AS40))</f>
        <v/>
      </c>
      <c r="U40" s="0">
        <f>IF($A40="","",SUMIFS($H$1:$H$349,$AS$1:$AS$349,$AS40))</f>
        <v/>
      </c>
      <c r="V40" s="0">
        <f>IF($A40="","",SUMIFS($I$1:$I$349,$AS$1:$AS$349,$AS40))</f>
        <v/>
      </c>
      <c r="W40" s="0">
        <f>IF($A40="","",Allocation!CD40)</f>
        <v/>
      </c>
      <c r="X40" s="0">
        <f>IF($A40="","",Allocation!CE40)</f>
        <v/>
      </c>
      <c r="Y40" s="0">
        <f>IF($A40="","",Allocation!CF40)</f>
        <v/>
      </c>
      <c r="Z40" s="0">
        <f>IF($A40="","",Allocation!CG40)</f>
        <v/>
      </c>
      <c r="AA40" s="0">
        <f>IF($A40="","",Allocation!CH40)</f>
        <v/>
      </c>
      <c r="AB40" s="0">
        <f>IF($A40="","",Allocation!CI40)</f>
        <v/>
      </c>
      <c r="AC40" s="0">
        <f>IF($A40="","",IF(Allocation!$N$4="VOL_EFF",$G40,IF(Allocation!$N$4="VOL_CLASS",$H40,$I40)))</f>
        <v/>
      </c>
      <c r="AD40" s="0">
        <f>IF($A40="","",IF(Allocation!$N$4="VOL_EFF",$L40,IF(Allocation!$N$4="VOL_CLASS",$M40,$N40)))</f>
        <v/>
      </c>
      <c r="AE40" s="0">
        <f>IF($A40="","",IF(Allocation!$N$3="VOL_EFF",$L40,IF(Allocation!$N$3="VOL_CLASS",$M40,$N40)))</f>
        <v/>
      </c>
      <c r="AF40" s="0">
        <f>IF($A40="","",IF(Allocation!$N$3="VOL_EFF",$Q40,IF(Allocation!$N$3="VOL_CLASS",$R40,$S40)))</f>
        <v/>
      </c>
      <c r="AG40" s="0">
        <f>IF($A40="","",IF(Allocation!$N$1="VOL_EFF",$Q40,IF(Allocation!$N$1="VOL_CLASS",$R40,$S40)))</f>
        <v/>
      </c>
      <c r="AH40" s="0">
        <f>IF($A40="","",IF(Allocation!$N$1="VOL_EFF",$T40,IF(Allocation!$N$1="VOL_CLASS",$U40,$V40)))</f>
        <v/>
      </c>
      <c r="AI40" s="0">
        <f>IF($A40="","",$W40*IFERROR($K40/$O40,0))</f>
        <v/>
      </c>
      <c r="AJ40" s="0">
        <f>IF($A40="","",$X40*IFERROR($K40/$O40,0))</f>
        <v/>
      </c>
      <c r="AK40" s="0">
        <f>IF($A40="","",$Y40*IFERROR($G40/$L40,0)+$Z40*IFERROR($J40/$P40,0))</f>
        <v/>
      </c>
      <c r="AL40" s="0">
        <f>IF($A40="","",$AA40*IFERROR($AC40/$AD40,0))</f>
        <v/>
      </c>
      <c r="AM40" s="0">
        <f>IF($A40="","",$AB40*IFERROR($AG40/$AH40,0)*IFERROR($AE40/$AF40,0)*IFERROR($AC40/$AD40,0))</f>
        <v/>
      </c>
      <c r="AN40" s="0">
        <f>IF($A40="","",$I40-($AI40+$AJ40+$AK40+$AL40+$AM40+$AR40))</f>
        <v/>
      </c>
      <c r="AO40" s="0">
        <f>IF($A40="","",Allocation!CJ40)</f>
        <v/>
      </c>
      <c r="AP40" s="0">
        <f>IF($A40="","",IF(Allocation!$N$2="VOL_EFF",$Q40,IF(Allocation!$N$2="VOL_CLASS",$R40,$S40)))</f>
        <v/>
      </c>
      <c r="AQ40" s="0">
        <f>IF($A40="","",IF(Allocation!$N$2="VOL_EFF",$T40,IF(Allocation!$N$2="VOL_CLASS",$U40,$V40)))</f>
        <v/>
      </c>
      <c r="AR40" s="0">
        <f>IF($A40="","",$AO40*IFERROR($AP40/$AQ40,0)*IFERROR($AE40/$AF40,0)*IFERROR($AC40/$AD40,0))</f>
        <v/>
      </c>
      <c r="AS40" s="0">
        <f>IF($A40="","",$A40&amp;"|"&amp;Allocation!BG40)</f>
        <v/>
      </c>
    </row>
    <row r="41" ht="14.4975" customHeight="1" s="64">
      <c r="A41" s="0">
        <f>IF(Allocation!BI41="","",Allocation!BI41)</f>
        <v/>
      </c>
      <c r="B41" s="0">
        <f>IF(Allocation!BJ41="","",Allocation!BJ41)</f>
        <v/>
      </c>
      <c r="C41" s="0">
        <f>IF(Allocation!BK41="","",Allocation!BK41)</f>
        <v/>
      </c>
      <c r="D41" s="0">
        <f>IF(Allocation!BL41="","",Allocation!BL41)</f>
        <v/>
      </c>
      <c r="E41" s="0">
        <f>IF(Allocation!BM41="","",Allocation!BM41)</f>
        <v/>
      </c>
      <c r="F41" s="0">
        <f>IF(Allocation!BN41="","",Allocation!BN41)</f>
        <v/>
      </c>
      <c r="G41" s="0">
        <f>IF(Allocation!BO41="","",Allocation!BO41)</f>
        <v/>
      </c>
      <c r="H41" s="0">
        <f>IF(Allocation!BP41="","",Allocation!BP41)</f>
        <v/>
      </c>
      <c r="I41" s="0">
        <f>IF(Allocation!BQ41="","",Allocation!BQ41)</f>
        <v/>
      </c>
      <c r="J41" s="0">
        <f>IF(Allocation!CC41="","",Allocation!CC41)</f>
        <v/>
      </c>
      <c r="K41" s="0">
        <f>IF($A41="","",$H41*IF(AND(LEFT($D41,3)="BAC",$F41="INIT"),600,IF(LEFT($D41,3)="BAC",480,IF(AND(LEFT($D41,3)="MAS",$F41="INIT"),520,IF(LEFT($D41,3)="MAS",420,IF($F41="INIT",1000,700))))))</f>
        <v/>
      </c>
      <c r="L41" s="0">
        <f>IF($A41="","",SUMIFS($G$1:$G$349,$AS$1:$AS$349,$AS41,$B$1:$B$349,$B41))</f>
        <v/>
      </c>
      <c r="M41" s="0">
        <f>IF($A41="","",SUMIFS($H$1:$H$349,$AS$1:$AS$349,$AS41,$B$1:$B$349,$B41))</f>
        <v/>
      </c>
      <c r="N41" s="0">
        <f>IF($A41="","",SUMIFS($I$1:$I$349,$AS$1:$AS$349,$AS41,$B$1:$B$349,$B41))</f>
        <v/>
      </c>
      <c r="O41" s="0">
        <f>IF($A41="","",SUMIFS($K$1:$K$349,$AS$1:$AS$349,$AS41,$B$1:$B$349,$B41))</f>
        <v/>
      </c>
      <c r="P41" s="0">
        <f>IF($A41="","",SUMIFS($J$1:$J$349,$AS$1:$AS$349,$AS41,$B$1:$B$349,$B41))</f>
        <v/>
      </c>
      <c r="Q41" s="0">
        <f>IF($A41="","",SUMIFS($G$1:$G$349,$AS$1:$AS$349,$AS41,$C$1:$C$349,$C41))</f>
        <v/>
      </c>
      <c r="R41" s="0">
        <f>IF($A41="","",SUMIFS($H$1:$H$349,$AS$1:$AS$349,$AS41,$C$1:$C$349,$C41))</f>
        <v/>
      </c>
      <c r="S41" s="0">
        <f>IF($A41="","",SUMIFS($I$1:$I$349,$AS$1:$AS$349,$AS41,$C$1:$C$349,$C41))</f>
        <v/>
      </c>
      <c r="T41" s="0">
        <f>IF($A41="","",SUMIFS($G$1:$G$349,$AS$1:$AS$349,$AS41))</f>
        <v/>
      </c>
      <c r="U41" s="0">
        <f>IF($A41="","",SUMIFS($H$1:$H$349,$AS$1:$AS$349,$AS41))</f>
        <v/>
      </c>
      <c r="V41" s="0">
        <f>IF($A41="","",SUMIFS($I$1:$I$349,$AS$1:$AS$349,$AS41))</f>
        <v/>
      </c>
      <c r="W41" s="0">
        <f>IF($A41="","",Allocation!CD41)</f>
        <v/>
      </c>
      <c r="X41" s="0">
        <f>IF($A41="","",Allocation!CE41)</f>
        <v/>
      </c>
      <c r="Y41" s="0">
        <f>IF($A41="","",Allocation!CF41)</f>
        <v/>
      </c>
      <c r="Z41" s="0">
        <f>IF($A41="","",Allocation!CG41)</f>
        <v/>
      </c>
      <c r="AA41" s="0">
        <f>IF($A41="","",Allocation!CH41)</f>
        <v/>
      </c>
      <c r="AB41" s="0">
        <f>IF($A41="","",Allocation!CI41)</f>
        <v/>
      </c>
      <c r="AC41" s="0">
        <f>IF($A41="","",IF(Allocation!$N$4="VOL_EFF",$G41,IF(Allocation!$N$4="VOL_CLASS",$H41,$I41)))</f>
        <v/>
      </c>
      <c r="AD41" s="0">
        <f>IF($A41="","",IF(Allocation!$N$4="VOL_EFF",$L41,IF(Allocation!$N$4="VOL_CLASS",$M41,$N41)))</f>
        <v/>
      </c>
      <c r="AE41" s="0">
        <f>IF($A41="","",IF(Allocation!$N$3="VOL_EFF",$L41,IF(Allocation!$N$3="VOL_CLASS",$M41,$N41)))</f>
        <v/>
      </c>
      <c r="AF41" s="0">
        <f>IF($A41="","",IF(Allocation!$N$3="VOL_EFF",$Q41,IF(Allocation!$N$3="VOL_CLASS",$R41,$S41)))</f>
        <v/>
      </c>
      <c r="AG41" s="0">
        <f>IF($A41="","",IF(Allocation!$N$1="VOL_EFF",$Q41,IF(Allocation!$N$1="VOL_CLASS",$R41,$S41)))</f>
        <v/>
      </c>
      <c r="AH41" s="0">
        <f>IF($A41="","",IF(Allocation!$N$1="VOL_EFF",$T41,IF(Allocation!$N$1="VOL_CLASS",$U41,$V41)))</f>
        <v/>
      </c>
      <c r="AI41" s="0">
        <f>IF($A41="","",$W41*IFERROR($K41/$O41,0))</f>
        <v/>
      </c>
      <c r="AJ41" s="0">
        <f>IF($A41="","",$X41*IFERROR($K41/$O41,0))</f>
        <v/>
      </c>
      <c r="AK41" s="0">
        <f>IF($A41="","",$Y41*IFERROR($G41/$L41,0)+$Z41*IFERROR($J41/$P41,0))</f>
        <v/>
      </c>
      <c r="AL41" s="0">
        <f>IF($A41="","",$AA41*IFERROR($AC41/$AD41,0))</f>
        <v/>
      </c>
      <c r="AM41" s="0">
        <f>IF($A41="","",$AB41*IFERROR($AG41/$AH41,0)*IFERROR($AE41/$AF41,0)*IFERROR($AC41/$AD41,0))</f>
        <v/>
      </c>
      <c r="AN41" s="0">
        <f>IF($A41="","",$I41-($AI41+$AJ41+$AK41+$AL41+$AM41+$AR41))</f>
        <v/>
      </c>
      <c r="AO41" s="0">
        <f>IF($A41="","",Allocation!CJ41)</f>
        <v/>
      </c>
      <c r="AP41" s="0">
        <f>IF($A41="","",IF(Allocation!$N$2="VOL_EFF",$Q41,IF(Allocation!$N$2="VOL_CLASS",$R41,$S41)))</f>
        <v/>
      </c>
      <c r="AQ41" s="0">
        <f>IF($A41="","",IF(Allocation!$N$2="VOL_EFF",$T41,IF(Allocation!$N$2="VOL_CLASS",$U41,$V41)))</f>
        <v/>
      </c>
      <c r="AR41" s="0">
        <f>IF($A41="","",$AO41*IFERROR($AP41/$AQ41,0)*IFERROR($AE41/$AF41,0)*IFERROR($AC41/$AD41,0))</f>
        <v/>
      </c>
      <c r="AS41" s="0">
        <f>IF($A41="","",$A41&amp;"|"&amp;Allocation!BG41)</f>
        <v/>
      </c>
    </row>
    <row r="42" ht="14.4975" customHeight="1" s="64">
      <c r="A42" s="0">
        <f>IF(Allocation!BI42="","",Allocation!BI42)</f>
        <v/>
      </c>
      <c r="B42" s="0">
        <f>IF(Allocation!BJ42="","",Allocation!BJ42)</f>
        <v/>
      </c>
      <c r="C42" s="0">
        <f>IF(Allocation!BK42="","",Allocation!BK42)</f>
        <v/>
      </c>
      <c r="D42" s="0">
        <f>IF(Allocation!BL42="","",Allocation!BL42)</f>
        <v/>
      </c>
      <c r="E42" s="0">
        <f>IF(Allocation!BM42="","",Allocation!BM42)</f>
        <v/>
      </c>
      <c r="F42" s="0">
        <f>IF(Allocation!BN42="","",Allocation!BN42)</f>
        <v/>
      </c>
      <c r="G42" s="0">
        <f>IF(Allocation!BO42="","",Allocation!BO42)</f>
        <v/>
      </c>
      <c r="H42" s="0">
        <f>IF(Allocation!BP42="","",Allocation!BP42)</f>
        <v/>
      </c>
      <c r="I42" s="0">
        <f>IF(Allocation!BQ42="","",Allocation!BQ42)</f>
        <v/>
      </c>
      <c r="J42" s="0">
        <f>IF(Allocation!CC42="","",Allocation!CC42)</f>
        <v/>
      </c>
      <c r="K42" s="0">
        <f>IF($A42="","",$H42*IF(AND(LEFT($D42,3)="BAC",$F42="INIT"),600,IF(LEFT($D42,3)="BAC",480,IF(AND(LEFT($D42,3)="MAS",$F42="INIT"),520,IF(LEFT($D42,3)="MAS",420,IF($F42="INIT",1000,700))))))</f>
        <v/>
      </c>
      <c r="L42" s="0">
        <f>IF($A42="","",SUMIFS($G$1:$G$349,$AS$1:$AS$349,$AS42,$B$1:$B$349,$B42))</f>
        <v/>
      </c>
      <c r="M42" s="0">
        <f>IF($A42="","",SUMIFS($H$1:$H$349,$AS$1:$AS$349,$AS42,$B$1:$B$349,$B42))</f>
        <v/>
      </c>
      <c r="N42" s="0">
        <f>IF($A42="","",SUMIFS($I$1:$I$349,$AS$1:$AS$349,$AS42,$B$1:$B$349,$B42))</f>
        <v/>
      </c>
      <c r="O42" s="0">
        <f>IF($A42="","",SUMIFS($K$1:$K$349,$AS$1:$AS$349,$AS42,$B$1:$B$349,$B42))</f>
        <v/>
      </c>
      <c r="P42" s="0">
        <f>IF($A42="","",SUMIFS($J$1:$J$349,$AS$1:$AS$349,$AS42,$B$1:$B$349,$B42))</f>
        <v/>
      </c>
      <c r="Q42" s="0">
        <f>IF($A42="","",SUMIFS($G$1:$G$349,$AS$1:$AS$349,$AS42,$C$1:$C$349,$C42))</f>
        <v/>
      </c>
      <c r="R42" s="0">
        <f>IF($A42="","",SUMIFS($H$1:$H$349,$AS$1:$AS$349,$AS42,$C$1:$C$349,$C42))</f>
        <v/>
      </c>
      <c r="S42" s="0">
        <f>IF($A42="","",SUMIFS($I$1:$I$349,$AS$1:$AS$349,$AS42,$C$1:$C$349,$C42))</f>
        <v/>
      </c>
      <c r="T42" s="0">
        <f>IF($A42="","",SUMIFS($G$1:$G$349,$AS$1:$AS$349,$AS42))</f>
        <v/>
      </c>
      <c r="U42" s="0">
        <f>IF($A42="","",SUMIFS($H$1:$H$349,$AS$1:$AS$349,$AS42))</f>
        <v/>
      </c>
      <c r="V42" s="0">
        <f>IF($A42="","",SUMIFS($I$1:$I$349,$AS$1:$AS$349,$AS42))</f>
        <v/>
      </c>
      <c r="W42" s="0">
        <f>IF($A42="","",Allocation!CD42)</f>
        <v/>
      </c>
      <c r="X42" s="0">
        <f>IF($A42="","",Allocation!CE42)</f>
        <v/>
      </c>
      <c r="Y42" s="0">
        <f>IF($A42="","",Allocation!CF42)</f>
        <v/>
      </c>
      <c r="Z42" s="0">
        <f>IF($A42="","",Allocation!CG42)</f>
        <v/>
      </c>
      <c r="AA42" s="0">
        <f>IF($A42="","",Allocation!CH42)</f>
        <v/>
      </c>
      <c r="AB42" s="0">
        <f>IF($A42="","",Allocation!CI42)</f>
        <v/>
      </c>
      <c r="AC42" s="0">
        <f>IF($A42="","",IF(Allocation!$N$4="VOL_EFF",$G42,IF(Allocation!$N$4="VOL_CLASS",$H42,$I42)))</f>
        <v/>
      </c>
      <c r="AD42" s="0">
        <f>IF($A42="","",IF(Allocation!$N$4="VOL_EFF",$L42,IF(Allocation!$N$4="VOL_CLASS",$M42,$N42)))</f>
        <v/>
      </c>
      <c r="AE42" s="0">
        <f>IF($A42="","",IF(Allocation!$N$3="VOL_EFF",$L42,IF(Allocation!$N$3="VOL_CLASS",$M42,$N42)))</f>
        <v/>
      </c>
      <c r="AF42" s="0">
        <f>IF($A42="","",IF(Allocation!$N$3="VOL_EFF",$Q42,IF(Allocation!$N$3="VOL_CLASS",$R42,$S42)))</f>
        <v/>
      </c>
      <c r="AG42" s="0">
        <f>IF($A42="","",IF(Allocation!$N$1="VOL_EFF",$Q42,IF(Allocation!$N$1="VOL_CLASS",$R42,$S42)))</f>
        <v/>
      </c>
      <c r="AH42" s="0">
        <f>IF($A42="","",IF(Allocation!$N$1="VOL_EFF",$T42,IF(Allocation!$N$1="VOL_CLASS",$U42,$V42)))</f>
        <v/>
      </c>
      <c r="AI42" s="0">
        <f>IF($A42="","",$W42*IFERROR($K42/$O42,0))</f>
        <v/>
      </c>
      <c r="AJ42" s="0">
        <f>IF($A42="","",$X42*IFERROR($K42/$O42,0))</f>
        <v/>
      </c>
      <c r="AK42" s="0">
        <f>IF($A42="","",$Y42*IFERROR($G42/$L42,0)+$Z42*IFERROR($J42/$P42,0))</f>
        <v/>
      </c>
      <c r="AL42" s="0">
        <f>IF($A42="","",$AA42*IFERROR($AC42/$AD42,0))</f>
        <v/>
      </c>
      <c r="AM42" s="0">
        <f>IF($A42="","",$AB42*IFERROR($AG42/$AH42,0)*IFERROR($AE42/$AF42,0)*IFERROR($AC42/$AD42,0))</f>
        <v/>
      </c>
      <c r="AN42" s="0">
        <f>IF($A42="","",$I42-($AI42+$AJ42+$AK42+$AL42+$AM42+$AR42))</f>
        <v/>
      </c>
      <c r="AO42" s="0">
        <f>IF($A42="","",Allocation!CJ42)</f>
        <v/>
      </c>
      <c r="AP42" s="0">
        <f>IF($A42="","",IF(Allocation!$N$2="VOL_EFF",$Q42,IF(Allocation!$N$2="VOL_CLASS",$R42,$S42)))</f>
        <v/>
      </c>
      <c r="AQ42" s="0">
        <f>IF($A42="","",IF(Allocation!$N$2="VOL_EFF",$T42,IF(Allocation!$N$2="VOL_CLASS",$U42,$V42)))</f>
        <v/>
      </c>
      <c r="AR42" s="0">
        <f>IF($A42="","",$AO42*IFERROR($AP42/$AQ42,0)*IFERROR($AE42/$AF42,0)*IFERROR($AC42/$AD42,0))</f>
        <v/>
      </c>
      <c r="AS42" s="0">
        <f>IF($A42="","",$A42&amp;"|"&amp;Allocation!BG42)</f>
        <v/>
      </c>
    </row>
    <row r="43" ht="14.4975" customHeight="1" s="64">
      <c r="A43" s="0">
        <f>IF(Allocation!BI43="","",Allocation!BI43)</f>
        <v/>
      </c>
      <c r="B43" s="0">
        <f>IF(Allocation!BJ43="","",Allocation!BJ43)</f>
        <v/>
      </c>
      <c r="C43" s="0">
        <f>IF(Allocation!BK43="","",Allocation!BK43)</f>
        <v/>
      </c>
      <c r="D43" s="0">
        <f>IF(Allocation!BL43="","",Allocation!BL43)</f>
        <v/>
      </c>
      <c r="E43" s="0">
        <f>IF(Allocation!BM43="","",Allocation!BM43)</f>
        <v/>
      </c>
      <c r="F43" s="0">
        <f>IF(Allocation!BN43="","",Allocation!BN43)</f>
        <v/>
      </c>
      <c r="G43" s="0">
        <f>IF(Allocation!BO43="","",Allocation!BO43)</f>
        <v/>
      </c>
      <c r="H43" s="0">
        <f>IF(Allocation!BP43="","",Allocation!BP43)</f>
        <v/>
      </c>
      <c r="I43" s="0">
        <f>IF(Allocation!BQ43="","",Allocation!BQ43)</f>
        <v/>
      </c>
      <c r="J43" s="0">
        <f>IF(Allocation!CC43="","",Allocation!CC43)</f>
        <v/>
      </c>
      <c r="K43" s="0">
        <f>IF($A43="","",$H43*IF(AND(LEFT($D43,3)="BAC",$F43="INIT"),600,IF(LEFT($D43,3)="BAC",480,IF(AND(LEFT($D43,3)="MAS",$F43="INIT"),520,IF(LEFT($D43,3)="MAS",420,IF($F43="INIT",1000,700))))))</f>
        <v/>
      </c>
      <c r="L43" s="0">
        <f>IF($A43="","",SUMIFS($G$1:$G$349,$AS$1:$AS$349,$AS43,$B$1:$B$349,$B43))</f>
        <v/>
      </c>
      <c r="M43" s="0">
        <f>IF($A43="","",SUMIFS($H$1:$H$349,$AS$1:$AS$349,$AS43,$B$1:$B$349,$B43))</f>
        <v/>
      </c>
      <c r="N43" s="0">
        <f>IF($A43="","",SUMIFS($I$1:$I$349,$AS$1:$AS$349,$AS43,$B$1:$B$349,$B43))</f>
        <v/>
      </c>
      <c r="O43" s="0">
        <f>IF($A43="","",SUMIFS($K$1:$K$349,$AS$1:$AS$349,$AS43,$B$1:$B$349,$B43))</f>
        <v/>
      </c>
      <c r="P43" s="0">
        <f>IF($A43="","",SUMIFS($J$1:$J$349,$AS$1:$AS$349,$AS43,$B$1:$B$349,$B43))</f>
        <v/>
      </c>
      <c r="Q43" s="0">
        <f>IF($A43="","",SUMIFS($G$1:$G$349,$AS$1:$AS$349,$AS43,$C$1:$C$349,$C43))</f>
        <v/>
      </c>
      <c r="R43" s="0">
        <f>IF($A43="","",SUMIFS($H$1:$H$349,$AS$1:$AS$349,$AS43,$C$1:$C$349,$C43))</f>
        <v/>
      </c>
      <c r="S43" s="0">
        <f>IF($A43="","",SUMIFS($I$1:$I$349,$AS$1:$AS$349,$AS43,$C$1:$C$349,$C43))</f>
        <v/>
      </c>
      <c r="T43" s="0">
        <f>IF($A43="","",SUMIFS($G$1:$G$349,$AS$1:$AS$349,$AS43))</f>
        <v/>
      </c>
      <c r="U43" s="0">
        <f>IF($A43="","",SUMIFS($H$1:$H$349,$AS$1:$AS$349,$AS43))</f>
        <v/>
      </c>
      <c r="V43" s="0">
        <f>IF($A43="","",SUMIFS($I$1:$I$349,$AS$1:$AS$349,$AS43))</f>
        <v/>
      </c>
      <c r="W43" s="0">
        <f>IF($A43="","",Allocation!CD43)</f>
        <v/>
      </c>
      <c r="X43" s="0">
        <f>IF($A43="","",Allocation!CE43)</f>
        <v/>
      </c>
      <c r="Y43" s="0">
        <f>IF($A43="","",Allocation!CF43)</f>
        <v/>
      </c>
      <c r="Z43" s="0">
        <f>IF($A43="","",Allocation!CG43)</f>
        <v/>
      </c>
      <c r="AA43" s="0">
        <f>IF($A43="","",Allocation!CH43)</f>
        <v/>
      </c>
      <c r="AB43" s="0">
        <f>IF($A43="","",Allocation!CI43)</f>
        <v/>
      </c>
      <c r="AC43" s="0">
        <f>IF($A43="","",IF(Allocation!$N$4="VOL_EFF",$G43,IF(Allocation!$N$4="VOL_CLASS",$H43,$I43)))</f>
        <v/>
      </c>
      <c r="AD43" s="0">
        <f>IF($A43="","",IF(Allocation!$N$4="VOL_EFF",$L43,IF(Allocation!$N$4="VOL_CLASS",$M43,$N43)))</f>
        <v/>
      </c>
      <c r="AE43" s="0">
        <f>IF($A43="","",IF(Allocation!$N$3="VOL_EFF",$L43,IF(Allocation!$N$3="VOL_CLASS",$M43,$N43)))</f>
        <v/>
      </c>
      <c r="AF43" s="0">
        <f>IF($A43="","",IF(Allocation!$N$3="VOL_EFF",$Q43,IF(Allocation!$N$3="VOL_CLASS",$R43,$S43)))</f>
        <v/>
      </c>
      <c r="AG43" s="0">
        <f>IF($A43="","",IF(Allocation!$N$1="VOL_EFF",$Q43,IF(Allocation!$N$1="VOL_CLASS",$R43,$S43)))</f>
        <v/>
      </c>
      <c r="AH43" s="0">
        <f>IF($A43="","",IF(Allocation!$N$1="VOL_EFF",$T43,IF(Allocation!$N$1="VOL_CLASS",$U43,$V43)))</f>
        <v/>
      </c>
      <c r="AI43" s="0">
        <f>IF($A43="","",$W43*IFERROR($K43/$O43,0))</f>
        <v/>
      </c>
      <c r="AJ43" s="0">
        <f>IF($A43="","",$X43*IFERROR($K43/$O43,0))</f>
        <v/>
      </c>
      <c r="AK43" s="0">
        <f>IF($A43="","",$Y43*IFERROR($G43/$L43,0)+$Z43*IFERROR($J43/$P43,0))</f>
        <v/>
      </c>
      <c r="AL43" s="0">
        <f>IF($A43="","",$AA43*IFERROR($AC43/$AD43,0))</f>
        <v/>
      </c>
      <c r="AM43" s="0">
        <f>IF($A43="","",$AB43*IFERROR($AG43/$AH43,0)*IFERROR($AE43/$AF43,0)*IFERROR($AC43/$AD43,0))</f>
        <v/>
      </c>
      <c r="AN43" s="0">
        <f>IF($A43="","",$I43-($AI43+$AJ43+$AK43+$AL43+$AM43+$AR43))</f>
        <v/>
      </c>
      <c r="AO43" s="0">
        <f>IF($A43="","",Allocation!CJ43)</f>
        <v/>
      </c>
      <c r="AP43" s="0">
        <f>IF($A43="","",IF(Allocation!$N$2="VOL_EFF",$Q43,IF(Allocation!$N$2="VOL_CLASS",$R43,$S43)))</f>
        <v/>
      </c>
      <c r="AQ43" s="0">
        <f>IF($A43="","",IF(Allocation!$N$2="VOL_EFF",$T43,IF(Allocation!$N$2="VOL_CLASS",$U43,$V43)))</f>
        <v/>
      </c>
      <c r="AR43" s="0">
        <f>IF($A43="","",$AO43*IFERROR($AP43/$AQ43,0)*IFERROR($AE43/$AF43,0)*IFERROR($AC43/$AD43,0))</f>
        <v/>
      </c>
      <c r="AS43" s="0">
        <f>IF($A43="","",$A43&amp;"|"&amp;Allocation!BG43)</f>
        <v/>
      </c>
    </row>
    <row r="44" ht="14.4975" customHeight="1" s="64">
      <c r="A44" s="0">
        <f>IF(Allocation!BI44="","",Allocation!BI44)</f>
        <v/>
      </c>
      <c r="B44" s="0">
        <f>IF(Allocation!BJ44="","",Allocation!BJ44)</f>
        <v/>
      </c>
      <c r="C44" s="0">
        <f>IF(Allocation!BK44="","",Allocation!BK44)</f>
        <v/>
      </c>
      <c r="D44" s="0">
        <f>IF(Allocation!BL44="","",Allocation!BL44)</f>
        <v/>
      </c>
      <c r="E44" s="0">
        <f>IF(Allocation!BM44="","",Allocation!BM44)</f>
        <v/>
      </c>
      <c r="F44" s="0">
        <f>IF(Allocation!BN44="","",Allocation!BN44)</f>
        <v/>
      </c>
      <c r="G44" s="0">
        <f>IF(Allocation!BO44="","",Allocation!BO44)</f>
        <v/>
      </c>
      <c r="H44" s="0">
        <f>IF(Allocation!BP44="","",Allocation!BP44)</f>
        <v/>
      </c>
      <c r="I44" s="0">
        <f>IF(Allocation!BQ44="","",Allocation!BQ44)</f>
        <v/>
      </c>
      <c r="J44" s="0">
        <f>IF(Allocation!CC44="","",Allocation!CC44)</f>
        <v/>
      </c>
      <c r="K44" s="0">
        <f>IF($A44="","",$H44*IF(AND(LEFT($D44,3)="BAC",$F44="INIT"),600,IF(LEFT($D44,3)="BAC",480,IF(AND(LEFT($D44,3)="MAS",$F44="INIT"),520,IF(LEFT($D44,3)="MAS",420,IF($F44="INIT",1000,700))))))</f>
        <v/>
      </c>
      <c r="L44" s="0">
        <f>IF($A44="","",SUMIFS($G$1:$G$349,$AS$1:$AS$349,$AS44,$B$1:$B$349,$B44))</f>
        <v/>
      </c>
      <c r="M44" s="0">
        <f>IF($A44="","",SUMIFS($H$1:$H$349,$AS$1:$AS$349,$AS44,$B$1:$B$349,$B44))</f>
        <v/>
      </c>
      <c r="N44" s="0">
        <f>IF($A44="","",SUMIFS($I$1:$I$349,$AS$1:$AS$349,$AS44,$B$1:$B$349,$B44))</f>
        <v/>
      </c>
      <c r="O44" s="0">
        <f>IF($A44="","",SUMIFS($K$1:$K$349,$AS$1:$AS$349,$AS44,$B$1:$B$349,$B44))</f>
        <v/>
      </c>
      <c r="P44" s="0">
        <f>IF($A44="","",SUMIFS($J$1:$J$349,$AS$1:$AS$349,$AS44,$B$1:$B$349,$B44))</f>
        <v/>
      </c>
      <c r="Q44" s="0">
        <f>IF($A44="","",SUMIFS($G$1:$G$349,$AS$1:$AS$349,$AS44,$C$1:$C$349,$C44))</f>
        <v/>
      </c>
      <c r="R44" s="0">
        <f>IF($A44="","",SUMIFS($H$1:$H$349,$AS$1:$AS$349,$AS44,$C$1:$C$349,$C44))</f>
        <v/>
      </c>
      <c r="S44" s="0">
        <f>IF($A44="","",SUMIFS($I$1:$I$349,$AS$1:$AS$349,$AS44,$C$1:$C$349,$C44))</f>
        <v/>
      </c>
      <c r="T44" s="0">
        <f>IF($A44="","",SUMIFS($G$1:$G$349,$AS$1:$AS$349,$AS44))</f>
        <v/>
      </c>
      <c r="U44" s="0">
        <f>IF($A44="","",SUMIFS($H$1:$H$349,$AS$1:$AS$349,$AS44))</f>
        <v/>
      </c>
      <c r="V44" s="0">
        <f>IF($A44="","",SUMIFS($I$1:$I$349,$AS$1:$AS$349,$AS44))</f>
        <v/>
      </c>
      <c r="W44" s="0">
        <f>IF($A44="","",Allocation!CD44)</f>
        <v/>
      </c>
      <c r="X44" s="0">
        <f>IF($A44="","",Allocation!CE44)</f>
        <v/>
      </c>
      <c r="Y44" s="0">
        <f>IF($A44="","",Allocation!CF44)</f>
        <v/>
      </c>
      <c r="Z44" s="0">
        <f>IF($A44="","",Allocation!CG44)</f>
        <v/>
      </c>
      <c r="AA44" s="0">
        <f>IF($A44="","",Allocation!CH44)</f>
        <v/>
      </c>
      <c r="AB44" s="0">
        <f>IF($A44="","",Allocation!CI44)</f>
        <v/>
      </c>
      <c r="AC44" s="0">
        <f>IF($A44="","",IF(Allocation!$N$4="VOL_EFF",$G44,IF(Allocation!$N$4="VOL_CLASS",$H44,$I44)))</f>
        <v/>
      </c>
      <c r="AD44" s="0">
        <f>IF($A44="","",IF(Allocation!$N$4="VOL_EFF",$L44,IF(Allocation!$N$4="VOL_CLASS",$M44,$N44)))</f>
        <v/>
      </c>
      <c r="AE44" s="0">
        <f>IF($A44="","",IF(Allocation!$N$3="VOL_EFF",$L44,IF(Allocation!$N$3="VOL_CLASS",$M44,$N44)))</f>
        <v/>
      </c>
      <c r="AF44" s="0">
        <f>IF($A44="","",IF(Allocation!$N$3="VOL_EFF",$Q44,IF(Allocation!$N$3="VOL_CLASS",$R44,$S44)))</f>
        <v/>
      </c>
      <c r="AG44" s="0">
        <f>IF($A44="","",IF(Allocation!$N$1="VOL_EFF",$Q44,IF(Allocation!$N$1="VOL_CLASS",$R44,$S44)))</f>
        <v/>
      </c>
      <c r="AH44" s="0">
        <f>IF($A44="","",IF(Allocation!$N$1="VOL_EFF",$T44,IF(Allocation!$N$1="VOL_CLASS",$U44,$V44)))</f>
        <v/>
      </c>
      <c r="AI44" s="0">
        <f>IF($A44="","",$W44*IFERROR($K44/$O44,0))</f>
        <v/>
      </c>
      <c r="AJ44" s="0">
        <f>IF($A44="","",$X44*IFERROR($K44/$O44,0))</f>
        <v/>
      </c>
      <c r="AK44" s="0">
        <f>IF($A44="","",$Y44*IFERROR($G44/$L44,0)+$Z44*IFERROR($J44/$P44,0))</f>
        <v/>
      </c>
      <c r="AL44" s="0">
        <f>IF($A44="","",$AA44*IFERROR($AC44/$AD44,0))</f>
        <v/>
      </c>
      <c r="AM44" s="0">
        <f>IF($A44="","",$AB44*IFERROR($AG44/$AH44,0)*IFERROR($AE44/$AF44,0)*IFERROR($AC44/$AD44,0))</f>
        <v/>
      </c>
      <c r="AN44" s="0">
        <f>IF($A44="","",$I44-($AI44+$AJ44+$AK44+$AL44+$AM44+$AR44))</f>
        <v/>
      </c>
      <c r="AO44" s="0">
        <f>IF($A44="","",Allocation!CJ44)</f>
        <v/>
      </c>
      <c r="AP44" s="0">
        <f>IF($A44="","",IF(Allocation!$N$2="VOL_EFF",$Q44,IF(Allocation!$N$2="VOL_CLASS",$R44,$S44)))</f>
        <v/>
      </c>
      <c r="AQ44" s="0">
        <f>IF($A44="","",IF(Allocation!$N$2="VOL_EFF",$T44,IF(Allocation!$N$2="VOL_CLASS",$U44,$V44)))</f>
        <v/>
      </c>
      <c r="AR44" s="0">
        <f>IF($A44="","",$AO44*IFERROR($AP44/$AQ44,0)*IFERROR($AE44/$AF44,0)*IFERROR($AC44/$AD44,0))</f>
        <v/>
      </c>
      <c r="AS44" s="0">
        <f>IF($A44="","",$A44&amp;"|"&amp;Allocation!BG44)</f>
        <v/>
      </c>
    </row>
    <row r="45" ht="14.4975" customHeight="1" s="64">
      <c r="A45" s="0">
        <f>IF(Allocation!BI45="","",Allocation!BI45)</f>
        <v/>
      </c>
      <c r="B45" s="0">
        <f>IF(Allocation!BJ45="","",Allocation!BJ45)</f>
        <v/>
      </c>
      <c r="C45" s="0">
        <f>IF(Allocation!BK45="","",Allocation!BK45)</f>
        <v/>
      </c>
      <c r="D45" s="0">
        <f>IF(Allocation!BL45="","",Allocation!BL45)</f>
        <v/>
      </c>
      <c r="E45" s="0">
        <f>IF(Allocation!BM45="","",Allocation!BM45)</f>
        <v/>
      </c>
      <c r="F45" s="0">
        <f>IF(Allocation!BN45="","",Allocation!BN45)</f>
        <v/>
      </c>
      <c r="G45" s="0">
        <f>IF(Allocation!BO45="","",Allocation!BO45)</f>
        <v/>
      </c>
      <c r="H45" s="0">
        <f>IF(Allocation!BP45="","",Allocation!BP45)</f>
        <v/>
      </c>
      <c r="I45" s="0">
        <f>IF(Allocation!BQ45="","",Allocation!BQ45)</f>
        <v/>
      </c>
      <c r="J45" s="0">
        <f>IF(Allocation!CC45="","",Allocation!CC45)</f>
        <v/>
      </c>
      <c r="K45" s="0">
        <f>IF($A45="","",$H45*IF(AND(LEFT($D45,3)="BAC",$F45="INIT"),600,IF(LEFT($D45,3)="BAC",480,IF(AND(LEFT($D45,3)="MAS",$F45="INIT"),520,IF(LEFT($D45,3)="MAS",420,IF($F45="INIT",1000,700))))))</f>
        <v/>
      </c>
      <c r="L45" s="0">
        <f>IF($A45="","",SUMIFS($G$1:$G$349,$AS$1:$AS$349,$AS45,$B$1:$B$349,$B45))</f>
        <v/>
      </c>
      <c r="M45" s="0">
        <f>IF($A45="","",SUMIFS($H$1:$H$349,$AS$1:$AS$349,$AS45,$B$1:$B$349,$B45))</f>
        <v/>
      </c>
      <c r="N45" s="0">
        <f>IF($A45="","",SUMIFS($I$1:$I$349,$AS$1:$AS$349,$AS45,$B$1:$B$349,$B45))</f>
        <v/>
      </c>
      <c r="O45" s="0">
        <f>IF($A45="","",SUMIFS($K$1:$K$349,$AS$1:$AS$349,$AS45,$B$1:$B$349,$B45))</f>
        <v/>
      </c>
      <c r="P45" s="0">
        <f>IF($A45="","",SUMIFS($J$1:$J$349,$AS$1:$AS$349,$AS45,$B$1:$B$349,$B45))</f>
        <v/>
      </c>
      <c r="Q45" s="0">
        <f>IF($A45="","",SUMIFS($G$1:$G$349,$AS$1:$AS$349,$AS45,$C$1:$C$349,$C45))</f>
        <v/>
      </c>
      <c r="R45" s="0">
        <f>IF($A45="","",SUMIFS($H$1:$H$349,$AS$1:$AS$349,$AS45,$C$1:$C$349,$C45))</f>
        <v/>
      </c>
      <c r="S45" s="0">
        <f>IF($A45="","",SUMIFS($I$1:$I$349,$AS$1:$AS$349,$AS45,$C$1:$C$349,$C45))</f>
        <v/>
      </c>
      <c r="T45" s="0">
        <f>IF($A45="","",SUMIFS($G$1:$G$349,$AS$1:$AS$349,$AS45))</f>
        <v/>
      </c>
      <c r="U45" s="0">
        <f>IF($A45="","",SUMIFS($H$1:$H$349,$AS$1:$AS$349,$AS45))</f>
        <v/>
      </c>
      <c r="V45" s="0">
        <f>IF($A45="","",SUMIFS($I$1:$I$349,$AS$1:$AS$349,$AS45))</f>
        <v/>
      </c>
      <c r="W45" s="0">
        <f>IF($A45="","",Allocation!CD45)</f>
        <v/>
      </c>
      <c r="X45" s="0">
        <f>IF($A45="","",Allocation!CE45)</f>
        <v/>
      </c>
      <c r="Y45" s="0">
        <f>IF($A45="","",Allocation!CF45)</f>
        <v/>
      </c>
      <c r="Z45" s="0">
        <f>IF($A45="","",Allocation!CG45)</f>
        <v/>
      </c>
      <c r="AA45" s="0">
        <f>IF($A45="","",Allocation!CH45)</f>
        <v/>
      </c>
      <c r="AB45" s="0">
        <f>IF($A45="","",Allocation!CI45)</f>
        <v/>
      </c>
      <c r="AC45" s="0">
        <f>IF($A45="","",IF(Allocation!$N$4="VOL_EFF",$G45,IF(Allocation!$N$4="VOL_CLASS",$H45,$I45)))</f>
        <v/>
      </c>
      <c r="AD45" s="0">
        <f>IF($A45="","",IF(Allocation!$N$4="VOL_EFF",$L45,IF(Allocation!$N$4="VOL_CLASS",$M45,$N45)))</f>
        <v/>
      </c>
      <c r="AE45" s="0">
        <f>IF($A45="","",IF(Allocation!$N$3="VOL_EFF",$L45,IF(Allocation!$N$3="VOL_CLASS",$M45,$N45)))</f>
        <v/>
      </c>
      <c r="AF45" s="0">
        <f>IF($A45="","",IF(Allocation!$N$3="VOL_EFF",$Q45,IF(Allocation!$N$3="VOL_CLASS",$R45,$S45)))</f>
        <v/>
      </c>
      <c r="AG45" s="0">
        <f>IF($A45="","",IF(Allocation!$N$1="VOL_EFF",$Q45,IF(Allocation!$N$1="VOL_CLASS",$R45,$S45)))</f>
        <v/>
      </c>
      <c r="AH45" s="0">
        <f>IF($A45="","",IF(Allocation!$N$1="VOL_EFF",$T45,IF(Allocation!$N$1="VOL_CLASS",$U45,$V45)))</f>
        <v/>
      </c>
      <c r="AI45" s="0">
        <f>IF($A45="","",$W45*IFERROR($K45/$O45,0))</f>
        <v/>
      </c>
      <c r="AJ45" s="0">
        <f>IF($A45="","",$X45*IFERROR($K45/$O45,0))</f>
        <v/>
      </c>
      <c r="AK45" s="0">
        <f>IF($A45="","",$Y45*IFERROR($G45/$L45,0)+$Z45*IFERROR($J45/$P45,0))</f>
        <v/>
      </c>
      <c r="AL45" s="0">
        <f>IF($A45="","",$AA45*IFERROR($AC45/$AD45,0))</f>
        <v/>
      </c>
      <c r="AM45" s="0">
        <f>IF($A45="","",$AB45*IFERROR($AG45/$AH45,0)*IFERROR($AE45/$AF45,0)*IFERROR($AC45/$AD45,0))</f>
        <v/>
      </c>
      <c r="AN45" s="0">
        <f>IF($A45="","",$I45-($AI45+$AJ45+$AK45+$AL45+$AM45+$AR45))</f>
        <v/>
      </c>
      <c r="AO45" s="0">
        <f>IF($A45="","",Allocation!CJ45)</f>
        <v/>
      </c>
      <c r="AP45" s="0">
        <f>IF($A45="","",IF(Allocation!$N$2="VOL_EFF",$Q45,IF(Allocation!$N$2="VOL_CLASS",$R45,$S45)))</f>
        <v/>
      </c>
      <c r="AQ45" s="0">
        <f>IF($A45="","",IF(Allocation!$N$2="VOL_EFF",$T45,IF(Allocation!$N$2="VOL_CLASS",$U45,$V45)))</f>
        <v/>
      </c>
      <c r="AR45" s="0">
        <f>IF($A45="","",$AO45*IFERROR($AP45/$AQ45,0)*IFERROR($AE45/$AF45,0)*IFERROR($AC45/$AD45,0))</f>
        <v/>
      </c>
      <c r="AS45" s="0">
        <f>IF($A45="","",$A45&amp;"|"&amp;Allocation!BG45)</f>
        <v/>
      </c>
    </row>
    <row r="46" ht="14.4975" customHeight="1" s="64">
      <c r="A46" s="0">
        <f>IF(Allocation!BI46="","",Allocation!BI46)</f>
        <v/>
      </c>
      <c r="B46" s="0">
        <f>IF(Allocation!BJ46="","",Allocation!BJ46)</f>
        <v/>
      </c>
      <c r="C46" s="0">
        <f>IF(Allocation!BK46="","",Allocation!BK46)</f>
        <v/>
      </c>
      <c r="D46" s="0">
        <f>IF(Allocation!BL46="","",Allocation!BL46)</f>
        <v/>
      </c>
      <c r="E46" s="0">
        <f>IF(Allocation!BM46="","",Allocation!BM46)</f>
        <v/>
      </c>
      <c r="F46" s="0">
        <f>IF(Allocation!BN46="","",Allocation!BN46)</f>
        <v/>
      </c>
      <c r="G46" s="0">
        <f>IF(Allocation!BO46="","",Allocation!BO46)</f>
        <v/>
      </c>
      <c r="H46" s="0">
        <f>IF(Allocation!BP46="","",Allocation!BP46)</f>
        <v/>
      </c>
      <c r="I46" s="0">
        <f>IF(Allocation!BQ46="","",Allocation!BQ46)</f>
        <v/>
      </c>
      <c r="J46" s="0">
        <f>IF(Allocation!CC46="","",Allocation!CC46)</f>
        <v/>
      </c>
      <c r="K46" s="0">
        <f>IF($A46="","",$H46*IF(AND(LEFT($D46,3)="BAC",$F46="INIT"),600,IF(LEFT($D46,3)="BAC",480,IF(AND(LEFT($D46,3)="MAS",$F46="INIT"),520,IF(LEFT($D46,3)="MAS",420,IF($F46="INIT",1000,700))))))</f>
        <v/>
      </c>
      <c r="L46" s="0">
        <f>IF($A46="","",SUMIFS($G$1:$G$349,$AS$1:$AS$349,$AS46,$B$1:$B$349,$B46))</f>
        <v/>
      </c>
      <c r="M46" s="0">
        <f>IF($A46="","",SUMIFS($H$1:$H$349,$AS$1:$AS$349,$AS46,$B$1:$B$349,$B46))</f>
        <v/>
      </c>
      <c r="N46" s="0">
        <f>IF($A46="","",SUMIFS($I$1:$I$349,$AS$1:$AS$349,$AS46,$B$1:$B$349,$B46))</f>
        <v/>
      </c>
      <c r="O46" s="0">
        <f>IF($A46="","",SUMIFS($K$1:$K$349,$AS$1:$AS$349,$AS46,$B$1:$B$349,$B46))</f>
        <v/>
      </c>
      <c r="P46" s="0">
        <f>IF($A46="","",SUMIFS($J$1:$J$349,$AS$1:$AS$349,$AS46,$B$1:$B$349,$B46))</f>
        <v/>
      </c>
      <c r="Q46" s="0">
        <f>IF($A46="","",SUMIFS($G$1:$G$349,$AS$1:$AS$349,$AS46,$C$1:$C$349,$C46))</f>
        <v/>
      </c>
      <c r="R46" s="0">
        <f>IF($A46="","",SUMIFS($H$1:$H$349,$AS$1:$AS$349,$AS46,$C$1:$C$349,$C46))</f>
        <v/>
      </c>
      <c r="S46" s="0">
        <f>IF($A46="","",SUMIFS($I$1:$I$349,$AS$1:$AS$349,$AS46,$C$1:$C$349,$C46))</f>
        <v/>
      </c>
      <c r="T46" s="0">
        <f>IF($A46="","",SUMIFS($G$1:$G$349,$AS$1:$AS$349,$AS46))</f>
        <v/>
      </c>
      <c r="U46" s="0">
        <f>IF($A46="","",SUMIFS($H$1:$H$349,$AS$1:$AS$349,$AS46))</f>
        <v/>
      </c>
      <c r="V46" s="0">
        <f>IF($A46="","",SUMIFS($I$1:$I$349,$AS$1:$AS$349,$AS46))</f>
        <v/>
      </c>
      <c r="W46" s="0">
        <f>IF($A46="","",Allocation!CD46)</f>
        <v/>
      </c>
      <c r="X46" s="0">
        <f>IF($A46="","",Allocation!CE46)</f>
        <v/>
      </c>
      <c r="Y46" s="0">
        <f>IF($A46="","",Allocation!CF46)</f>
        <v/>
      </c>
      <c r="Z46" s="0">
        <f>IF($A46="","",Allocation!CG46)</f>
        <v/>
      </c>
      <c r="AA46" s="0">
        <f>IF($A46="","",Allocation!CH46)</f>
        <v/>
      </c>
      <c r="AB46" s="0">
        <f>IF($A46="","",Allocation!CI46)</f>
        <v/>
      </c>
      <c r="AC46" s="0">
        <f>IF($A46="","",IF(Allocation!$N$4="VOL_EFF",$G46,IF(Allocation!$N$4="VOL_CLASS",$H46,$I46)))</f>
        <v/>
      </c>
      <c r="AD46" s="0">
        <f>IF($A46="","",IF(Allocation!$N$4="VOL_EFF",$L46,IF(Allocation!$N$4="VOL_CLASS",$M46,$N46)))</f>
        <v/>
      </c>
      <c r="AE46" s="0">
        <f>IF($A46="","",IF(Allocation!$N$3="VOL_EFF",$L46,IF(Allocation!$N$3="VOL_CLASS",$M46,$N46)))</f>
        <v/>
      </c>
      <c r="AF46" s="0">
        <f>IF($A46="","",IF(Allocation!$N$3="VOL_EFF",$Q46,IF(Allocation!$N$3="VOL_CLASS",$R46,$S46)))</f>
        <v/>
      </c>
      <c r="AG46" s="0">
        <f>IF($A46="","",IF(Allocation!$N$1="VOL_EFF",$Q46,IF(Allocation!$N$1="VOL_CLASS",$R46,$S46)))</f>
        <v/>
      </c>
      <c r="AH46" s="0">
        <f>IF($A46="","",IF(Allocation!$N$1="VOL_EFF",$T46,IF(Allocation!$N$1="VOL_CLASS",$U46,$V46)))</f>
        <v/>
      </c>
      <c r="AI46" s="0">
        <f>IF($A46="","",$W46*IFERROR($K46/$O46,0))</f>
        <v/>
      </c>
      <c r="AJ46" s="0">
        <f>IF($A46="","",$X46*IFERROR($K46/$O46,0))</f>
        <v/>
      </c>
      <c r="AK46" s="0">
        <f>IF($A46="","",$Y46*IFERROR($G46/$L46,0)+$Z46*IFERROR($J46/$P46,0))</f>
        <v/>
      </c>
      <c r="AL46" s="0">
        <f>IF($A46="","",$AA46*IFERROR($AC46/$AD46,0))</f>
        <v/>
      </c>
      <c r="AM46" s="0">
        <f>IF($A46="","",$AB46*IFERROR($AG46/$AH46,0)*IFERROR($AE46/$AF46,0)*IFERROR($AC46/$AD46,0))</f>
        <v/>
      </c>
      <c r="AN46" s="0">
        <f>IF($A46="","",$I46-($AI46+$AJ46+$AK46+$AL46+$AM46+$AR46))</f>
        <v/>
      </c>
      <c r="AO46" s="0">
        <f>IF($A46="","",Allocation!CJ46)</f>
        <v/>
      </c>
      <c r="AP46" s="0">
        <f>IF($A46="","",IF(Allocation!$N$2="VOL_EFF",$Q46,IF(Allocation!$N$2="VOL_CLASS",$R46,$S46)))</f>
        <v/>
      </c>
      <c r="AQ46" s="0">
        <f>IF($A46="","",IF(Allocation!$N$2="VOL_EFF",$T46,IF(Allocation!$N$2="VOL_CLASS",$U46,$V46)))</f>
        <v/>
      </c>
      <c r="AR46" s="0">
        <f>IF($A46="","",$AO46*IFERROR($AP46/$AQ46,0)*IFERROR($AE46/$AF46,0)*IFERROR($AC46/$AD46,0))</f>
        <v/>
      </c>
      <c r="AS46" s="0">
        <f>IF($A46="","",$A46&amp;"|"&amp;Allocation!BG46)</f>
        <v/>
      </c>
    </row>
    <row r="47" ht="14.4975" customHeight="1" s="64">
      <c r="A47" s="0">
        <f>IF(Allocation!BI47="","",Allocation!BI47)</f>
        <v/>
      </c>
      <c r="B47" s="0">
        <f>IF(Allocation!BJ47="","",Allocation!BJ47)</f>
        <v/>
      </c>
      <c r="C47" s="0">
        <f>IF(Allocation!BK47="","",Allocation!BK47)</f>
        <v/>
      </c>
      <c r="D47" s="0">
        <f>IF(Allocation!BL47="","",Allocation!BL47)</f>
        <v/>
      </c>
      <c r="E47" s="0">
        <f>IF(Allocation!BM47="","",Allocation!BM47)</f>
        <v/>
      </c>
      <c r="F47" s="0">
        <f>IF(Allocation!BN47="","",Allocation!BN47)</f>
        <v/>
      </c>
      <c r="G47" s="0">
        <f>IF(Allocation!BO47="","",Allocation!BO47)</f>
        <v/>
      </c>
      <c r="H47" s="0">
        <f>IF(Allocation!BP47="","",Allocation!BP47)</f>
        <v/>
      </c>
      <c r="I47" s="0">
        <f>IF(Allocation!BQ47="","",Allocation!BQ47)</f>
        <v/>
      </c>
      <c r="J47" s="0">
        <f>IF(Allocation!CC47="","",Allocation!CC47)</f>
        <v/>
      </c>
      <c r="K47" s="0">
        <f>IF($A47="","",$H47*IF(AND(LEFT($D47,3)="BAC",$F47="INIT"),600,IF(LEFT($D47,3)="BAC",480,IF(AND(LEFT($D47,3)="MAS",$F47="INIT"),520,IF(LEFT($D47,3)="MAS",420,IF($F47="INIT",1000,700))))))</f>
        <v/>
      </c>
      <c r="L47" s="0">
        <f>IF($A47="","",SUMIFS($G$1:$G$349,$AS$1:$AS$349,$AS47,$B$1:$B$349,$B47))</f>
        <v/>
      </c>
      <c r="M47" s="0">
        <f>IF($A47="","",SUMIFS($H$1:$H$349,$AS$1:$AS$349,$AS47,$B$1:$B$349,$B47))</f>
        <v/>
      </c>
      <c r="N47" s="0">
        <f>IF($A47="","",SUMIFS($I$1:$I$349,$AS$1:$AS$349,$AS47,$B$1:$B$349,$B47))</f>
        <v/>
      </c>
      <c r="O47" s="0">
        <f>IF($A47="","",SUMIFS($K$1:$K$349,$AS$1:$AS$349,$AS47,$B$1:$B$349,$B47))</f>
        <v/>
      </c>
      <c r="P47" s="0">
        <f>IF($A47="","",SUMIFS($J$1:$J$349,$AS$1:$AS$349,$AS47,$B$1:$B$349,$B47))</f>
        <v/>
      </c>
      <c r="Q47" s="0">
        <f>IF($A47="","",SUMIFS($G$1:$G$349,$AS$1:$AS$349,$AS47,$C$1:$C$349,$C47))</f>
        <v/>
      </c>
      <c r="R47" s="0">
        <f>IF($A47="","",SUMIFS($H$1:$H$349,$AS$1:$AS$349,$AS47,$C$1:$C$349,$C47))</f>
        <v/>
      </c>
      <c r="S47" s="0">
        <f>IF($A47="","",SUMIFS($I$1:$I$349,$AS$1:$AS$349,$AS47,$C$1:$C$349,$C47))</f>
        <v/>
      </c>
      <c r="T47" s="0">
        <f>IF($A47="","",SUMIFS($G$1:$G$349,$AS$1:$AS$349,$AS47))</f>
        <v/>
      </c>
      <c r="U47" s="0">
        <f>IF($A47="","",SUMIFS($H$1:$H$349,$AS$1:$AS$349,$AS47))</f>
        <v/>
      </c>
      <c r="V47" s="0">
        <f>IF($A47="","",SUMIFS($I$1:$I$349,$AS$1:$AS$349,$AS47))</f>
        <v/>
      </c>
      <c r="W47" s="0">
        <f>IF($A47="","",Allocation!CD47)</f>
        <v/>
      </c>
      <c r="X47" s="0">
        <f>IF($A47="","",Allocation!CE47)</f>
        <v/>
      </c>
      <c r="Y47" s="0">
        <f>IF($A47="","",Allocation!CF47)</f>
        <v/>
      </c>
      <c r="Z47" s="0">
        <f>IF($A47="","",Allocation!CG47)</f>
        <v/>
      </c>
      <c r="AA47" s="0">
        <f>IF($A47="","",Allocation!CH47)</f>
        <v/>
      </c>
      <c r="AB47" s="0">
        <f>IF($A47="","",Allocation!CI47)</f>
        <v/>
      </c>
      <c r="AC47" s="0">
        <f>IF($A47="","",IF(Allocation!$N$4="VOL_EFF",$G47,IF(Allocation!$N$4="VOL_CLASS",$H47,$I47)))</f>
        <v/>
      </c>
      <c r="AD47" s="0">
        <f>IF($A47="","",IF(Allocation!$N$4="VOL_EFF",$L47,IF(Allocation!$N$4="VOL_CLASS",$M47,$N47)))</f>
        <v/>
      </c>
      <c r="AE47" s="0">
        <f>IF($A47="","",IF(Allocation!$N$3="VOL_EFF",$L47,IF(Allocation!$N$3="VOL_CLASS",$M47,$N47)))</f>
        <v/>
      </c>
      <c r="AF47" s="0">
        <f>IF($A47="","",IF(Allocation!$N$3="VOL_EFF",$Q47,IF(Allocation!$N$3="VOL_CLASS",$R47,$S47)))</f>
        <v/>
      </c>
      <c r="AG47" s="0">
        <f>IF($A47="","",IF(Allocation!$N$1="VOL_EFF",$Q47,IF(Allocation!$N$1="VOL_CLASS",$R47,$S47)))</f>
        <v/>
      </c>
      <c r="AH47" s="0">
        <f>IF($A47="","",IF(Allocation!$N$1="VOL_EFF",$T47,IF(Allocation!$N$1="VOL_CLASS",$U47,$V47)))</f>
        <v/>
      </c>
      <c r="AI47" s="0">
        <f>IF($A47="","",$W47*IFERROR($K47/$O47,0))</f>
        <v/>
      </c>
      <c r="AJ47" s="0">
        <f>IF($A47="","",$X47*IFERROR($K47/$O47,0))</f>
        <v/>
      </c>
      <c r="AK47" s="0">
        <f>IF($A47="","",$Y47*IFERROR($G47/$L47,0)+$Z47*IFERROR($J47/$P47,0))</f>
        <v/>
      </c>
      <c r="AL47" s="0">
        <f>IF($A47="","",$AA47*IFERROR($AC47/$AD47,0))</f>
        <v/>
      </c>
      <c r="AM47" s="0">
        <f>IF($A47="","",$AB47*IFERROR($AG47/$AH47,0)*IFERROR($AE47/$AF47,0)*IFERROR($AC47/$AD47,0))</f>
        <v/>
      </c>
      <c r="AN47" s="0">
        <f>IF($A47="","",$I47-($AI47+$AJ47+$AK47+$AL47+$AM47+$AR47))</f>
        <v/>
      </c>
      <c r="AO47" s="0">
        <f>IF($A47="","",Allocation!CJ47)</f>
        <v/>
      </c>
      <c r="AP47" s="0">
        <f>IF($A47="","",IF(Allocation!$N$2="VOL_EFF",$Q47,IF(Allocation!$N$2="VOL_CLASS",$R47,$S47)))</f>
        <v/>
      </c>
      <c r="AQ47" s="0">
        <f>IF($A47="","",IF(Allocation!$N$2="VOL_EFF",$T47,IF(Allocation!$N$2="VOL_CLASS",$U47,$V47)))</f>
        <v/>
      </c>
      <c r="AR47" s="0">
        <f>IF($A47="","",$AO47*IFERROR($AP47/$AQ47,0)*IFERROR($AE47/$AF47,0)*IFERROR($AC47/$AD47,0))</f>
        <v/>
      </c>
      <c r="AS47" s="0">
        <f>IF($A47="","",$A47&amp;"|"&amp;Allocation!BG47)</f>
        <v/>
      </c>
    </row>
    <row r="48" ht="14.4975" customHeight="1" s="64">
      <c r="A48" s="0">
        <f>IF(Allocation!BI48="","",Allocation!BI48)</f>
        <v/>
      </c>
      <c r="B48" s="0">
        <f>IF(Allocation!BJ48="","",Allocation!BJ48)</f>
        <v/>
      </c>
      <c r="C48" s="0">
        <f>IF(Allocation!BK48="","",Allocation!BK48)</f>
        <v/>
      </c>
      <c r="D48" s="0">
        <f>IF(Allocation!BL48="","",Allocation!BL48)</f>
        <v/>
      </c>
      <c r="E48" s="0">
        <f>IF(Allocation!BM48="","",Allocation!BM48)</f>
        <v/>
      </c>
      <c r="F48" s="0">
        <f>IF(Allocation!BN48="","",Allocation!BN48)</f>
        <v/>
      </c>
      <c r="G48" s="0">
        <f>IF(Allocation!BO48="","",Allocation!BO48)</f>
        <v/>
      </c>
      <c r="H48" s="0">
        <f>IF(Allocation!BP48="","",Allocation!BP48)</f>
        <v/>
      </c>
      <c r="I48" s="0">
        <f>IF(Allocation!BQ48="","",Allocation!BQ48)</f>
        <v/>
      </c>
      <c r="J48" s="0">
        <f>IF(Allocation!CC48="","",Allocation!CC48)</f>
        <v/>
      </c>
      <c r="K48" s="0">
        <f>IF($A48="","",$H48*IF(AND(LEFT($D48,3)="BAC",$F48="INIT"),600,IF(LEFT($D48,3)="BAC",480,IF(AND(LEFT($D48,3)="MAS",$F48="INIT"),520,IF(LEFT($D48,3)="MAS",420,IF($F48="INIT",1000,700))))))</f>
        <v/>
      </c>
      <c r="L48" s="0">
        <f>IF($A48="","",SUMIFS($G$1:$G$349,$AS$1:$AS$349,$AS48,$B$1:$B$349,$B48))</f>
        <v/>
      </c>
      <c r="M48" s="0">
        <f>IF($A48="","",SUMIFS($H$1:$H$349,$AS$1:$AS$349,$AS48,$B$1:$B$349,$B48))</f>
        <v/>
      </c>
      <c r="N48" s="0">
        <f>IF($A48="","",SUMIFS($I$1:$I$349,$AS$1:$AS$349,$AS48,$B$1:$B$349,$B48))</f>
        <v/>
      </c>
      <c r="O48" s="0">
        <f>IF($A48="","",SUMIFS($K$1:$K$349,$AS$1:$AS$349,$AS48,$B$1:$B$349,$B48))</f>
        <v/>
      </c>
      <c r="P48" s="0">
        <f>IF($A48="","",SUMIFS($J$1:$J$349,$AS$1:$AS$349,$AS48,$B$1:$B$349,$B48))</f>
        <v/>
      </c>
      <c r="Q48" s="0">
        <f>IF($A48="","",SUMIFS($G$1:$G$349,$AS$1:$AS$349,$AS48,$C$1:$C$349,$C48))</f>
        <v/>
      </c>
      <c r="R48" s="0">
        <f>IF($A48="","",SUMIFS($H$1:$H$349,$AS$1:$AS$349,$AS48,$C$1:$C$349,$C48))</f>
        <v/>
      </c>
      <c r="S48" s="0">
        <f>IF($A48="","",SUMIFS($I$1:$I$349,$AS$1:$AS$349,$AS48,$C$1:$C$349,$C48))</f>
        <v/>
      </c>
      <c r="T48" s="0">
        <f>IF($A48="","",SUMIFS($G$1:$G$349,$AS$1:$AS$349,$AS48))</f>
        <v/>
      </c>
      <c r="U48" s="0">
        <f>IF($A48="","",SUMIFS($H$1:$H$349,$AS$1:$AS$349,$AS48))</f>
        <v/>
      </c>
      <c r="V48" s="0">
        <f>IF($A48="","",SUMIFS($I$1:$I$349,$AS$1:$AS$349,$AS48))</f>
        <v/>
      </c>
      <c r="W48" s="0">
        <f>IF($A48="","",Allocation!CD48)</f>
        <v/>
      </c>
      <c r="X48" s="0">
        <f>IF($A48="","",Allocation!CE48)</f>
        <v/>
      </c>
      <c r="Y48" s="0">
        <f>IF($A48="","",Allocation!CF48)</f>
        <v/>
      </c>
      <c r="Z48" s="0">
        <f>IF($A48="","",Allocation!CG48)</f>
        <v/>
      </c>
      <c r="AA48" s="0">
        <f>IF($A48="","",Allocation!CH48)</f>
        <v/>
      </c>
      <c r="AB48" s="0">
        <f>IF($A48="","",Allocation!CI48)</f>
        <v/>
      </c>
      <c r="AC48" s="0">
        <f>IF($A48="","",IF(Allocation!$N$4="VOL_EFF",$G48,IF(Allocation!$N$4="VOL_CLASS",$H48,$I48)))</f>
        <v/>
      </c>
      <c r="AD48" s="0">
        <f>IF($A48="","",IF(Allocation!$N$4="VOL_EFF",$L48,IF(Allocation!$N$4="VOL_CLASS",$M48,$N48)))</f>
        <v/>
      </c>
      <c r="AE48" s="0">
        <f>IF($A48="","",IF(Allocation!$N$3="VOL_EFF",$L48,IF(Allocation!$N$3="VOL_CLASS",$M48,$N48)))</f>
        <v/>
      </c>
      <c r="AF48" s="0">
        <f>IF($A48="","",IF(Allocation!$N$3="VOL_EFF",$Q48,IF(Allocation!$N$3="VOL_CLASS",$R48,$S48)))</f>
        <v/>
      </c>
      <c r="AG48" s="0">
        <f>IF($A48="","",IF(Allocation!$N$1="VOL_EFF",$Q48,IF(Allocation!$N$1="VOL_CLASS",$R48,$S48)))</f>
        <v/>
      </c>
      <c r="AH48" s="0">
        <f>IF($A48="","",IF(Allocation!$N$1="VOL_EFF",$T48,IF(Allocation!$N$1="VOL_CLASS",$U48,$V48)))</f>
        <v/>
      </c>
      <c r="AI48" s="0">
        <f>IF($A48="","",$W48*IFERROR($K48/$O48,0))</f>
        <v/>
      </c>
      <c r="AJ48" s="0">
        <f>IF($A48="","",$X48*IFERROR($K48/$O48,0))</f>
        <v/>
      </c>
      <c r="AK48" s="0">
        <f>IF($A48="","",$Y48*IFERROR($G48/$L48,0)+$Z48*IFERROR($J48/$P48,0))</f>
        <v/>
      </c>
      <c r="AL48" s="0">
        <f>IF($A48="","",$AA48*IFERROR($AC48/$AD48,0))</f>
        <v/>
      </c>
      <c r="AM48" s="0">
        <f>IF($A48="","",$AB48*IFERROR($AG48/$AH48,0)*IFERROR($AE48/$AF48,0)*IFERROR($AC48/$AD48,0))</f>
        <v/>
      </c>
      <c r="AN48" s="0">
        <f>IF($A48="","",$I48-($AI48+$AJ48+$AK48+$AL48+$AM48+$AR48))</f>
        <v/>
      </c>
      <c r="AO48" s="0">
        <f>IF($A48="","",Allocation!CJ48)</f>
        <v/>
      </c>
      <c r="AP48" s="0">
        <f>IF($A48="","",IF(Allocation!$N$2="VOL_EFF",$Q48,IF(Allocation!$N$2="VOL_CLASS",$R48,$S48)))</f>
        <v/>
      </c>
      <c r="AQ48" s="0">
        <f>IF($A48="","",IF(Allocation!$N$2="VOL_EFF",$T48,IF(Allocation!$N$2="VOL_CLASS",$U48,$V48)))</f>
        <v/>
      </c>
      <c r="AR48" s="0">
        <f>IF($A48="","",$AO48*IFERROR($AP48/$AQ48,0)*IFERROR($AE48/$AF48,0)*IFERROR($AC48/$AD48,0))</f>
        <v/>
      </c>
      <c r="AS48" s="0">
        <f>IF($A48="","",$A48&amp;"|"&amp;Allocation!BG48)</f>
        <v/>
      </c>
    </row>
    <row r="49" ht="14.4975" customHeight="1" s="64">
      <c r="A49" s="0">
        <f>IF(Allocation!BI49="","",Allocation!BI49)</f>
        <v/>
      </c>
      <c r="B49" s="0">
        <f>IF(Allocation!BJ49="","",Allocation!BJ49)</f>
        <v/>
      </c>
      <c r="C49" s="0">
        <f>IF(Allocation!BK49="","",Allocation!BK49)</f>
        <v/>
      </c>
      <c r="D49" s="0">
        <f>IF(Allocation!BL49="","",Allocation!BL49)</f>
        <v/>
      </c>
      <c r="E49" s="0">
        <f>IF(Allocation!BM49="","",Allocation!BM49)</f>
        <v/>
      </c>
      <c r="F49" s="0">
        <f>IF(Allocation!BN49="","",Allocation!BN49)</f>
        <v/>
      </c>
      <c r="G49" s="0">
        <f>IF(Allocation!BO49="","",Allocation!BO49)</f>
        <v/>
      </c>
      <c r="H49" s="0">
        <f>IF(Allocation!BP49="","",Allocation!BP49)</f>
        <v/>
      </c>
      <c r="I49" s="0">
        <f>IF(Allocation!BQ49="","",Allocation!BQ49)</f>
        <v/>
      </c>
      <c r="J49" s="0">
        <f>IF(Allocation!CC49="","",Allocation!CC49)</f>
        <v/>
      </c>
      <c r="K49" s="0">
        <f>IF($A49="","",$H49*IF(AND(LEFT($D49,3)="BAC",$F49="INIT"),600,IF(LEFT($D49,3)="BAC",480,IF(AND(LEFT($D49,3)="MAS",$F49="INIT"),520,IF(LEFT($D49,3)="MAS",420,IF($F49="INIT",1000,700))))))</f>
        <v/>
      </c>
      <c r="L49" s="0">
        <f>IF($A49="","",SUMIFS($G$1:$G$349,$AS$1:$AS$349,$AS49,$B$1:$B$349,$B49))</f>
        <v/>
      </c>
      <c r="M49" s="0">
        <f>IF($A49="","",SUMIFS($H$1:$H$349,$AS$1:$AS$349,$AS49,$B$1:$B$349,$B49))</f>
        <v/>
      </c>
      <c r="N49" s="0">
        <f>IF($A49="","",SUMIFS($I$1:$I$349,$AS$1:$AS$349,$AS49,$B$1:$B$349,$B49))</f>
        <v/>
      </c>
      <c r="O49" s="0">
        <f>IF($A49="","",SUMIFS($K$1:$K$349,$AS$1:$AS$349,$AS49,$B$1:$B$349,$B49))</f>
        <v/>
      </c>
      <c r="P49" s="0">
        <f>IF($A49="","",SUMIFS($J$1:$J$349,$AS$1:$AS$349,$AS49,$B$1:$B$349,$B49))</f>
        <v/>
      </c>
      <c r="Q49" s="0">
        <f>IF($A49="","",SUMIFS($G$1:$G$349,$AS$1:$AS$349,$AS49,$C$1:$C$349,$C49))</f>
        <v/>
      </c>
      <c r="R49" s="0">
        <f>IF($A49="","",SUMIFS($H$1:$H$349,$AS$1:$AS$349,$AS49,$C$1:$C$349,$C49))</f>
        <v/>
      </c>
      <c r="S49" s="0">
        <f>IF($A49="","",SUMIFS($I$1:$I$349,$AS$1:$AS$349,$AS49,$C$1:$C$349,$C49))</f>
        <v/>
      </c>
      <c r="T49" s="0">
        <f>IF($A49="","",SUMIFS($G$1:$G$349,$AS$1:$AS$349,$AS49))</f>
        <v/>
      </c>
      <c r="U49" s="0">
        <f>IF($A49="","",SUMIFS($H$1:$H$349,$AS$1:$AS$349,$AS49))</f>
        <v/>
      </c>
      <c r="V49" s="0">
        <f>IF($A49="","",SUMIFS($I$1:$I$349,$AS$1:$AS$349,$AS49))</f>
        <v/>
      </c>
      <c r="W49" s="0">
        <f>IF($A49="","",Allocation!CD49)</f>
        <v/>
      </c>
      <c r="X49" s="0">
        <f>IF($A49="","",Allocation!CE49)</f>
        <v/>
      </c>
      <c r="Y49" s="0">
        <f>IF($A49="","",Allocation!CF49)</f>
        <v/>
      </c>
      <c r="Z49" s="0">
        <f>IF($A49="","",Allocation!CG49)</f>
        <v/>
      </c>
      <c r="AA49" s="0">
        <f>IF($A49="","",Allocation!CH49)</f>
        <v/>
      </c>
      <c r="AB49" s="0">
        <f>IF($A49="","",Allocation!CI49)</f>
        <v/>
      </c>
      <c r="AC49" s="0">
        <f>IF($A49="","",IF(Allocation!$N$4="VOL_EFF",$G49,IF(Allocation!$N$4="VOL_CLASS",$H49,$I49)))</f>
        <v/>
      </c>
      <c r="AD49" s="0">
        <f>IF($A49="","",IF(Allocation!$N$4="VOL_EFF",$L49,IF(Allocation!$N$4="VOL_CLASS",$M49,$N49)))</f>
        <v/>
      </c>
      <c r="AE49" s="0">
        <f>IF($A49="","",IF(Allocation!$N$3="VOL_EFF",$L49,IF(Allocation!$N$3="VOL_CLASS",$M49,$N49)))</f>
        <v/>
      </c>
      <c r="AF49" s="0">
        <f>IF($A49="","",IF(Allocation!$N$3="VOL_EFF",$Q49,IF(Allocation!$N$3="VOL_CLASS",$R49,$S49)))</f>
        <v/>
      </c>
      <c r="AG49" s="0">
        <f>IF($A49="","",IF(Allocation!$N$1="VOL_EFF",$Q49,IF(Allocation!$N$1="VOL_CLASS",$R49,$S49)))</f>
        <v/>
      </c>
      <c r="AH49" s="0">
        <f>IF($A49="","",IF(Allocation!$N$1="VOL_EFF",$T49,IF(Allocation!$N$1="VOL_CLASS",$U49,$V49)))</f>
        <v/>
      </c>
      <c r="AI49" s="0">
        <f>IF($A49="","",$W49*IFERROR($K49/$O49,0))</f>
        <v/>
      </c>
      <c r="AJ49" s="0">
        <f>IF($A49="","",$X49*IFERROR($K49/$O49,0))</f>
        <v/>
      </c>
      <c r="AK49" s="0">
        <f>IF($A49="","",$Y49*IFERROR($G49/$L49,0)+$Z49*IFERROR($J49/$P49,0))</f>
        <v/>
      </c>
      <c r="AL49" s="0">
        <f>IF($A49="","",$AA49*IFERROR($AC49/$AD49,0))</f>
        <v/>
      </c>
      <c r="AM49" s="0">
        <f>IF($A49="","",$AB49*IFERROR($AG49/$AH49,0)*IFERROR($AE49/$AF49,0)*IFERROR($AC49/$AD49,0))</f>
        <v/>
      </c>
      <c r="AN49" s="0">
        <f>IF($A49="","",$I49-($AI49+$AJ49+$AK49+$AL49+$AM49+$AR49))</f>
        <v/>
      </c>
      <c r="AO49" s="0">
        <f>IF($A49="","",Allocation!CJ49)</f>
        <v/>
      </c>
      <c r="AP49" s="0">
        <f>IF($A49="","",IF(Allocation!$N$2="VOL_EFF",$Q49,IF(Allocation!$N$2="VOL_CLASS",$R49,$S49)))</f>
        <v/>
      </c>
      <c r="AQ49" s="0">
        <f>IF($A49="","",IF(Allocation!$N$2="VOL_EFF",$T49,IF(Allocation!$N$2="VOL_CLASS",$U49,$V49)))</f>
        <v/>
      </c>
      <c r="AR49" s="0">
        <f>IF($A49="","",$AO49*IFERROR($AP49/$AQ49,0)*IFERROR($AE49/$AF49,0)*IFERROR($AC49/$AD49,0))</f>
        <v/>
      </c>
      <c r="AS49" s="0">
        <f>IF($A49="","",$A49&amp;"|"&amp;Allocation!BG49)</f>
        <v/>
      </c>
    </row>
    <row r="50" ht="14.4975" customHeight="1" s="64">
      <c r="A50" s="0">
        <f>IF(Allocation!BI50="","",Allocation!BI50)</f>
        <v/>
      </c>
      <c r="B50" s="0">
        <f>IF(Allocation!BJ50="","",Allocation!BJ50)</f>
        <v/>
      </c>
      <c r="C50" s="0">
        <f>IF(Allocation!BK50="","",Allocation!BK50)</f>
        <v/>
      </c>
      <c r="D50" s="0">
        <f>IF(Allocation!BL50="","",Allocation!BL50)</f>
        <v/>
      </c>
      <c r="E50" s="0">
        <f>IF(Allocation!BM50="","",Allocation!BM50)</f>
        <v/>
      </c>
      <c r="F50" s="0">
        <f>IF(Allocation!BN50="","",Allocation!BN50)</f>
        <v/>
      </c>
      <c r="G50" s="0">
        <f>IF(Allocation!BO50="","",Allocation!BO50)</f>
        <v/>
      </c>
      <c r="H50" s="0">
        <f>IF(Allocation!BP50="","",Allocation!BP50)</f>
        <v/>
      </c>
      <c r="I50" s="0">
        <f>IF(Allocation!BQ50="","",Allocation!BQ50)</f>
        <v/>
      </c>
      <c r="J50" s="0">
        <f>IF(Allocation!CC50="","",Allocation!CC50)</f>
        <v/>
      </c>
      <c r="K50" s="0">
        <f>IF($A50="","",$H50*IF(AND(LEFT($D50,3)="BAC",$F50="INIT"),600,IF(LEFT($D50,3)="BAC",480,IF(AND(LEFT($D50,3)="MAS",$F50="INIT"),520,IF(LEFT($D50,3)="MAS",420,IF($F50="INIT",1000,700))))))</f>
        <v/>
      </c>
      <c r="L50" s="0">
        <f>IF($A50="","",SUMIFS($G$1:$G$349,$AS$1:$AS$349,$AS50,$B$1:$B$349,$B50))</f>
        <v/>
      </c>
      <c r="M50" s="0">
        <f>IF($A50="","",SUMIFS($H$1:$H$349,$AS$1:$AS$349,$AS50,$B$1:$B$349,$B50))</f>
        <v/>
      </c>
      <c r="N50" s="0">
        <f>IF($A50="","",SUMIFS($I$1:$I$349,$AS$1:$AS$349,$AS50,$B$1:$B$349,$B50))</f>
        <v/>
      </c>
      <c r="O50" s="0">
        <f>IF($A50="","",SUMIFS($K$1:$K$349,$AS$1:$AS$349,$AS50,$B$1:$B$349,$B50))</f>
        <v/>
      </c>
      <c r="P50" s="0">
        <f>IF($A50="","",SUMIFS($J$1:$J$349,$AS$1:$AS$349,$AS50,$B$1:$B$349,$B50))</f>
        <v/>
      </c>
      <c r="Q50" s="0">
        <f>IF($A50="","",SUMIFS($G$1:$G$349,$AS$1:$AS$349,$AS50,$C$1:$C$349,$C50))</f>
        <v/>
      </c>
      <c r="R50" s="0">
        <f>IF($A50="","",SUMIFS($H$1:$H$349,$AS$1:$AS$349,$AS50,$C$1:$C$349,$C50))</f>
        <v/>
      </c>
      <c r="S50" s="0">
        <f>IF($A50="","",SUMIFS($I$1:$I$349,$AS$1:$AS$349,$AS50,$C$1:$C$349,$C50))</f>
        <v/>
      </c>
      <c r="T50" s="0">
        <f>IF($A50="","",SUMIFS($G$1:$G$349,$AS$1:$AS$349,$AS50))</f>
        <v/>
      </c>
      <c r="U50" s="0">
        <f>IF($A50="","",SUMIFS($H$1:$H$349,$AS$1:$AS$349,$AS50))</f>
        <v/>
      </c>
      <c r="V50" s="0">
        <f>IF($A50="","",SUMIFS($I$1:$I$349,$AS$1:$AS$349,$AS50))</f>
        <v/>
      </c>
      <c r="W50" s="0">
        <f>IF($A50="","",Allocation!CD50)</f>
        <v/>
      </c>
      <c r="X50" s="0">
        <f>IF($A50="","",Allocation!CE50)</f>
        <v/>
      </c>
      <c r="Y50" s="0">
        <f>IF($A50="","",Allocation!CF50)</f>
        <v/>
      </c>
      <c r="Z50" s="0">
        <f>IF($A50="","",Allocation!CG50)</f>
        <v/>
      </c>
      <c r="AA50" s="0">
        <f>IF($A50="","",Allocation!CH50)</f>
        <v/>
      </c>
      <c r="AB50" s="0">
        <f>IF($A50="","",Allocation!CI50)</f>
        <v/>
      </c>
      <c r="AC50" s="0">
        <f>IF($A50="","",IF(Allocation!$N$4="VOL_EFF",$G50,IF(Allocation!$N$4="VOL_CLASS",$H50,$I50)))</f>
        <v/>
      </c>
      <c r="AD50" s="0">
        <f>IF($A50="","",IF(Allocation!$N$4="VOL_EFF",$L50,IF(Allocation!$N$4="VOL_CLASS",$M50,$N50)))</f>
        <v/>
      </c>
      <c r="AE50" s="0">
        <f>IF($A50="","",IF(Allocation!$N$3="VOL_EFF",$L50,IF(Allocation!$N$3="VOL_CLASS",$M50,$N50)))</f>
        <v/>
      </c>
      <c r="AF50" s="0">
        <f>IF($A50="","",IF(Allocation!$N$3="VOL_EFF",$Q50,IF(Allocation!$N$3="VOL_CLASS",$R50,$S50)))</f>
        <v/>
      </c>
      <c r="AG50" s="0">
        <f>IF($A50="","",IF(Allocation!$N$1="VOL_EFF",$Q50,IF(Allocation!$N$1="VOL_CLASS",$R50,$S50)))</f>
        <v/>
      </c>
      <c r="AH50" s="0">
        <f>IF($A50="","",IF(Allocation!$N$1="VOL_EFF",$T50,IF(Allocation!$N$1="VOL_CLASS",$U50,$V50)))</f>
        <v/>
      </c>
      <c r="AI50" s="0">
        <f>IF($A50="","",$W50*IFERROR($K50/$O50,0))</f>
        <v/>
      </c>
      <c r="AJ50" s="0">
        <f>IF($A50="","",$X50*IFERROR($K50/$O50,0))</f>
        <v/>
      </c>
      <c r="AK50" s="0">
        <f>IF($A50="","",$Y50*IFERROR($G50/$L50,0)+$Z50*IFERROR($J50/$P50,0))</f>
        <v/>
      </c>
      <c r="AL50" s="0">
        <f>IF($A50="","",$AA50*IFERROR($AC50/$AD50,0))</f>
        <v/>
      </c>
      <c r="AM50" s="0">
        <f>IF($A50="","",$AB50*IFERROR($AG50/$AH50,0)*IFERROR($AE50/$AF50,0)*IFERROR($AC50/$AD50,0))</f>
        <v/>
      </c>
      <c r="AN50" s="0">
        <f>IF($A50="","",$I50-($AI50+$AJ50+$AK50+$AL50+$AM50+$AR50))</f>
        <v/>
      </c>
      <c r="AO50" s="0">
        <f>IF($A50="","",Allocation!CJ50)</f>
        <v/>
      </c>
      <c r="AP50" s="0">
        <f>IF($A50="","",IF(Allocation!$N$2="VOL_EFF",$Q50,IF(Allocation!$N$2="VOL_CLASS",$R50,$S50)))</f>
        <v/>
      </c>
      <c r="AQ50" s="0">
        <f>IF($A50="","",IF(Allocation!$N$2="VOL_EFF",$T50,IF(Allocation!$N$2="VOL_CLASS",$U50,$V50)))</f>
        <v/>
      </c>
      <c r="AR50" s="0">
        <f>IF($A50="","",$AO50*IFERROR($AP50/$AQ50,0)*IFERROR($AE50/$AF50,0)*IFERROR($AC50/$AD50,0))</f>
        <v/>
      </c>
      <c r="AS50" s="0">
        <f>IF($A50="","",$A50&amp;"|"&amp;Allocation!BG50)</f>
        <v/>
      </c>
    </row>
    <row r="51" ht="14.4975" customHeight="1" s="64">
      <c r="A51" s="0">
        <f>IF(Allocation!BI51="","",Allocation!BI51)</f>
        <v/>
      </c>
      <c r="B51" s="0">
        <f>IF(Allocation!BJ51="","",Allocation!BJ51)</f>
        <v/>
      </c>
      <c r="C51" s="0">
        <f>IF(Allocation!BK51="","",Allocation!BK51)</f>
        <v/>
      </c>
      <c r="D51" s="0">
        <f>IF(Allocation!BL51="","",Allocation!BL51)</f>
        <v/>
      </c>
      <c r="E51" s="0">
        <f>IF(Allocation!BM51="","",Allocation!BM51)</f>
        <v/>
      </c>
      <c r="F51" s="0">
        <f>IF(Allocation!BN51="","",Allocation!BN51)</f>
        <v/>
      </c>
      <c r="G51" s="0">
        <f>IF(Allocation!BO51="","",Allocation!BO51)</f>
        <v/>
      </c>
      <c r="H51" s="0">
        <f>IF(Allocation!BP51="","",Allocation!BP51)</f>
        <v/>
      </c>
      <c r="I51" s="0">
        <f>IF(Allocation!BQ51="","",Allocation!BQ51)</f>
        <v/>
      </c>
      <c r="J51" s="0">
        <f>IF(Allocation!CC51="","",Allocation!CC51)</f>
        <v/>
      </c>
      <c r="K51" s="0">
        <f>IF($A51="","",$H51*IF(AND(LEFT($D51,3)="BAC",$F51="INIT"),600,IF(LEFT($D51,3)="BAC",480,IF(AND(LEFT($D51,3)="MAS",$F51="INIT"),520,IF(LEFT($D51,3)="MAS",420,IF($F51="INIT",1000,700))))))</f>
        <v/>
      </c>
      <c r="L51" s="0">
        <f>IF($A51="","",SUMIFS($G$1:$G$349,$AS$1:$AS$349,$AS51,$B$1:$B$349,$B51))</f>
        <v/>
      </c>
      <c r="M51" s="0">
        <f>IF($A51="","",SUMIFS($H$1:$H$349,$AS$1:$AS$349,$AS51,$B$1:$B$349,$B51))</f>
        <v/>
      </c>
      <c r="N51" s="0">
        <f>IF($A51="","",SUMIFS($I$1:$I$349,$AS$1:$AS$349,$AS51,$B$1:$B$349,$B51))</f>
        <v/>
      </c>
      <c r="O51" s="0">
        <f>IF($A51="","",SUMIFS($K$1:$K$349,$AS$1:$AS$349,$AS51,$B$1:$B$349,$B51))</f>
        <v/>
      </c>
      <c r="P51" s="0">
        <f>IF($A51="","",SUMIFS($J$1:$J$349,$AS$1:$AS$349,$AS51,$B$1:$B$349,$B51))</f>
        <v/>
      </c>
      <c r="Q51" s="0">
        <f>IF($A51="","",SUMIFS($G$1:$G$349,$AS$1:$AS$349,$AS51,$C$1:$C$349,$C51))</f>
        <v/>
      </c>
      <c r="R51" s="0">
        <f>IF($A51="","",SUMIFS($H$1:$H$349,$AS$1:$AS$349,$AS51,$C$1:$C$349,$C51))</f>
        <v/>
      </c>
      <c r="S51" s="0">
        <f>IF($A51="","",SUMIFS($I$1:$I$349,$AS$1:$AS$349,$AS51,$C$1:$C$349,$C51))</f>
        <v/>
      </c>
      <c r="T51" s="0">
        <f>IF($A51="","",SUMIFS($G$1:$G$349,$AS$1:$AS$349,$AS51))</f>
        <v/>
      </c>
      <c r="U51" s="0">
        <f>IF($A51="","",SUMIFS($H$1:$H$349,$AS$1:$AS$349,$AS51))</f>
        <v/>
      </c>
      <c r="V51" s="0">
        <f>IF($A51="","",SUMIFS($I$1:$I$349,$AS$1:$AS$349,$AS51))</f>
        <v/>
      </c>
      <c r="W51" s="0">
        <f>IF($A51="","",Allocation!CD51)</f>
        <v/>
      </c>
      <c r="X51" s="0">
        <f>IF($A51="","",Allocation!CE51)</f>
        <v/>
      </c>
      <c r="Y51" s="0">
        <f>IF($A51="","",Allocation!CF51)</f>
        <v/>
      </c>
      <c r="Z51" s="0">
        <f>IF($A51="","",Allocation!CG51)</f>
        <v/>
      </c>
      <c r="AA51" s="0">
        <f>IF($A51="","",Allocation!CH51)</f>
        <v/>
      </c>
      <c r="AB51" s="0">
        <f>IF($A51="","",Allocation!CI51)</f>
        <v/>
      </c>
      <c r="AC51" s="0">
        <f>IF($A51="","",IF(Allocation!$N$4="VOL_EFF",$G51,IF(Allocation!$N$4="VOL_CLASS",$H51,$I51)))</f>
        <v/>
      </c>
      <c r="AD51" s="0">
        <f>IF($A51="","",IF(Allocation!$N$4="VOL_EFF",$L51,IF(Allocation!$N$4="VOL_CLASS",$M51,$N51)))</f>
        <v/>
      </c>
      <c r="AE51" s="0">
        <f>IF($A51="","",IF(Allocation!$N$3="VOL_EFF",$L51,IF(Allocation!$N$3="VOL_CLASS",$M51,$N51)))</f>
        <v/>
      </c>
      <c r="AF51" s="0">
        <f>IF($A51="","",IF(Allocation!$N$3="VOL_EFF",$Q51,IF(Allocation!$N$3="VOL_CLASS",$R51,$S51)))</f>
        <v/>
      </c>
      <c r="AG51" s="0">
        <f>IF($A51="","",IF(Allocation!$N$1="VOL_EFF",$Q51,IF(Allocation!$N$1="VOL_CLASS",$R51,$S51)))</f>
        <v/>
      </c>
      <c r="AH51" s="0">
        <f>IF($A51="","",IF(Allocation!$N$1="VOL_EFF",$T51,IF(Allocation!$N$1="VOL_CLASS",$U51,$V51)))</f>
        <v/>
      </c>
      <c r="AI51" s="0">
        <f>IF($A51="","",$W51*IFERROR($K51/$O51,0))</f>
        <v/>
      </c>
      <c r="AJ51" s="0">
        <f>IF($A51="","",$X51*IFERROR($K51/$O51,0))</f>
        <v/>
      </c>
      <c r="AK51" s="0">
        <f>IF($A51="","",$Y51*IFERROR($G51/$L51,0)+$Z51*IFERROR($J51/$P51,0))</f>
        <v/>
      </c>
      <c r="AL51" s="0">
        <f>IF($A51="","",$AA51*IFERROR($AC51/$AD51,0))</f>
        <v/>
      </c>
      <c r="AM51" s="0">
        <f>IF($A51="","",$AB51*IFERROR($AG51/$AH51,0)*IFERROR($AE51/$AF51,0)*IFERROR($AC51/$AD51,0))</f>
        <v/>
      </c>
      <c r="AN51" s="0">
        <f>IF($A51="","",$I51-($AI51+$AJ51+$AK51+$AL51+$AM51+$AR51))</f>
        <v/>
      </c>
      <c r="AO51" s="0">
        <f>IF($A51="","",Allocation!CJ51)</f>
        <v/>
      </c>
      <c r="AP51" s="0">
        <f>IF($A51="","",IF(Allocation!$N$2="VOL_EFF",$Q51,IF(Allocation!$N$2="VOL_CLASS",$R51,$S51)))</f>
        <v/>
      </c>
      <c r="AQ51" s="0">
        <f>IF($A51="","",IF(Allocation!$N$2="VOL_EFF",$T51,IF(Allocation!$N$2="VOL_CLASS",$U51,$V51)))</f>
        <v/>
      </c>
      <c r="AR51" s="0">
        <f>IF($A51="","",$AO51*IFERROR($AP51/$AQ51,0)*IFERROR($AE51/$AF51,0)*IFERROR($AC51/$AD51,0))</f>
        <v/>
      </c>
      <c r="AS51" s="0">
        <f>IF($A51="","",$A51&amp;"|"&amp;Allocation!BG51)</f>
        <v/>
      </c>
    </row>
    <row r="52" ht="14.4975" customHeight="1" s="64">
      <c r="A52" s="0">
        <f>IF(Allocation!BI52="","",Allocation!BI52)</f>
        <v/>
      </c>
      <c r="B52" s="0">
        <f>IF(Allocation!BJ52="","",Allocation!BJ52)</f>
        <v/>
      </c>
      <c r="C52" s="0">
        <f>IF(Allocation!BK52="","",Allocation!BK52)</f>
        <v/>
      </c>
      <c r="D52" s="0">
        <f>IF(Allocation!BL52="","",Allocation!BL52)</f>
        <v/>
      </c>
      <c r="E52" s="0">
        <f>IF(Allocation!BM52="","",Allocation!BM52)</f>
        <v/>
      </c>
      <c r="F52" s="0">
        <f>IF(Allocation!BN52="","",Allocation!BN52)</f>
        <v/>
      </c>
      <c r="G52" s="0">
        <f>IF(Allocation!BO52="","",Allocation!BO52)</f>
        <v/>
      </c>
      <c r="H52" s="0">
        <f>IF(Allocation!BP52="","",Allocation!BP52)</f>
        <v/>
      </c>
      <c r="I52" s="0">
        <f>IF(Allocation!BQ52="","",Allocation!BQ52)</f>
        <v/>
      </c>
      <c r="J52" s="0">
        <f>IF(Allocation!CC52="","",Allocation!CC52)</f>
        <v/>
      </c>
      <c r="K52" s="0">
        <f>IF($A52="","",$H52*IF(AND(LEFT($D52,3)="BAC",$F52="INIT"),600,IF(LEFT($D52,3)="BAC",480,IF(AND(LEFT($D52,3)="MAS",$F52="INIT"),520,IF(LEFT($D52,3)="MAS",420,IF($F52="INIT",1000,700))))))</f>
        <v/>
      </c>
      <c r="L52" s="0">
        <f>IF($A52="","",SUMIFS($G$1:$G$349,$AS$1:$AS$349,$AS52,$B$1:$B$349,$B52))</f>
        <v/>
      </c>
      <c r="M52" s="0">
        <f>IF($A52="","",SUMIFS($H$1:$H$349,$AS$1:$AS$349,$AS52,$B$1:$B$349,$B52))</f>
        <v/>
      </c>
      <c r="N52" s="0">
        <f>IF($A52="","",SUMIFS($I$1:$I$349,$AS$1:$AS$349,$AS52,$B$1:$B$349,$B52))</f>
        <v/>
      </c>
      <c r="O52" s="0">
        <f>IF($A52="","",SUMIFS($K$1:$K$349,$AS$1:$AS$349,$AS52,$B$1:$B$349,$B52))</f>
        <v/>
      </c>
      <c r="P52" s="0">
        <f>IF($A52="","",SUMIFS($J$1:$J$349,$AS$1:$AS$349,$AS52,$B$1:$B$349,$B52))</f>
        <v/>
      </c>
      <c r="Q52" s="0">
        <f>IF($A52="","",SUMIFS($G$1:$G$349,$AS$1:$AS$349,$AS52,$C$1:$C$349,$C52))</f>
        <v/>
      </c>
      <c r="R52" s="0">
        <f>IF($A52="","",SUMIFS($H$1:$H$349,$AS$1:$AS$349,$AS52,$C$1:$C$349,$C52))</f>
        <v/>
      </c>
      <c r="S52" s="0">
        <f>IF($A52="","",SUMIFS($I$1:$I$349,$AS$1:$AS$349,$AS52,$C$1:$C$349,$C52))</f>
        <v/>
      </c>
      <c r="T52" s="0">
        <f>IF($A52="","",SUMIFS($G$1:$G$349,$AS$1:$AS$349,$AS52))</f>
        <v/>
      </c>
      <c r="U52" s="0">
        <f>IF($A52="","",SUMIFS($H$1:$H$349,$AS$1:$AS$349,$AS52))</f>
        <v/>
      </c>
      <c r="V52" s="0">
        <f>IF($A52="","",SUMIFS($I$1:$I$349,$AS$1:$AS$349,$AS52))</f>
        <v/>
      </c>
      <c r="W52" s="0">
        <f>IF($A52="","",Allocation!CD52)</f>
        <v/>
      </c>
      <c r="X52" s="0">
        <f>IF($A52="","",Allocation!CE52)</f>
        <v/>
      </c>
      <c r="Y52" s="0">
        <f>IF($A52="","",Allocation!CF52)</f>
        <v/>
      </c>
      <c r="Z52" s="0">
        <f>IF($A52="","",Allocation!CG52)</f>
        <v/>
      </c>
      <c r="AA52" s="0">
        <f>IF($A52="","",Allocation!CH52)</f>
        <v/>
      </c>
      <c r="AB52" s="0">
        <f>IF($A52="","",Allocation!CI52)</f>
        <v/>
      </c>
      <c r="AC52" s="0">
        <f>IF($A52="","",IF(Allocation!$N$4="VOL_EFF",$G52,IF(Allocation!$N$4="VOL_CLASS",$H52,$I52)))</f>
        <v/>
      </c>
      <c r="AD52" s="0">
        <f>IF($A52="","",IF(Allocation!$N$4="VOL_EFF",$L52,IF(Allocation!$N$4="VOL_CLASS",$M52,$N52)))</f>
        <v/>
      </c>
      <c r="AE52" s="0">
        <f>IF($A52="","",IF(Allocation!$N$3="VOL_EFF",$L52,IF(Allocation!$N$3="VOL_CLASS",$M52,$N52)))</f>
        <v/>
      </c>
      <c r="AF52" s="0">
        <f>IF($A52="","",IF(Allocation!$N$3="VOL_EFF",$Q52,IF(Allocation!$N$3="VOL_CLASS",$R52,$S52)))</f>
        <v/>
      </c>
      <c r="AG52" s="0">
        <f>IF($A52="","",IF(Allocation!$N$1="VOL_EFF",$Q52,IF(Allocation!$N$1="VOL_CLASS",$R52,$S52)))</f>
        <v/>
      </c>
      <c r="AH52" s="0">
        <f>IF($A52="","",IF(Allocation!$N$1="VOL_EFF",$T52,IF(Allocation!$N$1="VOL_CLASS",$U52,$V52)))</f>
        <v/>
      </c>
      <c r="AI52" s="0">
        <f>IF($A52="","",$W52*IFERROR($K52/$O52,0))</f>
        <v/>
      </c>
      <c r="AJ52" s="0">
        <f>IF($A52="","",$X52*IFERROR($K52/$O52,0))</f>
        <v/>
      </c>
      <c r="AK52" s="0">
        <f>IF($A52="","",$Y52*IFERROR($G52/$L52,0)+$Z52*IFERROR($J52/$P52,0))</f>
        <v/>
      </c>
      <c r="AL52" s="0">
        <f>IF($A52="","",$AA52*IFERROR($AC52/$AD52,0))</f>
        <v/>
      </c>
      <c r="AM52" s="0">
        <f>IF($A52="","",$AB52*IFERROR($AG52/$AH52,0)*IFERROR($AE52/$AF52,0)*IFERROR($AC52/$AD52,0))</f>
        <v/>
      </c>
      <c r="AN52" s="0">
        <f>IF($A52="","",$I52-($AI52+$AJ52+$AK52+$AL52+$AM52+$AR52))</f>
        <v/>
      </c>
      <c r="AO52" s="0">
        <f>IF($A52="","",Allocation!CJ52)</f>
        <v/>
      </c>
      <c r="AP52" s="0">
        <f>IF($A52="","",IF(Allocation!$N$2="VOL_EFF",$Q52,IF(Allocation!$N$2="VOL_CLASS",$R52,$S52)))</f>
        <v/>
      </c>
      <c r="AQ52" s="0">
        <f>IF($A52="","",IF(Allocation!$N$2="VOL_EFF",$T52,IF(Allocation!$N$2="VOL_CLASS",$U52,$V52)))</f>
        <v/>
      </c>
      <c r="AR52" s="0">
        <f>IF($A52="","",$AO52*IFERROR($AP52/$AQ52,0)*IFERROR($AE52/$AF52,0)*IFERROR($AC52/$AD52,0))</f>
        <v/>
      </c>
      <c r="AS52" s="0">
        <f>IF($A52="","",$A52&amp;"|"&amp;Allocation!BG52)</f>
        <v/>
      </c>
    </row>
    <row r="53" ht="14.4975" customHeight="1" s="64">
      <c r="A53" s="0">
        <f>IF(Allocation!BI53="","",Allocation!BI53)</f>
        <v/>
      </c>
      <c r="B53" s="0">
        <f>IF(Allocation!BJ53="","",Allocation!BJ53)</f>
        <v/>
      </c>
      <c r="C53" s="0">
        <f>IF(Allocation!BK53="","",Allocation!BK53)</f>
        <v/>
      </c>
      <c r="D53" s="0">
        <f>IF(Allocation!BL53="","",Allocation!BL53)</f>
        <v/>
      </c>
      <c r="E53" s="0">
        <f>IF(Allocation!BM53="","",Allocation!BM53)</f>
        <v/>
      </c>
      <c r="F53" s="0">
        <f>IF(Allocation!BN53="","",Allocation!BN53)</f>
        <v/>
      </c>
      <c r="G53" s="0">
        <f>IF(Allocation!BO53="","",Allocation!BO53)</f>
        <v/>
      </c>
      <c r="H53" s="0">
        <f>IF(Allocation!BP53="","",Allocation!BP53)</f>
        <v/>
      </c>
      <c r="I53" s="0">
        <f>IF(Allocation!BQ53="","",Allocation!BQ53)</f>
        <v/>
      </c>
      <c r="J53" s="0">
        <f>IF(Allocation!CC53="","",Allocation!CC53)</f>
        <v/>
      </c>
      <c r="K53" s="0">
        <f>IF($A53="","",$H53*IF(AND(LEFT($D53,3)="BAC",$F53="INIT"),600,IF(LEFT($D53,3)="BAC",480,IF(AND(LEFT($D53,3)="MAS",$F53="INIT"),520,IF(LEFT($D53,3)="MAS",420,IF($F53="INIT",1000,700))))))</f>
        <v/>
      </c>
      <c r="L53" s="0">
        <f>IF($A53="","",SUMIFS($G$1:$G$349,$AS$1:$AS$349,$AS53,$B$1:$B$349,$B53))</f>
        <v/>
      </c>
      <c r="M53" s="0">
        <f>IF($A53="","",SUMIFS($H$1:$H$349,$AS$1:$AS$349,$AS53,$B$1:$B$349,$B53))</f>
        <v/>
      </c>
      <c r="N53" s="0">
        <f>IF($A53="","",SUMIFS($I$1:$I$349,$AS$1:$AS$349,$AS53,$B$1:$B$349,$B53))</f>
        <v/>
      </c>
      <c r="O53" s="0">
        <f>IF($A53="","",SUMIFS($K$1:$K$349,$AS$1:$AS$349,$AS53,$B$1:$B$349,$B53))</f>
        <v/>
      </c>
      <c r="P53" s="0">
        <f>IF($A53="","",SUMIFS($J$1:$J$349,$AS$1:$AS$349,$AS53,$B$1:$B$349,$B53))</f>
        <v/>
      </c>
      <c r="Q53" s="0">
        <f>IF($A53="","",SUMIFS($G$1:$G$349,$AS$1:$AS$349,$AS53,$C$1:$C$349,$C53))</f>
        <v/>
      </c>
      <c r="R53" s="0">
        <f>IF($A53="","",SUMIFS($H$1:$H$349,$AS$1:$AS$349,$AS53,$C$1:$C$349,$C53))</f>
        <v/>
      </c>
      <c r="S53" s="0">
        <f>IF($A53="","",SUMIFS($I$1:$I$349,$AS$1:$AS$349,$AS53,$C$1:$C$349,$C53))</f>
        <v/>
      </c>
      <c r="T53" s="0">
        <f>IF($A53="","",SUMIFS($G$1:$G$349,$AS$1:$AS$349,$AS53))</f>
        <v/>
      </c>
      <c r="U53" s="0">
        <f>IF($A53="","",SUMIFS($H$1:$H$349,$AS$1:$AS$349,$AS53))</f>
        <v/>
      </c>
      <c r="V53" s="0">
        <f>IF($A53="","",SUMIFS($I$1:$I$349,$AS$1:$AS$349,$AS53))</f>
        <v/>
      </c>
      <c r="W53" s="0">
        <f>IF($A53="","",Allocation!CD53)</f>
        <v/>
      </c>
      <c r="X53" s="0">
        <f>IF($A53="","",Allocation!CE53)</f>
        <v/>
      </c>
      <c r="Y53" s="0">
        <f>IF($A53="","",Allocation!CF53)</f>
        <v/>
      </c>
      <c r="Z53" s="0">
        <f>IF($A53="","",Allocation!CG53)</f>
        <v/>
      </c>
      <c r="AA53" s="0">
        <f>IF($A53="","",Allocation!CH53)</f>
        <v/>
      </c>
      <c r="AB53" s="0">
        <f>IF($A53="","",Allocation!CI53)</f>
        <v/>
      </c>
      <c r="AC53" s="0">
        <f>IF($A53="","",IF(Allocation!$N$4="VOL_EFF",$G53,IF(Allocation!$N$4="VOL_CLASS",$H53,$I53)))</f>
        <v/>
      </c>
      <c r="AD53" s="0">
        <f>IF($A53="","",IF(Allocation!$N$4="VOL_EFF",$L53,IF(Allocation!$N$4="VOL_CLASS",$M53,$N53)))</f>
        <v/>
      </c>
      <c r="AE53" s="0">
        <f>IF($A53="","",IF(Allocation!$N$3="VOL_EFF",$L53,IF(Allocation!$N$3="VOL_CLASS",$M53,$N53)))</f>
        <v/>
      </c>
      <c r="AF53" s="0">
        <f>IF($A53="","",IF(Allocation!$N$3="VOL_EFF",$Q53,IF(Allocation!$N$3="VOL_CLASS",$R53,$S53)))</f>
        <v/>
      </c>
      <c r="AG53" s="0">
        <f>IF($A53="","",IF(Allocation!$N$1="VOL_EFF",$Q53,IF(Allocation!$N$1="VOL_CLASS",$R53,$S53)))</f>
        <v/>
      </c>
      <c r="AH53" s="0">
        <f>IF($A53="","",IF(Allocation!$N$1="VOL_EFF",$T53,IF(Allocation!$N$1="VOL_CLASS",$U53,$V53)))</f>
        <v/>
      </c>
      <c r="AI53" s="0">
        <f>IF($A53="","",$W53*IFERROR($K53/$O53,0))</f>
        <v/>
      </c>
      <c r="AJ53" s="0">
        <f>IF($A53="","",$X53*IFERROR($K53/$O53,0))</f>
        <v/>
      </c>
      <c r="AK53" s="0">
        <f>IF($A53="","",$Y53*IFERROR($G53/$L53,0)+$Z53*IFERROR($J53/$P53,0))</f>
        <v/>
      </c>
      <c r="AL53" s="0">
        <f>IF($A53="","",$AA53*IFERROR($AC53/$AD53,0))</f>
        <v/>
      </c>
      <c r="AM53" s="0">
        <f>IF($A53="","",$AB53*IFERROR($AG53/$AH53,0)*IFERROR($AE53/$AF53,0)*IFERROR($AC53/$AD53,0))</f>
        <v/>
      </c>
      <c r="AN53" s="0">
        <f>IF($A53="","",$I53-($AI53+$AJ53+$AK53+$AL53+$AM53+$AR53))</f>
        <v/>
      </c>
      <c r="AO53" s="0">
        <f>IF($A53="","",Allocation!CJ53)</f>
        <v/>
      </c>
      <c r="AP53" s="0">
        <f>IF($A53="","",IF(Allocation!$N$2="VOL_EFF",$Q53,IF(Allocation!$N$2="VOL_CLASS",$R53,$S53)))</f>
        <v/>
      </c>
      <c r="AQ53" s="0">
        <f>IF($A53="","",IF(Allocation!$N$2="VOL_EFF",$T53,IF(Allocation!$N$2="VOL_CLASS",$U53,$V53)))</f>
        <v/>
      </c>
      <c r="AR53" s="0">
        <f>IF($A53="","",$AO53*IFERROR($AP53/$AQ53,0)*IFERROR($AE53/$AF53,0)*IFERROR($AC53/$AD53,0))</f>
        <v/>
      </c>
      <c r="AS53" s="0">
        <f>IF($A53="","",$A53&amp;"|"&amp;Allocation!BG53)</f>
        <v/>
      </c>
    </row>
    <row r="54" ht="14.4975" customHeight="1" s="64">
      <c r="A54" s="0">
        <f>IF(Allocation!BI54="","",Allocation!BI54)</f>
        <v/>
      </c>
      <c r="B54" s="0">
        <f>IF(Allocation!BJ54="","",Allocation!BJ54)</f>
        <v/>
      </c>
      <c r="C54" s="0">
        <f>IF(Allocation!BK54="","",Allocation!BK54)</f>
        <v/>
      </c>
      <c r="D54" s="0">
        <f>IF(Allocation!BL54="","",Allocation!BL54)</f>
        <v/>
      </c>
      <c r="E54" s="0">
        <f>IF(Allocation!BM54="","",Allocation!BM54)</f>
        <v/>
      </c>
      <c r="F54" s="0">
        <f>IF(Allocation!BN54="","",Allocation!BN54)</f>
        <v/>
      </c>
      <c r="G54" s="0">
        <f>IF(Allocation!BO54="","",Allocation!BO54)</f>
        <v/>
      </c>
      <c r="H54" s="0">
        <f>IF(Allocation!BP54="","",Allocation!BP54)</f>
        <v/>
      </c>
      <c r="I54" s="0">
        <f>IF(Allocation!BQ54="","",Allocation!BQ54)</f>
        <v/>
      </c>
      <c r="J54" s="0">
        <f>IF(Allocation!CC54="","",Allocation!CC54)</f>
        <v/>
      </c>
      <c r="K54" s="0">
        <f>IF($A54="","",$H54*IF(AND(LEFT($D54,3)="BAC",$F54="INIT"),600,IF(LEFT($D54,3)="BAC",480,IF(AND(LEFT($D54,3)="MAS",$F54="INIT"),520,IF(LEFT($D54,3)="MAS",420,IF($F54="INIT",1000,700))))))</f>
        <v/>
      </c>
      <c r="L54" s="0">
        <f>IF($A54="","",SUMIFS($G$1:$G$349,$AS$1:$AS$349,$AS54,$B$1:$B$349,$B54))</f>
        <v/>
      </c>
      <c r="M54" s="0">
        <f>IF($A54="","",SUMIFS($H$1:$H$349,$AS$1:$AS$349,$AS54,$B$1:$B$349,$B54))</f>
        <v/>
      </c>
      <c r="N54" s="0">
        <f>IF($A54="","",SUMIFS($I$1:$I$349,$AS$1:$AS$349,$AS54,$B$1:$B$349,$B54))</f>
        <v/>
      </c>
      <c r="O54" s="0">
        <f>IF($A54="","",SUMIFS($K$1:$K$349,$AS$1:$AS$349,$AS54,$B$1:$B$349,$B54))</f>
        <v/>
      </c>
      <c r="P54" s="0">
        <f>IF($A54="","",SUMIFS($J$1:$J$349,$AS$1:$AS$349,$AS54,$B$1:$B$349,$B54))</f>
        <v/>
      </c>
      <c r="Q54" s="0">
        <f>IF($A54="","",SUMIFS($G$1:$G$349,$AS$1:$AS$349,$AS54,$C$1:$C$349,$C54))</f>
        <v/>
      </c>
      <c r="R54" s="0">
        <f>IF($A54="","",SUMIFS($H$1:$H$349,$AS$1:$AS$349,$AS54,$C$1:$C$349,$C54))</f>
        <v/>
      </c>
      <c r="S54" s="0">
        <f>IF($A54="","",SUMIFS($I$1:$I$349,$AS$1:$AS$349,$AS54,$C$1:$C$349,$C54))</f>
        <v/>
      </c>
      <c r="T54" s="0">
        <f>IF($A54="","",SUMIFS($G$1:$G$349,$AS$1:$AS$349,$AS54))</f>
        <v/>
      </c>
      <c r="U54" s="0">
        <f>IF($A54="","",SUMIFS($H$1:$H$349,$AS$1:$AS$349,$AS54))</f>
        <v/>
      </c>
      <c r="V54" s="0">
        <f>IF($A54="","",SUMIFS($I$1:$I$349,$AS$1:$AS$349,$AS54))</f>
        <v/>
      </c>
      <c r="W54" s="0">
        <f>IF($A54="","",Allocation!CD54)</f>
        <v/>
      </c>
      <c r="X54" s="0">
        <f>IF($A54="","",Allocation!CE54)</f>
        <v/>
      </c>
      <c r="Y54" s="0">
        <f>IF($A54="","",Allocation!CF54)</f>
        <v/>
      </c>
      <c r="Z54" s="0">
        <f>IF($A54="","",Allocation!CG54)</f>
        <v/>
      </c>
      <c r="AA54" s="0">
        <f>IF($A54="","",Allocation!CH54)</f>
        <v/>
      </c>
      <c r="AB54" s="0">
        <f>IF($A54="","",Allocation!CI54)</f>
        <v/>
      </c>
      <c r="AC54" s="0">
        <f>IF($A54="","",IF(Allocation!$N$4="VOL_EFF",$G54,IF(Allocation!$N$4="VOL_CLASS",$H54,$I54)))</f>
        <v/>
      </c>
      <c r="AD54" s="0">
        <f>IF($A54="","",IF(Allocation!$N$4="VOL_EFF",$L54,IF(Allocation!$N$4="VOL_CLASS",$M54,$N54)))</f>
        <v/>
      </c>
      <c r="AE54" s="0">
        <f>IF($A54="","",IF(Allocation!$N$3="VOL_EFF",$L54,IF(Allocation!$N$3="VOL_CLASS",$M54,$N54)))</f>
        <v/>
      </c>
      <c r="AF54" s="0">
        <f>IF($A54="","",IF(Allocation!$N$3="VOL_EFF",$Q54,IF(Allocation!$N$3="VOL_CLASS",$R54,$S54)))</f>
        <v/>
      </c>
      <c r="AG54" s="0">
        <f>IF($A54="","",IF(Allocation!$N$1="VOL_EFF",$Q54,IF(Allocation!$N$1="VOL_CLASS",$R54,$S54)))</f>
        <v/>
      </c>
      <c r="AH54" s="0">
        <f>IF($A54="","",IF(Allocation!$N$1="VOL_EFF",$T54,IF(Allocation!$N$1="VOL_CLASS",$U54,$V54)))</f>
        <v/>
      </c>
      <c r="AI54" s="0">
        <f>IF($A54="","",$W54*IFERROR($K54/$O54,0))</f>
        <v/>
      </c>
      <c r="AJ54" s="0">
        <f>IF($A54="","",$X54*IFERROR($K54/$O54,0))</f>
        <v/>
      </c>
      <c r="AK54" s="0">
        <f>IF($A54="","",$Y54*IFERROR($G54/$L54,0)+$Z54*IFERROR($J54/$P54,0))</f>
        <v/>
      </c>
      <c r="AL54" s="0">
        <f>IF($A54="","",$AA54*IFERROR($AC54/$AD54,0))</f>
        <v/>
      </c>
      <c r="AM54" s="0">
        <f>IF($A54="","",$AB54*IFERROR($AG54/$AH54,0)*IFERROR($AE54/$AF54,0)*IFERROR($AC54/$AD54,0))</f>
        <v/>
      </c>
      <c r="AN54" s="0">
        <f>IF($A54="","",$I54-($AI54+$AJ54+$AK54+$AL54+$AM54+$AR54))</f>
        <v/>
      </c>
      <c r="AO54" s="0">
        <f>IF($A54="","",Allocation!CJ54)</f>
        <v/>
      </c>
      <c r="AP54" s="0">
        <f>IF($A54="","",IF(Allocation!$N$2="VOL_EFF",$Q54,IF(Allocation!$N$2="VOL_CLASS",$R54,$S54)))</f>
        <v/>
      </c>
      <c r="AQ54" s="0">
        <f>IF($A54="","",IF(Allocation!$N$2="VOL_EFF",$T54,IF(Allocation!$N$2="VOL_CLASS",$U54,$V54)))</f>
        <v/>
      </c>
      <c r="AR54" s="0">
        <f>IF($A54="","",$AO54*IFERROR($AP54/$AQ54,0)*IFERROR($AE54/$AF54,0)*IFERROR($AC54/$AD54,0))</f>
        <v/>
      </c>
      <c r="AS54" s="0">
        <f>IF($A54="","",$A54&amp;"|"&amp;Allocation!BG54)</f>
        <v/>
      </c>
    </row>
    <row r="55" ht="14.4975" customHeight="1" s="64">
      <c r="A55" s="0">
        <f>IF(Allocation!BI55="","",Allocation!BI55)</f>
        <v/>
      </c>
      <c r="B55" s="0">
        <f>IF(Allocation!BJ55="","",Allocation!BJ55)</f>
        <v/>
      </c>
      <c r="C55" s="0">
        <f>IF(Allocation!BK55="","",Allocation!BK55)</f>
        <v/>
      </c>
      <c r="D55" s="0">
        <f>IF(Allocation!BL55="","",Allocation!BL55)</f>
        <v/>
      </c>
      <c r="E55" s="0">
        <f>IF(Allocation!BM55="","",Allocation!BM55)</f>
        <v/>
      </c>
      <c r="F55" s="0">
        <f>IF(Allocation!BN55="","",Allocation!BN55)</f>
        <v/>
      </c>
      <c r="G55" s="0">
        <f>IF(Allocation!BO55="","",Allocation!BO55)</f>
        <v/>
      </c>
      <c r="H55" s="0">
        <f>IF(Allocation!BP55="","",Allocation!BP55)</f>
        <v/>
      </c>
      <c r="I55" s="0">
        <f>IF(Allocation!BQ55="","",Allocation!BQ55)</f>
        <v/>
      </c>
      <c r="J55" s="0">
        <f>IF(Allocation!CC55="","",Allocation!CC55)</f>
        <v/>
      </c>
      <c r="K55" s="0">
        <f>IF($A55="","",$H55*IF(AND(LEFT($D55,3)="BAC",$F55="INIT"),600,IF(LEFT($D55,3)="BAC",480,IF(AND(LEFT($D55,3)="MAS",$F55="INIT"),520,IF(LEFT($D55,3)="MAS",420,IF($F55="INIT",1000,700))))))</f>
        <v/>
      </c>
      <c r="L55" s="0">
        <f>IF($A55="","",SUMIFS($G$1:$G$349,$AS$1:$AS$349,$AS55,$B$1:$B$349,$B55))</f>
        <v/>
      </c>
      <c r="M55" s="0">
        <f>IF($A55="","",SUMIFS($H$1:$H$349,$AS$1:$AS$349,$AS55,$B$1:$B$349,$B55))</f>
        <v/>
      </c>
      <c r="N55" s="0">
        <f>IF($A55="","",SUMIFS($I$1:$I$349,$AS$1:$AS$349,$AS55,$B$1:$B$349,$B55))</f>
        <v/>
      </c>
      <c r="O55" s="0">
        <f>IF($A55="","",SUMIFS($K$1:$K$349,$AS$1:$AS$349,$AS55,$B$1:$B$349,$B55))</f>
        <v/>
      </c>
      <c r="P55" s="0">
        <f>IF($A55="","",SUMIFS($J$1:$J$349,$AS$1:$AS$349,$AS55,$B$1:$B$349,$B55))</f>
        <v/>
      </c>
      <c r="Q55" s="0">
        <f>IF($A55="","",SUMIFS($G$1:$G$349,$AS$1:$AS$349,$AS55,$C$1:$C$349,$C55))</f>
        <v/>
      </c>
      <c r="R55" s="0">
        <f>IF($A55="","",SUMIFS($H$1:$H$349,$AS$1:$AS$349,$AS55,$C$1:$C$349,$C55))</f>
        <v/>
      </c>
      <c r="S55" s="0">
        <f>IF($A55="","",SUMIFS($I$1:$I$349,$AS$1:$AS$349,$AS55,$C$1:$C$349,$C55))</f>
        <v/>
      </c>
      <c r="T55" s="0">
        <f>IF($A55="","",SUMIFS($G$1:$G$349,$AS$1:$AS$349,$AS55))</f>
        <v/>
      </c>
      <c r="U55" s="0">
        <f>IF($A55="","",SUMIFS($H$1:$H$349,$AS$1:$AS$349,$AS55))</f>
        <v/>
      </c>
      <c r="V55" s="0">
        <f>IF($A55="","",SUMIFS($I$1:$I$349,$AS$1:$AS$349,$AS55))</f>
        <v/>
      </c>
      <c r="W55" s="0">
        <f>IF($A55="","",Allocation!CD55)</f>
        <v/>
      </c>
      <c r="X55" s="0">
        <f>IF($A55="","",Allocation!CE55)</f>
        <v/>
      </c>
      <c r="Y55" s="0">
        <f>IF($A55="","",Allocation!CF55)</f>
        <v/>
      </c>
      <c r="Z55" s="0">
        <f>IF($A55="","",Allocation!CG55)</f>
        <v/>
      </c>
      <c r="AA55" s="0">
        <f>IF($A55="","",Allocation!CH55)</f>
        <v/>
      </c>
      <c r="AB55" s="0">
        <f>IF($A55="","",Allocation!CI55)</f>
        <v/>
      </c>
      <c r="AC55" s="0">
        <f>IF($A55="","",IF(Allocation!$N$4="VOL_EFF",$G55,IF(Allocation!$N$4="VOL_CLASS",$H55,$I55)))</f>
        <v/>
      </c>
      <c r="AD55" s="0">
        <f>IF($A55="","",IF(Allocation!$N$4="VOL_EFF",$L55,IF(Allocation!$N$4="VOL_CLASS",$M55,$N55)))</f>
        <v/>
      </c>
      <c r="AE55" s="0">
        <f>IF($A55="","",IF(Allocation!$N$3="VOL_EFF",$L55,IF(Allocation!$N$3="VOL_CLASS",$M55,$N55)))</f>
        <v/>
      </c>
      <c r="AF55" s="0">
        <f>IF($A55="","",IF(Allocation!$N$3="VOL_EFF",$Q55,IF(Allocation!$N$3="VOL_CLASS",$R55,$S55)))</f>
        <v/>
      </c>
      <c r="AG55" s="0">
        <f>IF($A55="","",IF(Allocation!$N$1="VOL_EFF",$Q55,IF(Allocation!$N$1="VOL_CLASS",$R55,$S55)))</f>
        <v/>
      </c>
      <c r="AH55" s="0">
        <f>IF($A55="","",IF(Allocation!$N$1="VOL_EFF",$T55,IF(Allocation!$N$1="VOL_CLASS",$U55,$V55)))</f>
        <v/>
      </c>
      <c r="AI55" s="0">
        <f>IF($A55="","",$W55*IFERROR($K55/$O55,0))</f>
        <v/>
      </c>
      <c r="AJ55" s="0">
        <f>IF($A55="","",$X55*IFERROR($K55/$O55,0))</f>
        <v/>
      </c>
      <c r="AK55" s="0">
        <f>IF($A55="","",$Y55*IFERROR($G55/$L55,0)+$Z55*IFERROR($J55/$P55,0))</f>
        <v/>
      </c>
      <c r="AL55" s="0">
        <f>IF($A55="","",$AA55*IFERROR($AC55/$AD55,0))</f>
        <v/>
      </c>
      <c r="AM55" s="0">
        <f>IF($A55="","",$AB55*IFERROR($AG55/$AH55,0)*IFERROR($AE55/$AF55,0)*IFERROR($AC55/$AD55,0))</f>
        <v/>
      </c>
      <c r="AN55" s="0">
        <f>IF($A55="","",$I55-($AI55+$AJ55+$AK55+$AL55+$AM55+$AR55))</f>
        <v/>
      </c>
      <c r="AO55" s="0">
        <f>IF($A55="","",Allocation!CJ55)</f>
        <v/>
      </c>
      <c r="AP55" s="0">
        <f>IF($A55="","",IF(Allocation!$N$2="VOL_EFF",$Q55,IF(Allocation!$N$2="VOL_CLASS",$R55,$S55)))</f>
        <v/>
      </c>
      <c r="AQ55" s="0">
        <f>IF($A55="","",IF(Allocation!$N$2="VOL_EFF",$T55,IF(Allocation!$N$2="VOL_CLASS",$U55,$V55)))</f>
        <v/>
      </c>
      <c r="AR55" s="0">
        <f>IF($A55="","",$AO55*IFERROR($AP55/$AQ55,0)*IFERROR($AE55/$AF55,0)*IFERROR($AC55/$AD55,0))</f>
        <v/>
      </c>
      <c r="AS55" s="0">
        <f>IF($A55="","",$A55&amp;"|"&amp;Allocation!BG55)</f>
        <v/>
      </c>
    </row>
    <row r="56" ht="14.4975" customHeight="1" s="64">
      <c r="A56" s="0">
        <f>IF(Allocation!BI56="","",Allocation!BI56)</f>
        <v/>
      </c>
      <c r="B56" s="0">
        <f>IF(Allocation!BJ56="","",Allocation!BJ56)</f>
        <v/>
      </c>
      <c r="C56" s="0">
        <f>IF(Allocation!BK56="","",Allocation!BK56)</f>
        <v/>
      </c>
      <c r="D56" s="0">
        <f>IF(Allocation!BL56="","",Allocation!BL56)</f>
        <v/>
      </c>
      <c r="E56" s="0">
        <f>IF(Allocation!BM56="","",Allocation!BM56)</f>
        <v/>
      </c>
      <c r="F56" s="0">
        <f>IF(Allocation!BN56="","",Allocation!BN56)</f>
        <v/>
      </c>
      <c r="G56" s="0">
        <f>IF(Allocation!BO56="","",Allocation!BO56)</f>
        <v/>
      </c>
      <c r="H56" s="0">
        <f>IF(Allocation!BP56="","",Allocation!BP56)</f>
        <v/>
      </c>
      <c r="I56" s="0">
        <f>IF(Allocation!BQ56="","",Allocation!BQ56)</f>
        <v/>
      </c>
      <c r="J56" s="0">
        <f>IF(Allocation!CC56="","",Allocation!CC56)</f>
        <v/>
      </c>
      <c r="K56" s="0">
        <f>IF($A56="","",$H56*IF(AND(LEFT($D56,3)="BAC",$F56="INIT"),600,IF(LEFT($D56,3)="BAC",480,IF(AND(LEFT($D56,3)="MAS",$F56="INIT"),520,IF(LEFT($D56,3)="MAS",420,IF($F56="INIT",1000,700))))))</f>
        <v/>
      </c>
      <c r="L56" s="0">
        <f>IF($A56="","",SUMIFS($G$1:$G$349,$AS$1:$AS$349,$AS56,$B$1:$B$349,$B56))</f>
        <v/>
      </c>
      <c r="M56" s="0">
        <f>IF($A56="","",SUMIFS($H$1:$H$349,$AS$1:$AS$349,$AS56,$B$1:$B$349,$B56))</f>
        <v/>
      </c>
      <c r="N56" s="0">
        <f>IF($A56="","",SUMIFS($I$1:$I$349,$AS$1:$AS$349,$AS56,$B$1:$B$349,$B56))</f>
        <v/>
      </c>
      <c r="O56" s="0">
        <f>IF($A56="","",SUMIFS($K$1:$K$349,$AS$1:$AS$349,$AS56,$B$1:$B$349,$B56))</f>
        <v/>
      </c>
      <c r="P56" s="0">
        <f>IF($A56="","",SUMIFS($J$1:$J$349,$AS$1:$AS$349,$AS56,$B$1:$B$349,$B56))</f>
        <v/>
      </c>
      <c r="Q56" s="0">
        <f>IF($A56="","",SUMIFS($G$1:$G$349,$AS$1:$AS$349,$AS56,$C$1:$C$349,$C56))</f>
        <v/>
      </c>
      <c r="R56" s="0">
        <f>IF($A56="","",SUMIFS($H$1:$H$349,$AS$1:$AS$349,$AS56,$C$1:$C$349,$C56))</f>
        <v/>
      </c>
      <c r="S56" s="0">
        <f>IF($A56="","",SUMIFS($I$1:$I$349,$AS$1:$AS$349,$AS56,$C$1:$C$349,$C56))</f>
        <v/>
      </c>
      <c r="T56" s="0">
        <f>IF($A56="","",SUMIFS($G$1:$G$349,$AS$1:$AS$349,$AS56))</f>
        <v/>
      </c>
      <c r="U56" s="0">
        <f>IF($A56="","",SUMIFS($H$1:$H$349,$AS$1:$AS$349,$AS56))</f>
        <v/>
      </c>
      <c r="V56" s="0">
        <f>IF($A56="","",SUMIFS($I$1:$I$349,$AS$1:$AS$349,$AS56))</f>
        <v/>
      </c>
      <c r="W56" s="0">
        <f>IF($A56="","",Allocation!CD56)</f>
        <v/>
      </c>
      <c r="X56" s="0">
        <f>IF($A56="","",Allocation!CE56)</f>
        <v/>
      </c>
      <c r="Y56" s="0">
        <f>IF($A56="","",Allocation!CF56)</f>
        <v/>
      </c>
      <c r="Z56" s="0">
        <f>IF($A56="","",Allocation!CG56)</f>
        <v/>
      </c>
      <c r="AA56" s="0">
        <f>IF($A56="","",Allocation!CH56)</f>
        <v/>
      </c>
      <c r="AB56" s="0">
        <f>IF($A56="","",Allocation!CI56)</f>
        <v/>
      </c>
      <c r="AC56" s="0">
        <f>IF($A56="","",IF(Allocation!$N$4="VOL_EFF",$G56,IF(Allocation!$N$4="VOL_CLASS",$H56,$I56)))</f>
        <v/>
      </c>
      <c r="AD56" s="0">
        <f>IF($A56="","",IF(Allocation!$N$4="VOL_EFF",$L56,IF(Allocation!$N$4="VOL_CLASS",$M56,$N56)))</f>
        <v/>
      </c>
      <c r="AE56" s="0">
        <f>IF($A56="","",IF(Allocation!$N$3="VOL_EFF",$L56,IF(Allocation!$N$3="VOL_CLASS",$M56,$N56)))</f>
        <v/>
      </c>
      <c r="AF56" s="0">
        <f>IF($A56="","",IF(Allocation!$N$3="VOL_EFF",$Q56,IF(Allocation!$N$3="VOL_CLASS",$R56,$S56)))</f>
        <v/>
      </c>
      <c r="AG56" s="0">
        <f>IF($A56="","",IF(Allocation!$N$1="VOL_EFF",$Q56,IF(Allocation!$N$1="VOL_CLASS",$R56,$S56)))</f>
        <v/>
      </c>
      <c r="AH56" s="0">
        <f>IF($A56="","",IF(Allocation!$N$1="VOL_EFF",$T56,IF(Allocation!$N$1="VOL_CLASS",$U56,$V56)))</f>
        <v/>
      </c>
      <c r="AI56" s="0">
        <f>IF($A56="","",$W56*IFERROR($K56/$O56,0))</f>
        <v/>
      </c>
      <c r="AJ56" s="0">
        <f>IF($A56="","",$X56*IFERROR($K56/$O56,0))</f>
        <v/>
      </c>
      <c r="AK56" s="0">
        <f>IF($A56="","",$Y56*IFERROR($G56/$L56,0)+$Z56*IFERROR($J56/$P56,0))</f>
        <v/>
      </c>
      <c r="AL56" s="0">
        <f>IF($A56="","",$AA56*IFERROR($AC56/$AD56,0))</f>
        <v/>
      </c>
      <c r="AM56" s="0">
        <f>IF($A56="","",$AB56*IFERROR($AG56/$AH56,0)*IFERROR($AE56/$AF56,0)*IFERROR($AC56/$AD56,0))</f>
        <v/>
      </c>
      <c r="AN56" s="0">
        <f>IF($A56="","",$I56-($AI56+$AJ56+$AK56+$AL56+$AM56+$AR56))</f>
        <v/>
      </c>
      <c r="AO56" s="0">
        <f>IF($A56="","",Allocation!CJ56)</f>
        <v/>
      </c>
      <c r="AP56" s="0">
        <f>IF($A56="","",IF(Allocation!$N$2="VOL_EFF",$Q56,IF(Allocation!$N$2="VOL_CLASS",$R56,$S56)))</f>
        <v/>
      </c>
      <c r="AQ56" s="0">
        <f>IF($A56="","",IF(Allocation!$N$2="VOL_EFF",$T56,IF(Allocation!$N$2="VOL_CLASS",$U56,$V56)))</f>
        <v/>
      </c>
      <c r="AR56" s="0">
        <f>IF($A56="","",$AO56*IFERROR($AP56/$AQ56,0)*IFERROR($AE56/$AF56,0)*IFERROR($AC56/$AD56,0))</f>
        <v/>
      </c>
      <c r="AS56" s="0">
        <f>IF($A56="","",$A56&amp;"|"&amp;Allocation!BG56)</f>
        <v/>
      </c>
    </row>
    <row r="57" ht="14.4975" customHeight="1" s="64">
      <c r="A57" s="0">
        <f>IF(Allocation!BI57="","",Allocation!BI57)</f>
        <v/>
      </c>
      <c r="B57" s="0">
        <f>IF(Allocation!BJ57="","",Allocation!BJ57)</f>
        <v/>
      </c>
      <c r="C57" s="0">
        <f>IF(Allocation!BK57="","",Allocation!BK57)</f>
        <v/>
      </c>
      <c r="D57" s="0">
        <f>IF(Allocation!BL57="","",Allocation!BL57)</f>
        <v/>
      </c>
      <c r="E57" s="0">
        <f>IF(Allocation!BM57="","",Allocation!BM57)</f>
        <v/>
      </c>
      <c r="F57" s="0">
        <f>IF(Allocation!BN57="","",Allocation!BN57)</f>
        <v/>
      </c>
      <c r="G57" s="0">
        <f>IF(Allocation!BO57="","",Allocation!BO57)</f>
        <v/>
      </c>
      <c r="H57" s="0">
        <f>IF(Allocation!BP57="","",Allocation!BP57)</f>
        <v/>
      </c>
      <c r="I57" s="0">
        <f>IF(Allocation!BQ57="","",Allocation!BQ57)</f>
        <v/>
      </c>
      <c r="J57" s="0">
        <f>IF(Allocation!CC57="","",Allocation!CC57)</f>
        <v/>
      </c>
      <c r="K57" s="0">
        <f>IF($A57="","",$H57*IF(AND(LEFT($D57,3)="BAC",$F57="INIT"),600,IF(LEFT($D57,3)="BAC",480,IF(AND(LEFT($D57,3)="MAS",$F57="INIT"),520,IF(LEFT($D57,3)="MAS",420,IF($F57="INIT",1000,700))))))</f>
        <v/>
      </c>
      <c r="L57" s="0">
        <f>IF($A57="","",SUMIFS($G$1:$G$349,$AS$1:$AS$349,$AS57,$B$1:$B$349,$B57))</f>
        <v/>
      </c>
      <c r="M57" s="0">
        <f>IF($A57="","",SUMIFS($H$1:$H$349,$AS$1:$AS$349,$AS57,$B$1:$B$349,$B57))</f>
        <v/>
      </c>
      <c r="N57" s="0">
        <f>IF($A57="","",SUMIFS($I$1:$I$349,$AS$1:$AS$349,$AS57,$B$1:$B$349,$B57))</f>
        <v/>
      </c>
      <c r="O57" s="0">
        <f>IF($A57="","",SUMIFS($K$1:$K$349,$AS$1:$AS$349,$AS57,$B$1:$B$349,$B57))</f>
        <v/>
      </c>
      <c r="P57" s="0">
        <f>IF($A57="","",SUMIFS($J$1:$J$349,$AS$1:$AS$349,$AS57,$B$1:$B$349,$B57))</f>
        <v/>
      </c>
      <c r="Q57" s="0">
        <f>IF($A57="","",SUMIFS($G$1:$G$349,$AS$1:$AS$349,$AS57,$C$1:$C$349,$C57))</f>
        <v/>
      </c>
      <c r="R57" s="0">
        <f>IF($A57="","",SUMIFS($H$1:$H$349,$AS$1:$AS$349,$AS57,$C$1:$C$349,$C57))</f>
        <v/>
      </c>
      <c r="S57" s="0">
        <f>IF($A57="","",SUMIFS($I$1:$I$349,$AS$1:$AS$349,$AS57,$C$1:$C$349,$C57))</f>
        <v/>
      </c>
      <c r="T57" s="0">
        <f>IF($A57="","",SUMIFS($G$1:$G$349,$AS$1:$AS$349,$AS57))</f>
        <v/>
      </c>
      <c r="U57" s="0">
        <f>IF($A57="","",SUMIFS($H$1:$H$349,$AS$1:$AS$349,$AS57))</f>
        <v/>
      </c>
      <c r="V57" s="0">
        <f>IF($A57="","",SUMIFS($I$1:$I$349,$AS$1:$AS$349,$AS57))</f>
        <v/>
      </c>
      <c r="W57" s="0">
        <f>IF($A57="","",Allocation!CD57)</f>
        <v/>
      </c>
      <c r="X57" s="0">
        <f>IF($A57="","",Allocation!CE57)</f>
        <v/>
      </c>
      <c r="Y57" s="0">
        <f>IF($A57="","",Allocation!CF57)</f>
        <v/>
      </c>
      <c r="Z57" s="0">
        <f>IF($A57="","",Allocation!CG57)</f>
        <v/>
      </c>
      <c r="AA57" s="0">
        <f>IF($A57="","",Allocation!CH57)</f>
        <v/>
      </c>
      <c r="AB57" s="0">
        <f>IF($A57="","",Allocation!CI57)</f>
        <v/>
      </c>
      <c r="AC57" s="0">
        <f>IF($A57="","",IF(Allocation!$N$4="VOL_EFF",$G57,IF(Allocation!$N$4="VOL_CLASS",$H57,$I57)))</f>
        <v/>
      </c>
      <c r="AD57" s="0">
        <f>IF($A57="","",IF(Allocation!$N$4="VOL_EFF",$L57,IF(Allocation!$N$4="VOL_CLASS",$M57,$N57)))</f>
        <v/>
      </c>
      <c r="AE57" s="0">
        <f>IF($A57="","",IF(Allocation!$N$3="VOL_EFF",$L57,IF(Allocation!$N$3="VOL_CLASS",$M57,$N57)))</f>
        <v/>
      </c>
      <c r="AF57" s="0">
        <f>IF($A57="","",IF(Allocation!$N$3="VOL_EFF",$Q57,IF(Allocation!$N$3="VOL_CLASS",$R57,$S57)))</f>
        <v/>
      </c>
      <c r="AG57" s="0">
        <f>IF($A57="","",IF(Allocation!$N$1="VOL_EFF",$Q57,IF(Allocation!$N$1="VOL_CLASS",$R57,$S57)))</f>
        <v/>
      </c>
      <c r="AH57" s="0">
        <f>IF($A57="","",IF(Allocation!$N$1="VOL_EFF",$T57,IF(Allocation!$N$1="VOL_CLASS",$U57,$V57)))</f>
        <v/>
      </c>
      <c r="AI57" s="0">
        <f>IF($A57="","",$W57*IFERROR($K57/$O57,0))</f>
        <v/>
      </c>
      <c r="AJ57" s="0">
        <f>IF($A57="","",$X57*IFERROR($K57/$O57,0))</f>
        <v/>
      </c>
      <c r="AK57" s="0">
        <f>IF($A57="","",$Y57*IFERROR($G57/$L57,0)+$Z57*IFERROR($J57/$P57,0))</f>
        <v/>
      </c>
      <c r="AL57" s="0">
        <f>IF($A57="","",$AA57*IFERROR($AC57/$AD57,0))</f>
        <v/>
      </c>
      <c r="AM57" s="0">
        <f>IF($A57="","",$AB57*IFERROR($AG57/$AH57,0)*IFERROR($AE57/$AF57,0)*IFERROR($AC57/$AD57,0))</f>
        <v/>
      </c>
      <c r="AN57" s="0">
        <f>IF($A57="","",$I57-($AI57+$AJ57+$AK57+$AL57+$AM57+$AR57))</f>
        <v/>
      </c>
      <c r="AO57" s="0">
        <f>IF($A57="","",Allocation!CJ57)</f>
        <v/>
      </c>
      <c r="AP57" s="0">
        <f>IF($A57="","",IF(Allocation!$N$2="VOL_EFF",$Q57,IF(Allocation!$N$2="VOL_CLASS",$R57,$S57)))</f>
        <v/>
      </c>
      <c r="AQ57" s="0">
        <f>IF($A57="","",IF(Allocation!$N$2="VOL_EFF",$T57,IF(Allocation!$N$2="VOL_CLASS",$U57,$V57)))</f>
        <v/>
      </c>
      <c r="AR57" s="0">
        <f>IF($A57="","",$AO57*IFERROR($AP57/$AQ57,0)*IFERROR($AE57/$AF57,0)*IFERROR($AC57/$AD57,0))</f>
        <v/>
      </c>
      <c r="AS57" s="0">
        <f>IF($A57="","",$A57&amp;"|"&amp;Allocation!BG57)</f>
        <v/>
      </c>
    </row>
    <row r="58" ht="14.4975" customHeight="1" s="64">
      <c r="A58" s="0">
        <f>IF(Allocation!BI58="","",Allocation!BI58)</f>
        <v/>
      </c>
      <c r="B58" s="0">
        <f>IF(Allocation!BJ58="","",Allocation!BJ58)</f>
        <v/>
      </c>
      <c r="C58" s="0">
        <f>IF(Allocation!BK58="","",Allocation!BK58)</f>
        <v/>
      </c>
      <c r="D58" s="0">
        <f>IF(Allocation!BL58="","",Allocation!BL58)</f>
        <v/>
      </c>
      <c r="E58" s="0">
        <f>IF(Allocation!BM58="","",Allocation!BM58)</f>
        <v/>
      </c>
      <c r="F58" s="0">
        <f>IF(Allocation!BN58="","",Allocation!BN58)</f>
        <v/>
      </c>
      <c r="G58" s="0">
        <f>IF(Allocation!BO58="","",Allocation!BO58)</f>
        <v/>
      </c>
      <c r="H58" s="0">
        <f>IF(Allocation!BP58="","",Allocation!BP58)</f>
        <v/>
      </c>
      <c r="I58" s="0">
        <f>IF(Allocation!BQ58="","",Allocation!BQ58)</f>
        <v/>
      </c>
      <c r="J58" s="0">
        <f>IF(Allocation!CC58="","",Allocation!CC58)</f>
        <v/>
      </c>
      <c r="K58" s="0">
        <f>IF($A58="","",$H58*IF(AND(LEFT($D58,3)="BAC",$F58="INIT"),600,IF(LEFT($D58,3)="BAC",480,IF(AND(LEFT($D58,3)="MAS",$F58="INIT"),520,IF(LEFT($D58,3)="MAS",420,IF($F58="INIT",1000,700))))))</f>
        <v/>
      </c>
      <c r="L58" s="0">
        <f>IF($A58="","",SUMIFS($G$1:$G$349,$AS$1:$AS$349,$AS58,$B$1:$B$349,$B58))</f>
        <v/>
      </c>
      <c r="M58" s="0">
        <f>IF($A58="","",SUMIFS($H$1:$H$349,$AS$1:$AS$349,$AS58,$B$1:$B$349,$B58))</f>
        <v/>
      </c>
      <c r="N58" s="0">
        <f>IF($A58="","",SUMIFS($I$1:$I$349,$AS$1:$AS$349,$AS58,$B$1:$B$349,$B58))</f>
        <v/>
      </c>
      <c r="O58" s="0">
        <f>IF($A58="","",SUMIFS($K$1:$K$349,$AS$1:$AS$349,$AS58,$B$1:$B$349,$B58))</f>
        <v/>
      </c>
      <c r="P58" s="0">
        <f>IF($A58="","",SUMIFS($J$1:$J$349,$AS$1:$AS$349,$AS58,$B$1:$B$349,$B58))</f>
        <v/>
      </c>
      <c r="Q58" s="0">
        <f>IF($A58="","",SUMIFS($G$1:$G$349,$AS$1:$AS$349,$AS58,$C$1:$C$349,$C58))</f>
        <v/>
      </c>
      <c r="R58" s="0">
        <f>IF($A58="","",SUMIFS($H$1:$H$349,$AS$1:$AS$349,$AS58,$C$1:$C$349,$C58))</f>
        <v/>
      </c>
      <c r="S58" s="0">
        <f>IF($A58="","",SUMIFS($I$1:$I$349,$AS$1:$AS$349,$AS58,$C$1:$C$349,$C58))</f>
        <v/>
      </c>
      <c r="T58" s="0">
        <f>IF($A58="","",SUMIFS($G$1:$G$349,$AS$1:$AS$349,$AS58))</f>
        <v/>
      </c>
      <c r="U58" s="0">
        <f>IF($A58="","",SUMIFS($H$1:$H$349,$AS$1:$AS$349,$AS58))</f>
        <v/>
      </c>
      <c r="V58" s="0">
        <f>IF($A58="","",SUMIFS($I$1:$I$349,$AS$1:$AS$349,$AS58))</f>
        <v/>
      </c>
      <c r="W58" s="0">
        <f>IF($A58="","",Allocation!CD58)</f>
        <v/>
      </c>
      <c r="X58" s="0">
        <f>IF($A58="","",Allocation!CE58)</f>
        <v/>
      </c>
      <c r="Y58" s="0">
        <f>IF($A58="","",Allocation!CF58)</f>
        <v/>
      </c>
      <c r="Z58" s="0">
        <f>IF($A58="","",Allocation!CG58)</f>
        <v/>
      </c>
      <c r="AA58" s="0">
        <f>IF($A58="","",Allocation!CH58)</f>
        <v/>
      </c>
      <c r="AB58" s="0">
        <f>IF($A58="","",Allocation!CI58)</f>
        <v/>
      </c>
      <c r="AC58" s="0">
        <f>IF($A58="","",IF(Allocation!$N$4="VOL_EFF",$G58,IF(Allocation!$N$4="VOL_CLASS",$H58,$I58)))</f>
        <v/>
      </c>
      <c r="AD58" s="0">
        <f>IF($A58="","",IF(Allocation!$N$4="VOL_EFF",$L58,IF(Allocation!$N$4="VOL_CLASS",$M58,$N58)))</f>
        <v/>
      </c>
      <c r="AE58" s="0">
        <f>IF($A58="","",IF(Allocation!$N$3="VOL_EFF",$L58,IF(Allocation!$N$3="VOL_CLASS",$M58,$N58)))</f>
        <v/>
      </c>
      <c r="AF58" s="0">
        <f>IF($A58="","",IF(Allocation!$N$3="VOL_EFF",$Q58,IF(Allocation!$N$3="VOL_CLASS",$R58,$S58)))</f>
        <v/>
      </c>
      <c r="AG58" s="0">
        <f>IF($A58="","",IF(Allocation!$N$1="VOL_EFF",$Q58,IF(Allocation!$N$1="VOL_CLASS",$R58,$S58)))</f>
        <v/>
      </c>
      <c r="AH58" s="0">
        <f>IF($A58="","",IF(Allocation!$N$1="VOL_EFF",$T58,IF(Allocation!$N$1="VOL_CLASS",$U58,$V58)))</f>
        <v/>
      </c>
      <c r="AI58" s="0">
        <f>IF($A58="","",$W58*IFERROR($K58/$O58,0))</f>
        <v/>
      </c>
      <c r="AJ58" s="0">
        <f>IF($A58="","",$X58*IFERROR($K58/$O58,0))</f>
        <v/>
      </c>
      <c r="AK58" s="0">
        <f>IF($A58="","",$Y58*IFERROR($G58/$L58,0)+$Z58*IFERROR($J58/$P58,0))</f>
        <v/>
      </c>
      <c r="AL58" s="0">
        <f>IF($A58="","",$AA58*IFERROR($AC58/$AD58,0))</f>
        <v/>
      </c>
      <c r="AM58" s="0">
        <f>IF($A58="","",$AB58*IFERROR($AG58/$AH58,0)*IFERROR($AE58/$AF58,0)*IFERROR($AC58/$AD58,0))</f>
        <v/>
      </c>
      <c r="AN58" s="0">
        <f>IF($A58="","",$I58-($AI58+$AJ58+$AK58+$AL58+$AM58+$AR58))</f>
        <v/>
      </c>
      <c r="AO58" s="0">
        <f>IF($A58="","",Allocation!CJ58)</f>
        <v/>
      </c>
      <c r="AP58" s="0">
        <f>IF($A58="","",IF(Allocation!$N$2="VOL_EFF",$Q58,IF(Allocation!$N$2="VOL_CLASS",$R58,$S58)))</f>
        <v/>
      </c>
      <c r="AQ58" s="0">
        <f>IF($A58="","",IF(Allocation!$N$2="VOL_EFF",$T58,IF(Allocation!$N$2="VOL_CLASS",$U58,$V58)))</f>
        <v/>
      </c>
      <c r="AR58" s="0">
        <f>IF($A58="","",$AO58*IFERROR($AP58/$AQ58,0)*IFERROR($AE58/$AF58,0)*IFERROR($AC58/$AD58,0))</f>
        <v/>
      </c>
      <c r="AS58" s="0">
        <f>IF($A58="","",$A58&amp;"|"&amp;Allocation!BG58)</f>
        <v/>
      </c>
    </row>
    <row r="59" ht="14.4975" customHeight="1" s="64">
      <c r="A59" s="0">
        <f>IF(Allocation!BI59="","",Allocation!BI59)</f>
        <v/>
      </c>
      <c r="B59" s="0">
        <f>IF(Allocation!BJ59="","",Allocation!BJ59)</f>
        <v/>
      </c>
      <c r="C59" s="0">
        <f>IF(Allocation!BK59="","",Allocation!BK59)</f>
        <v/>
      </c>
      <c r="D59" s="0">
        <f>IF(Allocation!BL59="","",Allocation!BL59)</f>
        <v/>
      </c>
      <c r="E59" s="0">
        <f>IF(Allocation!BM59="","",Allocation!BM59)</f>
        <v/>
      </c>
      <c r="F59" s="0">
        <f>IF(Allocation!BN59="","",Allocation!BN59)</f>
        <v/>
      </c>
      <c r="G59" s="0">
        <f>IF(Allocation!BO59="","",Allocation!BO59)</f>
        <v/>
      </c>
      <c r="H59" s="0">
        <f>IF(Allocation!BP59="","",Allocation!BP59)</f>
        <v/>
      </c>
      <c r="I59" s="0">
        <f>IF(Allocation!BQ59="","",Allocation!BQ59)</f>
        <v/>
      </c>
      <c r="J59" s="0">
        <f>IF(Allocation!CC59="","",Allocation!CC59)</f>
        <v/>
      </c>
      <c r="K59" s="0">
        <f>IF($A59="","",$H59*IF(AND(LEFT($D59,3)="BAC",$F59="INIT"),600,IF(LEFT($D59,3)="BAC",480,IF(AND(LEFT($D59,3)="MAS",$F59="INIT"),520,IF(LEFT($D59,3)="MAS",420,IF($F59="INIT",1000,700))))))</f>
        <v/>
      </c>
      <c r="L59" s="0">
        <f>IF($A59="","",SUMIFS($G$1:$G$349,$AS$1:$AS$349,$AS59,$B$1:$B$349,$B59))</f>
        <v/>
      </c>
      <c r="M59" s="0">
        <f>IF($A59="","",SUMIFS($H$1:$H$349,$AS$1:$AS$349,$AS59,$B$1:$B$349,$B59))</f>
        <v/>
      </c>
      <c r="N59" s="0">
        <f>IF($A59="","",SUMIFS($I$1:$I$349,$AS$1:$AS$349,$AS59,$B$1:$B$349,$B59))</f>
        <v/>
      </c>
      <c r="O59" s="0">
        <f>IF($A59="","",SUMIFS($K$1:$K$349,$AS$1:$AS$349,$AS59,$B$1:$B$349,$B59))</f>
        <v/>
      </c>
      <c r="P59" s="0">
        <f>IF($A59="","",SUMIFS($J$1:$J$349,$AS$1:$AS$349,$AS59,$B$1:$B$349,$B59))</f>
        <v/>
      </c>
      <c r="Q59" s="0">
        <f>IF($A59="","",SUMIFS($G$1:$G$349,$AS$1:$AS$349,$AS59,$C$1:$C$349,$C59))</f>
        <v/>
      </c>
      <c r="R59" s="0">
        <f>IF($A59="","",SUMIFS($H$1:$H$349,$AS$1:$AS$349,$AS59,$C$1:$C$349,$C59))</f>
        <v/>
      </c>
      <c r="S59" s="0">
        <f>IF($A59="","",SUMIFS($I$1:$I$349,$AS$1:$AS$349,$AS59,$C$1:$C$349,$C59))</f>
        <v/>
      </c>
      <c r="T59" s="0">
        <f>IF($A59="","",SUMIFS($G$1:$G$349,$AS$1:$AS$349,$AS59))</f>
        <v/>
      </c>
      <c r="U59" s="0">
        <f>IF($A59="","",SUMIFS($H$1:$H$349,$AS$1:$AS$349,$AS59))</f>
        <v/>
      </c>
      <c r="V59" s="0">
        <f>IF($A59="","",SUMIFS($I$1:$I$349,$AS$1:$AS$349,$AS59))</f>
        <v/>
      </c>
      <c r="W59" s="0">
        <f>IF($A59="","",Allocation!CD59)</f>
        <v/>
      </c>
      <c r="X59" s="0">
        <f>IF($A59="","",Allocation!CE59)</f>
        <v/>
      </c>
      <c r="Y59" s="0">
        <f>IF($A59="","",Allocation!CF59)</f>
        <v/>
      </c>
      <c r="Z59" s="0">
        <f>IF($A59="","",Allocation!CG59)</f>
        <v/>
      </c>
      <c r="AA59" s="0">
        <f>IF($A59="","",Allocation!CH59)</f>
        <v/>
      </c>
      <c r="AB59" s="0">
        <f>IF($A59="","",Allocation!CI59)</f>
        <v/>
      </c>
      <c r="AC59" s="0">
        <f>IF($A59="","",IF(Allocation!$N$4="VOL_EFF",$G59,IF(Allocation!$N$4="VOL_CLASS",$H59,$I59)))</f>
        <v/>
      </c>
      <c r="AD59" s="0">
        <f>IF($A59="","",IF(Allocation!$N$4="VOL_EFF",$L59,IF(Allocation!$N$4="VOL_CLASS",$M59,$N59)))</f>
        <v/>
      </c>
      <c r="AE59" s="0">
        <f>IF($A59="","",IF(Allocation!$N$3="VOL_EFF",$L59,IF(Allocation!$N$3="VOL_CLASS",$M59,$N59)))</f>
        <v/>
      </c>
      <c r="AF59" s="0">
        <f>IF($A59="","",IF(Allocation!$N$3="VOL_EFF",$Q59,IF(Allocation!$N$3="VOL_CLASS",$R59,$S59)))</f>
        <v/>
      </c>
      <c r="AG59" s="0">
        <f>IF($A59="","",IF(Allocation!$N$1="VOL_EFF",$Q59,IF(Allocation!$N$1="VOL_CLASS",$R59,$S59)))</f>
        <v/>
      </c>
      <c r="AH59" s="0">
        <f>IF($A59="","",IF(Allocation!$N$1="VOL_EFF",$T59,IF(Allocation!$N$1="VOL_CLASS",$U59,$V59)))</f>
        <v/>
      </c>
      <c r="AI59" s="0">
        <f>IF($A59="","",$W59*IFERROR($K59/$O59,0))</f>
        <v/>
      </c>
      <c r="AJ59" s="0">
        <f>IF($A59="","",$X59*IFERROR($K59/$O59,0))</f>
        <v/>
      </c>
      <c r="AK59" s="0">
        <f>IF($A59="","",$Y59*IFERROR($G59/$L59,0)+$Z59*IFERROR($J59/$P59,0))</f>
        <v/>
      </c>
      <c r="AL59" s="0">
        <f>IF($A59="","",$AA59*IFERROR($AC59/$AD59,0))</f>
        <v/>
      </c>
      <c r="AM59" s="0">
        <f>IF($A59="","",$AB59*IFERROR($AG59/$AH59,0)*IFERROR($AE59/$AF59,0)*IFERROR($AC59/$AD59,0))</f>
        <v/>
      </c>
      <c r="AN59" s="0">
        <f>IF($A59="","",$I59-($AI59+$AJ59+$AK59+$AL59+$AM59+$AR59))</f>
        <v/>
      </c>
      <c r="AO59" s="0">
        <f>IF($A59="","",Allocation!CJ59)</f>
        <v/>
      </c>
      <c r="AP59" s="0">
        <f>IF($A59="","",IF(Allocation!$N$2="VOL_EFF",$Q59,IF(Allocation!$N$2="VOL_CLASS",$R59,$S59)))</f>
        <v/>
      </c>
      <c r="AQ59" s="0">
        <f>IF($A59="","",IF(Allocation!$N$2="VOL_EFF",$T59,IF(Allocation!$N$2="VOL_CLASS",$U59,$V59)))</f>
        <v/>
      </c>
      <c r="AR59" s="0">
        <f>IF($A59="","",$AO59*IFERROR($AP59/$AQ59,0)*IFERROR($AE59/$AF59,0)*IFERROR($AC59/$AD59,0))</f>
        <v/>
      </c>
      <c r="AS59" s="0">
        <f>IF($A59="","",$A59&amp;"|"&amp;Allocation!BG59)</f>
        <v/>
      </c>
    </row>
    <row r="60" ht="14.4975" customHeight="1" s="64">
      <c r="A60" s="0">
        <f>IF(Allocation!BI60="","",Allocation!BI60)</f>
        <v/>
      </c>
      <c r="B60" s="0">
        <f>IF(Allocation!BJ60="","",Allocation!BJ60)</f>
        <v/>
      </c>
      <c r="C60" s="0">
        <f>IF(Allocation!BK60="","",Allocation!BK60)</f>
        <v/>
      </c>
      <c r="D60" s="0">
        <f>IF(Allocation!BL60="","",Allocation!BL60)</f>
        <v/>
      </c>
      <c r="E60" s="0">
        <f>IF(Allocation!BM60="","",Allocation!BM60)</f>
        <v/>
      </c>
      <c r="F60" s="0">
        <f>IF(Allocation!BN60="","",Allocation!BN60)</f>
        <v/>
      </c>
      <c r="G60" s="0">
        <f>IF(Allocation!BO60="","",Allocation!BO60)</f>
        <v/>
      </c>
      <c r="H60" s="0">
        <f>IF(Allocation!BP60="","",Allocation!BP60)</f>
        <v/>
      </c>
      <c r="I60" s="0">
        <f>IF(Allocation!BQ60="","",Allocation!BQ60)</f>
        <v/>
      </c>
      <c r="J60" s="0">
        <f>IF(Allocation!CC60="","",Allocation!CC60)</f>
        <v/>
      </c>
      <c r="K60" s="0">
        <f>IF($A60="","",$H60*IF(AND(LEFT($D60,3)="BAC",$F60="INIT"),600,IF(LEFT($D60,3)="BAC",480,IF(AND(LEFT($D60,3)="MAS",$F60="INIT"),520,IF(LEFT($D60,3)="MAS",420,IF($F60="INIT",1000,700))))))</f>
        <v/>
      </c>
      <c r="L60" s="0">
        <f>IF($A60="","",SUMIFS($G$1:$G$349,$AS$1:$AS$349,$AS60,$B$1:$B$349,$B60))</f>
        <v/>
      </c>
      <c r="M60" s="0">
        <f>IF($A60="","",SUMIFS($H$1:$H$349,$AS$1:$AS$349,$AS60,$B$1:$B$349,$B60))</f>
        <v/>
      </c>
      <c r="N60" s="0">
        <f>IF($A60="","",SUMIFS($I$1:$I$349,$AS$1:$AS$349,$AS60,$B$1:$B$349,$B60))</f>
        <v/>
      </c>
      <c r="O60" s="0">
        <f>IF($A60="","",SUMIFS($K$1:$K$349,$AS$1:$AS$349,$AS60,$B$1:$B$349,$B60))</f>
        <v/>
      </c>
      <c r="P60" s="0">
        <f>IF($A60="","",SUMIFS($J$1:$J$349,$AS$1:$AS$349,$AS60,$B$1:$B$349,$B60))</f>
        <v/>
      </c>
      <c r="Q60" s="0">
        <f>IF($A60="","",SUMIFS($G$1:$G$349,$AS$1:$AS$349,$AS60,$C$1:$C$349,$C60))</f>
        <v/>
      </c>
      <c r="R60" s="0">
        <f>IF($A60="","",SUMIFS($H$1:$H$349,$AS$1:$AS$349,$AS60,$C$1:$C$349,$C60))</f>
        <v/>
      </c>
      <c r="S60" s="0">
        <f>IF($A60="","",SUMIFS($I$1:$I$349,$AS$1:$AS$349,$AS60,$C$1:$C$349,$C60))</f>
        <v/>
      </c>
      <c r="T60" s="0">
        <f>IF($A60="","",SUMIFS($G$1:$G$349,$AS$1:$AS$349,$AS60))</f>
        <v/>
      </c>
      <c r="U60" s="0">
        <f>IF($A60="","",SUMIFS($H$1:$H$349,$AS$1:$AS$349,$AS60))</f>
        <v/>
      </c>
      <c r="V60" s="0">
        <f>IF($A60="","",SUMIFS($I$1:$I$349,$AS$1:$AS$349,$AS60))</f>
        <v/>
      </c>
      <c r="W60" s="0">
        <f>IF($A60="","",Allocation!CD60)</f>
        <v/>
      </c>
      <c r="X60" s="0">
        <f>IF($A60="","",Allocation!CE60)</f>
        <v/>
      </c>
      <c r="Y60" s="0">
        <f>IF($A60="","",Allocation!CF60)</f>
        <v/>
      </c>
      <c r="Z60" s="0">
        <f>IF($A60="","",Allocation!CG60)</f>
        <v/>
      </c>
      <c r="AA60" s="0">
        <f>IF($A60="","",Allocation!CH60)</f>
        <v/>
      </c>
      <c r="AB60" s="0">
        <f>IF($A60="","",Allocation!CI60)</f>
        <v/>
      </c>
      <c r="AC60" s="0">
        <f>IF($A60="","",IF(Allocation!$N$4="VOL_EFF",$G60,IF(Allocation!$N$4="VOL_CLASS",$H60,$I60)))</f>
        <v/>
      </c>
      <c r="AD60" s="0">
        <f>IF($A60="","",IF(Allocation!$N$4="VOL_EFF",$L60,IF(Allocation!$N$4="VOL_CLASS",$M60,$N60)))</f>
        <v/>
      </c>
      <c r="AE60" s="0">
        <f>IF($A60="","",IF(Allocation!$N$3="VOL_EFF",$L60,IF(Allocation!$N$3="VOL_CLASS",$M60,$N60)))</f>
        <v/>
      </c>
      <c r="AF60" s="0">
        <f>IF($A60="","",IF(Allocation!$N$3="VOL_EFF",$Q60,IF(Allocation!$N$3="VOL_CLASS",$R60,$S60)))</f>
        <v/>
      </c>
      <c r="AG60" s="0">
        <f>IF($A60="","",IF(Allocation!$N$1="VOL_EFF",$Q60,IF(Allocation!$N$1="VOL_CLASS",$R60,$S60)))</f>
        <v/>
      </c>
      <c r="AH60" s="0">
        <f>IF($A60="","",IF(Allocation!$N$1="VOL_EFF",$T60,IF(Allocation!$N$1="VOL_CLASS",$U60,$V60)))</f>
        <v/>
      </c>
      <c r="AI60" s="0">
        <f>IF($A60="","",$W60*IFERROR($K60/$O60,0))</f>
        <v/>
      </c>
      <c r="AJ60" s="0">
        <f>IF($A60="","",$X60*IFERROR($K60/$O60,0))</f>
        <v/>
      </c>
      <c r="AK60" s="0">
        <f>IF($A60="","",$Y60*IFERROR($G60/$L60,0)+$Z60*IFERROR($J60/$P60,0))</f>
        <v/>
      </c>
      <c r="AL60" s="0">
        <f>IF($A60="","",$AA60*IFERROR($AC60/$AD60,0))</f>
        <v/>
      </c>
      <c r="AM60" s="0">
        <f>IF($A60="","",$AB60*IFERROR($AG60/$AH60,0)*IFERROR($AE60/$AF60,0)*IFERROR($AC60/$AD60,0))</f>
        <v/>
      </c>
      <c r="AN60" s="0">
        <f>IF($A60="","",$I60-($AI60+$AJ60+$AK60+$AL60+$AM60+$AR60))</f>
        <v/>
      </c>
      <c r="AO60" s="0">
        <f>IF($A60="","",Allocation!CJ60)</f>
        <v/>
      </c>
      <c r="AP60" s="0">
        <f>IF($A60="","",IF(Allocation!$N$2="VOL_EFF",$Q60,IF(Allocation!$N$2="VOL_CLASS",$R60,$S60)))</f>
        <v/>
      </c>
      <c r="AQ60" s="0">
        <f>IF($A60="","",IF(Allocation!$N$2="VOL_EFF",$T60,IF(Allocation!$N$2="VOL_CLASS",$U60,$V60)))</f>
        <v/>
      </c>
      <c r="AR60" s="0">
        <f>IF($A60="","",$AO60*IFERROR($AP60/$AQ60,0)*IFERROR($AE60/$AF60,0)*IFERROR($AC60/$AD60,0))</f>
        <v/>
      </c>
      <c r="AS60" s="0">
        <f>IF($A60="","",$A60&amp;"|"&amp;Allocation!BG60)</f>
        <v/>
      </c>
    </row>
    <row r="61" ht="14.4975" customHeight="1" s="64">
      <c r="A61" s="0">
        <f>IF(Allocation!BI61="","",Allocation!BI61)</f>
        <v/>
      </c>
      <c r="B61" s="0">
        <f>IF(Allocation!BJ61="","",Allocation!BJ61)</f>
        <v/>
      </c>
      <c r="C61" s="0">
        <f>IF(Allocation!BK61="","",Allocation!BK61)</f>
        <v/>
      </c>
      <c r="D61" s="0">
        <f>IF(Allocation!BL61="","",Allocation!BL61)</f>
        <v/>
      </c>
      <c r="E61" s="0">
        <f>IF(Allocation!BM61="","",Allocation!BM61)</f>
        <v/>
      </c>
      <c r="F61" s="0">
        <f>IF(Allocation!BN61="","",Allocation!BN61)</f>
        <v/>
      </c>
      <c r="G61" s="0">
        <f>IF(Allocation!BO61="","",Allocation!BO61)</f>
        <v/>
      </c>
      <c r="H61" s="0">
        <f>IF(Allocation!BP61="","",Allocation!BP61)</f>
        <v/>
      </c>
      <c r="I61" s="0">
        <f>IF(Allocation!BQ61="","",Allocation!BQ61)</f>
        <v/>
      </c>
      <c r="J61" s="0">
        <f>IF(Allocation!CC61="","",Allocation!CC61)</f>
        <v/>
      </c>
      <c r="K61" s="0">
        <f>IF($A61="","",$H61*IF(AND(LEFT($D61,3)="BAC",$F61="INIT"),600,IF(LEFT($D61,3)="BAC",480,IF(AND(LEFT($D61,3)="MAS",$F61="INIT"),520,IF(LEFT($D61,3)="MAS",420,IF($F61="INIT",1000,700))))))</f>
        <v/>
      </c>
      <c r="L61" s="0">
        <f>IF($A61="","",SUMIFS($G$1:$G$349,$AS$1:$AS$349,$AS61,$B$1:$B$349,$B61))</f>
        <v/>
      </c>
      <c r="M61" s="0">
        <f>IF($A61="","",SUMIFS($H$1:$H$349,$AS$1:$AS$349,$AS61,$B$1:$B$349,$B61))</f>
        <v/>
      </c>
      <c r="N61" s="0">
        <f>IF($A61="","",SUMIFS($I$1:$I$349,$AS$1:$AS$349,$AS61,$B$1:$B$349,$B61))</f>
        <v/>
      </c>
      <c r="O61" s="0">
        <f>IF($A61="","",SUMIFS($K$1:$K$349,$AS$1:$AS$349,$AS61,$B$1:$B$349,$B61))</f>
        <v/>
      </c>
      <c r="P61" s="0">
        <f>IF($A61="","",SUMIFS($J$1:$J$349,$AS$1:$AS$349,$AS61,$B$1:$B$349,$B61))</f>
        <v/>
      </c>
      <c r="Q61" s="0">
        <f>IF($A61="","",SUMIFS($G$1:$G$349,$AS$1:$AS$349,$AS61,$C$1:$C$349,$C61))</f>
        <v/>
      </c>
      <c r="R61" s="0">
        <f>IF($A61="","",SUMIFS($H$1:$H$349,$AS$1:$AS$349,$AS61,$C$1:$C$349,$C61))</f>
        <v/>
      </c>
      <c r="S61" s="0">
        <f>IF($A61="","",SUMIFS($I$1:$I$349,$AS$1:$AS$349,$AS61,$C$1:$C$349,$C61))</f>
        <v/>
      </c>
      <c r="T61" s="0">
        <f>IF($A61="","",SUMIFS($G$1:$G$349,$AS$1:$AS$349,$AS61))</f>
        <v/>
      </c>
      <c r="U61" s="0">
        <f>IF($A61="","",SUMIFS($H$1:$H$349,$AS$1:$AS$349,$AS61))</f>
        <v/>
      </c>
      <c r="V61" s="0">
        <f>IF($A61="","",SUMIFS($I$1:$I$349,$AS$1:$AS$349,$AS61))</f>
        <v/>
      </c>
      <c r="W61" s="0">
        <f>IF($A61="","",Allocation!CD61)</f>
        <v/>
      </c>
      <c r="X61" s="0">
        <f>IF($A61="","",Allocation!CE61)</f>
        <v/>
      </c>
      <c r="Y61" s="0">
        <f>IF($A61="","",Allocation!CF61)</f>
        <v/>
      </c>
      <c r="Z61" s="0">
        <f>IF($A61="","",Allocation!CG61)</f>
        <v/>
      </c>
      <c r="AA61" s="0">
        <f>IF($A61="","",Allocation!CH61)</f>
        <v/>
      </c>
      <c r="AB61" s="0">
        <f>IF($A61="","",Allocation!CI61)</f>
        <v/>
      </c>
      <c r="AC61" s="0">
        <f>IF($A61="","",IF(Allocation!$N$4="VOL_EFF",$G61,IF(Allocation!$N$4="VOL_CLASS",$H61,$I61)))</f>
        <v/>
      </c>
      <c r="AD61" s="0">
        <f>IF($A61="","",IF(Allocation!$N$4="VOL_EFF",$L61,IF(Allocation!$N$4="VOL_CLASS",$M61,$N61)))</f>
        <v/>
      </c>
      <c r="AE61" s="0">
        <f>IF($A61="","",IF(Allocation!$N$3="VOL_EFF",$L61,IF(Allocation!$N$3="VOL_CLASS",$M61,$N61)))</f>
        <v/>
      </c>
      <c r="AF61" s="0">
        <f>IF($A61="","",IF(Allocation!$N$3="VOL_EFF",$Q61,IF(Allocation!$N$3="VOL_CLASS",$R61,$S61)))</f>
        <v/>
      </c>
      <c r="AG61" s="0">
        <f>IF($A61="","",IF(Allocation!$N$1="VOL_EFF",$Q61,IF(Allocation!$N$1="VOL_CLASS",$R61,$S61)))</f>
        <v/>
      </c>
      <c r="AH61" s="0">
        <f>IF($A61="","",IF(Allocation!$N$1="VOL_EFF",$T61,IF(Allocation!$N$1="VOL_CLASS",$U61,$V61)))</f>
        <v/>
      </c>
      <c r="AI61" s="0">
        <f>IF($A61="","",$W61*IFERROR($K61/$O61,0))</f>
        <v/>
      </c>
      <c r="AJ61" s="0">
        <f>IF($A61="","",$X61*IFERROR($K61/$O61,0))</f>
        <v/>
      </c>
      <c r="AK61" s="0">
        <f>IF($A61="","",$Y61*IFERROR($G61/$L61,0)+$Z61*IFERROR($J61/$P61,0))</f>
        <v/>
      </c>
      <c r="AL61" s="0">
        <f>IF($A61="","",$AA61*IFERROR($AC61/$AD61,0))</f>
        <v/>
      </c>
      <c r="AM61" s="0">
        <f>IF($A61="","",$AB61*IFERROR($AG61/$AH61,0)*IFERROR($AE61/$AF61,0)*IFERROR($AC61/$AD61,0))</f>
        <v/>
      </c>
      <c r="AN61" s="0">
        <f>IF($A61="","",$I61-($AI61+$AJ61+$AK61+$AL61+$AM61+$AR61))</f>
        <v/>
      </c>
      <c r="AO61" s="0">
        <f>IF($A61="","",Allocation!CJ61)</f>
        <v/>
      </c>
      <c r="AP61" s="0">
        <f>IF($A61="","",IF(Allocation!$N$2="VOL_EFF",$Q61,IF(Allocation!$N$2="VOL_CLASS",$R61,$S61)))</f>
        <v/>
      </c>
      <c r="AQ61" s="0">
        <f>IF($A61="","",IF(Allocation!$N$2="VOL_EFF",$T61,IF(Allocation!$N$2="VOL_CLASS",$U61,$V61)))</f>
        <v/>
      </c>
      <c r="AR61" s="0">
        <f>IF($A61="","",$AO61*IFERROR($AP61/$AQ61,0)*IFERROR($AE61/$AF61,0)*IFERROR($AC61/$AD61,0))</f>
        <v/>
      </c>
      <c r="AS61" s="0">
        <f>IF($A61="","",$A61&amp;"|"&amp;Allocation!BG61)</f>
        <v/>
      </c>
    </row>
    <row r="62" ht="14.4975" customHeight="1" s="64">
      <c r="A62" s="0">
        <f>IF(Allocation!BI62="","",Allocation!BI62)</f>
        <v/>
      </c>
      <c r="B62" s="0">
        <f>IF(Allocation!BJ62="","",Allocation!BJ62)</f>
        <v/>
      </c>
      <c r="C62" s="0">
        <f>IF(Allocation!BK62="","",Allocation!BK62)</f>
        <v/>
      </c>
      <c r="D62" s="0">
        <f>IF(Allocation!BL62="","",Allocation!BL62)</f>
        <v/>
      </c>
      <c r="E62" s="0">
        <f>IF(Allocation!BM62="","",Allocation!BM62)</f>
        <v/>
      </c>
      <c r="F62" s="0">
        <f>IF(Allocation!BN62="","",Allocation!BN62)</f>
        <v/>
      </c>
      <c r="G62" s="0">
        <f>IF(Allocation!BO62="","",Allocation!BO62)</f>
        <v/>
      </c>
      <c r="H62" s="0">
        <f>IF(Allocation!BP62="","",Allocation!BP62)</f>
        <v/>
      </c>
      <c r="I62" s="0">
        <f>IF(Allocation!BQ62="","",Allocation!BQ62)</f>
        <v/>
      </c>
      <c r="J62" s="0">
        <f>IF(Allocation!CC62="","",Allocation!CC62)</f>
        <v/>
      </c>
      <c r="K62" s="0">
        <f>IF($A62="","",$H62*IF(AND(LEFT($D62,3)="BAC",$F62="INIT"),600,IF(LEFT($D62,3)="BAC",480,IF(AND(LEFT($D62,3)="MAS",$F62="INIT"),520,IF(LEFT($D62,3)="MAS",420,IF($F62="INIT",1000,700))))))</f>
        <v/>
      </c>
      <c r="L62" s="0">
        <f>IF($A62="","",SUMIFS($G$1:$G$349,$AS$1:$AS$349,$AS62,$B$1:$B$349,$B62))</f>
        <v/>
      </c>
      <c r="M62" s="0">
        <f>IF($A62="","",SUMIFS($H$1:$H$349,$AS$1:$AS$349,$AS62,$B$1:$B$349,$B62))</f>
        <v/>
      </c>
      <c r="N62" s="0">
        <f>IF($A62="","",SUMIFS($I$1:$I$349,$AS$1:$AS$349,$AS62,$B$1:$B$349,$B62))</f>
        <v/>
      </c>
      <c r="O62" s="0">
        <f>IF($A62="","",SUMIFS($K$1:$K$349,$AS$1:$AS$349,$AS62,$B$1:$B$349,$B62))</f>
        <v/>
      </c>
      <c r="P62" s="0">
        <f>IF($A62="","",SUMIFS($J$1:$J$349,$AS$1:$AS$349,$AS62,$B$1:$B$349,$B62))</f>
        <v/>
      </c>
      <c r="Q62" s="0">
        <f>IF($A62="","",SUMIFS($G$1:$G$349,$AS$1:$AS$349,$AS62,$C$1:$C$349,$C62))</f>
        <v/>
      </c>
      <c r="R62" s="0">
        <f>IF($A62="","",SUMIFS($H$1:$H$349,$AS$1:$AS$349,$AS62,$C$1:$C$349,$C62))</f>
        <v/>
      </c>
      <c r="S62" s="0">
        <f>IF($A62="","",SUMIFS($I$1:$I$349,$AS$1:$AS$349,$AS62,$C$1:$C$349,$C62))</f>
        <v/>
      </c>
      <c r="T62" s="0">
        <f>IF($A62="","",SUMIFS($G$1:$G$349,$AS$1:$AS$349,$AS62))</f>
        <v/>
      </c>
      <c r="U62" s="0">
        <f>IF($A62="","",SUMIFS($H$1:$H$349,$AS$1:$AS$349,$AS62))</f>
        <v/>
      </c>
      <c r="V62" s="0">
        <f>IF($A62="","",SUMIFS($I$1:$I$349,$AS$1:$AS$349,$AS62))</f>
        <v/>
      </c>
      <c r="W62" s="0">
        <f>IF($A62="","",Allocation!CD62)</f>
        <v/>
      </c>
      <c r="X62" s="0">
        <f>IF($A62="","",Allocation!CE62)</f>
        <v/>
      </c>
      <c r="Y62" s="0">
        <f>IF($A62="","",Allocation!CF62)</f>
        <v/>
      </c>
      <c r="Z62" s="0">
        <f>IF($A62="","",Allocation!CG62)</f>
        <v/>
      </c>
      <c r="AA62" s="0">
        <f>IF($A62="","",Allocation!CH62)</f>
        <v/>
      </c>
      <c r="AB62" s="0">
        <f>IF($A62="","",Allocation!CI62)</f>
        <v/>
      </c>
      <c r="AC62" s="0">
        <f>IF($A62="","",IF(Allocation!$N$4="VOL_EFF",$G62,IF(Allocation!$N$4="VOL_CLASS",$H62,$I62)))</f>
        <v/>
      </c>
      <c r="AD62" s="0">
        <f>IF($A62="","",IF(Allocation!$N$4="VOL_EFF",$L62,IF(Allocation!$N$4="VOL_CLASS",$M62,$N62)))</f>
        <v/>
      </c>
      <c r="AE62" s="0">
        <f>IF($A62="","",IF(Allocation!$N$3="VOL_EFF",$L62,IF(Allocation!$N$3="VOL_CLASS",$M62,$N62)))</f>
        <v/>
      </c>
      <c r="AF62" s="0">
        <f>IF($A62="","",IF(Allocation!$N$3="VOL_EFF",$Q62,IF(Allocation!$N$3="VOL_CLASS",$R62,$S62)))</f>
        <v/>
      </c>
      <c r="AG62" s="0">
        <f>IF($A62="","",IF(Allocation!$N$1="VOL_EFF",$Q62,IF(Allocation!$N$1="VOL_CLASS",$R62,$S62)))</f>
        <v/>
      </c>
      <c r="AH62" s="0">
        <f>IF($A62="","",IF(Allocation!$N$1="VOL_EFF",$T62,IF(Allocation!$N$1="VOL_CLASS",$U62,$V62)))</f>
        <v/>
      </c>
      <c r="AI62" s="0">
        <f>IF($A62="","",$W62*IFERROR($K62/$O62,0))</f>
        <v/>
      </c>
      <c r="AJ62" s="0">
        <f>IF($A62="","",$X62*IFERROR($K62/$O62,0))</f>
        <v/>
      </c>
      <c r="AK62" s="0">
        <f>IF($A62="","",$Y62*IFERROR($G62/$L62,0)+$Z62*IFERROR($J62/$P62,0))</f>
        <v/>
      </c>
      <c r="AL62" s="0">
        <f>IF($A62="","",$AA62*IFERROR($AC62/$AD62,0))</f>
        <v/>
      </c>
      <c r="AM62" s="0">
        <f>IF($A62="","",$AB62*IFERROR($AG62/$AH62,0)*IFERROR($AE62/$AF62,0)*IFERROR($AC62/$AD62,0))</f>
        <v/>
      </c>
      <c r="AN62" s="0">
        <f>IF($A62="","",$I62-($AI62+$AJ62+$AK62+$AL62+$AM62+$AR62))</f>
        <v/>
      </c>
      <c r="AO62" s="0">
        <f>IF($A62="","",Allocation!CJ62)</f>
        <v/>
      </c>
      <c r="AP62" s="0">
        <f>IF($A62="","",IF(Allocation!$N$2="VOL_EFF",$Q62,IF(Allocation!$N$2="VOL_CLASS",$R62,$S62)))</f>
        <v/>
      </c>
      <c r="AQ62" s="0">
        <f>IF($A62="","",IF(Allocation!$N$2="VOL_EFF",$T62,IF(Allocation!$N$2="VOL_CLASS",$U62,$V62)))</f>
        <v/>
      </c>
      <c r="AR62" s="0">
        <f>IF($A62="","",$AO62*IFERROR($AP62/$AQ62,0)*IFERROR($AE62/$AF62,0)*IFERROR($AC62/$AD62,0))</f>
        <v/>
      </c>
      <c r="AS62" s="0">
        <f>IF($A62="","",$A62&amp;"|"&amp;Allocation!BG62)</f>
        <v/>
      </c>
    </row>
    <row r="63" ht="14.4975" customHeight="1" s="64">
      <c r="A63" s="0">
        <f>IF(Allocation!BI63="","",Allocation!BI63)</f>
        <v/>
      </c>
      <c r="B63" s="0">
        <f>IF(Allocation!BJ63="","",Allocation!BJ63)</f>
        <v/>
      </c>
      <c r="C63" s="0">
        <f>IF(Allocation!BK63="","",Allocation!BK63)</f>
        <v/>
      </c>
      <c r="D63" s="0">
        <f>IF(Allocation!BL63="","",Allocation!BL63)</f>
        <v/>
      </c>
      <c r="E63" s="0">
        <f>IF(Allocation!BM63="","",Allocation!BM63)</f>
        <v/>
      </c>
      <c r="F63" s="0">
        <f>IF(Allocation!BN63="","",Allocation!BN63)</f>
        <v/>
      </c>
      <c r="G63" s="0">
        <f>IF(Allocation!BO63="","",Allocation!BO63)</f>
        <v/>
      </c>
      <c r="H63" s="0">
        <f>IF(Allocation!BP63="","",Allocation!BP63)</f>
        <v/>
      </c>
      <c r="I63" s="0">
        <f>IF(Allocation!BQ63="","",Allocation!BQ63)</f>
        <v/>
      </c>
      <c r="J63" s="0">
        <f>IF(Allocation!CC63="","",Allocation!CC63)</f>
        <v/>
      </c>
      <c r="K63" s="0">
        <f>IF($A63="","",$H63*IF(AND(LEFT($D63,3)="BAC",$F63="INIT"),600,IF(LEFT($D63,3)="BAC",480,IF(AND(LEFT($D63,3)="MAS",$F63="INIT"),520,IF(LEFT($D63,3)="MAS",420,IF($F63="INIT",1000,700))))))</f>
        <v/>
      </c>
      <c r="L63" s="0">
        <f>IF($A63="","",SUMIFS($G$1:$G$349,$AS$1:$AS$349,$AS63,$B$1:$B$349,$B63))</f>
        <v/>
      </c>
      <c r="M63" s="0">
        <f>IF($A63="","",SUMIFS($H$1:$H$349,$AS$1:$AS$349,$AS63,$B$1:$B$349,$B63))</f>
        <v/>
      </c>
      <c r="N63" s="0">
        <f>IF($A63="","",SUMIFS($I$1:$I$349,$AS$1:$AS$349,$AS63,$B$1:$B$349,$B63))</f>
        <v/>
      </c>
      <c r="O63" s="0">
        <f>IF($A63="","",SUMIFS($K$1:$K$349,$AS$1:$AS$349,$AS63,$B$1:$B$349,$B63))</f>
        <v/>
      </c>
      <c r="P63" s="0">
        <f>IF($A63="","",SUMIFS($J$1:$J$349,$AS$1:$AS$349,$AS63,$B$1:$B$349,$B63))</f>
        <v/>
      </c>
      <c r="Q63" s="0">
        <f>IF($A63="","",SUMIFS($G$1:$G$349,$AS$1:$AS$349,$AS63,$C$1:$C$349,$C63))</f>
        <v/>
      </c>
      <c r="R63" s="0">
        <f>IF($A63="","",SUMIFS($H$1:$H$349,$AS$1:$AS$349,$AS63,$C$1:$C$349,$C63))</f>
        <v/>
      </c>
      <c r="S63" s="0">
        <f>IF($A63="","",SUMIFS($I$1:$I$349,$AS$1:$AS$349,$AS63,$C$1:$C$349,$C63))</f>
        <v/>
      </c>
      <c r="T63" s="0">
        <f>IF($A63="","",SUMIFS($G$1:$G$349,$AS$1:$AS$349,$AS63))</f>
        <v/>
      </c>
      <c r="U63" s="0">
        <f>IF($A63="","",SUMIFS($H$1:$H$349,$AS$1:$AS$349,$AS63))</f>
        <v/>
      </c>
      <c r="V63" s="0">
        <f>IF($A63="","",SUMIFS($I$1:$I$349,$AS$1:$AS$349,$AS63))</f>
        <v/>
      </c>
      <c r="W63" s="0">
        <f>IF($A63="","",Allocation!CD63)</f>
        <v/>
      </c>
      <c r="X63" s="0">
        <f>IF($A63="","",Allocation!CE63)</f>
        <v/>
      </c>
      <c r="Y63" s="0">
        <f>IF($A63="","",Allocation!CF63)</f>
        <v/>
      </c>
      <c r="Z63" s="0">
        <f>IF($A63="","",Allocation!CG63)</f>
        <v/>
      </c>
      <c r="AA63" s="0">
        <f>IF($A63="","",Allocation!CH63)</f>
        <v/>
      </c>
      <c r="AB63" s="0">
        <f>IF($A63="","",Allocation!CI63)</f>
        <v/>
      </c>
      <c r="AC63" s="0">
        <f>IF($A63="","",IF(Allocation!$N$4="VOL_EFF",$G63,IF(Allocation!$N$4="VOL_CLASS",$H63,$I63)))</f>
        <v/>
      </c>
      <c r="AD63" s="0">
        <f>IF($A63="","",IF(Allocation!$N$4="VOL_EFF",$L63,IF(Allocation!$N$4="VOL_CLASS",$M63,$N63)))</f>
        <v/>
      </c>
      <c r="AE63" s="0">
        <f>IF($A63="","",IF(Allocation!$N$3="VOL_EFF",$L63,IF(Allocation!$N$3="VOL_CLASS",$M63,$N63)))</f>
        <v/>
      </c>
      <c r="AF63" s="0">
        <f>IF($A63="","",IF(Allocation!$N$3="VOL_EFF",$Q63,IF(Allocation!$N$3="VOL_CLASS",$R63,$S63)))</f>
        <v/>
      </c>
      <c r="AG63" s="0">
        <f>IF($A63="","",IF(Allocation!$N$1="VOL_EFF",$Q63,IF(Allocation!$N$1="VOL_CLASS",$R63,$S63)))</f>
        <v/>
      </c>
      <c r="AH63" s="0">
        <f>IF($A63="","",IF(Allocation!$N$1="VOL_EFF",$T63,IF(Allocation!$N$1="VOL_CLASS",$U63,$V63)))</f>
        <v/>
      </c>
      <c r="AI63" s="0">
        <f>IF($A63="","",$W63*IFERROR($K63/$O63,0))</f>
        <v/>
      </c>
      <c r="AJ63" s="0">
        <f>IF($A63="","",$X63*IFERROR($K63/$O63,0))</f>
        <v/>
      </c>
      <c r="AK63" s="0">
        <f>IF($A63="","",$Y63*IFERROR($G63/$L63,0)+$Z63*IFERROR($J63/$P63,0))</f>
        <v/>
      </c>
      <c r="AL63" s="0">
        <f>IF($A63="","",$AA63*IFERROR($AC63/$AD63,0))</f>
        <v/>
      </c>
      <c r="AM63" s="0">
        <f>IF($A63="","",$AB63*IFERROR($AG63/$AH63,0)*IFERROR($AE63/$AF63,0)*IFERROR($AC63/$AD63,0))</f>
        <v/>
      </c>
      <c r="AN63" s="0">
        <f>IF($A63="","",$I63-($AI63+$AJ63+$AK63+$AL63+$AM63+$AR63))</f>
        <v/>
      </c>
      <c r="AO63" s="0">
        <f>IF($A63="","",Allocation!CJ63)</f>
        <v/>
      </c>
      <c r="AP63" s="0">
        <f>IF($A63="","",IF(Allocation!$N$2="VOL_EFF",$Q63,IF(Allocation!$N$2="VOL_CLASS",$R63,$S63)))</f>
        <v/>
      </c>
      <c r="AQ63" s="0">
        <f>IF($A63="","",IF(Allocation!$N$2="VOL_EFF",$T63,IF(Allocation!$N$2="VOL_CLASS",$U63,$V63)))</f>
        <v/>
      </c>
      <c r="AR63" s="0">
        <f>IF($A63="","",$AO63*IFERROR($AP63/$AQ63,0)*IFERROR($AE63/$AF63,0)*IFERROR($AC63/$AD63,0))</f>
        <v/>
      </c>
      <c r="AS63" s="0">
        <f>IF($A63="","",$A63&amp;"|"&amp;Allocation!BG63)</f>
        <v/>
      </c>
    </row>
    <row r="64" ht="14.4975" customHeight="1" s="64">
      <c r="A64" s="0">
        <f>IF(Allocation!BI64="","",Allocation!BI64)</f>
        <v/>
      </c>
      <c r="B64" s="0">
        <f>IF(Allocation!BJ64="","",Allocation!BJ64)</f>
        <v/>
      </c>
      <c r="C64" s="0">
        <f>IF(Allocation!BK64="","",Allocation!BK64)</f>
        <v/>
      </c>
      <c r="D64" s="0">
        <f>IF(Allocation!BL64="","",Allocation!BL64)</f>
        <v/>
      </c>
      <c r="E64" s="0">
        <f>IF(Allocation!BM64="","",Allocation!BM64)</f>
        <v/>
      </c>
      <c r="F64" s="0">
        <f>IF(Allocation!BN64="","",Allocation!BN64)</f>
        <v/>
      </c>
      <c r="G64" s="0">
        <f>IF(Allocation!BO64="","",Allocation!BO64)</f>
        <v/>
      </c>
      <c r="H64" s="0">
        <f>IF(Allocation!BP64="","",Allocation!BP64)</f>
        <v/>
      </c>
      <c r="I64" s="0">
        <f>IF(Allocation!BQ64="","",Allocation!BQ64)</f>
        <v/>
      </c>
      <c r="J64" s="0">
        <f>IF(Allocation!CC64="","",Allocation!CC64)</f>
        <v/>
      </c>
      <c r="K64" s="0">
        <f>IF($A64="","",$H64*IF(AND(LEFT($D64,3)="BAC",$F64="INIT"),600,IF(LEFT($D64,3)="BAC",480,IF(AND(LEFT($D64,3)="MAS",$F64="INIT"),520,IF(LEFT($D64,3)="MAS",420,IF($F64="INIT",1000,700))))))</f>
        <v/>
      </c>
      <c r="L64" s="0">
        <f>IF($A64="","",SUMIFS($G$1:$G$349,$AS$1:$AS$349,$AS64,$B$1:$B$349,$B64))</f>
        <v/>
      </c>
      <c r="M64" s="0">
        <f>IF($A64="","",SUMIFS($H$1:$H$349,$AS$1:$AS$349,$AS64,$B$1:$B$349,$B64))</f>
        <v/>
      </c>
      <c r="N64" s="0">
        <f>IF($A64="","",SUMIFS($I$1:$I$349,$AS$1:$AS$349,$AS64,$B$1:$B$349,$B64))</f>
        <v/>
      </c>
      <c r="O64" s="0">
        <f>IF($A64="","",SUMIFS($K$1:$K$349,$AS$1:$AS$349,$AS64,$B$1:$B$349,$B64))</f>
        <v/>
      </c>
      <c r="P64" s="0">
        <f>IF($A64="","",SUMIFS($J$1:$J$349,$AS$1:$AS$349,$AS64,$B$1:$B$349,$B64))</f>
        <v/>
      </c>
      <c r="Q64" s="0">
        <f>IF($A64="","",SUMIFS($G$1:$G$349,$AS$1:$AS$349,$AS64,$C$1:$C$349,$C64))</f>
        <v/>
      </c>
      <c r="R64" s="0">
        <f>IF($A64="","",SUMIFS($H$1:$H$349,$AS$1:$AS$349,$AS64,$C$1:$C$349,$C64))</f>
        <v/>
      </c>
      <c r="S64" s="0">
        <f>IF($A64="","",SUMIFS($I$1:$I$349,$AS$1:$AS$349,$AS64,$C$1:$C$349,$C64))</f>
        <v/>
      </c>
      <c r="T64" s="0">
        <f>IF($A64="","",SUMIFS($G$1:$G$349,$AS$1:$AS$349,$AS64))</f>
        <v/>
      </c>
      <c r="U64" s="0">
        <f>IF($A64="","",SUMIFS($H$1:$H$349,$AS$1:$AS$349,$AS64))</f>
        <v/>
      </c>
      <c r="V64" s="0">
        <f>IF($A64="","",SUMIFS($I$1:$I$349,$AS$1:$AS$349,$AS64))</f>
        <v/>
      </c>
      <c r="W64" s="0">
        <f>IF($A64="","",Allocation!CD64)</f>
        <v/>
      </c>
      <c r="X64" s="0">
        <f>IF($A64="","",Allocation!CE64)</f>
        <v/>
      </c>
      <c r="Y64" s="0">
        <f>IF($A64="","",Allocation!CF64)</f>
        <v/>
      </c>
      <c r="Z64" s="0">
        <f>IF($A64="","",Allocation!CG64)</f>
        <v/>
      </c>
      <c r="AA64" s="0">
        <f>IF($A64="","",Allocation!CH64)</f>
        <v/>
      </c>
      <c r="AB64" s="0">
        <f>IF($A64="","",Allocation!CI64)</f>
        <v/>
      </c>
      <c r="AC64" s="0">
        <f>IF($A64="","",IF(Allocation!$N$4="VOL_EFF",$G64,IF(Allocation!$N$4="VOL_CLASS",$H64,$I64)))</f>
        <v/>
      </c>
      <c r="AD64" s="0">
        <f>IF($A64="","",IF(Allocation!$N$4="VOL_EFF",$L64,IF(Allocation!$N$4="VOL_CLASS",$M64,$N64)))</f>
        <v/>
      </c>
      <c r="AE64" s="0">
        <f>IF($A64="","",IF(Allocation!$N$3="VOL_EFF",$L64,IF(Allocation!$N$3="VOL_CLASS",$M64,$N64)))</f>
        <v/>
      </c>
      <c r="AF64" s="0">
        <f>IF($A64="","",IF(Allocation!$N$3="VOL_EFF",$Q64,IF(Allocation!$N$3="VOL_CLASS",$R64,$S64)))</f>
        <v/>
      </c>
      <c r="AG64" s="0">
        <f>IF($A64="","",IF(Allocation!$N$1="VOL_EFF",$Q64,IF(Allocation!$N$1="VOL_CLASS",$R64,$S64)))</f>
        <v/>
      </c>
      <c r="AH64" s="0">
        <f>IF($A64="","",IF(Allocation!$N$1="VOL_EFF",$T64,IF(Allocation!$N$1="VOL_CLASS",$U64,$V64)))</f>
        <v/>
      </c>
      <c r="AI64" s="0">
        <f>IF($A64="","",$W64*IFERROR($K64/$O64,0))</f>
        <v/>
      </c>
      <c r="AJ64" s="0">
        <f>IF($A64="","",$X64*IFERROR($K64/$O64,0))</f>
        <v/>
      </c>
      <c r="AK64" s="0">
        <f>IF($A64="","",$Y64*IFERROR($G64/$L64,0)+$Z64*IFERROR($J64/$P64,0))</f>
        <v/>
      </c>
      <c r="AL64" s="0">
        <f>IF($A64="","",$AA64*IFERROR($AC64/$AD64,0))</f>
        <v/>
      </c>
      <c r="AM64" s="0">
        <f>IF($A64="","",$AB64*IFERROR($AG64/$AH64,0)*IFERROR($AE64/$AF64,0)*IFERROR($AC64/$AD64,0))</f>
        <v/>
      </c>
      <c r="AN64" s="0">
        <f>IF($A64="","",$I64-($AI64+$AJ64+$AK64+$AL64+$AM64+$AR64))</f>
        <v/>
      </c>
      <c r="AO64" s="0">
        <f>IF($A64="","",Allocation!CJ64)</f>
        <v/>
      </c>
      <c r="AP64" s="0">
        <f>IF($A64="","",IF(Allocation!$N$2="VOL_EFF",$Q64,IF(Allocation!$N$2="VOL_CLASS",$R64,$S64)))</f>
        <v/>
      </c>
      <c r="AQ64" s="0">
        <f>IF($A64="","",IF(Allocation!$N$2="VOL_EFF",$T64,IF(Allocation!$N$2="VOL_CLASS",$U64,$V64)))</f>
        <v/>
      </c>
      <c r="AR64" s="0">
        <f>IF($A64="","",$AO64*IFERROR($AP64/$AQ64,0)*IFERROR($AE64/$AF64,0)*IFERROR($AC64/$AD64,0))</f>
        <v/>
      </c>
      <c r="AS64" s="0">
        <f>IF($A64="","",$A64&amp;"|"&amp;Allocation!BG64)</f>
        <v/>
      </c>
    </row>
    <row r="65" ht="14.4975" customHeight="1" s="64">
      <c r="A65" s="0">
        <f>IF(Allocation!BI65="","",Allocation!BI65)</f>
        <v/>
      </c>
      <c r="B65" s="0">
        <f>IF(Allocation!BJ65="","",Allocation!BJ65)</f>
        <v/>
      </c>
      <c r="C65" s="0">
        <f>IF(Allocation!BK65="","",Allocation!BK65)</f>
        <v/>
      </c>
      <c r="D65" s="0">
        <f>IF(Allocation!BL65="","",Allocation!BL65)</f>
        <v/>
      </c>
      <c r="E65" s="0">
        <f>IF(Allocation!BM65="","",Allocation!BM65)</f>
        <v/>
      </c>
      <c r="F65" s="0">
        <f>IF(Allocation!BN65="","",Allocation!BN65)</f>
        <v/>
      </c>
      <c r="G65" s="0">
        <f>IF(Allocation!BO65="","",Allocation!BO65)</f>
        <v/>
      </c>
      <c r="H65" s="0">
        <f>IF(Allocation!BP65="","",Allocation!BP65)</f>
        <v/>
      </c>
      <c r="I65" s="0">
        <f>IF(Allocation!BQ65="","",Allocation!BQ65)</f>
        <v/>
      </c>
      <c r="J65" s="0">
        <f>IF(Allocation!CC65="","",Allocation!CC65)</f>
        <v/>
      </c>
      <c r="K65" s="0">
        <f>IF($A65="","",$H65*IF(AND(LEFT($D65,3)="BAC",$F65="INIT"),600,IF(LEFT($D65,3)="BAC",480,IF(AND(LEFT($D65,3)="MAS",$F65="INIT"),520,IF(LEFT($D65,3)="MAS",420,IF($F65="INIT",1000,700))))))</f>
        <v/>
      </c>
      <c r="L65" s="0">
        <f>IF($A65="","",SUMIFS($G$1:$G$349,$AS$1:$AS$349,$AS65,$B$1:$B$349,$B65))</f>
        <v/>
      </c>
      <c r="M65" s="0">
        <f>IF($A65="","",SUMIFS($H$1:$H$349,$AS$1:$AS$349,$AS65,$B$1:$B$349,$B65))</f>
        <v/>
      </c>
      <c r="N65" s="0">
        <f>IF($A65="","",SUMIFS($I$1:$I$349,$AS$1:$AS$349,$AS65,$B$1:$B$349,$B65))</f>
        <v/>
      </c>
      <c r="O65" s="0">
        <f>IF($A65="","",SUMIFS($K$1:$K$349,$AS$1:$AS$349,$AS65,$B$1:$B$349,$B65))</f>
        <v/>
      </c>
      <c r="P65" s="0">
        <f>IF($A65="","",SUMIFS($J$1:$J$349,$AS$1:$AS$349,$AS65,$B$1:$B$349,$B65))</f>
        <v/>
      </c>
      <c r="Q65" s="0">
        <f>IF($A65="","",SUMIFS($G$1:$G$349,$AS$1:$AS$349,$AS65,$C$1:$C$349,$C65))</f>
        <v/>
      </c>
      <c r="R65" s="0">
        <f>IF($A65="","",SUMIFS($H$1:$H$349,$AS$1:$AS$349,$AS65,$C$1:$C$349,$C65))</f>
        <v/>
      </c>
      <c r="S65" s="0">
        <f>IF($A65="","",SUMIFS($I$1:$I$349,$AS$1:$AS$349,$AS65,$C$1:$C$349,$C65))</f>
        <v/>
      </c>
      <c r="T65" s="0">
        <f>IF($A65="","",SUMIFS($G$1:$G$349,$AS$1:$AS$349,$AS65))</f>
        <v/>
      </c>
      <c r="U65" s="0">
        <f>IF($A65="","",SUMIFS($H$1:$H$349,$AS$1:$AS$349,$AS65))</f>
        <v/>
      </c>
      <c r="V65" s="0">
        <f>IF($A65="","",SUMIFS($I$1:$I$349,$AS$1:$AS$349,$AS65))</f>
        <v/>
      </c>
      <c r="W65" s="0">
        <f>IF($A65="","",Allocation!CD65)</f>
        <v/>
      </c>
      <c r="X65" s="0">
        <f>IF($A65="","",Allocation!CE65)</f>
        <v/>
      </c>
      <c r="Y65" s="0">
        <f>IF($A65="","",Allocation!CF65)</f>
        <v/>
      </c>
      <c r="Z65" s="0">
        <f>IF($A65="","",Allocation!CG65)</f>
        <v/>
      </c>
      <c r="AA65" s="0">
        <f>IF($A65="","",Allocation!CH65)</f>
        <v/>
      </c>
      <c r="AB65" s="0">
        <f>IF($A65="","",Allocation!CI65)</f>
        <v/>
      </c>
      <c r="AC65" s="0">
        <f>IF($A65="","",IF(Allocation!$N$4="VOL_EFF",$G65,IF(Allocation!$N$4="VOL_CLASS",$H65,$I65)))</f>
        <v/>
      </c>
      <c r="AD65" s="0">
        <f>IF($A65="","",IF(Allocation!$N$4="VOL_EFF",$L65,IF(Allocation!$N$4="VOL_CLASS",$M65,$N65)))</f>
        <v/>
      </c>
      <c r="AE65" s="0">
        <f>IF($A65="","",IF(Allocation!$N$3="VOL_EFF",$L65,IF(Allocation!$N$3="VOL_CLASS",$M65,$N65)))</f>
        <v/>
      </c>
      <c r="AF65" s="0">
        <f>IF($A65="","",IF(Allocation!$N$3="VOL_EFF",$Q65,IF(Allocation!$N$3="VOL_CLASS",$R65,$S65)))</f>
        <v/>
      </c>
      <c r="AG65" s="0">
        <f>IF($A65="","",IF(Allocation!$N$1="VOL_EFF",$Q65,IF(Allocation!$N$1="VOL_CLASS",$R65,$S65)))</f>
        <v/>
      </c>
      <c r="AH65" s="0">
        <f>IF($A65="","",IF(Allocation!$N$1="VOL_EFF",$T65,IF(Allocation!$N$1="VOL_CLASS",$U65,$V65)))</f>
        <v/>
      </c>
      <c r="AI65" s="0">
        <f>IF($A65="","",$W65*IFERROR($K65/$O65,0))</f>
        <v/>
      </c>
      <c r="AJ65" s="0">
        <f>IF($A65="","",$X65*IFERROR($K65/$O65,0))</f>
        <v/>
      </c>
      <c r="AK65" s="0">
        <f>IF($A65="","",$Y65*IFERROR($G65/$L65,0)+$Z65*IFERROR($J65/$P65,0))</f>
        <v/>
      </c>
      <c r="AL65" s="0">
        <f>IF($A65="","",$AA65*IFERROR($AC65/$AD65,0))</f>
        <v/>
      </c>
      <c r="AM65" s="0">
        <f>IF($A65="","",$AB65*IFERROR($AG65/$AH65,0)*IFERROR($AE65/$AF65,0)*IFERROR($AC65/$AD65,0))</f>
        <v/>
      </c>
      <c r="AN65" s="0">
        <f>IF($A65="","",$I65-($AI65+$AJ65+$AK65+$AL65+$AM65+$AR65))</f>
        <v/>
      </c>
      <c r="AO65" s="0">
        <f>IF($A65="","",Allocation!CJ65)</f>
        <v/>
      </c>
      <c r="AP65" s="0">
        <f>IF($A65="","",IF(Allocation!$N$2="VOL_EFF",$Q65,IF(Allocation!$N$2="VOL_CLASS",$R65,$S65)))</f>
        <v/>
      </c>
      <c r="AQ65" s="0">
        <f>IF($A65="","",IF(Allocation!$N$2="VOL_EFF",$T65,IF(Allocation!$N$2="VOL_CLASS",$U65,$V65)))</f>
        <v/>
      </c>
      <c r="AR65" s="0">
        <f>IF($A65="","",$AO65*IFERROR($AP65/$AQ65,0)*IFERROR($AE65/$AF65,0)*IFERROR($AC65/$AD65,0))</f>
        <v/>
      </c>
      <c r="AS65" s="0">
        <f>IF($A65="","",$A65&amp;"|"&amp;Allocation!BG65)</f>
        <v/>
      </c>
    </row>
    <row r="66" ht="14.4975" customHeight="1" s="64">
      <c r="A66" s="0">
        <f>IF(Allocation!BI66="","",Allocation!BI66)</f>
        <v/>
      </c>
      <c r="B66" s="0">
        <f>IF(Allocation!BJ66="","",Allocation!BJ66)</f>
        <v/>
      </c>
      <c r="C66" s="0">
        <f>IF(Allocation!BK66="","",Allocation!BK66)</f>
        <v/>
      </c>
      <c r="D66" s="0">
        <f>IF(Allocation!BL66="","",Allocation!BL66)</f>
        <v/>
      </c>
      <c r="E66" s="0">
        <f>IF(Allocation!BM66="","",Allocation!BM66)</f>
        <v/>
      </c>
      <c r="F66" s="0">
        <f>IF(Allocation!BN66="","",Allocation!BN66)</f>
        <v/>
      </c>
      <c r="G66" s="0">
        <f>IF(Allocation!BO66="","",Allocation!BO66)</f>
        <v/>
      </c>
      <c r="H66" s="0">
        <f>IF(Allocation!BP66="","",Allocation!BP66)</f>
        <v/>
      </c>
      <c r="I66" s="0">
        <f>IF(Allocation!BQ66="","",Allocation!BQ66)</f>
        <v/>
      </c>
      <c r="J66" s="0">
        <f>IF(Allocation!CC66="","",Allocation!CC66)</f>
        <v/>
      </c>
      <c r="K66" s="0">
        <f>IF($A66="","",$H66*IF(AND(LEFT($D66,3)="BAC",$F66="INIT"),600,IF(LEFT($D66,3)="BAC",480,IF(AND(LEFT($D66,3)="MAS",$F66="INIT"),520,IF(LEFT($D66,3)="MAS",420,IF($F66="INIT",1000,700))))))</f>
        <v/>
      </c>
      <c r="L66" s="0">
        <f>IF($A66="","",SUMIFS($G$1:$G$349,$AS$1:$AS$349,$AS66,$B$1:$B$349,$B66))</f>
        <v/>
      </c>
      <c r="M66" s="0">
        <f>IF($A66="","",SUMIFS($H$1:$H$349,$AS$1:$AS$349,$AS66,$B$1:$B$349,$B66))</f>
        <v/>
      </c>
      <c r="N66" s="0">
        <f>IF($A66="","",SUMIFS($I$1:$I$349,$AS$1:$AS$349,$AS66,$B$1:$B$349,$B66))</f>
        <v/>
      </c>
      <c r="O66" s="0">
        <f>IF($A66="","",SUMIFS($K$1:$K$349,$AS$1:$AS$349,$AS66,$B$1:$B$349,$B66))</f>
        <v/>
      </c>
      <c r="P66" s="0">
        <f>IF($A66="","",SUMIFS($J$1:$J$349,$AS$1:$AS$349,$AS66,$B$1:$B$349,$B66))</f>
        <v/>
      </c>
      <c r="Q66" s="0">
        <f>IF($A66="","",SUMIFS($G$1:$G$349,$AS$1:$AS$349,$AS66,$C$1:$C$349,$C66))</f>
        <v/>
      </c>
      <c r="R66" s="0">
        <f>IF($A66="","",SUMIFS($H$1:$H$349,$AS$1:$AS$349,$AS66,$C$1:$C$349,$C66))</f>
        <v/>
      </c>
      <c r="S66" s="0">
        <f>IF($A66="","",SUMIFS($I$1:$I$349,$AS$1:$AS$349,$AS66,$C$1:$C$349,$C66))</f>
        <v/>
      </c>
      <c r="T66" s="0">
        <f>IF($A66="","",SUMIFS($G$1:$G$349,$AS$1:$AS$349,$AS66))</f>
        <v/>
      </c>
      <c r="U66" s="0">
        <f>IF($A66="","",SUMIFS($H$1:$H$349,$AS$1:$AS$349,$AS66))</f>
        <v/>
      </c>
      <c r="V66" s="0">
        <f>IF($A66="","",SUMIFS($I$1:$I$349,$AS$1:$AS$349,$AS66))</f>
        <v/>
      </c>
      <c r="W66" s="0">
        <f>IF($A66="","",Allocation!CD66)</f>
        <v/>
      </c>
      <c r="X66" s="0">
        <f>IF($A66="","",Allocation!CE66)</f>
        <v/>
      </c>
      <c r="Y66" s="0">
        <f>IF($A66="","",Allocation!CF66)</f>
        <v/>
      </c>
      <c r="Z66" s="0">
        <f>IF($A66="","",Allocation!CG66)</f>
        <v/>
      </c>
      <c r="AA66" s="0">
        <f>IF($A66="","",Allocation!CH66)</f>
        <v/>
      </c>
      <c r="AB66" s="0">
        <f>IF($A66="","",Allocation!CI66)</f>
        <v/>
      </c>
      <c r="AC66" s="0">
        <f>IF($A66="","",IF(Allocation!$N$4="VOL_EFF",$G66,IF(Allocation!$N$4="VOL_CLASS",$H66,$I66)))</f>
        <v/>
      </c>
      <c r="AD66" s="0">
        <f>IF($A66="","",IF(Allocation!$N$4="VOL_EFF",$L66,IF(Allocation!$N$4="VOL_CLASS",$M66,$N66)))</f>
        <v/>
      </c>
      <c r="AE66" s="0">
        <f>IF($A66="","",IF(Allocation!$N$3="VOL_EFF",$L66,IF(Allocation!$N$3="VOL_CLASS",$M66,$N66)))</f>
        <v/>
      </c>
      <c r="AF66" s="0">
        <f>IF($A66="","",IF(Allocation!$N$3="VOL_EFF",$Q66,IF(Allocation!$N$3="VOL_CLASS",$R66,$S66)))</f>
        <v/>
      </c>
      <c r="AG66" s="0">
        <f>IF($A66="","",IF(Allocation!$N$1="VOL_EFF",$Q66,IF(Allocation!$N$1="VOL_CLASS",$R66,$S66)))</f>
        <v/>
      </c>
      <c r="AH66" s="0">
        <f>IF($A66="","",IF(Allocation!$N$1="VOL_EFF",$T66,IF(Allocation!$N$1="VOL_CLASS",$U66,$V66)))</f>
        <v/>
      </c>
      <c r="AI66" s="0">
        <f>IF($A66="","",$W66*IFERROR($K66/$O66,0))</f>
        <v/>
      </c>
      <c r="AJ66" s="0">
        <f>IF($A66="","",$X66*IFERROR($K66/$O66,0))</f>
        <v/>
      </c>
      <c r="AK66" s="0">
        <f>IF($A66="","",$Y66*IFERROR($G66/$L66,0)+$Z66*IFERROR($J66/$P66,0))</f>
        <v/>
      </c>
      <c r="AL66" s="0">
        <f>IF($A66="","",$AA66*IFERROR($AC66/$AD66,0))</f>
        <v/>
      </c>
      <c r="AM66" s="0">
        <f>IF($A66="","",$AB66*IFERROR($AG66/$AH66,0)*IFERROR($AE66/$AF66,0)*IFERROR($AC66/$AD66,0))</f>
        <v/>
      </c>
      <c r="AN66" s="0">
        <f>IF($A66="","",$I66-($AI66+$AJ66+$AK66+$AL66+$AM66+$AR66))</f>
        <v/>
      </c>
      <c r="AO66" s="0">
        <f>IF($A66="","",Allocation!CJ66)</f>
        <v/>
      </c>
      <c r="AP66" s="0">
        <f>IF($A66="","",IF(Allocation!$N$2="VOL_EFF",$Q66,IF(Allocation!$N$2="VOL_CLASS",$R66,$S66)))</f>
        <v/>
      </c>
      <c r="AQ66" s="0">
        <f>IF($A66="","",IF(Allocation!$N$2="VOL_EFF",$T66,IF(Allocation!$N$2="VOL_CLASS",$U66,$V66)))</f>
        <v/>
      </c>
      <c r="AR66" s="0">
        <f>IF($A66="","",$AO66*IFERROR($AP66/$AQ66,0)*IFERROR($AE66/$AF66,0)*IFERROR($AC66/$AD66,0))</f>
        <v/>
      </c>
      <c r="AS66" s="0">
        <f>IF($A66="","",$A66&amp;"|"&amp;Allocation!BG66)</f>
        <v/>
      </c>
    </row>
    <row r="67" ht="14.4975" customHeight="1" s="64">
      <c r="A67" s="0">
        <f>IF(Allocation!BI67="","",Allocation!BI67)</f>
        <v/>
      </c>
      <c r="B67" s="0">
        <f>IF(Allocation!BJ67="","",Allocation!BJ67)</f>
        <v/>
      </c>
      <c r="C67" s="0">
        <f>IF(Allocation!BK67="","",Allocation!BK67)</f>
        <v/>
      </c>
      <c r="D67" s="0">
        <f>IF(Allocation!BL67="","",Allocation!BL67)</f>
        <v/>
      </c>
      <c r="E67" s="0">
        <f>IF(Allocation!BM67="","",Allocation!BM67)</f>
        <v/>
      </c>
      <c r="F67" s="0">
        <f>IF(Allocation!BN67="","",Allocation!BN67)</f>
        <v/>
      </c>
      <c r="G67" s="0">
        <f>IF(Allocation!BO67="","",Allocation!BO67)</f>
        <v/>
      </c>
      <c r="H67" s="0">
        <f>IF(Allocation!BP67="","",Allocation!BP67)</f>
        <v/>
      </c>
      <c r="I67" s="0">
        <f>IF(Allocation!BQ67="","",Allocation!BQ67)</f>
        <v/>
      </c>
      <c r="J67" s="0">
        <f>IF(Allocation!CC67="","",Allocation!CC67)</f>
        <v/>
      </c>
      <c r="K67" s="0">
        <f>IF($A67="","",$H67*IF(AND(LEFT($D67,3)="BAC",$F67="INIT"),600,IF(LEFT($D67,3)="BAC",480,IF(AND(LEFT($D67,3)="MAS",$F67="INIT"),520,IF(LEFT($D67,3)="MAS",420,IF($F67="INIT",1000,700))))))</f>
        <v/>
      </c>
      <c r="L67" s="0">
        <f>IF($A67="","",SUMIFS($G$1:$G$349,$AS$1:$AS$349,$AS67,$B$1:$B$349,$B67))</f>
        <v/>
      </c>
      <c r="M67" s="0">
        <f>IF($A67="","",SUMIFS($H$1:$H$349,$AS$1:$AS$349,$AS67,$B$1:$B$349,$B67))</f>
        <v/>
      </c>
      <c r="N67" s="0">
        <f>IF($A67="","",SUMIFS($I$1:$I$349,$AS$1:$AS$349,$AS67,$B$1:$B$349,$B67))</f>
        <v/>
      </c>
      <c r="O67" s="0">
        <f>IF($A67="","",SUMIFS($K$1:$K$349,$AS$1:$AS$349,$AS67,$B$1:$B$349,$B67))</f>
        <v/>
      </c>
      <c r="P67" s="0">
        <f>IF($A67="","",SUMIFS($J$1:$J$349,$AS$1:$AS$349,$AS67,$B$1:$B$349,$B67))</f>
        <v/>
      </c>
      <c r="Q67" s="0">
        <f>IF($A67="","",SUMIFS($G$1:$G$349,$AS$1:$AS$349,$AS67,$C$1:$C$349,$C67))</f>
        <v/>
      </c>
      <c r="R67" s="0">
        <f>IF($A67="","",SUMIFS($H$1:$H$349,$AS$1:$AS$349,$AS67,$C$1:$C$349,$C67))</f>
        <v/>
      </c>
      <c r="S67" s="0">
        <f>IF($A67="","",SUMIFS($I$1:$I$349,$AS$1:$AS$349,$AS67,$C$1:$C$349,$C67))</f>
        <v/>
      </c>
      <c r="T67" s="0">
        <f>IF($A67="","",SUMIFS($G$1:$G$349,$AS$1:$AS$349,$AS67))</f>
        <v/>
      </c>
      <c r="U67" s="0">
        <f>IF($A67="","",SUMIFS($H$1:$H$349,$AS$1:$AS$349,$AS67))</f>
        <v/>
      </c>
      <c r="V67" s="0">
        <f>IF($A67="","",SUMIFS($I$1:$I$349,$AS$1:$AS$349,$AS67))</f>
        <v/>
      </c>
      <c r="W67" s="0">
        <f>IF($A67="","",Allocation!CD67)</f>
        <v/>
      </c>
      <c r="X67" s="0">
        <f>IF($A67="","",Allocation!CE67)</f>
        <v/>
      </c>
      <c r="Y67" s="0">
        <f>IF($A67="","",Allocation!CF67)</f>
        <v/>
      </c>
      <c r="Z67" s="0">
        <f>IF($A67="","",Allocation!CG67)</f>
        <v/>
      </c>
      <c r="AA67" s="0">
        <f>IF($A67="","",Allocation!CH67)</f>
        <v/>
      </c>
      <c r="AB67" s="0">
        <f>IF($A67="","",Allocation!CI67)</f>
        <v/>
      </c>
      <c r="AC67" s="0">
        <f>IF($A67="","",IF(Allocation!$N$4="VOL_EFF",$G67,IF(Allocation!$N$4="VOL_CLASS",$H67,$I67)))</f>
        <v/>
      </c>
      <c r="AD67" s="0">
        <f>IF($A67="","",IF(Allocation!$N$4="VOL_EFF",$L67,IF(Allocation!$N$4="VOL_CLASS",$M67,$N67)))</f>
        <v/>
      </c>
      <c r="AE67" s="0">
        <f>IF($A67="","",IF(Allocation!$N$3="VOL_EFF",$L67,IF(Allocation!$N$3="VOL_CLASS",$M67,$N67)))</f>
        <v/>
      </c>
      <c r="AF67" s="0">
        <f>IF($A67="","",IF(Allocation!$N$3="VOL_EFF",$Q67,IF(Allocation!$N$3="VOL_CLASS",$R67,$S67)))</f>
        <v/>
      </c>
      <c r="AG67" s="0">
        <f>IF($A67="","",IF(Allocation!$N$1="VOL_EFF",$Q67,IF(Allocation!$N$1="VOL_CLASS",$R67,$S67)))</f>
        <v/>
      </c>
      <c r="AH67" s="0">
        <f>IF($A67="","",IF(Allocation!$N$1="VOL_EFF",$T67,IF(Allocation!$N$1="VOL_CLASS",$U67,$V67)))</f>
        <v/>
      </c>
      <c r="AI67" s="0">
        <f>IF($A67="","",$W67*IFERROR($K67/$O67,0))</f>
        <v/>
      </c>
      <c r="AJ67" s="0">
        <f>IF($A67="","",$X67*IFERROR($K67/$O67,0))</f>
        <v/>
      </c>
      <c r="AK67" s="0">
        <f>IF($A67="","",$Y67*IFERROR($G67/$L67,0)+$Z67*IFERROR($J67/$P67,0))</f>
        <v/>
      </c>
      <c r="AL67" s="0">
        <f>IF($A67="","",$AA67*IFERROR($AC67/$AD67,0))</f>
        <v/>
      </c>
      <c r="AM67" s="0">
        <f>IF($A67="","",$AB67*IFERROR($AG67/$AH67,0)*IFERROR($AE67/$AF67,0)*IFERROR($AC67/$AD67,0))</f>
        <v/>
      </c>
      <c r="AN67" s="0">
        <f>IF($A67="","",$I67-($AI67+$AJ67+$AK67+$AL67+$AM67+$AR67))</f>
        <v/>
      </c>
      <c r="AO67" s="0">
        <f>IF($A67="","",Allocation!CJ67)</f>
        <v/>
      </c>
      <c r="AP67" s="0">
        <f>IF($A67="","",IF(Allocation!$N$2="VOL_EFF",$Q67,IF(Allocation!$N$2="VOL_CLASS",$R67,$S67)))</f>
        <v/>
      </c>
      <c r="AQ67" s="0">
        <f>IF($A67="","",IF(Allocation!$N$2="VOL_EFF",$T67,IF(Allocation!$N$2="VOL_CLASS",$U67,$V67)))</f>
        <v/>
      </c>
      <c r="AR67" s="0">
        <f>IF($A67="","",$AO67*IFERROR($AP67/$AQ67,0)*IFERROR($AE67/$AF67,0)*IFERROR($AC67/$AD67,0))</f>
        <v/>
      </c>
      <c r="AS67" s="0">
        <f>IF($A67="","",$A67&amp;"|"&amp;Allocation!BG67)</f>
        <v/>
      </c>
    </row>
    <row r="68" ht="14.4975" customHeight="1" s="64">
      <c r="A68" s="0">
        <f>IF(Allocation!BI68="","",Allocation!BI68)</f>
        <v/>
      </c>
      <c r="B68" s="0">
        <f>IF(Allocation!BJ68="","",Allocation!BJ68)</f>
        <v/>
      </c>
      <c r="C68" s="0">
        <f>IF(Allocation!BK68="","",Allocation!BK68)</f>
        <v/>
      </c>
      <c r="D68" s="0">
        <f>IF(Allocation!BL68="","",Allocation!BL68)</f>
        <v/>
      </c>
      <c r="E68" s="0">
        <f>IF(Allocation!BM68="","",Allocation!BM68)</f>
        <v/>
      </c>
      <c r="F68" s="0">
        <f>IF(Allocation!BN68="","",Allocation!BN68)</f>
        <v/>
      </c>
      <c r="G68" s="0">
        <f>IF(Allocation!BO68="","",Allocation!BO68)</f>
        <v/>
      </c>
      <c r="H68" s="0">
        <f>IF(Allocation!BP68="","",Allocation!BP68)</f>
        <v/>
      </c>
      <c r="I68" s="0">
        <f>IF(Allocation!BQ68="","",Allocation!BQ68)</f>
        <v/>
      </c>
      <c r="J68" s="0">
        <f>IF(Allocation!CC68="","",Allocation!CC68)</f>
        <v/>
      </c>
      <c r="K68" s="0">
        <f>IF($A68="","",$H68*IF(AND(LEFT($D68,3)="BAC",$F68="INIT"),600,IF(LEFT($D68,3)="BAC",480,IF(AND(LEFT($D68,3)="MAS",$F68="INIT"),520,IF(LEFT($D68,3)="MAS",420,IF($F68="INIT",1000,700))))))</f>
        <v/>
      </c>
      <c r="L68" s="0">
        <f>IF($A68="","",SUMIFS($G$1:$G$349,$AS$1:$AS$349,$AS68,$B$1:$B$349,$B68))</f>
        <v/>
      </c>
      <c r="M68" s="0">
        <f>IF($A68="","",SUMIFS($H$1:$H$349,$AS$1:$AS$349,$AS68,$B$1:$B$349,$B68))</f>
        <v/>
      </c>
      <c r="N68" s="0">
        <f>IF($A68="","",SUMIFS($I$1:$I$349,$AS$1:$AS$349,$AS68,$B$1:$B$349,$B68))</f>
        <v/>
      </c>
      <c r="O68" s="0">
        <f>IF($A68="","",SUMIFS($K$1:$K$349,$AS$1:$AS$349,$AS68,$B$1:$B$349,$B68))</f>
        <v/>
      </c>
      <c r="P68" s="0">
        <f>IF($A68="","",SUMIFS($J$1:$J$349,$AS$1:$AS$349,$AS68,$B$1:$B$349,$B68))</f>
        <v/>
      </c>
      <c r="Q68" s="0">
        <f>IF($A68="","",SUMIFS($G$1:$G$349,$AS$1:$AS$349,$AS68,$C$1:$C$349,$C68))</f>
        <v/>
      </c>
      <c r="R68" s="0">
        <f>IF($A68="","",SUMIFS($H$1:$H$349,$AS$1:$AS$349,$AS68,$C$1:$C$349,$C68))</f>
        <v/>
      </c>
      <c r="S68" s="0">
        <f>IF($A68="","",SUMIFS($I$1:$I$349,$AS$1:$AS$349,$AS68,$C$1:$C$349,$C68))</f>
        <v/>
      </c>
      <c r="T68" s="0">
        <f>IF($A68="","",SUMIFS($G$1:$G$349,$AS$1:$AS$349,$AS68))</f>
        <v/>
      </c>
      <c r="U68" s="0">
        <f>IF($A68="","",SUMIFS($H$1:$H$349,$AS$1:$AS$349,$AS68))</f>
        <v/>
      </c>
      <c r="V68" s="0">
        <f>IF($A68="","",SUMIFS($I$1:$I$349,$AS$1:$AS$349,$AS68))</f>
        <v/>
      </c>
      <c r="W68" s="0">
        <f>IF($A68="","",Allocation!CD68)</f>
        <v/>
      </c>
      <c r="X68" s="0">
        <f>IF($A68="","",Allocation!CE68)</f>
        <v/>
      </c>
      <c r="Y68" s="0">
        <f>IF($A68="","",Allocation!CF68)</f>
        <v/>
      </c>
      <c r="Z68" s="0">
        <f>IF($A68="","",Allocation!CG68)</f>
        <v/>
      </c>
      <c r="AA68" s="0">
        <f>IF($A68="","",Allocation!CH68)</f>
        <v/>
      </c>
      <c r="AB68" s="0">
        <f>IF($A68="","",Allocation!CI68)</f>
        <v/>
      </c>
      <c r="AC68" s="0">
        <f>IF($A68="","",IF(Allocation!$N$4="VOL_EFF",$G68,IF(Allocation!$N$4="VOL_CLASS",$H68,$I68)))</f>
        <v/>
      </c>
      <c r="AD68" s="0">
        <f>IF($A68="","",IF(Allocation!$N$4="VOL_EFF",$L68,IF(Allocation!$N$4="VOL_CLASS",$M68,$N68)))</f>
        <v/>
      </c>
      <c r="AE68" s="0">
        <f>IF($A68="","",IF(Allocation!$N$3="VOL_EFF",$L68,IF(Allocation!$N$3="VOL_CLASS",$M68,$N68)))</f>
        <v/>
      </c>
      <c r="AF68" s="0">
        <f>IF($A68="","",IF(Allocation!$N$3="VOL_EFF",$Q68,IF(Allocation!$N$3="VOL_CLASS",$R68,$S68)))</f>
        <v/>
      </c>
      <c r="AG68" s="0">
        <f>IF($A68="","",IF(Allocation!$N$1="VOL_EFF",$Q68,IF(Allocation!$N$1="VOL_CLASS",$R68,$S68)))</f>
        <v/>
      </c>
      <c r="AH68" s="0">
        <f>IF($A68="","",IF(Allocation!$N$1="VOL_EFF",$T68,IF(Allocation!$N$1="VOL_CLASS",$U68,$V68)))</f>
        <v/>
      </c>
      <c r="AI68" s="0">
        <f>IF($A68="","",$W68*IFERROR($K68/$O68,0))</f>
        <v/>
      </c>
      <c r="AJ68" s="0">
        <f>IF($A68="","",$X68*IFERROR($K68/$O68,0))</f>
        <v/>
      </c>
      <c r="AK68" s="0">
        <f>IF($A68="","",$Y68*IFERROR($G68/$L68,0)+$Z68*IFERROR($J68/$P68,0))</f>
        <v/>
      </c>
      <c r="AL68" s="0">
        <f>IF($A68="","",$AA68*IFERROR($AC68/$AD68,0))</f>
        <v/>
      </c>
      <c r="AM68" s="0">
        <f>IF($A68="","",$AB68*IFERROR($AG68/$AH68,0)*IFERROR($AE68/$AF68,0)*IFERROR($AC68/$AD68,0))</f>
        <v/>
      </c>
      <c r="AN68" s="0">
        <f>IF($A68="","",$I68-($AI68+$AJ68+$AK68+$AL68+$AM68+$AR68))</f>
        <v/>
      </c>
      <c r="AO68" s="0">
        <f>IF($A68="","",Allocation!CJ68)</f>
        <v/>
      </c>
      <c r="AP68" s="0">
        <f>IF($A68="","",IF(Allocation!$N$2="VOL_EFF",$Q68,IF(Allocation!$N$2="VOL_CLASS",$R68,$S68)))</f>
        <v/>
      </c>
      <c r="AQ68" s="0">
        <f>IF($A68="","",IF(Allocation!$N$2="VOL_EFF",$T68,IF(Allocation!$N$2="VOL_CLASS",$U68,$V68)))</f>
        <v/>
      </c>
      <c r="AR68" s="0">
        <f>IF($A68="","",$AO68*IFERROR($AP68/$AQ68,0)*IFERROR($AE68/$AF68,0)*IFERROR($AC68/$AD68,0))</f>
        <v/>
      </c>
      <c r="AS68" s="0">
        <f>IF($A68="","",$A68&amp;"|"&amp;Allocation!BG68)</f>
        <v/>
      </c>
    </row>
    <row r="69" ht="14.4975" customHeight="1" s="64">
      <c r="A69" s="0">
        <f>IF(Allocation!BI69="","",Allocation!BI69)</f>
        <v/>
      </c>
      <c r="B69" s="0">
        <f>IF(Allocation!BJ69="","",Allocation!BJ69)</f>
        <v/>
      </c>
      <c r="C69" s="0">
        <f>IF(Allocation!BK69="","",Allocation!BK69)</f>
        <v/>
      </c>
      <c r="D69" s="0">
        <f>IF(Allocation!BL69="","",Allocation!BL69)</f>
        <v/>
      </c>
      <c r="E69" s="0">
        <f>IF(Allocation!BM69="","",Allocation!BM69)</f>
        <v/>
      </c>
      <c r="F69" s="0">
        <f>IF(Allocation!BN69="","",Allocation!BN69)</f>
        <v/>
      </c>
      <c r="G69" s="0">
        <f>IF(Allocation!BO69="","",Allocation!BO69)</f>
        <v/>
      </c>
      <c r="H69" s="0">
        <f>IF(Allocation!BP69="","",Allocation!BP69)</f>
        <v/>
      </c>
      <c r="I69" s="0">
        <f>IF(Allocation!BQ69="","",Allocation!BQ69)</f>
        <v/>
      </c>
      <c r="J69" s="0">
        <f>IF(Allocation!CC69="","",Allocation!CC69)</f>
        <v/>
      </c>
      <c r="K69" s="0">
        <f>IF($A69="","",$H69*IF(AND(LEFT($D69,3)="BAC",$F69="INIT"),600,IF(LEFT($D69,3)="BAC",480,IF(AND(LEFT($D69,3)="MAS",$F69="INIT"),520,IF(LEFT($D69,3)="MAS",420,IF($F69="INIT",1000,700))))))</f>
        <v/>
      </c>
      <c r="L69" s="0">
        <f>IF($A69="","",SUMIFS($G$1:$G$349,$AS$1:$AS$349,$AS69,$B$1:$B$349,$B69))</f>
        <v/>
      </c>
      <c r="M69" s="0">
        <f>IF($A69="","",SUMIFS($H$1:$H$349,$AS$1:$AS$349,$AS69,$B$1:$B$349,$B69))</f>
        <v/>
      </c>
      <c r="N69" s="0">
        <f>IF($A69="","",SUMIFS($I$1:$I$349,$AS$1:$AS$349,$AS69,$B$1:$B$349,$B69))</f>
        <v/>
      </c>
      <c r="O69" s="0">
        <f>IF($A69="","",SUMIFS($K$1:$K$349,$AS$1:$AS$349,$AS69,$B$1:$B$349,$B69))</f>
        <v/>
      </c>
      <c r="P69" s="0">
        <f>IF($A69="","",SUMIFS($J$1:$J$349,$AS$1:$AS$349,$AS69,$B$1:$B$349,$B69))</f>
        <v/>
      </c>
      <c r="Q69" s="0">
        <f>IF($A69="","",SUMIFS($G$1:$G$349,$AS$1:$AS$349,$AS69,$C$1:$C$349,$C69))</f>
        <v/>
      </c>
      <c r="R69" s="0">
        <f>IF($A69="","",SUMIFS($H$1:$H$349,$AS$1:$AS$349,$AS69,$C$1:$C$349,$C69))</f>
        <v/>
      </c>
      <c r="S69" s="0">
        <f>IF($A69="","",SUMIFS($I$1:$I$349,$AS$1:$AS$349,$AS69,$C$1:$C$349,$C69))</f>
        <v/>
      </c>
      <c r="T69" s="0">
        <f>IF($A69="","",SUMIFS($G$1:$G$349,$AS$1:$AS$349,$AS69))</f>
        <v/>
      </c>
      <c r="U69" s="0">
        <f>IF($A69="","",SUMIFS($H$1:$H$349,$AS$1:$AS$349,$AS69))</f>
        <v/>
      </c>
      <c r="V69" s="0">
        <f>IF($A69="","",SUMIFS($I$1:$I$349,$AS$1:$AS$349,$AS69))</f>
        <v/>
      </c>
      <c r="W69" s="0">
        <f>IF($A69="","",Allocation!CD69)</f>
        <v/>
      </c>
      <c r="X69" s="0">
        <f>IF($A69="","",Allocation!CE69)</f>
        <v/>
      </c>
      <c r="Y69" s="0">
        <f>IF($A69="","",Allocation!CF69)</f>
        <v/>
      </c>
      <c r="Z69" s="0">
        <f>IF($A69="","",Allocation!CG69)</f>
        <v/>
      </c>
      <c r="AA69" s="0">
        <f>IF($A69="","",Allocation!CH69)</f>
        <v/>
      </c>
      <c r="AB69" s="0">
        <f>IF($A69="","",Allocation!CI69)</f>
        <v/>
      </c>
      <c r="AC69" s="0">
        <f>IF($A69="","",IF(Allocation!$N$4="VOL_EFF",$G69,IF(Allocation!$N$4="VOL_CLASS",$H69,$I69)))</f>
        <v/>
      </c>
      <c r="AD69" s="0">
        <f>IF($A69="","",IF(Allocation!$N$4="VOL_EFF",$L69,IF(Allocation!$N$4="VOL_CLASS",$M69,$N69)))</f>
        <v/>
      </c>
      <c r="AE69" s="0">
        <f>IF($A69="","",IF(Allocation!$N$3="VOL_EFF",$L69,IF(Allocation!$N$3="VOL_CLASS",$M69,$N69)))</f>
        <v/>
      </c>
      <c r="AF69" s="0">
        <f>IF($A69="","",IF(Allocation!$N$3="VOL_EFF",$Q69,IF(Allocation!$N$3="VOL_CLASS",$R69,$S69)))</f>
        <v/>
      </c>
      <c r="AG69" s="0">
        <f>IF($A69="","",IF(Allocation!$N$1="VOL_EFF",$Q69,IF(Allocation!$N$1="VOL_CLASS",$R69,$S69)))</f>
        <v/>
      </c>
      <c r="AH69" s="0">
        <f>IF($A69="","",IF(Allocation!$N$1="VOL_EFF",$T69,IF(Allocation!$N$1="VOL_CLASS",$U69,$V69)))</f>
        <v/>
      </c>
      <c r="AI69" s="0">
        <f>IF($A69="","",$W69*IFERROR($K69/$O69,0))</f>
        <v/>
      </c>
      <c r="AJ69" s="0">
        <f>IF($A69="","",$X69*IFERROR($K69/$O69,0))</f>
        <v/>
      </c>
      <c r="AK69" s="0">
        <f>IF($A69="","",$Y69*IFERROR($G69/$L69,0)+$Z69*IFERROR($J69/$P69,0))</f>
        <v/>
      </c>
      <c r="AL69" s="0">
        <f>IF($A69="","",$AA69*IFERROR($AC69/$AD69,0))</f>
        <v/>
      </c>
      <c r="AM69" s="0">
        <f>IF($A69="","",$AB69*IFERROR($AG69/$AH69,0)*IFERROR($AE69/$AF69,0)*IFERROR($AC69/$AD69,0))</f>
        <v/>
      </c>
      <c r="AN69" s="0">
        <f>IF($A69="","",$I69-($AI69+$AJ69+$AK69+$AL69+$AM69+$AR69))</f>
        <v/>
      </c>
      <c r="AO69" s="0">
        <f>IF($A69="","",Allocation!CJ69)</f>
        <v/>
      </c>
      <c r="AP69" s="0">
        <f>IF($A69="","",IF(Allocation!$N$2="VOL_EFF",$Q69,IF(Allocation!$N$2="VOL_CLASS",$R69,$S69)))</f>
        <v/>
      </c>
      <c r="AQ69" s="0">
        <f>IF($A69="","",IF(Allocation!$N$2="VOL_EFF",$T69,IF(Allocation!$N$2="VOL_CLASS",$U69,$V69)))</f>
        <v/>
      </c>
      <c r="AR69" s="0">
        <f>IF($A69="","",$AO69*IFERROR($AP69/$AQ69,0)*IFERROR($AE69/$AF69,0)*IFERROR($AC69/$AD69,0))</f>
        <v/>
      </c>
      <c r="AS69" s="0">
        <f>IF($A69="","",$A69&amp;"|"&amp;Allocation!BG69)</f>
        <v/>
      </c>
    </row>
    <row r="70" ht="14.4975" customHeight="1" s="64">
      <c r="A70" s="0">
        <f>IF(Allocation!BI70="","",Allocation!BI70)</f>
        <v/>
      </c>
      <c r="B70" s="0">
        <f>IF(Allocation!BJ70="","",Allocation!BJ70)</f>
        <v/>
      </c>
      <c r="C70" s="0">
        <f>IF(Allocation!BK70="","",Allocation!BK70)</f>
        <v/>
      </c>
      <c r="D70" s="0">
        <f>IF(Allocation!BL70="","",Allocation!BL70)</f>
        <v/>
      </c>
      <c r="E70" s="0">
        <f>IF(Allocation!BM70="","",Allocation!BM70)</f>
        <v/>
      </c>
      <c r="F70" s="0">
        <f>IF(Allocation!BN70="","",Allocation!BN70)</f>
        <v/>
      </c>
      <c r="G70" s="0">
        <f>IF(Allocation!BO70="","",Allocation!BO70)</f>
        <v/>
      </c>
      <c r="H70" s="0">
        <f>IF(Allocation!BP70="","",Allocation!BP70)</f>
        <v/>
      </c>
      <c r="I70" s="0">
        <f>IF(Allocation!BQ70="","",Allocation!BQ70)</f>
        <v/>
      </c>
      <c r="J70" s="0">
        <f>IF(Allocation!CC70="","",Allocation!CC70)</f>
        <v/>
      </c>
      <c r="K70" s="0">
        <f>IF($A70="","",$H70*IF(AND(LEFT($D70,3)="BAC",$F70="INIT"),600,IF(LEFT($D70,3)="BAC",480,IF(AND(LEFT($D70,3)="MAS",$F70="INIT"),520,IF(LEFT($D70,3)="MAS",420,IF($F70="INIT",1000,700))))))</f>
        <v/>
      </c>
      <c r="L70" s="0">
        <f>IF($A70="","",SUMIFS($G$1:$G$349,$AS$1:$AS$349,$AS70,$B$1:$B$349,$B70))</f>
        <v/>
      </c>
      <c r="M70" s="0">
        <f>IF($A70="","",SUMIFS($H$1:$H$349,$AS$1:$AS$349,$AS70,$B$1:$B$349,$B70))</f>
        <v/>
      </c>
      <c r="N70" s="0">
        <f>IF($A70="","",SUMIFS($I$1:$I$349,$AS$1:$AS$349,$AS70,$B$1:$B$349,$B70))</f>
        <v/>
      </c>
      <c r="O70" s="0">
        <f>IF($A70="","",SUMIFS($K$1:$K$349,$AS$1:$AS$349,$AS70,$B$1:$B$349,$B70))</f>
        <v/>
      </c>
      <c r="P70" s="0">
        <f>IF($A70="","",SUMIFS($J$1:$J$349,$AS$1:$AS$349,$AS70,$B$1:$B$349,$B70))</f>
        <v/>
      </c>
      <c r="Q70" s="0">
        <f>IF($A70="","",SUMIFS($G$1:$G$349,$AS$1:$AS$349,$AS70,$C$1:$C$349,$C70))</f>
        <v/>
      </c>
      <c r="R70" s="0">
        <f>IF($A70="","",SUMIFS($H$1:$H$349,$AS$1:$AS$349,$AS70,$C$1:$C$349,$C70))</f>
        <v/>
      </c>
      <c r="S70" s="0">
        <f>IF($A70="","",SUMIFS($I$1:$I$349,$AS$1:$AS$349,$AS70,$C$1:$C$349,$C70))</f>
        <v/>
      </c>
      <c r="T70" s="0">
        <f>IF($A70="","",SUMIFS($G$1:$G$349,$AS$1:$AS$349,$AS70))</f>
        <v/>
      </c>
      <c r="U70" s="0">
        <f>IF($A70="","",SUMIFS($H$1:$H$349,$AS$1:$AS$349,$AS70))</f>
        <v/>
      </c>
      <c r="V70" s="0">
        <f>IF($A70="","",SUMIFS($I$1:$I$349,$AS$1:$AS$349,$AS70))</f>
        <v/>
      </c>
      <c r="W70" s="0">
        <f>IF($A70="","",Allocation!CD70)</f>
        <v/>
      </c>
      <c r="X70" s="0">
        <f>IF($A70="","",Allocation!CE70)</f>
        <v/>
      </c>
      <c r="Y70" s="0">
        <f>IF($A70="","",Allocation!CF70)</f>
        <v/>
      </c>
      <c r="Z70" s="0">
        <f>IF($A70="","",Allocation!CG70)</f>
        <v/>
      </c>
      <c r="AA70" s="0">
        <f>IF($A70="","",Allocation!CH70)</f>
        <v/>
      </c>
      <c r="AB70" s="0">
        <f>IF($A70="","",Allocation!CI70)</f>
        <v/>
      </c>
      <c r="AC70" s="0">
        <f>IF($A70="","",IF(Allocation!$N$4="VOL_EFF",$G70,IF(Allocation!$N$4="VOL_CLASS",$H70,$I70)))</f>
        <v/>
      </c>
      <c r="AD70" s="0">
        <f>IF($A70="","",IF(Allocation!$N$4="VOL_EFF",$L70,IF(Allocation!$N$4="VOL_CLASS",$M70,$N70)))</f>
        <v/>
      </c>
      <c r="AE70" s="0">
        <f>IF($A70="","",IF(Allocation!$N$3="VOL_EFF",$L70,IF(Allocation!$N$3="VOL_CLASS",$M70,$N70)))</f>
        <v/>
      </c>
      <c r="AF70" s="0">
        <f>IF($A70="","",IF(Allocation!$N$3="VOL_EFF",$Q70,IF(Allocation!$N$3="VOL_CLASS",$R70,$S70)))</f>
        <v/>
      </c>
      <c r="AG70" s="0">
        <f>IF($A70="","",IF(Allocation!$N$1="VOL_EFF",$Q70,IF(Allocation!$N$1="VOL_CLASS",$R70,$S70)))</f>
        <v/>
      </c>
      <c r="AH70" s="0">
        <f>IF($A70="","",IF(Allocation!$N$1="VOL_EFF",$T70,IF(Allocation!$N$1="VOL_CLASS",$U70,$V70)))</f>
        <v/>
      </c>
      <c r="AI70" s="0">
        <f>IF($A70="","",$W70*IFERROR($K70/$O70,0))</f>
        <v/>
      </c>
      <c r="AJ70" s="0">
        <f>IF($A70="","",$X70*IFERROR($K70/$O70,0))</f>
        <v/>
      </c>
      <c r="AK70" s="0">
        <f>IF($A70="","",$Y70*IFERROR($G70/$L70,0)+$Z70*IFERROR($J70/$P70,0))</f>
        <v/>
      </c>
      <c r="AL70" s="0">
        <f>IF($A70="","",$AA70*IFERROR($AC70/$AD70,0))</f>
        <v/>
      </c>
      <c r="AM70" s="0">
        <f>IF($A70="","",$AB70*IFERROR($AG70/$AH70,0)*IFERROR($AE70/$AF70,0)*IFERROR($AC70/$AD70,0))</f>
        <v/>
      </c>
      <c r="AN70" s="0">
        <f>IF($A70="","",$I70-($AI70+$AJ70+$AK70+$AL70+$AM70+$AR70))</f>
        <v/>
      </c>
      <c r="AO70" s="0">
        <f>IF($A70="","",Allocation!CJ70)</f>
        <v/>
      </c>
      <c r="AP70" s="0">
        <f>IF($A70="","",IF(Allocation!$N$2="VOL_EFF",$Q70,IF(Allocation!$N$2="VOL_CLASS",$R70,$S70)))</f>
        <v/>
      </c>
      <c r="AQ70" s="0">
        <f>IF($A70="","",IF(Allocation!$N$2="VOL_EFF",$T70,IF(Allocation!$N$2="VOL_CLASS",$U70,$V70)))</f>
        <v/>
      </c>
      <c r="AR70" s="0">
        <f>IF($A70="","",$AO70*IFERROR($AP70/$AQ70,0)*IFERROR($AE70/$AF70,0)*IFERROR($AC70/$AD70,0))</f>
        <v/>
      </c>
      <c r="AS70" s="0">
        <f>IF($A70="","",$A70&amp;"|"&amp;Allocation!BG70)</f>
        <v/>
      </c>
    </row>
    <row r="71" ht="14.4975" customHeight="1" s="64">
      <c r="A71" s="0">
        <f>IF(Allocation!BI71="","",Allocation!BI71)</f>
        <v/>
      </c>
      <c r="B71" s="0">
        <f>IF(Allocation!BJ71="","",Allocation!BJ71)</f>
        <v/>
      </c>
      <c r="C71" s="0">
        <f>IF(Allocation!BK71="","",Allocation!BK71)</f>
        <v/>
      </c>
      <c r="D71" s="0">
        <f>IF(Allocation!BL71="","",Allocation!BL71)</f>
        <v/>
      </c>
      <c r="E71" s="0">
        <f>IF(Allocation!BM71="","",Allocation!BM71)</f>
        <v/>
      </c>
      <c r="F71" s="0">
        <f>IF(Allocation!BN71="","",Allocation!BN71)</f>
        <v/>
      </c>
      <c r="G71" s="0">
        <f>IF(Allocation!BO71="","",Allocation!BO71)</f>
        <v/>
      </c>
      <c r="H71" s="0">
        <f>IF(Allocation!BP71="","",Allocation!BP71)</f>
        <v/>
      </c>
      <c r="I71" s="0">
        <f>IF(Allocation!BQ71="","",Allocation!BQ71)</f>
        <v/>
      </c>
      <c r="J71" s="0">
        <f>IF(Allocation!CC71="","",Allocation!CC71)</f>
        <v/>
      </c>
      <c r="K71" s="0">
        <f>IF($A71="","",$H71*IF(AND(LEFT($D71,3)="BAC",$F71="INIT"),600,IF(LEFT($D71,3)="BAC",480,IF(AND(LEFT($D71,3)="MAS",$F71="INIT"),520,IF(LEFT($D71,3)="MAS",420,IF($F71="INIT",1000,700))))))</f>
        <v/>
      </c>
      <c r="L71" s="0">
        <f>IF($A71="","",SUMIFS($G$1:$G$349,$AS$1:$AS$349,$AS71,$B$1:$B$349,$B71))</f>
        <v/>
      </c>
      <c r="M71" s="0">
        <f>IF($A71="","",SUMIFS($H$1:$H$349,$AS$1:$AS$349,$AS71,$B$1:$B$349,$B71))</f>
        <v/>
      </c>
      <c r="N71" s="0">
        <f>IF($A71="","",SUMIFS($I$1:$I$349,$AS$1:$AS$349,$AS71,$B$1:$B$349,$B71))</f>
        <v/>
      </c>
      <c r="O71" s="0">
        <f>IF($A71="","",SUMIFS($K$1:$K$349,$AS$1:$AS$349,$AS71,$B$1:$B$349,$B71))</f>
        <v/>
      </c>
      <c r="P71" s="0">
        <f>IF($A71="","",SUMIFS($J$1:$J$349,$AS$1:$AS$349,$AS71,$B$1:$B$349,$B71))</f>
        <v/>
      </c>
      <c r="Q71" s="0">
        <f>IF($A71="","",SUMIFS($G$1:$G$349,$AS$1:$AS$349,$AS71,$C$1:$C$349,$C71))</f>
        <v/>
      </c>
      <c r="R71" s="0">
        <f>IF($A71="","",SUMIFS($H$1:$H$349,$AS$1:$AS$349,$AS71,$C$1:$C$349,$C71))</f>
        <v/>
      </c>
      <c r="S71" s="0">
        <f>IF($A71="","",SUMIFS($I$1:$I$349,$AS$1:$AS$349,$AS71,$C$1:$C$349,$C71))</f>
        <v/>
      </c>
      <c r="T71" s="0">
        <f>IF($A71="","",SUMIFS($G$1:$G$349,$AS$1:$AS$349,$AS71))</f>
        <v/>
      </c>
      <c r="U71" s="0">
        <f>IF($A71="","",SUMIFS($H$1:$H$349,$AS$1:$AS$349,$AS71))</f>
        <v/>
      </c>
      <c r="V71" s="0">
        <f>IF($A71="","",SUMIFS($I$1:$I$349,$AS$1:$AS$349,$AS71))</f>
        <v/>
      </c>
      <c r="W71" s="0">
        <f>IF($A71="","",Allocation!CD71)</f>
        <v/>
      </c>
      <c r="X71" s="0">
        <f>IF($A71="","",Allocation!CE71)</f>
        <v/>
      </c>
      <c r="Y71" s="0">
        <f>IF($A71="","",Allocation!CF71)</f>
        <v/>
      </c>
      <c r="Z71" s="0">
        <f>IF($A71="","",Allocation!CG71)</f>
        <v/>
      </c>
      <c r="AA71" s="0">
        <f>IF($A71="","",Allocation!CH71)</f>
        <v/>
      </c>
      <c r="AB71" s="0">
        <f>IF($A71="","",Allocation!CI71)</f>
        <v/>
      </c>
      <c r="AC71" s="0">
        <f>IF($A71="","",IF(Allocation!$N$4="VOL_EFF",$G71,IF(Allocation!$N$4="VOL_CLASS",$H71,$I71)))</f>
        <v/>
      </c>
      <c r="AD71" s="0">
        <f>IF($A71="","",IF(Allocation!$N$4="VOL_EFF",$L71,IF(Allocation!$N$4="VOL_CLASS",$M71,$N71)))</f>
        <v/>
      </c>
      <c r="AE71" s="0">
        <f>IF($A71="","",IF(Allocation!$N$3="VOL_EFF",$L71,IF(Allocation!$N$3="VOL_CLASS",$M71,$N71)))</f>
        <v/>
      </c>
      <c r="AF71" s="0">
        <f>IF($A71="","",IF(Allocation!$N$3="VOL_EFF",$Q71,IF(Allocation!$N$3="VOL_CLASS",$R71,$S71)))</f>
        <v/>
      </c>
      <c r="AG71" s="0">
        <f>IF($A71="","",IF(Allocation!$N$1="VOL_EFF",$Q71,IF(Allocation!$N$1="VOL_CLASS",$R71,$S71)))</f>
        <v/>
      </c>
      <c r="AH71" s="0">
        <f>IF($A71="","",IF(Allocation!$N$1="VOL_EFF",$T71,IF(Allocation!$N$1="VOL_CLASS",$U71,$V71)))</f>
        <v/>
      </c>
      <c r="AI71" s="0">
        <f>IF($A71="","",$W71*IFERROR($K71/$O71,0))</f>
        <v/>
      </c>
      <c r="AJ71" s="0">
        <f>IF($A71="","",$X71*IFERROR($K71/$O71,0))</f>
        <v/>
      </c>
      <c r="AK71" s="0">
        <f>IF($A71="","",$Y71*IFERROR($G71/$L71,0)+$Z71*IFERROR($J71/$P71,0))</f>
        <v/>
      </c>
      <c r="AL71" s="0">
        <f>IF($A71="","",$AA71*IFERROR($AC71/$AD71,0))</f>
        <v/>
      </c>
      <c r="AM71" s="0">
        <f>IF($A71="","",$AB71*IFERROR($AG71/$AH71,0)*IFERROR($AE71/$AF71,0)*IFERROR($AC71/$AD71,0))</f>
        <v/>
      </c>
      <c r="AN71" s="0">
        <f>IF($A71="","",$I71-($AI71+$AJ71+$AK71+$AL71+$AM71+$AR71))</f>
        <v/>
      </c>
      <c r="AO71" s="0">
        <f>IF($A71="","",Allocation!CJ71)</f>
        <v/>
      </c>
      <c r="AP71" s="0">
        <f>IF($A71="","",IF(Allocation!$N$2="VOL_EFF",$Q71,IF(Allocation!$N$2="VOL_CLASS",$R71,$S71)))</f>
        <v/>
      </c>
      <c r="AQ71" s="0">
        <f>IF($A71="","",IF(Allocation!$N$2="VOL_EFF",$T71,IF(Allocation!$N$2="VOL_CLASS",$U71,$V71)))</f>
        <v/>
      </c>
      <c r="AR71" s="0">
        <f>IF($A71="","",$AO71*IFERROR($AP71/$AQ71,0)*IFERROR($AE71/$AF71,0)*IFERROR($AC71/$AD71,0))</f>
        <v/>
      </c>
      <c r="AS71" s="0">
        <f>IF($A71="","",$A71&amp;"|"&amp;Allocation!BG71)</f>
        <v/>
      </c>
    </row>
    <row r="72" ht="14.4975" customHeight="1" s="64">
      <c r="A72" s="0">
        <f>IF(Allocation!BI72="","",Allocation!BI72)</f>
        <v/>
      </c>
      <c r="B72" s="0">
        <f>IF(Allocation!BJ72="","",Allocation!BJ72)</f>
        <v/>
      </c>
      <c r="C72" s="0">
        <f>IF(Allocation!BK72="","",Allocation!BK72)</f>
        <v/>
      </c>
      <c r="D72" s="0">
        <f>IF(Allocation!BL72="","",Allocation!BL72)</f>
        <v/>
      </c>
      <c r="E72" s="0">
        <f>IF(Allocation!BM72="","",Allocation!BM72)</f>
        <v/>
      </c>
      <c r="F72" s="0">
        <f>IF(Allocation!BN72="","",Allocation!BN72)</f>
        <v/>
      </c>
      <c r="G72" s="0">
        <f>IF(Allocation!BO72="","",Allocation!BO72)</f>
        <v/>
      </c>
      <c r="H72" s="0">
        <f>IF(Allocation!BP72="","",Allocation!BP72)</f>
        <v/>
      </c>
      <c r="I72" s="0">
        <f>IF(Allocation!BQ72="","",Allocation!BQ72)</f>
        <v/>
      </c>
      <c r="J72" s="0">
        <f>IF(Allocation!CC72="","",Allocation!CC72)</f>
        <v/>
      </c>
      <c r="K72" s="0">
        <f>IF($A72="","",$H72*IF(AND(LEFT($D72,3)="BAC",$F72="INIT"),600,IF(LEFT($D72,3)="BAC",480,IF(AND(LEFT($D72,3)="MAS",$F72="INIT"),520,IF(LEFT($D72,3)="MAS",420,IF($F72="INIT",1000,700))))))</f>
        <v/>
      </c>
      <c r="L72" s="0">
        <f>IF($A72="","",SUMIFS($G$1:$G$349,$AS$1:$AS$349,$AS72,$B$1:$B$349,$B72))</f>
        <v/>
      </c>
      <c r="M72" s="0">
        <f>IF($A72="","",SUMIFS($H$1:$H$349,$AS$1:$AS$349,$AS72,$B$1:$B$349,$B72))</f>
        <v/>
      </c>
      <c r="N72" s="0">
        <f>IF($A72="","",SUMIFS($I$1:$I$349,$AS$1:$AS$349,$AS72,$B$1:$B$349,$B72))</f>
        <v/>
      </c>
      <c r="O72" s="0">
        <f>IF($A72="","",SUMIFS($K$1:$K$349,$AS$1:$AS$349,$AS72,$B$1:$B$349,$B72))</f>
        <v/>
      </c>
      <c r="P72" s="0">
        <f>IF($A72="","",SUMIFS($J$1:$J$349,$AS$1:$AS$349,$AS72,$B$1:$B$349,$B72))</f>
        <v/>
      </c>
      <c r="Q72" s="0">
        <f>IF($A72="","",SUMIFS($G$1:$G$349,$AS$1:$AS$349,$AS72,$C$1:$C$349,$C72))</f>
        <v/>
      </c>
      <c r="R72" s="0">
        <f>IF($A72="","",SUMIFS($H$1:$H$349,$AS$1:$AS$349,$AS72,$C$1:$C$349,$C72))</f>
        <v/>
      </c>
      <c r="S72" s="0">
        <f>IF($A72="","",SUMIFS($I$1:$I$349,$AS$1:$AS$349,$AS72,$C$1:$C$349,$C72))</f>
        <v/>
      </c>
      <c r="T72" s="0">
        <f>IF($A72="","",SUMIFS($G$1:$G$349,$AS$1:$AS$349,$AS72))</f>
        <v/>
      </c>
      <c r="U72" s="0">
        <f>IF($A72="","",SUMIFS($H$1:$H$349,$AS$1:$AS$349,$AS72))</f>
        <v/>
      </c>
      <c r="V72" s="0">
        <f>IF($A72="","",SUMIFS($I$1:$I$349,$AS$1:$AS$349,$AS72))</f>
        <v/>
      </c>
      <c r="W72" s="0">
        <f>IF($A72="","",Allocation!CD72)</f>
        <v/>
      </c>
      <c r="X72" s="0">
        <f>IF($A72="","",Allocation!CE72)</f>
        <v/>
      </c>
      <c r="Y72" s="0">
        <f>IF($A72="","",Allocation!CF72)</f>
        <v/>
      </c>
      <c r="Z72" s="0">
        <f>IF($A72="","",Allocation!CG72)</f>
        <v/>
      </c>
      <c r="AA72" s="0">
        <f>IF($A72="","",Allocation!CH72)</f>
        <v/>
      </c>
      <c r="AB72" s="0">
        <f>IF($A72="","",Allocation!CI72)</f>
        <v/>
      </c>
      <c r="AC72" s="0">
        <f>IF($A72="","",IF(Allocation!$N$4="VOL_EFF",$G72,IF(Allocation!$N$4="VOL_CLASS",$H72,$I72)))</f>
        <v/>
      </c>
      <c r="AD72" s="0">
        <f>IF($A72="","",IF(Allocation!$N$4="VOL_EFF",$L72,IF(Allocation!$N$4="VOL_CLASS",$M72,$N72)))</f>
        <v/>
      </c>
      <c r="AE72" s="0">
        <f>IF($A72="","",IF(Allocation!$N$3="VOL_EFF",$L72,IF(Allocation!$N$3="VOL_CLASS",$M72,$N72)))</f>
        <v/>
      </c>
      <c r="AF72" s="0">
        <f>IF($A72="","",IF(Allocation!$N$3="VOL_EFF",$Q72,IF(Allocation!$N$3="VOL_CLASS",$R72,$S72)))</f>
        <v/>
      </c>
      <c r="AG72" s="0">
        <f>IF($A72="","",IF(Allocation!$N$1="VOL_EFF",$Q72,IF(Allocation!$N$1="VOL_CLASS",$R72,$S72)))</f>
        <v/>
      </c>
      <c r="AH72" s="0">
        <f>IF($A72="","",IF(Allocation!$N$1="VOL_EFF",$T72,IF(Allocation!$N$1="VOL_CLASS",$U72,$V72)))</f>
        <v/>
      </c>
      <c r="AI72" s="0">
        <f>IF($A72="","",$W72*IFERROR($K72/$O72,0))</f>
        <v/>
      </c>
      <c r="AJ72" s="0">
        <f>IF($A72="","",$X72*IFERROR($K72/$O72,0))</f>
        <v/>
      </c>
      <c r="AK72" s="0">
        <f>IF($A72="","",$Y72*IFERROR($G72/$L72,0)+$Z72*IFERROR($J72/$P72,0))</f>
        <v/>
      </c>
      <c r="AL72" s="0">
        <f>IF($A72="","",$AA72*IFERROR($AC72/$AD72,0))</f>
        <v/>
      </c>
      <c r="AM72" s="0">
        <f>IF($A72="","",$AB72*IFERROR($AG72/$AH72,0)*IFERROR($AE72/$AF72,0)*IFERROR($AC72/$AD72,0))</f>
        <v/>
      </c>
      <c r="AN72" s="0">
        <f>IF($A72="","",$I72-($AI72+$AJ72+$AK72+$AL72+$AM72+$AR72))</f>
        <v/>
      </c>
      <c r="AO72" s="0">
        <f>IF($A72="","",Allocation!CJ72)</f>
        <v/>
      </c>
      <c r="AP72" s="0">
        <f>IF($A72="","",IF(Allocation!$N$2="VOL_EFF",$Q72,IF(Allocation!$N$2="VOL_CLASS",$R72,$S72)))</f>
        <v/>
      </c>
      <c r="AQ72" s="0">
        <f>IF($A72="","",IF(Allocation!$N$2="VOL_EFF",$T72,IF(Allocation!$N$2="VOL_CLASS",$U72,$V72)))</f>
        <v/>
      </c>
      <c r="AR72" s="0">
        <f>IF($A72="","",$AO72*IFERROR($AP72/$AQ72,0)*IFERROR($AE72/$AF72,0)*IFERROR($AC72/$AD72,0))</f>
        <v/>
      </c>
      <c r="AS72" s="0">
        <f>IF($A72="","",$A72&amp;"|"&amp;Allocation!BG72)</f>
        <v/>
      </c>
    </row>
    <row r="73" ht="14.4975" customHeight="1" s="64">
      <c r="A73" s="0">
        <f>IF(Allocation!BI73="","",Allocation!BI73)</f>
        <v/>
      </c>
      <c r="B73" s="0">
        <f>IF(Allocation!BJ73="","",Allocation!BJ73)</f>
        <v/>
      </c>
      <c r="C73" s="0">
        <f>IF(Allocation!BK73="","",Allocation!BK73)</f>
        <v/>
      </c>
      <c r="D73" s="0">
        <f>IF(Allocation!BL73="","",Allocation!BL73)</f>
        <v/>
      </c>
      <c r="E73" s="0">
        <f>IF(Allocation!BM73="","",Allocation!BM73)</f>
        <v/>
      </c>
      <c r="F73" s="0">
        <f>IF(Allocation!BN73="","",Allocation!BN73)</f>
        <v/>
      </c>
      <c r="G73" s="0">
        <f>IF(Allocation!BO73="","",Allocation!BO73)</f>
        <v/>
      </c>
      <c r="H73" s="0">
        <f>IF(Allocation!BP73="","",Allocation!BP73)</f>
        <v/>
      </c>
      <c r="I73" s="0">
        <f>IF(Allocation!BQ73="","",Allocation!BQ73)</f>
        <v/>
      </c>
      <c r="J73" s="0">
        <f>IF(Allocation!CC73="","",Allocation!CC73)</f>
        <v/>
      </c>
      <c r="K73" s="0">
        <f>IF($A73="","",$H73*IF(AND(LEFT($D73,3)="BAC",$F73="INIT"),600,IF(LEFT($D73,3)="BAC",480,IF(AND(LEFT($D73,3)="MAS",$F73="INIT"),520,IF(LEFT($D73,3)="MAS",420,IF($F73="INIT",1000,700))))))</f>
        <v/>
      </c>
      <c r="L73" s="0">
        <f>IF($A73="","",SUMIFS($G$1:$G$349,$AS$1:$AS$349,$AS73,$B$1:$B$349,$B73))</f>
        <v/>
      </c>
      <c r="M73" s="0">
        <f>IF($A73="","",SUMIFS($H$1:$H$349,$AS$1:$AS$349,$AS73,$B$1:$B$349,$B73))</f>
        <v/>
      </c>
      <c r="N73" s="0">
        <f>IF($A73="","",SUMIFS($I$1:$I$349,$AS$1:$AS$349,$AS73,$B$1:$B$349,$B73))</f>
        <v/>
      </c>
      <c r="O73" s="0">
        <f>IF($A73="","",SUMIFS($K$1:$K$349,$AS$1:$AS$349,$AS73,$B$1:$B$349,$B73))</f>
        <v/>
      </c>
      <c r="P73" s="0">
        <f>IF($A73="","",SUMIFS($J$1:$J$349,$AS$1:$AS$349,$AS73,$B$1:$B$349,$B73))</f>
        <v/>
      </c>
      <c r="Q73" s="0">
        <f>IF($A73="","",SUMIFS($G$1:$G$349,$AS$1:$AS$349,$AS73,$C$1:$C$349,$C73))</f>
        <v/>
      </c>
      <c r="R73" s="0">
        <f>IF($A73="","",SUMIFS($H$1:$H$349,$AS$1:$AS$349,$AS73,$C$1:$C$349,$C73))</f>
        <v/>
      </c>
      <c r="S73" s="0">
        <f>IF($A73="","",SUMIFS($I$1:$I$349,$AS$1:$AS$349,$AS73,$C$1:$C$349,$C73))</f>
        <v/>
      </c>
      <c r="T73" s="0">
        <f>IF($A73="","",SUMIFS($G$1:$G$349,$AS$1:$AS$349,$AS73))</f>
        <v/>
      </c>
      <c r="U73" s="0">
        <f>IF($A73="","",SUMIFS($H$1:$H$349,$AS$1:$AS$349,$AS73))</f>
        <v/>
      </c>
      <c r="V73" s="0">
        <f>IF($A73="","",SUMIFS($I$1:$I$349,$AS$1:$AS$349,$AS73))</f>
        <v/>
      </c>
      <c r="W73" s="0">
        <f>IF($A73="","",Allocation!CD73)</f>
        <v/>
      </c>
      <c r="X73" s="0">
        <f>IF($A73="","",Allocation!CE73)</f>
        <v/>
      </c>
      <c r="Y73" s="0">
        <f>IF($A73="","",Allocation!CF73)</f>
        <v/>
      </c>
      <c r="Z73" s="0">
        <f>IF($A73="","",Allocation!CG73)</f>
        <v/>
      </c>
      <c r="AA73" s="0">
        <f>IF($A73="","",Allocation!CH73)</f>
        <v/>
      </c>
      <c r="AB73" s="0">
        <f>IF($A73="","",Allocation!CI73)</f>
        <v/>
      </c>
      <c r="AC73" s="0">
        <f>IF($A73="","",IF(Allocation!$N$4="VOL_EFF",$G73,IF(Allocation!$N$4="VOL_CLASS",$H73,$I73)))</f>
        <v/>
      </c>
      <c r="AD73" s="0">
        <f>IF($A73="","",IF(Allocation!$N$4="VOL_EFF",$L73,IF(Allocation!$N$4="VOL_CLASS",$M73,$N73)))</f>
        <v/>
      </c>
      <c r="AE73" s="0">
        <f>IF($A73="","",IF(Allocation!$N$3="VOL_EFF",$L73,IF(Allocation!$N$3="VOL_CLASS",$M73,$N73)))</f>
        <v/>
      </c>
      <c r="AF73" s="0">
        <f>IF($A73="","",IF(Allocation!$N$3="VOL_EFF",$Q73,IF(Allocation!$N$3="VOL_CLASS",$R73,$S73)))</f>
        <v/>
      </c>
      <c r="AG73" s="0">
        <f>IF($A73="","",IF(Allocation!$N$1="VOL_EFF",$Q73,IF(Allocation!$N$1="VOL_CLASS",$R73,$S73)))</f>
        <v/>
      </c>
      <c r="AH73" s="0">
        <f>IF($A73="","",IF(Allocation!$N$1="VOL_EFF",$T73,IF(Allocation!$N$1="VOL_CLASS",$U73,$V73)))</f>
        <v/>
      </c>
      <c r="AI73" s="0">
        <f>IF($A73="","",$W73*IFERROR($K73/$O73,0))</f>
        <v/>
      </c>
      <c r="AJ73" s="0">
        <f>IF($A73="","",$X73*IFERROR($K73/$O73,0))</f>
        <v/>
      </c>
      <c r="AK73" s="0">
        <f>IF($A73="","",$Y73*IFERROR($G73/$L73,0)+$Z73*IFERROR($J73/$P73,0))</f>
        <v/>
      </c>
      <c r="AL73" s="0">
        <f>IF($A73="","",$AA73*IFERROR($AC73/$AD73,0))</f>
        <v/>
      </c>
      <c r="AM73" s="0">
        <f>IF($A73="","",$AB73*IFERROR($AG73/$AH73,0)*IFERROR($AE73/$AF73,0)*IFERROR($AC73/$AD73,0))</f>
        <v/>
      </c>
      <c r="AN73" s="0">
        <f>IF($A73="","",$I73-($AI73+$AJ73+$AK73+$AL73+$AM73+$AR73))</f>
        <v/>
      </c>
      <c r="AO73" s="0">
        <f>IF($A73="","",Allocation!CJ73)</f>
        <v/>
      </c>
      <c r="AP73" s="0">
        <f>IF($A73="","",IF(Allocation!$N$2="VOL_EFF",$Q73,IF(Allocation!$N$2="VOL_CLASS",$R73,$S73)))</f>
        <v/>
      </c>
      <c r="AQ73" s="0">
        <f>IF($A73="","",IF(Allocation!$N$2="VOL_EFF",$T73,IF(Allocation!$N$2="VOL_CLASS",$U73,$V73)))</f>
        <v/>
      </c>
      <c r="AR73" s="0">
        <f>IF($A73="","",$AO73*IFERROR($AP73/$AQ73,0)*IFERROR($AE73/$AF73,0)*IFERROR($AC73/$AD73,0))</f>
        <v/>
      </c>
      <c r="AS73" s="0">
        <f>IF($A73="","",$A73&amp;"|"&amp;Allocation!BG73)</f>
        <v/>
      </c>
    </row>
    <row r="74" ht="14.4975" customHeight="1" s="64">
      <c r="A74" s="0">
        <f>IF(Allocation!BI74="","",Allocation!BI74)</f>
        <v/>
      </c>
      <c r="B74" s="0">
        <f>IF(Allocation!BJ74="","",Allocation!BJ74)</f>
        <v/>
      </c>
      <c r="C74" s="0">
        <f>IF(Allocation!BK74="","",Allocation!BK74)</f>
        <v/>
      </c>
      <c r="D74" s="0">
        <f>IF(Allocation!BL74="","",Allocation!BL74)</f>
        <v/>
      </c>
      <c r="E74" s="0">
        <f>IF(Allocation!BM74="","",Allocation!BM74)</f>
        <v/>
      </c>
      <c r="F74" s="0">
        <f>IF(Allocation!BN74="","",Allocation!BN74)</f>
        <v/>
      </c>
      <c r="G74" s="0">
        <f>IF(Allocation!BO74="","",Allocation!BO74)</f>
        <v/>
      </c>
      <c r="H74" s="0">
        <f>IF(Allocation!BP74="","",Allocation!BP74)</f>
        <v/>
      </c>
      <c r="I74" s="0">
        <f>IF(Allocation!BQ74="","",Allocation!BQ74)</f>
        <v/>
      </c>
      <c r="J74" s="0">
        <f>IF(Allocation!CC74="","",Allocation!CC74)</f>
        <v/>
      </c>
      <c r="K74" s="0">
        <f>IF($A74="","",$H74*IF(AND(LEFT($D74,3)="BAC",$F74="INIT"),600,IF(LEFT($D74,3)="BAC",480,IF(AND(LEFT($D74,3)="MAS",$F74="INIT"),520,IF(LEFT($D74,3)="MAS",420,IF($F74="INIT",1000,700))))))</f>
        <v/>
      </c>
      <c r="L74" s="0">
        <f>IF($A74="","",SUMIFS($G$1:$G$349,$AS$1:$AS$349,$AS74,$B$1:$B$349,$B74))</f>
        <v/>
      </c>
      <c r="M74" s="0">
        <f>IF($A74="","",SUMIFS($H$1:$H$349,$AS$1:$AS$349,$AS74,$B$1:$B$349,$B74))</f>
        <v/>
      </c>
      <c r="N74" s="0">
        <f>IF($A74="","",SUMIFS($I$1:$I$349,$AS$1:$AS$349,$AS74,$B$1:$B$349,$B74))</f>
        <v/>
      </c>
      <c r="O74" s="0">
        <f>IF($A74="","",SUMIFS($K$1:$K$349,$AS$1:$AS$349,$AS74,$B$1:$B$349,$B74))</f>
        <v/>
      </c>
      <c r="P74" s="0">
        <f>IF($A74="","",SUMIFS($J$1:$J$349,$AS$1:$AS$349,$AS74,$B$1:$B$349,$B74))</f>
        <v/>
      </c>
      <c r="Q74" s="0">
        <f>IF($A74="","",SUMIFS($G$1:$G$349,$AS$1:$AS$349,$AS74,$C$1:$C$349,$C74))</f>
        <v/>
      </c>
      <c r="R74" s="0">
        <f>IF($A74="","",SUMIFS($H$1:$H$349,$AS$1:$AS$349,$AS74,$C$1:$C$349,$C74))</f>
        <v/>
      </c>
      <c r="S74" s="0">
        <f>IF($A74="","",SUMIFS($I$1:$I$349,$AS$1:$AS$349,$AS74,$C$1:$C$349,$C74))</f>
        <v/>
      </c>
      <c r="T74" s="0">
        <f>IF($A74="","",SUMIFS($G$1:$G$349,$AS$1:$AS$349,$AS74))</f>
        <v/>
      </c>
      <c r="U74" s="0">
        <f>IF($A74="","",SUMIFS($H$1:$H$349,$AS$1:$AS$349,$AS74))</f>
        <v/>
      </c>
      <c r="V74" s="0">
        <f>IF($A74="","",SUMIFS($I$1:$I$349,$AS$1:$AS$349,$AS74))</f>
        <v/>
      </c>
      <c r="W74" s="0">
        <f>IF($A74="","",Allocation!CD74)</f>
        <v/>
      </c>
      <c r="X74" s="0">
        <f>IF($A74="","",Allocation!CE74)</f>
        <v/>
      </c>
      <c r="Y74" s="0">
        <f>IF($A74="","",Allocation!CF74)</f>
        <v/>
      </c>
      <c r="Z74" s="0">
        <f>IF($A74="","",Allocation!CG74)</f>
        <v/>
      </c>
      <c r="AA74" s="0">
        <f>IF($A74="","",Allocation!CH74)</f>
        <v/>
      </c>
      <c r="AB74" s="0">
        <f>IF($A74="","",Allocation!CI74)</f>
        <v/>
      </c>
      <c r="AC74" s="0">
        <f>IF($A74="","",IF(Allocation!$N$4="VOL_EFF",$G74,IF(Allocation!$N$4="VOL_CLASS",$H74,$I74)))</f>
        <v/>
      </c>
      <c r="AD74" s="0">
        <f>IF($A74="","",IF(Allocation!$N$4="VOL_EFF",$L74,IF(Allocation!$N$4="VOL_CLASS",$M74,$N74)))</f>
        <v/>
      </c>
      <c r="AE74" s="0">
        <f>IF($A74="","",IF(Allocation!$N$3="VOL_EFF",$L74,IF(Allocation!$N$3="VOL_CLASS",$M74,$N74)))</f>
        <v/>
      </c>
      <c r="AF74" s="0">
        <f>IF($A74="","",IF(Allocation!$N$3="VOL_EFF",$Q74,IF(Allocation!$N$3="VOL_CLASS",$R74,$S74)))</f>
        <v/>
      </c>
      <c r="AG74" s="0">
        <f>IF($A74="","",IF(Allocation!$N$1="VOL_EFF",$Q74,IF(Allocation!$N$1="VOL_CLASS",$R74,$S74)))</f>
        <v/>
      </c>
      <c r="AH74" s="0">
        <f>IF($A74="","",IF(Allocation!$N$1="VOL_EFF",$T74,IF(Allocation!$N$1="VOL_CLASS",$U74,$V74)))</f>
        <v/>
      </c>
      <c r="AI74" s="0">
        <f>IF($A74="","",$W74*IFERROR($K74/$O74,0))</f>
        <v/>
      </c>
      <c r="AJ74" s="0">
        <f>IF($A74="","",$X74*IFERROR($K74/$O74,0))</f>
        <v/>
      </c>
      <c r="AK74" s="0">
        <f>IF($A74="","",$Y74*IFERROR($G74/$L74,0)+$Z74*IFERROR($J74/$P74,0))</f>
        <v/>
      </c>
      <c r="AL74" s="0">
        <f>IF($A74="","",$AA74*IFERROR($AC74/$AD74,0))</f>
        <v/>
      </c>
      <c r="AM74" s="0">
        <f>IF($A74="","",$AB74*IFERROR($AG74/$AH74,0)*IFERROR($AE74/$AF74,0)*IFERROR($AC74/$AD74,0))</f>
        <v/>
      </c>
      <c r="AN74" s="0">
        <f>IF($A74="","",$I74-($AI74+$AJ74+$AK74+$AL74+$AM74+$AR74))</f>
        <v/>
      </c>
      <c r="AO74" s="0">
        <f>IF($A74="","",Allocation!CJ74)</f>
        <v/>
      </c>
      <c r="AP74" s="0">
        <f>IF($A74="","",IF(Allocation!$N$2="VOL_EFF",$Q74,IF(Allocation!$N$2="VOL_CLASS",$R74,$S74)))</f>
        <v/>
      </c>
      <c r="AQ74" s="0">
        <f>IF($A74="","",IF(Allocation!$N$2="VOL_EFF",$T74,IF(Allocation!$N$2="VOL_CLASS",$U74,$V74)))</f>
        <v/>
      </c>
      <c r="AR74" s="0">
        <f>IF($A74="","",$AO74*IFERROR($AP74/$AQ74,0)*IFERROR($AE74/$AF74,0)*IFERROR($AC74/$AD74,0))</f>
        <v/>
      </c>
      <c r="AS74" s="0">
        <f>IF($A74="","",$A74&amp;"|"&amp;Allocation!BG74)</f>
        <v/>
      </c>
    </row>
    <row r="75" ht="14.4975" customHeight="1" s="64">
      <c r="A75" s="0">
        <f>IF(Allocation!BI75="","",Allocation!BI75)</f>
        <v/>
      </c>
      <c r="B75" s="0">
        <f>IF(Allocation!BJ75="","",Allocation!BJ75)</f>
        <v/>
      </c>
      <c r="C75" s="0">
        <f>IF(Allocation!BK75="","",Allocation!BK75)</f>
        <v/>
      </c>
      <c r="D75" s="0">
        <f>IF(Allocation!BL75="","",Allocation!BL75)</f>
        <v/>
      </c>
      <c r="E75" s="0">
        <f>IF(Allocation!BM75="","",Allocation!BM75)</f>
        <v/>
      </c>
      <c r="F75" s="0">
        <f>IF(Allocation!BN75="","",Allocation!BN75)</f>
        <v/>
      </c>
      <c r="G75" s="0">
        <f>IF(Allocation!BO75="","",Allocation!BO75)</f>
        <v/>
      </c>
      <c r="H75" s="0">
        <f>IF(Allocation!BP75="","",Allocation!BP75)</f>
        <v/>
      </c>
      <c r="I75" s="0">
        <f>IF(Allocation!BQ75="","",Allocation!BQ75)</f>
        <v/>
      </c>
      <c r="J75" s="0">
        <f>IF(Allocation!CC75="","",Allocation!CC75)</f>
        <v/>
      </c>
      <c r="K75" s="0">
        <f>IF($A75="","",$H75*IF(AND(LEFT($D75,3)="BAC",$F75="INIT"),600,IF(LEFT($D75,3)="BAC",480,IF(AND(LEFT($D75,3)="MAS",$F75="INIT"),520,IF(LEFT($D75,3)="MAS",420,IF($F75="INIT",1000,700))))))</f>
        <v/>
      </c>
      <c r="L75" s="0">
        <f>IF($A75="","",SUMIFS($G$1:$G$349,$AS$1:$AS$349,$AS75,$B$1:$B$349,$B75))</f>
        <v/>
      </c>
      <c r="M75" s="0">
        <f>IF($A75="","",SUMIFS($H$1:$H$349,$AS$1:$AS$349,$AS75,$B$1:$B$349,$B75))</f>
        <v/>
      </c>
      <c r="N75" s="0">
        <f>IF($A75="","",SUMIFS($I$1:$I$349,$AS$1:$AS$349,$AS75,$B$1:$B$349,$B75))</f>
        <v/>
      </c>
      <c r="O75" s="0">
        <f>IF($A75="","",SUMIFS($K$1:$K$349,$AS$1:$AS$349,$AS75,$B$1:$B$349,$B75))</f>
        <v/>
      </c>
      <c r="P75" s="0">
        <f>IF($A75="","",SUMIFS($J$1:$J$349,$AS$1:$AS$349,$AS75,$B$1:$B$349,$B75))</f>
        <v/>
      </c>
      <c r="Q75" s="0">
        <f>IF($A75="","",SUMIFS($G$1:$G$349,$AS$1:$AS$349,$AS75,$C$1:$C$349,$C75))</f>
        <v/>
      </c>
      <c r="R75" s="0">
        <f>IF($A75="","",SUMIFS($H$1:$H$349,$AS$1:$AS$349,$AS75,$C$1:$C$349,$C75))</f>
        <v/>
      </c>
      <c r="S75" s="0">
        <f>IF($A75="","",SUMIFS($I$1:$I$349,$AS$1:$AS$349,$AS75,$C$1:$C$349,$C75))</f>
        <v/>
      </c>
      <c r="T75" s="0">
        <f>IF($A75="","",SUMIFS($G$1:$G$349,$AS$1:$AS$349,$AS75))</f>
        <v/>
      </c>
      <c r="U75" s="0">
        <f>IF($A75="","",SUMIFS($H$1:$H$349,$AS$1:$AS$349,$AS75))</f>
        <v/>
      </c>
      <c r="V75" s="0">
        <f>IF($A75="","",SUMIFS($I$1:$I$349,$AS$1:$AS$349,$AS75))</f>
        <v/>
      </c>
      <c r="W75" s="0">
        <f>IF($A75="","",Allocation!CD75)</f>
        <v/>
      </c>
      <c r="X75" s="0">
        <f>IF($A75="","",Allocation!CE75)</f>
        <v/>
      </c>
      <c r="Y75" s="0">
        <f>IF($A75="","",Allocation!CF75)</f>
        <v/>
      </c>
      <c r="Z75" s="0">
        <f>IF($A75="","",Allocation!CG75)</f>
        <v/>
      </c>
      <c r="AA75" s="0">
        <f>IF($A75="","",Allocation!CH75)</f>
        <v/>
      </c>
      <c r="AB75" s="0">
        <f>IF($A75="","",Allocation!CI75)</f>
        <v/>
      </c>
      <c r="AC75" s="0">
        <f>IF($A75="","",IF(Allocation!$N$4="VOL_EFF",$G75,IF(Allocation!$N$4="VOL_CLASS",$H75,$I75)))</f>
        <v/>
      </c>
      <c r="AD75" s="0">
        <f>IF($A75="","",IF(Allocation!$N$4="VOL_EFF",$L75,IF(Allocation!$N$4="VOL_CLASS",$M75,$N75)))</f>
        <v/>
      </c>
      <c r="AE75" s="0">
        <f>IF($A75="","",IF(Allocation!$N$3="VOL_EFF",$L75,IF(Allocation!$N$3="VOL_CLASS",$M75,$N75)))</f>
        <v/>
      </c>
      <c r="AF75" s="0">
        <f>IF($A75="","",IF(Allocation!$N$3="VOL_EFF",$Q75,IF(Allocation!$N$3="VOL_CLASS",$R75,$S75)))</f>
        <v/>
      </c>
      <c r="AG75" s="0">
        <f>IF($A75="","",IF(Allocation!$N$1="VOL_EFF",$Q75,IF(Allocation!$N$1="VOL_CLASS",$R75,$S75)))</f>
        <v/>
      </c>
      <c r="AH75" s="0">
        <f>IF($A75="","",IF(Allocation!$N$1="VOL_EFF",$T75,IF(Allocation!$N$1="VOL_CLASS",$U75,$V75)))</f>
        <v/>
      </c>
      <c r="AI75" s="0">
        <f>IF($A75="","",$W75*IFERROR($K75/$O75,0))</f>
        <v/>
      </c>
      <c r="AJ75" s="0">
        <f>IF($A75="","",$X75*IFERROR($K75/$O75,0))</f>
        <v/>
      </c>
      <c r="AK75" s="0">
        <f>IF($A75="","",$Y75*IFERROR($G75/$L75,0)+$Z75*IFERROR($J75/$P75,0))</f>
        <v/>
      </c>
      <c r="AL75" s="0">
        <f>IF($A75="","",$AA75*IFERROR($AC75/$AD75,0))</f>
        <v/>
      </c>
      <c r="AM75" s="0">
        <f>IF($A75="","",$AB75*IFERROR($AG75/$AH75,0)*IFERROR($AE75/$AF75,0)*IFERROR($AC75/$AD75,0))</f>
        <v/>
      </c>
      <c r="AN75" s="0">
        <f>IF($A75="","",$I75-($AI75+$AJ75+$AK75+$AL75+$AM75+$AR75))</f>
        <v/>
      </c>
      <c r="AO75" s="0">
        <f>IF($A75="","",Allocation!CJ75)</f>
        <v/>
      </c>
      <c r="AP75" s="0">
        <f>IF($A75="","",IF(Allocation!$N$2="VOL_EFF",$Q75,IF(Allocation!$N$2="VOL_CLASS",$R75,$S75)))</f>
        <v/>
      </c>
      <c r="AQ75" s="0">
        <f>IF($A75="","",IF(Allocation!$N$2="VOL_EFF",$T75,IF(Allocation!$N$2="VOL_CLASS",$U75,$V75)))</f>
        <v/>
      </c>
      <c r="AR75" s="0">
        <f>IF($A75="","",$AO75*IFERROR($AP75/$AQ75,0)*IFERROR($AE75/$AF75,0)*IFERROR($AC75/$AD75,0))</f>
        <v/>
      </c>
      <c r="AS75" s="0">
        <f>IF($A75="","",$A75&amp;"|"&amp;Allocation!BG75)</f>
        <v/>
      </c>
    </row>
    <row r="76" ht="14.4975" customHeight="1" s="64">
      <c r="A76" s="0">
        <f>IF(Allocation!BI76="","",Allocation!BI76)</f>
        <v/>
      </c>
      <c r="B76" s="0">
        <f>IF(Allocation!BJ76="","",Allocation!BJ76)</f>
        <v/>
      </c>
      <c r="C76" s="0">
        <f>IF(Allocation!BK76="","",Allocation!BK76)</f>
        <v/>
      </c>
      <c r="D76" s="0">
        <f>IF(Allocation!BL76="","",Allocation!BL76)</f>
        <v/>
      </c>
      <c r="E76" s="0">
        <f>IF(Allocation!BM76="","",Allocation!BM76)</f>
        <v/>
      </c>
      <c r="F76" s="0">
        <f>IF(Allocation!BN76="","",Allocation!BN76)</f>
        <v/>
      </c>
      <c r="G76" s="0">
        <f>IF(Allocation!BO76="","",Allocation!BO76)</f>
        <v/>
      </c>
      <c r="H76" s="0">
        <f>IF(Allocation!BP76="","",Allocation!BP76)</f>
        <v/>
      </c>
      <c r="I76" s="0">
        <f>IF(Allocation!BQ76="","",Allocation!BQ76)</f>
        <v/>
      </c>
      <c r="J76" s="0">
        <f>IF(Allocation!CC76="","",Allocation!CC76)</f>
        <v/>
      </c>
      <c r="K76" s="0">
        <f>IF($A76="","",$H76*IF(AND(LEFT($D76,3)="BAC",$F76="INIT"),600,IF(LEFT($D76,3)="BAC",480,IF(AND(LEFT($D76,3)="MAS",$F76="INIT"),520,IF(LEFT($D76,3)="MAS",420,IF($F76="INIT",1000,700))))))</f>
        <v/>
      </c>
      <c r="L76" s="0">
        <f>IF($A76="","",SUMIFS($G$1:$G$349,$AS$1:$AS$349,$AS76,$B$1:$B$349,$B76))</f>
        <v/>
      </c>
      <c r="M76" s="0">
        <f>IF($A76="","",SUMIFS($H$1:$H$349,$AS$1:$AS$349,$AS76,$B$1:$B$349,$B76))</f>
        <v/>
      </c>
      <c r="N76" s="0">
        <f>IF($A76="","",SUMIFS($I$1:$I$349,$AS$1:$AS$349,$AS76,$B$1:$B$349,$B76))</f>
        <v/>
      </c>
      <c r="O76" s="0">
        <f>IF($A76="","",SUMIFS($K$1:$K$349,$AS$1:$AS$349,$AS76,$B$1:$B$349,$B76))</f>
        <v/>
      </c>
      <c r="P76" s="0">
        <f>IF($A76="","",SUMIFS($J$1:$J$349,$AS$1:$AS$349,$AS76,$B$1:$B$349,$B76))</f>
        <v/>
      </c>
      <c r="Q76" s="0">
        <f>IF($A76="","",SUMIFS($G$1:$G$349,$AS$1:$AS$349,$AS76,$C$1:$C$349,$C76))</f>
        <v/>
      </c>
      <c r="R76" s="0">
        <f>IF($A76="","",SUMIFS($H$1:$H$349,$AS$1:$AS$349,$AS76,$C$1:$C$349,$C76))</f>
        <v/>
      </c>
      <c r="S76" s="0">
        <f>IF($A76="","",SUMIFS($I$1:$I$349,$AS$1:$AS$349,$AS76,$C$1:$C$349,$C76))</f>
        <v/>
      </c>
      <c r="T76" s="0">
        <f>IF($A76="","",SUMIFS($G$1:$G$349,$AS$1:$AS$349,$AS76))</f>
        <v/>
      </c>
      <c r="U76" s="0">
        <f>IF($A76="","",SUMIFS($H$1:$H$349,$AS$1:$AS$349,$AS76))</f>
        <v/>
      </c>
      <c r="V76" s="0">
        <f>IF($A76="","",SUMIFS($I$1:$I$349,$AS$1:$AS$349,$AS76))</f>
        <v/>
      </c>
      <c r="W76" s="0">
        <f>IF($A76="","",Allocation!CD76)</f>
        <v/>
      </c>
      <c r="X76" s="0">
        <f>IF($A76="","",Allocation!CE76)</f>
        <v/>
      </c>
      <c r="Y76" s="0">
        <f>IF($A76="","",Allocation!CF76)</f>
        <v/>
      </c>
      <c r="Z76" s="0">
        <f>IF($A76="","",Allocation!CG76)</f>
        <v/>
      </c>
      <c r="AA76" s="0">
        <f>IF($A76="","",Allocation!CH76)</f>
        <v/>
      </c>
      <c r="AB76" s="0">
        <f>IF($A76="","",Allocation!CI76)</f>
        <v/>
      </c>
      <c r="AC76" s="0">
        <f>IF($A76="","",IF(Allocation!$N$4="VOL_EFF",$G76,IF(Allocation!$N$4="VOL_CLASS",$H76,$I76)))</f>
        <v/>
      </c>
      <c r="AD76" s="0">
        <f>IF($A76="","",IF(Allocation!$N$4="VOL_EFF",$L76,IF(Allocation!$N$4="VOL_CLASS",$M76,$N76)))</f>
        <v/>
      </c>
      <c r="AE76" s="0">
        <f>IF($A76="","",IF(Allocation!$N$3="VOL_EFF",$L76,IF(Allocation!$N$3="VOL_CLASS",$M76,$N76)))</f>
        <v/>
      </c>
      <c r="AF76" s="0">
        <f>IF($A76="","",IF(Allocation!$N$3="VOL_EFF",$Q76,IF(Allocation!$N$3="VOL_CLASS",$R76,$S76)))</f>
        <v/>
      </c>
      <c r="AG76" s="0">
        <f>IF($A76="","",IF(Allocation!$N$1="VOL_EFF",$Q76,IF(Allocation!$N$1="VOL_CLASS",$R76,$S76)))</f>
        <v/>
      </c>
      <c r="AH76" s="0">
        <f>IF($A76="","",IF(Allocation!$N$1="VOL_EFF",$T76,IF(Allocation!$N$1="VOL_CLASS",$U76,$V76)))</f>
        <v/>
      </c>
      <c r="AI76" s="0">
        <f>IF($A76="","",$W76*IFERROR($K76/$O76,0))</f>
        <v/>
      </c>
      <c r="AJ76" s="0">
        <f>IF($A76="","",$X76*IFERROR($K76/$O76,0))</f>
        <v/>
      </c>
      <c r="AK76" s="0">
        <f>IF($A76="","",$Y76*IFERROR($G76/$L76,0)+$Z76*IFERROR($J76/$P76,0))</f>
        <v/>
      </c>
      <c r="AL76" s="0">
        <f>IF($A76="","",$AA76*IFERROR($AC76/$AD76,0))</f>
        <v/>
      </c>
      <c r="AM76" s="0">
        <f>IF($A76="","",$AB76*IFERROR($AG76/$AH76,0)*IFERROR($AE76/$AF76,0)*IFERROR($AC76/$AD76,0))</f>
        <v/>
      </c>
      <c r="AN76" s="0">
        <f>IF($A76="","",$I76-($AI76+$AJ76+$AK76+$AL76+$AM76+$AR76))</f>
        <v/>
      </c>
      <c r="AO76" s="0">
        <f>IF($A76="","",Allocation!CJ76)</f>
        <v/>
      </c>
      <c r="AP76" s="0">
        <f>IF($A76="","",IF(Allocation!$N$2="VOL_EFF",$Q76,IF(Allocation!$N$2="VOL_CLASS",$R76,$S76)))</f>
        <v/>
      </c>
      <c r="AQ76" s="0">
        <f>IF($A76="","",IF(Allocation!$N$2="VOL_EFF",$T76,IF(Allocation!$N$2="VOL_CLASS",$U76,$V76)))</f>
        <v/>
      </c>
      <c r="AR76" s="0">
        <f>IF($A76="","",$AO76*IFERROR($AP76/$AQ76,0)*IFERROR($AE76/$AF76,0)*IFERROR($AC76/$AD76,0))</f>
        <v/>
      </c>
      <c r="AS76" s="0">
        <f>IF($A76="","",$A76&amp;"|"&amp;Allocation!BG76)</f>
        <v/>
      </c>
    </row>
    <row r="77" ht="14.4975" customHeight="1" s="64">
      <c r="A77" s="0">
        <f>IF(Allocation!BI77="","",Allocation!BI77)</f>
        <v/>
      </c>
      <c r="B77" s="0">
        <f>IF(Allocation!BJ77="","",Allocation!BJ77)</f>
        <v/>
      </c>
      <c r="C77" s="0">
        <f>IF(Allocation!BK77="","",Allocation!BK77)</f>
        <v/>
      </c>
      <c r="D77" s="0">
        <f>IF(Allocation!BL77="","",Allocation!BL77)</f>
        <v/>
      </c>
      <c r="E77" s="0">
        <f>IF(Allocation!BM77="","",Allocation!BM77)</f>
        <v/>
      </c>
      <c r="F77" s="0">
        <f>IF(Allocation!BN77="","",Allocation!BN77)</f>
        <v/>
      </c>
      <c r="G77" s="0">
        <f>IF(Allocation!BO77="","",Allocation!BO77)</f>
        <v/>
      </c>
      <c r="H77" s="0">
        <f>IF(Allocation!BP77="","",Allocation!BP77)</f>
        <v/>
      </c>
      <c r="I77" s="0">
        <f>IF(Allocation!BQ77="","",Allocation!BQ77)</f>
        <v/>
      </c>
      <c r="J77" s="0">
        <f>IF(Allocation!CC77="","",Allocation!CC77)</f>
        <v/>
      </c>
      <c r="K77" s="0">
        <f>IF($A77="","",$H77*IF(AND(LEFT($D77,3)="BAC",$F77="INIT"),600,IF(LEFT($D77,3)="BAC",480,IF(AND(LEFT($D77,3)="MAS",$F77="INIT"),520,IF(LEFT($D77,3)="MAS",420,IF($F77="INIT",1000,700))))))</f>
        <v/>
      </c>
      <c r="L77" s="0">
        <f>IF($A77="","",SUMIFS($G$1:$G$349,$AS$1:$AS$349,$AS77,$B$1:$B$349,$B77))</f>
        <v/>
      </c>
      <c r="M77" s="0">
        <f>IF($A77="","",SUMIFS($H$1:$H$349,$AS$1:$AS$349,$AS77,$B$1:$B$349,$B77))</f>
        <v/>
      </c>
      <c r="N77" s="0">
        <f>IF($A77="","",SUMIFS($I$1:$I$349,$AS$1:$AS$349,$AS77,$B$1:$B$349,$B77))</f>
        <v/>
      </c>
      <c r="O77" s="0">
        <f>IF($A77="","",SUMIFS($K$1:$K$349,$AS$1:$AS$349,$AS77,$B$1:$B$349,$B77))</f>
        <v/>
      </c>
      <c r="P77" s="0">
        <f>IF($A77="","",SUMIFS($J$1:$J$349,$AS$1:$AS$349,$AS77,$B$1:$B$349,$B77))</f>
        <v/>
      </c>
      <c r="Q77" s="0">
        <f>IF($A77="","",SUMIFS($G$1:$G$349,$AS$1:$AS$349,$AS77,$C$1:$C$349,$C77))</f>
        <v/>
      </c>
      <c r="R77" s="0">
        <f>IF($A77="","",SUMIFS($H$1:$H$349,$AS$1:$AS$349,$AS77,$C$1:$C$349,$C77))</f>
        <v/>
      </c>
      <c r="S77" s="0">
        <f>IF($A77="","",SUMIFS($I$1:$I$349,$AS$1:$AS$349,$AS77,$C$1:$C$349,$C77))</f>
        <v/>
      </c>
      <c r="T77" s="0">
        <f>IF($A77="","",SUMIFS($G$1:$G$349,$AS$1:$AS$349,$AS77))</f>
        <v/>
      </c>
      <c r="U77" s="0">
        <f>IF($A77="","",SUMIFS($H$1:$H$349,$AS$1:$AS$349,$AS77))</f>
        <v/>
      </c>
      <c r="V77" s="0">
        <f>IF($A77="","",SUMIFS($I$1:$I$349,$AS$1:$AS$349,$AS77))</f>
        <v/>
      </c>
      <c r="W77" s="0">
        <f>IF($A77="","",Allocation!CD77)</f>
        <v/>
      </c>
      <c r="X77" s="0">
        <f>IF($A77="","",Allocation!CE77)</f>
        <v/>
      </c>
      <c r="Y77" s="0">
        <f>IF($A77="","",Allocation!CF77)</f>
        <v/>
      </c>
      <c r="Z77" s="0">
        <f>IF($A77="","",Allocation!CG77)</f>
        <v/>
      </c>
      <c r="AA77" s="0">
        <f>IF($A77="","",Allocation!CH77)</f>
        <v/>
      </c>
      <c r="AB77" s="0">
        <f>IF($A77="","",Allocation!CI77)</f>
        <v/>
      </c>
      <c r="AC77" s="0">
        <f>IF($A77="","",IF(Allocation!$N$4="VOL_EFF",$G77,IF(Allocation!$N$4="VOL_CLASS",$H77,$I77)))</f>
        <v/>
      </c>
      <c r="AD77" s="0">
        <f>IF($A77="","",IF(Allocation!$N$4="VOL_EFF",$L77,IF(Allocation!$N$4="VOL_CLASS",$M77,$N77)))</f>
        <v/>
      </c>
      <c r="AE77" s="0">
        <f>IF($A77="","",IF(Allocation!$N$3="VOL_EFF",$L77,IF(Allocation!$N$3="VOL_CLASS",$M77,$N77)))</f>
        <v/>
      </c>
      <c r="AF77" s="0">
        <f>IF($A77="","",IF(Allocation!$N$3="VOL_EFF",$Q77,IF(Allocation!$N$3="VOL_CLASS",$R77,$S77)))</f>
        <v/>
      </c>
      <c r="AG77" s="0">
        <f>IF($A77="","",IF(Allocation!$N$1="VOL_EFF",$Q77,IF(Allocation!$N$1="VOL_CLASS",$R77,$S77)))</f>
        <v/>
      </c>
      <c r="AH77" s="0">
        <f>IF($A77="","",IF(Allocation!$N$1="VOL_EFF",$T77,IF(Allocation!$N$1="VOL_CLASS",$U77,$V77)))</f>
        <v/>
      </c>
      <c r="AI77" s="0">
        <f>IF($A77="","",$W77*IFERROR($K77/$O77,0))</f>
        <v/>
      </c>
      <c r="AJ77" s="0">
        <f>IF($A77="","",$X77*IFERROR($K77/$O77,0))</f>
        <v/>
      </c>
      <c r="AK77" s="0">
        <f>IF($A77="","",$Y77*IFERROR($G77/$L77,0)+$Z77*IFERROR($J77/$P77,0))</f>
        <v/>
      </c>
      <c r="AL77" s="0">
        <f>IF($A77="","",$AA77*IFERROR($AC77/$AD77,0))</f>
        <v/>
      </c>
      <c r="AM77" s="0">
        <f>IF($A77="","",$AB77*IFERROR($AG77/$AH77,0)*IFERROR($AE77/$AF77,0)*IFERROR($AC77/$AD77,0))</f>
        <v/>
      </c>
      <c r="AN77" s="0">
        <f>IF($A77="","",$I77-($AI77+$AJ77+$AK77+$AL77+$AM77+$AR77))</f>
        <v/>
      </c>
      <c r="AO77" s="0">
        <f>IF($A77="","",Allocation!CJ77)</f>
        <v/>
      </c>
      <c r="AP77" s="0">
        <f>IF($A77="","",IF(Allocation!$N$2="VOL_EFF",$Q77,IF(Allocation!$N$2="VOL_CLASS",$R77,$S77)))</f>
        <v/>
      </c>
      <c r="AQ77" s="0">
        <f>IF($A77="","",IF(Allocation!$N$2="VOL_EFF",$T77,IF(Allocation!$N$2="VOL_CLASS",$U77,$V77)))</f>
        <v/>
      </c>
      <c r="AR77" s="0">
        <f>IF($A77="","",$AO77*IFERROR($AP77/$AQ77,0)*IFERROR($AE77/$AF77,0)*IFERROR($AC77/$AD77,0))</f>
        <v/>
      </c>
      <c r="AS77" s="0">
        <f>IF($A77="","",$A77&amp;"|"&amp;Allocation!BG77)</f>
        <v/>
      </c>
    </row>
    <row r="78" ht="14.4975" customHeight="1" s="64">
      <c r="A78" s="0">
        <f>IF(Allocation!BI78="","",Allocation!BI78)</f>
        <v/>
      </c>
      <c r="B78" s="0">
        <f>IF(Allocation!BJ78="","",Allocation!BJ78)</f>
        <v/>
      </c>
      <c r="C78" s="0">
        <f>IF(Allocation!BK78="","",Allocation!BK78)</f>
        <v/>
      </c>
      <c r="D78" s="0">
        <f>IF(Allocation!BL78="","",Allocation!BL78)</f>
        <v/>
      </c>
      <c r="E78" s="0">
        <f>IF(Allocation!BM78="","",Allocation!BM78)</f>
        <v/>
      </c>
      <c r="F78" s="0">
        <f>IF(Allocation!BN78="","",Allocation!BN78)</f>
        <v/>
      </c>
      <c r="G78" s="0">
        <f>IF(Allocation!BO78="","",Allocation!BO78)</f>
        <v/>
      </c>
      <c r="H78" s="0">
        <f>IF(Allocation!BP78="","",Allocation!BP78)</f>
        <v/>
      </c>
      <c r="I78" s="0">
        <f>IF(Allocation!BQ78="","",Allocation!BQ78)</f>
        <v/>
      </c>
      <c r="J78" s="0">
        <f>IF(Allocation!CC78="","",Allocation!CC78)</f>
        <v/>
      </c>
      <c r="K78" s="0">
        <f>IF($A78="","",$H78*IF(AND(LEFT($D78,3)="BAC",$F78="INIT"),600,IF(LEFT($D78,3)="BAC",480,IF(AND(LEFT($D78,3)="MAS",$F78="INIT"),520,IF(LEFT($D78,3)="MAS",420,IF($F78="INIT",1000,700))))))</f>
        <v/>
      </c>
      <c r="L78" s="0">
        <f>IF($A78="","",SUMIFS($G$1:$G$349,$AS$1:$AS$349,$AS78,$B$1:$B$349,$B78))</f>
        <v/>
      </c>
      <c r="M78" s="0">
        <f>IF($A78="","",SUMIFS($H$1:$H$349,$AS$1:$AS$349,$AS78,$B$1:$B$349,$B78))</f>
        <v/>
      </c>
      <c r="N78" s="0">
        <f>IF($A78="","",SUMIFS($I$1:$I$349,$AS$1:$AS$349,$AS78,$B$1:$B$349,$B78))</f>
        <v/>
      </c>
      <c r="O78" s="0">
        <f>IF($A78="","",SUMIFS($K$1:$K$349,$AS$1:$AS$349,$AS78,$B$1:$B$349,$B78))</f>
        <v/>
      </c>
      <c r="P78" s="0">
        <f>IF($A78="","",SUMIFS($J$1:$J$349,$AS$1:$AS$349,$AS78,$B$1:$B$349,$B78))</f>
        <v/>
      </c>
      <c r="Q78" s="0">
        <f>IF($A78="","",SUMIFS($G$1:$G$349,$AS$1:$AS$349,$AS78,$C$1:$C$349,$C78))</f>
        <v/>
      </c>
      <c r="R78" s="0">
        <f>IF($A78="","",SUMIFS($H$1:$H$349,$AS$1:$AS$349,$AS78,$C$1:$C$349,$C78))</f>
        <v/>
      </c>
      <c r="S78" s="0">
        <f>IF($A78="","",SUMIFS($I$1:$I$349,$AS$1:$AS$349,$AS78,$C$1:$C$349,$C78))</f>
        <v/>
      </c>
      <c r="T78" s="0">
        <f>IF($A78="","",SUMIFS($G$1:$G$349,$AS$1:$AS$349,$AS78))</f>
        <v/>
      </c>
      <c r="U78" s="0">
        <f>IF($A78="","",SUMIFS($H$1:$H$349,$AS$1:$AS$349,$AS78))</f>
        <v/>
      </c>
      <c r="V78" s="0">
        <f>IF($A78="","",SUMIFS($I$1:$I$349,$AS$1:$AS$349,$AS78))</f>
        <v/>
      </c>
      <c r="W78" s="0">
        <f>IF($A78="","",Allocation!CD78)</f>
        <v/>
      </c>
      <c r="X78" s="0">
        <f>IF($A78="","",Allocation!CE78)</f>
        <v/>
      </c>
      <c r="Y78" s="0">
        <f>IF($A78="","",Allocation!CF78)</f>
        <v/>
      </c>
      <c r="Z78" s="0">
        <f>IF($A78="","",Allocation!CG78)</f>
        <v/>
      </c>
      <c r="AA78" s="0">
        <f>IF($A78="","",Allocation!CH78)</f>
        <v/>
      </c>
      <c r="AB78" s="0">
        <f>IF($A78="","",Allocation!CI78)</f>
        <v/>
      </c>
      <c r="AC78" s="0">
        <f>IF($A78="","",IF(Allocation!$N$4="VOL_EFF",$G78,IF(Allocation!$N$4="VOL_CLASS",$H78,$I78)))</f>
        <v/>
      </c>
      <c r="AD78" s="0">
        <f>IF($A78="","",IF(Allocation!$N$4="VOL_EFF",$L78,IF(Allocation!$N$4="VOL_CLASS",$M78,$N78)))</f>
        <v/>
      </c>
      <c r="AE78" s="0">
        <f>IF($A78="","",IF(Allocation!$N$3="VOL_EFF",$L78,IF(Allocation!$N$3="VOL_CLASS",$M78,$N78)))</f>
        <v/>
      </c>
      <c r="AF78" s="0">
        <f>IF($A78="","",IF(Allocation!$N$3="VOL_EFF",$Q78,IF(Allocation!$N$3="VOL_CLASS",$R78,$S78)))</f>
        <v/>
      </c>
      <c r="AG78" s="0">
        <f>IF($A78="","",IF(Allocation!$N$1="VOL_EFF",$Q78,IF(Allocation!$N$1="VOL_CLASS",$R78,$S78)))</f>
        <v/>
      </c>
      <c r="AH78" s="0">
        <f>IF($A78="","",IF(Allocation!$N$1="VOL_EFF",$T78,IF(Allocation!$N$1="VOL_CLASS",$U78,$V78)))</f>
        <v/>
      </c>
      <c r="AI78" s="0">
        <f>IF($A78="","",$W78*IFERROR($K78/$O78,0))</f>
        <v/>
      </c>
      <c r="AJ78" s="0">
        <f>IF($A78="","",$X78*IFERROR($K78/$O78,0))</f>
        <v/>
      </c>
      <c r="AK78" s="0">
        <f>IF($A78="","",$Y78*IFERROR($G78/$L78,0)+$Z78*IFERROR($J78/$P78,0))</f>
        <v/>
      </c>
      <c r="AL78" s="0">
        <f>IF($A78="","",$AA78*IFERROR($AC78/$AD78,0))</f>
        <v/>
      </c>
      <c r="AM78" s="0">
        <f>IF($A78="","",$AB78*IFERROR($AG78/$AH78,0)*IFERROR($AE78/$AF78,0)*IFERROR($AC78/$AD78,0))</f>
        <v/>
      </c>
      <c r="AN78" s="0">
        <f>IF($A78="","",$I78-($AI78+$AJ78+$AK78+$AL78+$AM78+$AR78))</f>
        <v/>
      </c>
      <c r="AO78" s="0">
        <f>IF($A78="","",Allocation!CJ78)</f>
        <v/>
      </c>
      <c r="AP78" s="0">
        <f>IF($A78="","",IF(Allocation!$N$2="VOL_EFF",$Q78,IF(Allocation!$N$2="VOL_CLASS",$R78,$S78)))</f>
        <v/>
      </c>
      <c r="AQ78" s="0">
        <f>IF($A78="","",IF(Allocation!$N$2="VOL_EFF",$T78,IF(Allocation!$N$2="VOL_CLASS",$U78,$V78)))</f>
        <v/>
      </c>
      <c r="AR78" s="0">
        <f>IF($A78="","",$AO78*IFERROR($AP78/$AQ78,0)*IFERROR($AE78/$AF78,0)*IFERROR($AC78/$AD78,0))</f>
        <v/>
      </c>
      <c r="AS78" s="0">
        <f>IF($A78="","",$A78&amp;"|"&amp;Allocation!BG78)</f>
        <v/>
      </c>
    </row>
    <row r="79" ht="14.4975" customHeight="1" s="64">
      <c r="A79" s="0">
        <f>IF(Allocation!BI79="","",Allocation!BI79)</f>
        <v/>
      </c>
      <c r="B79" s="0">
        <f>IF(Allocation!BJ79="","",Allocation!BJ79)</f>
        <v/>
      </c>
      <c r="C79" s="0">
        <f>IF(Allocation!BK79="","",Allocation!BK79)</f>
        <v/>
      </c>
      <c r="D79" s="0">
        <f>IF(Allocation!BL79="","",Allocation!BL79)</f>
        <v/>
      </c>
      <c r="E79" s="0">
        <f>IF(Allocation!BM79="","",Allocation!BM79)</f>
        <v/>
      </c>
      <c r="F79" s="0">
        <f>IF(Allocation!BN79="","",Allocation!BN79)</f>
        <v/>
      </c>
      <c r="G79" s="0">
        <f>IF(Allocation!BO79="","",Allocation!BO79)</f>
        <v/>
      </c>
      <c r="H79" s="0">
        <f>IF(Allocation!BP79="","",Allocation!BP79)</f>
        <v/>
      </c>
      <c r="I79" s="0">
        <f>IF(Allocation!BQ79="","",Allocation!BQ79)</f>
        <v/>
      </c>
      <c r="J79" s="0">
        <f>IF(Allocation!CC79="","",Allocation!CC79)</f>
        <v/>
      </c>
      <c r="K79" s="0">
        <f>IF($A79="","",$H79*IF(AND(LEFT($D79,3)="BAC",$F79="INIT"),600,IF(LEFT($D79,3)="BAC",480,IF(AND(LEFT($D79,3)="MAS",$F79="INIT"),520,IF(LEFT($D79,3)="MAS",420,IF($F79="INIT",1000,700))))))</f>
        <v/>
      </c>
      <c r="L79" s="0">
        <f>IF($A79="","",SUMIFS($G$1:$G$349,$AS$1:$AS$349,$AS79,$B$1:$B$349,$B79))</f>
        <v/>
      </c>
      <c r="M79" s="0">
        <f>IF($A79="","",SUMIFS($H$1:$H$349,$AS$1:$AS$349,$AS79,$B$1:$B$349,$B79))</f>
        <v/>
      </c>
      <c r="N79" s="0">
        <f>IF($A79="","",SUMIFS($I$1:$I$349,$AS$1:$AS$349,$AS79,$B$1:$B$349,$B79))</f>
        <v/>
      </c>
      <c r="O79" s="0">
        <f>IF($A79="","",SUMIFS($K$1:$K$349,$AS$1:$AS$349,$AS79,$B$1:$B$349,$B79))</f>
        <v/>
      </c>
      <c r="P79" s="0">
        <f>IF($A79="","",SUMIFS($J$1:$J$349,$AS$1:$AS$349,$AS79,$B$1:$B$349,$B79))</f>
        <v/>
      </c>
      <c r="Q79" s="0">
        <f>IF($A79="","",SUMIFS($G$1:$G$349,$AS$1:$AS$349,$AS79,$C$1:$C$349,$C79))</f>
        <v/>
      </c>
      <c r="R79" s="0">
        <f>IF($A79="","",SUMIFS($H$1:$H$349,$AS$1:$AS$349,$AS79,$C$1:$C$349,$C79))</f>
        <v/>
      </c>
      <c r="S79" s="0">
        <f>IF($A79="","",SUMIFS($I$1:$I$349,$AS$1:$AS$349,$AS79,$C$1:$C$349,$C79))</f>
        <v/>
      </c>
      <c r="T79" s="0">
        <f>IF($A79="","",SUMIFS($G$1:$G$349,$AS$1:$AS$349,$AS79))</f>
        <v/>
      </c>
      <c r="U79" s="0">
        <f>IF($A79="","",SUMIFS($H$1:$H$349,$AS$1:$AS$349,$AS79))</f>
        <v/>
      </c>
      <c r="V79" s="0">
        <f>IF($A79="","",SUMIFS($I$1:$I$349,$AS$1:$AS$349,$AS79))</f>
        <v/>
      </c>
      <c r="W79" s="0">
        <f>IF($A79="","",Allocation!CD79)</f>
        <v/>
      </c>
      <c r="X79" s="0">
        <f>IF($A79="","",Allocation!CE79)</f>
        <v/>
      </c>
      <c r="Y79" s="0">
        <f>IF($A79="","",Allocation!CF79)</f>
        <v/>
      </c>
      <c r="Z79" s="0">
        <f>IF($A79="","",Allocation!CG79)</f>
        <v/>
      </c>
      <c r="AA79" s="0">
        <f>IF($A79="","",Allocation!CH79)</f>
        <v/>
      </c>
      <c r="AB79" s="0">
        <f>IF($A79="","",Allocation!CI79)</f>
        <v/>
      </c>
      <c r="AC79" s="0">
        <f>IF($A79="","",IF(Allocation!$N$4="VOL_EFF",$G79,IF(Allocation!$N$4="VOL_CLASS",$H79,$I79)))</f>
        <v/>
      </c>
      <c r="AD79" s="0">
        <f>IF($A79="","",IF(Allocation!$N$4="VOL_EFF",$L79,IF(Allocation!$N$4="VOL_CLASS",$M79,$N79)))</f>
        <v/>
      </c>
      <c r="AE79" s="0">
        <f>IF($A79="","",IF(Allocation!$N$3="VOL_EFF",$L79,IF(Allocation!$N$3="VOL_CLASS",$M79,$N79)))</f>
        <v/>
      </c>
      <c r="AF79" s="0">
        <f>IF($A79="","",IF(Allocation!$N$3="VOL_EFF",$Q79,IF(Allocation!$N$3="VOL_CLASS",$R79,$S79)))</f>
        <v/>
      </c>
      <c r="AG79" s="0">
        <f>IF($A79="","",IF(Allocation!$N$1="VOL_EFF",$Q79,IF(Allocation!$N$1="VOL_CLASS",$R79,$S79)))</f>
        <v/>
      </c>
      <c r="AH79" s="0">
        <f>IF($A79="","",IF(Allocation!$N$1="VOL_EFF",$T79,IF(Allocation!$N$1="VOL_CLASS",$U79,$V79)))</f>
        <v/>
      </c>
      <c r="AI79" s="0">
        <f>IF($A79="","",$W79*IFERROR($K79/$O79,0))</f>
        <v/>
      </c>
      <c r="AJ79" s="0">
        <f>IF($A79="","",$X79*IFERROR($K79/$O79,0))</f>
        <v/>
      </c>
      <c r="AK79" s="0">
        <f>IF($A79="","",$Y79*IFERROR($G79/$L79,0)+$Z79*IFERROR($J79/$P79,0))</f>
        <v/>
      </c>
      <c r="AL79" s="0">
        <f>IF($A79="","",$AA79*IFERROR($AC79/$AD79,0))</f>
        <v/>
      </c>
      <c r="AM79" s="0">
        <f>IF($A79="","",$AB79*IFERROR($AG79/$AH79,0)*IFERROR($AE79/$AF79,0)*IFERROR($AC79/$AD79,0))</f>
        <v/>
      </c>
      <c r="AN79" s="0">
        <f>IF($A79="","",$I79-($AI79+$AJ79+$AK79+$AL79+$AM79+$AR79))</f>
        <v/>
      </c>
      <c r="AO79" s="0">
        <f>IF($A79="","",Allocation!CJ79)</f>
        <v/>
      </c>
      <c r="AP79" s="0">
        <f>IF($A79="","",IF(Allocation!$N$2="VOL_EFF",$Q79,IF(Allocation!$N$2="VOL_CLASS",$R79,$S79)))</f>
        <v/>
      </c>
      <c r="AQ79" s="0">
        <f>IF($A79="","",IF(Allocation!$N$2="VOL_EFF",$T79,IF(Allocation!$N$2="VOL_CLASS",$U79,$V79)))</f>
        <v/>
      </c>
      <c r="AR79" s="0">
        <f>IF($A79="","",$AO79*IFERROR($AP79/$AQ79,0)*IFERROR($AE79/$AF79,0)*IFERROR($AC79/$AD79,0))</f>
        <v/>
      </c>
      <c r="AS79" s="0">
        <f>IF($A79="","",$A79&amp;"|"&amp;Allocation!BG79)</f>
        <v/>
      </c>
    </row>
    <row r="80" ht="14.4975" customHeight="1" s="64">
      <c r="A80" s="0">
        <f>IF(Allocation!BI80="","",Allocation!BI80)</f>
        <v/>
      </c>
      <c r="B80" s="0">
        <f>IF(Allocation!BJ80="","",Allocation!BJ80)</f>
        <v/>
      </c>
      <c r="C80" s="0">
        <f>IF(Allocation!BK80="","",Allocation!BK80)</f>
        <v/>
      </c>
      <c r="D80" s="0">
        <f>IF(Allocation!BL80="","",Allocation!BL80)</f>
        <v/>
      </c>
      <c r="E80" s="0">
        <f>IF(Allocation!BM80="","",Allocation!BM80)</f>
        <v/>
      </c>
      <c r="F80" s="0">
        <f>IF(Allocation!BN80="","",Allocation!BN80)</f>
        <v/>
      </c>
      <c r="G80" s="0">
        <f>IF(Allocation!BO80="","",Allocation!BO80)</f>
        <v/>
      </c>
      <c r="H80" s="0">
        <f>IF(Allocation!BP80="","",Allocation!BP80)</f>
        <v/>
      </c>
      <c r="I80" s="0">
        <f>IF(Allocation!BQ80="","",Allocation!BQ80)</f>
        <v/>
      </c>
      <c r="J80" s="0">
        <f>IF(Allocation!CC80="","",Allocation!CC80)</f>
        <v/>
      </c>
      <c r="K80" s="0">
        <f>IF($A80="","",$H80*IF(AND(LEFT($D80,3)="BAC",$F80="INIT"),600,IF(LEFT($D80,3)="BAC",480,IF(AND(LEFT($D80,3)="MAS",$F80="INIT"),520,IF(LEFT($D80,3)="MAS",420,IF($F80="INIT",1000,700))))))</f>
        <v/>
      </c>
      <c r="L80" s="0">
        <f>IF($A80="","",SUMIFS($G$1:$G$349,$AS$1:$AS$349,$AS80,$B$1:$B$349,$B80))</f>
        <v/>
      </c>
      <c r="M80" s="0">
        <f>IF($A80="","",SUMIFS($H$1:$H$349,$AS$1:$AS$349,$AS80,$B$1:$B$349,$B80))</f>
        <v/>
      </c>
      <c r="N80" s="0">
        <f>IF($A80="","",SUMIFS($I$1:$I$349,$AS$1:$AS$349,$AS80,$B$1:$B$349,$B80))</f>
        <v/>
      </c>
      <c r="O80" s="0">
        <f>IF($A80="","",SUMIFS($K$1:$K$349,$AS$1:$AS$349,$AS80,$B$1:$B$349,$B80))</f>
        <v/>
      </c>
      <c r="P80" s="0">
        <f>IF($A80="","",SUMIFS($J$1:$J$349,$AS$1:$AS$349,$AS80,$B$1:$B$349,$B80))</f>
        <v/>
      </c>
      <c r="Q80" s="0">
        <f>IF($A80="","",SUMIFS($G$1:$G$349,$AS$1:$AS$349,$AS80,$C$1:$C$349,$C80))</f>
        <v/>
      </c>
      <c r="R80" s="0">
        <f>IF($A80="","",SUMIFS($H$1:$H$349,$AS$1:$AS$349,$AS80,$C$1:$C$349,$C80))</f>
        <v/>
      </c>
      <c r="S80" s="0">
        <f>IF($A80="","",SUMIFS($I$1:$I$349,$AS$1:$AS$349,$AS80,$C$1:$C$349,$C80))</f>
        <v/>
      </c>
      <c r="T80" s="0">
        <f>IF($A80="","",SUMIFS($G$1:$G$349,$AS$1:$AS$349,$AS80))</f>
        <v/>
      </c>
      <c r="U80" s="0">
        <f>IF($A80="","",SUMIFS($H$1:$H$349,$AS$1:$AS$349,$AS80))</f>
        <v/>
      </c>
      <c r="V80" s="0">
        <f>IF($A80="","",SUMIFS($I$1:$I$349,$AS$1:$AS$349,$AS80))</f>
        <v/>
      </c>
      <c r="W80" s="0">
        <f>IF($A80="","",Allocation!CD80)</f>
        <v/>
      </c>
      <c r="X80" s="0">
        <f>IF($A80="","",Allocation!CE80)</f>
        <v/>
      </c>
      <c r="Y80" s="0">
        <f>IF($A80="","",Allocation!CF80)</f>
        <v/>
      </c>
      <c r="Z80" s="0">
        <f>IF($A80="","",Allocation!CG80)</f>
        <v/>
      </c>
      <c r="AA80" s="0">
        <f>IF($A80="","",Allocation!CH80)</f>
        <v/>
      </c>
      <c r="AB80" s="0">
        <f>IF($A80="","",Allocation!CI80)</f>
        <v/>
      </c>
      <c r="AC80" s="0">
        <f>IF($A80="","",IF(Allocation!$N$4="VOL_EFF",$G80,IF(Allocation!$N$4="VOL_CLASS",$H80,$I80)))</f>
        <v/>
      </c>
      <c r="AD80" s="0">
        <f>IF($A80="","",IF(Allocation!$N$4="VOL_EFF",$L80,IF(Allocation!$N$4="VOL_CLASS",$M80,$N80)))</f>
        <v/>
      </c>
      <c r="AE80" s="0">
        <f>IF($A80="","",IF(Allocation!$N$3="VOL_EFF",$L80,IF(Allocation!$N$3="VOL_CLASS",$M80,$N80)))</f>
        <v/>
      </c>
      <c r="AF80" s="0">
        <f>IF($A80="","",IF(Allocation!$N$3="VOL_EFF",$Q80,IF(Allocation!$N$3="VOL_CLASS",$R80,$S80)))</f>
        <v/>
      </c>
      <c r="AG80" s="0">
        <f>IF($A80="","",IF(Allocation!$N$1="VOL_EFF",$Q80,IF(Allocation!$N$1="VOL_CLASS",$R80,$S80)))</f>
        <v/>
      </c>
      <c r="AH80" s="0">
        <f>IF($A80="","",IF(Allocation!$N$1="VOL_EFF",$T80,IF(Allocation!$N$1="VOL_CLASS",$U80,$V80)))</f>
        <v/>
      </c>
      <c r="AI80" s="0">
        <f>IF($A80="","",$W80*IFERROR($K80/$O80,0))</f>
        <v/>
      </c>
      <c r="AJ80" s="0">
        <f>IF($A80="","",$X80*IFERROR($K80/$O80,0))</f>
        <v/>
      </c>
      <c r="AK80" s="0">
        <f>IF($A80="","",$Y80*IFERROR($G80/$L80,0)+$Z80*IFERROR($J80/$P80,0))</f>
        <v/>
      </c>
      <c r="AL80" s="0">
        <f>IF($A80="","",$AA80*IFERROR($AC80/$AD80,0))</f>
        <v/>
      </c>
      <c r="AM80" s="0">
        <f>IF($A80="","",$AB80*IFERROR($AG80/$AH80,0)*IFERROR($AE80/$AF80,0)*IFERROR($AC80/$AD80,0))</f>
        <v/>
      </c>
      <c r="AN80" s="0">
        <f>IF($A80="","",$I80-($AI80+$AJ80+$AK80+$AL80+$AM80+$AR80))</f>
        <v/>
      </c>
      <c r="AO80" s="0">
        <f>IF($A80="","",Allocation!CJ80)</f>
        <v/>
      </c>
      <c r="AP80" s="0">
        <f>IF($A80="","",IF(Allocation!$N$2="VOL_EFF",$Q80,IF(Allocation!$N$2="VOL_CLASS",$R80,$S80)))</f>
        <v/>
      </c>
      <c r="AQ80" s="0">
        <f>IF($A80="","",IF(Allocation!$N$2="VOL_EFF",$T80,IF(Allocation!$N$2="VOL_CLASS",$U80,$V80)))</f>
        <v/>
      </c>
      <c r="AR80" s="0">
        <f>IF($A80="","",$AO80*IFERROR($AP80/$AQ80,0)*IFERROR($AE80/$AF80,0)*IFERROR($AC80/$AD80,0))</f>
        <v/>
      </c>
      <c r="AS80" s="0">
        <f>IF($A80="","",$A80&amp;"|"&amp;Allocation!BG80)</f>
        <v/>
      </c>
    </row>
    <row r="81" ht="14.4975" customHeight="1" s="64">
      <c r="A81" s="0">
        <f>IF(Allocation!BI81="","",Allocation!BI81)</f>
        <v/>
      </c>
      <c r="B81" s="0">
        <f>IF(Allocation!BJ81="","",Allocation!BJ81)</f>
        <v/>
      </c>
      <c r="C81" s="0">
        <f>IF(Allocation!BK81="","",Allocation!BK81)</f>
        <v/>
      </c>
      <c r="D81" s="0">
        <f>IF(Allocation!BL81="","",Allocation!BL81)</f>
        <v/>
      </c>
      <c r="E81" s="0">
        <f>IF(Allocation!BM81="","",Allocation!BM81)</f>
        <v/>
      </c>
      <c r="F81" s="0">
        <f>IF(Allocation!BN81="","",Allocation!BN81)</f>
        <v/>
      </c>
      <c r="G81" s="0">
        <f>IF(Allocation!BO81="","",Allocation!BO81)</f>
        <v/>
      </c>
      <c r="H81" s="0">
        <f>IF(Allocation!BP81="","",Allocation!BP81)</f>
        <v/>
      </c>
      <c r="I81" s="0">
        <f>IF(Allocation!BQ81="","",Allocation!BQ81)</f>
        <v/>
      </c>
      <c r="J81" s="0">
        <f>IF(Allocation!CC81="","",Allocation!CC81)</f>
        <v/>
      </c>
      <c r="K81" s="0">
        <f>IF($A81="","",$H81*IF(AND(LEFT($D81,3)="BAC",$F81="INIT"),600,IF(LEFT($D81,3)="BAC",480,IF(AND(LEFT($D81,3)="MAS",$F81="INIT"),520,IF(LEFT($D81,3)="MAS",420,IF($F81="INIT",1000,700))))))</f>
        <v/>
      </c>
      <c r="L81" s="0">
        <f>IF($A81="","",SUMIFS($G$1:$G$349,$AS$1:$AS$349,$AS81,$B$1:$B$349,$B81))</f>
        <v/>
      </c>
      <c r="M81" s="0">
        <f>IF($A81="","",SUMIFS($H$1:$H$349,$AS$1:$AS$349,$AS81,$B$1:$B$349,$B81))</f>
        <v/>
      </c>
      <c r="N81" s="0">
        <f>IF($A81="","",SUMIFS($I$1:$I$349,$AS$1:$AS$349,$AS81,$B$1:$B$349,$B81))</f>
        <v/>
      </c>
      <c r="O81" s="0">
        <f>IF($A81="","",SUMIFS($K$1:$K$349,$AS$1:$AS$349,$AS81,$B$1:$B$349,$B81))</f>
        <v/>
      </c>
      <c r="P81" s="0">
        <f>IF($A81="","",SUMIFS($J$1:$J$349,$AS$1:$AS$349,$AS81,$B$1:$B$349,$B81))</f>
        <v/>
      </c>
      <c r="Q81" s="0">
        <f>IF($A81="","",SUMIFS($G$1:$G$349,$AS$1:$AS$349,$AS81,$C$1:$C$349,$C81))</f>
        <v/>
      </c>
      <c r="R81" s="0">
        <f>IF($A81="","",SUMIFS($H$1:$H$349,$AS$1:$AS$349,$AS81,$C$1:$C$349,$C81))</f>
        <v/>
      </c>
      <c r="S81" s="0">
        <f>IF($A81="","",SUMIFS($I$1:$I$349,$AS$1:$AS$349,$AS81,$C$1:$C$349,$C81))</f>
        <v/>
      </c>
      <c r="T81" s="0">
        <f>IF($A81="","",SUMIFS($G$1:$G$349,$AS$1:$AS$349,$AS81))</f>
        <v/>
      </c>
      <c r="U81" s="0">
        <f>IF($A81="","",SUMIFS($H$1:$H$349,$AS$1:$AS$349,$AS81))</f>
        <v/>
      </c>
      <c r="V81" s="0">
        <f>IF($A81="","",SUMIFS($I$1:$I$349,$AS$1:$AS$349,$AS81))</f>
        <v/>
      </c>
      <c r="W81" s="0">
        <f>IF($A81="","",Allocation!CD81)</f>
        <v/>
      </c>
      <c r="X81" s="0">
        <f>IF($A81="","",Allocation!CE81)</f>
        <v/>
      </c>
      <c r="Y81" s="0">
        <f>IF($A81="","",Allocation!CF81)</f>
        <v/>
      </c>
      <c r="Z81" s="0">
        <f>IF($A81="","",Allocation!CG81)</f>
        <v/>
      </c>
      <c r="AA81" s="0">
        <f>IF($A81="","",Allocation!CH81)</f>
        <v/>
      </c>
      <c r="AB81" s="0">
        <f>IF($A81="","",Allocation!CI81)</f>
        <v/>
      </c>
      <c r="AC81" s="0">
        <f>IF($A81="","",IF(Allocation!$N$4="VOL_EFF",$G81,IF(Allocation!$N$4="VOL_CLASS",$H81,$I81)))</f>
        <v/>
      </c>
      <c r="AD81" s="0">
        <f>IF($A81="","",IF(Allocation!$N$4="VOL_EFF",$L81,IF(Allocation!$N$4="VOL_CLASS",$M81,$N81)))</f>
        <v/>
      </c>
      <c r="AE81" s="0">
        <f>IF($A81="","",IF(Allocation!$N$3="VOL_EFF",$L81,IF(Allocation!$N$3="VOL_CLASS",$M81,$N81)))</f>
        <v/>
      </c>
      <c r="AF81" s="0">
        <f>IF($A81="","",IF(Allocation!$N$3="VOL_EFF",$Q81,IF(Allocation!$N$3="VOL_CLASS",$R81,$S81)))</f>
        <v/>
      </c>
      <c r="AG81" s="0">
        <f>IF($A81="","",IF(Allocation!$N$1="VOL_EFF",$Q81,IF(Allocation!$N$1="VOL_CLASS",$R81,$S81)))</f>
        <v/>
      </c>
      <c r="AH81" s="0">
        <f>IF($A81="","",IF(Allocation!$N$1="VOL_EFF",$T81,IF(Allocation!$N$1="VOL_CLASS",$U81,$V81)))</f>
        <v/>
      </c>
      <c r="AI81" s="0">
        <f>IF($A81="","",$W81*IFERROR($K81/$O81,0))</f>
        <v/>
      </c>
      <c r="AJ81" s="0">
        <f>IF($A81="","",$X81*IFERROR($K81/$O81,0))</f>
        <v/>
      </c>
      <c r="AK81" s="0">
        <f>IF($A81="","",$Y81*IFERROR($G81/$L81,0)+$Z81*IFERROR($J81/$P81,0))</f>
        <v/>
      </c>
      <c r="AL81" s="0">
        <f>IF($A81="","",$AA81*IFERROR($AC81/$AD81,0))</f>
        <v/>
      </c>
      <c r="AM81" s="0">
        <f>IF($A81="","",$AB81*IFERROR($AG81/$AH81,0)*IFERROR($AE81/$AF81,0)*IFERROR($AC81/$AD81,0))</f>
        <v/>
      </c>
      <c r="AN81" s="0">
        <f>IF($A81="","",$I81-($AI81+$AJ81+$AK81+$AL81+$AM81+$AR81))</f>
        <v/>
      </c>
      <c r="AO81" s="0">
        <f>IF($A81="","",Allocation!CJ81)</f>
        <v/>
      </c>
      <c r="AP81" s="0">
        <f>IF($A81="","",IF(Allocation!$N$2="VOL_EFF",$Q81,IF(Allocation!$N$2="VOL_CLASS",$R81,$S81)))</f>
        <v/>
      </c>
      <c r="AQ81" s="0">
        <f>IF($A81="","",IF(Allocation!$N$2="VOL_EFF",$T81,IF(Allocation!$N$2="VOL_CLASS",$U81,$V81)))</f>
        <v/>
      </c>
      <c r="AR81" s="0">
        <f>IF($A81="","",$AO81*IFERROR($AP81/$AQ81,0)*IFERROR($AE81/$AF81,0)*IFERROR($AC81/$AD81,0))</f>
        <v/>
      </c>
      <c r="AS81" s="0">
        <f>IF($A81="","",$A81&amp;"|"&amp;Allocation!BG81)</f>
        <v/>
      </c>
    </row>
    <row r="82" ht="14.4975" customHeight="1" s="64">
      <c r="A82" s="0">
        <f>IF(Allocation!BI82="","",Allocation!BI82)</f>
        <v/>
      </c>
      <c r="B82" s="0">
        <f>IF(Allocation!BJ82="","",Allocation!BJ82)</f>
        <v/>
      </c>
      <c r="C82" s="0">
        <f>IF(Allocation!BK82="","",Allocation!BK82)</f>
        <v/>
      </c>
      <c r="D82" s="0">
        <f>IF(Allocation!BL82="","",Allocation!BL82)</f>
        <v/>
      </c>
      <c r="E82" s="0">
        <f>IF(Allocation!BM82="","",Allocation!BM82)</f>
        <v/>
      </c>
      <c r="F82" s="0">
        <f>IF(Allocation!BN82="","",Allocation!BN82)</f>
        <v/>
      </c>
      <c r="G82" s="0">
        <f>IF(Allocation!BO82="","",Allocation!BO82)</f>
        <v/>
      </c>
      <c r="H82" s="0">
        <f>IF(Allocation!BP82="","",Allocation!BP82)</f>
        <v/>
      </c>
      <c r="I82" s="0">
        <f>IF(Allocation!BQ82="","",Allocation!BQ82)</f>
        <v/>
      </c>
      <c r="J82" s="0">
        <f>IF(Allocation!CC82="","",Allocation!CC82)</f>
        <v/>
      </c>
      <c r="K82" s="0">
        <f>IF($A82="","",$H82*IF(AND(LEFT($D82,3)="BAC",$F82="INIT"),600,IF(LEFT($D82,3)="BAC",480,IF(AND(LEFT($D82,3)="MAS",$F82="INIT"),520,IF(LEFT($D82,3)="MAS",420,IF($F82="INIT",1000,700))))))</f>
        <v/>
      </c>
      <c r="L82" s="0">
        <f>IF($A82="","",SUMIFS($G$1:$G$349,$AS$1:$AS$349,$AS82,$B$1:$B$349,$B82))</f>
        <v/>
      </c>
      <c r="M82" s="0">
        <f>IF($A82="","",SUMIFS($H$1:$H$349,$AS$1:$AS$349,$AS82,$B$1:$B$349,$B82))</f>
        <v/>
      </c>
      <c r="N82" s="0">
        <f>IF($A82="","",SUMIFS($I$1:$I$349,$AS$1:$AS$349,$AS82,$B$1:$B$349,$B82))</f>
        <v/>
      </c>
      <c r="O82" s="0">
        <f>IF($A82="","",SUMIFS($K$1:$K$349,$AS$1:$AS$349,$AS82,$B$1:$B$349,$B82))</f>
        <v/>
      </c>
      <c r="P82" s="0">
        <f>IF($A82="","",SUMIFS($J$1:$J$349,$AS$1:$AS$349,$AS82,$B$1:$B$349,$B82))</f>
        <v/>
      </c>
      <c r="Q82" s="0">
        <f>IF($A82="","",SUMIFS($G$1:$G$349,$AS$1:$AS$349,$AS82,$C$1:$C$349,$C82))</f>
        <v/>
      </c>
      <c r="R82" s="0">
        <f>IF($A82="","",SUMIFS($H$1:$H$349,$AS$1:$AS$349,$AS82,$C$1:$C$349,$C82))</f>
        <v/>
      </c>
      <c r="S82" s="0">
        <f>IF($A82="","",SUMIFS($I$1:$I$349,$AS$1:$AS$349,$AS82,$C$1:$C$349,$C82))</f>
        <v/>
      </c>
      <c r="T82" s="0">
        <f>IF($A82="","",SUMIFS($G$1:$G$349,$AS$1:$AS$349,$AS82))</f>
        <v/>
      </c>
      <c r="U82" s="0">
        <f>IF($A82="","",SUMIFS($H$1:$H$349,$AS$1:$AS$349,$AS82))</f>
        <v/>
      </c>
      <c r="V82" s="0">
        <f>IF($A82="","",SUMIFS($I$1:$I$349,$AS$1:$AS$349,$AS82))</f>
        <v/>
      </c>
      <c r="W82" s="0">
        <f>IF($A82="","",Allocation!CD82)</f>
        <v/>
      </c>
      <c r="X82" s="0">
        <f>IF($A82="","",Allocation!CE82)</f>
        <v/>
      </c>
      <c r="Y82" s="0">
        <f>IF($A82="","",Allocation!CF82)</f>
        <v/>
      </c>
      <c r="Z82" s="0">
        <f>IF($A82="","",Allocation!CG82)</f>
        <v/>
      </c>
      <c r="AA82" s="0">
        <f>IF($A82="","",Allocation!CH82)</f>
        <v/>
      </c>
      <c r="AB82" s="0">
        <f>IF($A82="","",Allocation!CI82)</f>
        <v/>
      </c>
      <c r="AC82" s="0">
        <f>IF($A82="","",IF(Allocation!$N$4="VOL_EFF",$G82,IF(Allocation!$N$4="VOL_CLASS",$H82,$I82)))</f>
        <v/>
      </c>
      <c r="AD82" s="0">
        <f>IF($A82="","",IF(Allocation!$N$4="VOL_EFF",$L82,IF(Allocation!$N$4="VOL_CLASS",$M82,$N82)))</f>
        <v/>
      </c>
      <c r="AE82" s="0">
        <f>IF($A82="","",IF(Allocation!$N$3="VOL_EFF",$L82,IF(Allocation!$N$3="VOL_CLASS",$M82,$N82)))</f>
        <v/>
      </c>
      <c r="AF82" s="0">
        <f>IF($A82="","",IF(Allocation!$N$3="VOL_EFF",$Q82,IF(Allocation!$N$3="VOL_CLASS",$R82,$S82)))</f>
        <v/>
      </c>
      <c r="AG82" s="0">
        <f>IF($A82="","",IF(Allocation!$N$1="VOL_EFF",$Q82,IF(Allocation!$N$1="VOL_CLASS",$R82,$S82)))</f>
        <v/>
      </c>
      <c r="AH82" s="0">
        <f>IF($A82="","",IF(Allocation!$N$1="VOL_EFF",$T82,IF(Allocation!$N$1="VOL_CLASS",$U82,$V82)))</f>
        <v/>
      </c>
      <c r="AI82" s="0">
        <f>IF($A82="","",$W82*IFERROR($K82/$O82,0))</f>
        <v/>
      </c>
      <c r="AJ82" s="0">
        <f>IF($A82="","",$X82*IFERROR($K82/$O82,0))</f>
        <v/>
      </c>
      <c r="AK82" s="0">
        <f>IF($A82="","",$Y82*IFERROR($G82/$L82,0)+$Z82*IFERROR($J82/$P82,0))</f>
        <v/>
      </c>
      <c r="AL82" s="0">
        <f>IF($A82="","",$AA82*IFERROR($AC82/$AD82,0))</f>
        <v/>
      </c>
      <c r="AM82" s="0">
        <f>IF($A82="","",$AB82*IFERROR($AG82/$AH82,0)*IFERROR($AE82/$AF82,0)*IFERROR($AC82/$AD82,0))</f>
        <v/>
      </c>
      <c r="AN82" s="0">
        <f>IF($A82="","",$I82-($AI82+$AJ82+$AK82+$AL82+$AM82+$AR82))</f>
        <v/>
      </c>
      <c r="AO82" s="0">
        <f>IF($A82="","",Allocation!CJ82)</f>
        <v/>
      </c>
      <c r="AP82" s="0">
        <f>IF($A82="","",IF(Allocation!$N$2="VOL_EFF",$Q82,IF(Allocation!$N$2="VOL_CLASS",$R82,$S82)))</f>
        <v/>
      </c>
      <c r="AQ82" s="0">
        <f>IF($A82="","",IF(Allocation!$N$2="VOL_EFF",$T82,IF(Allocation!$N$2="VOL_CLASS",$U82,$V82)))</f>
        <v/>
      </c>
      <c r="AR82" s="0">
        <f>IF($A82="","",$AO82*IFERROR($AP82/$AQ82,0)*IFERROR($AE82/$AF82,0)*IFERROR($AC82/$AD82,0))</f>
        <v/>
      </c>
      <c r="AS82" s="0">
        <f>IF($A82="","",$A82&amp;"|"&amp;Allocation!BG82)</f>
        <v/>
      </c>
    </row>
    <row r="83" ht="14.4975" customHeight="1" s="64">
      <c r="A83" s="0">
        <f>IF(Allocation!BI83="","",Allocation!BI83)</f>
        <v/>
      </c>
      <c r="B83" s="0">
        <f>IF(Allocation!BJ83="","",Allocation!BJ83)</f>
        <v/>
      </c>
      <c r="C83" s="0">
        <f>IF(Allocation!BK83="","",Allocation!BK83)</f>
        <v/>
      </c>
      <c r="D83" s="0">
        <f>IF(Allocation!BL83="","",Allocation!BL83)</f>
        <v/>
      </c>
      <c r="E83" s="0">
        <f>IF(Allocation!BM83="","",Allocation!BM83)</f>
        <v/>
      </c>
      <c r="F83" s="0">
        <f>IF(Allocation!BN83="","",Allocation!BN83)</f>
        <v/>
      </c>
      <c r="G83" s="0">
        <f>IF(Allocation!BO83="","",Allocation!BO83)</f>
        <v/>
      </c>
      <c r="H83" s="0">
        <f>IF(Allocation!BP83="","",Allocation!BP83)</f>
        <v/>
      </c>
      <c r="I83" s="0">
        <f>IF(Allocation!BQ83="","",Allocation!BQ83)</f>
        <v/>
      </c>
      <c r="J83" s="0">
        <f>IF(Allocation!CC83="","",Allocation!CC83)</f>
        <v/>
      </c>
      <c r="K83" s="0">
        <f>IF($A83="","",$H83*IF(AND(LEFT($D83,3)="BAC",$F83="INIT"),600,IF(LEFT($D83,3)="BAC",480,IF(AND(LEFT($D83,3)="MAS",$F83="INIT"),520,IF(LEFT($D83,3)="MAS",420,IF($F83="INIT",1000,700))))))</f>
        <v/>
      </c>
      <c r="L83" s="0">
        <f>IF($A83="","",SUMIFS($G$1:$G$349,$AS$1:$AS$349,$AS83,$B$1:$B$349,$B83))</f>
        <v/>
      </c>
      <c r="M83" s="0">
        <f>IF($A83="","",SUMIFS($H$1:$H$349,$AS$1:$AS$349,$AS83,$B$1:$B$349,$B83))</f>
        <v/>
      </c>
      <c r="N83" s="0">
        <f>IF($A83="","",SUMIFS($I$1:$I$349,$AS$1:$AS$349,$AS83,$B$1:$B$349,$B83))</f>
        <v/>
      </c>
      <c r="O83" s="0">
        <f>IF($A83="","",SUMIFS($K$1:$K$349,$AS$1:$AS$349,$AS83,$B$1:$B$349,$B83))</f>
        <v/>
      </c>
      <c r="P83" s="0">
        <f>IF($A83="","",SUMIFS($J$1:$J$349,$AS$1:$AS$349,$AS83,$B$1:$B$349,$B83))</f>
        <v/>
      </c>
      <c r="Q83" s="0">
        <f>IF($A83="","",SUMIFS($G$1:$G$349,$AS$1:$AS$349,$AS83,$C$1:$C$349,$C83))</f>
        <v/>
      </c>
      <c r="R83" s="0">
        <f>IF($A83="","",SUMIFS($H$1:$H$349,$AS$1:$AS$349,$AS83,$C$1:$C$349,$C83))</f>
        <v/>
      </c>
      <c r="S83" s="0">
        <f>IF($A83="","",SUMIFS($I$1:$I$349,$AS$1:$AS$349,$AS83,$C$1:$C$349,$C83))</f>
        <v/>
      </c>
      <c r="T83" s="0">
        <f>IF($A83="","",SUMIFS($G$1:$G$349,$AS$1:$AS$349,$AS83))</f>
        <v/>
      </c>
      <c r="U83" s="0">
        <f>IF($A83="","",SUMIFS($H$1:$H$349,$AS$1:$AS$349,$AS83))</f>
        <v/>
      </c>
      <c r="V83" s="0">
        <f>IF($A83="","",SUMIFS($I$1:$I$349,$AS$1:$AS$349,$AS83))</f>
        <v/>
      </c>
      <c r="W83" s="0">
        <f>IF($A83="","",Allocation!CD83)</f>
        <v/>
      </c>
      <c r="X83" s="0">
        <f>IF($A83="","",Allocation!CE83)</f>
        <v/>
      </c>
      <c r="Y83" s="0">
        <f>IF($A83="","",Allocation!CF83)</f>
        <v/>
      </c>
      <c r="Z83" s="0">
        <f>IF($A83="","",Allocation!CG83)</f>
        <v/>
      </c>
      <c r="AA83" s="0">
        <f>IF($A83="","",Allocation!CH83)</f>
        <v/>
      </c>
      <c r="AB83" s="0">
        <f>IF($A83="","",Allocation!CI83)</f>
        <v/>
      </c>
      <c r="AC83" s="0">
        <f>IF($A83="","",IF(Allocation!$N$4="VOL_EFF",$G83,IF(Allocation!$N$4="VOL_CLASS",$H83,$I83)))</f>
        <v/>
      </c>
      <c r="AD83" s="0">
        <f>IF($A83="","",IF(Allocation!$N$4="VOL_EFF",$L83,IF(Allocation!$N$4="VOL_CLASS",$M83,$N83)))</f>
        <v/>
      </c>
      <c r="AE83" s="0">
        <f>IF($A83="","",IF(Allocation!$N$3="VOL_EFF",$L83,IF(Allocation!$N$3="VOL_CLASS",$M83,$N83)))</f>
        <v/>
      </c>
      <c r="AF83" s="0">
        <f>IF($A83="","",IF(Allocation!$N$3="VOL_EFF",$Q83,IF(Allocation!$N$3="VOL_CLASS",$R83,$S83)))</f>
        <v/>
      </c>
      <c r="AG83" s="0">
        <f>IF($A83="","",IF(Allocation!$N$1="VOL_EFF",$Q83,IF(Allocation!$N$1="VOL_CLASS",$R83,$S83)))</f>
        <v/>
      </c>
      <c r="AH83" s="0">
        <f>IF($A83="","",IF(Allocation!$N$1="VOL_EFF",$T83,IF(Allocation!$N$1="VOL_CLASS",$U83,$V83)))</f>
        <v/>
      </c>
      <c r="AI83" s="0">
        <f>IF($A83="","",$W83*IFERROR($K83/$O83,0))</f>
        <v/>
      </c>
      <c r="AJ83" s="0">
        <f>IF($A83="","",$X83*IFERROR($K83/$O83,0))</f>
        <v/>
      </c>
      <c r="AK83" s="0">
        <f>IF($A83="","",$Y83*IFERROR($G83/$L83,0)+$Z83*IFERROR($J83/$P83,0))</f>
        <v/>
      </c>
      <c r="AL83" s="0">
        <f>IF($A83="","",$AA83*IFERROR($AC83/$AD83,0))</f>
        <v/>
      </c>
      <c r="AM83" s="0">
        <f>IF($A83="","",$AB83*IFERROR($AG83/$AH83,0)*IFERROR($AE83/$AF83,0)*IFERROR($AC83/$AD83,0))</f>
        <v/>
      </c>
      <c r="AN83" s="0">
        <f>IF($A83="","",$I83-($AI83+$AJ83+$AK83+$AL83+$AM83+$AR83))</f>
        <v/>
      </c>
      <c r="AO83" s="0">
        <f>IF($A83="","",Allocation!CJ83)</f>
        <v/>
      </c>
      <c r="AP83" s="0">
        <f>IF($A83="","",IF(Allocation!$N$2="VOL_EFF",$Q83,IF(Allocation!$N$2="VOL_CLASS",$R83,$S83)))</f>
        <v/>
      </c>
      <c r="AQ83" s="0">
        <f>IF($A83="","",IF(Allocation!$N$2="VOL_EFF",$T83,IF(Allocation!$N$2="VOL_CLASS",$U83,$V83)))</f>
        <v/>
      </c>
      <c r="AR83" s="0">
        <f>IF($A83="","",$AO83*IFERROR($AP83/$AQ83,0)*IFERROR($AE83/$AF83,0)*IFERROR($AC83/$AD83,0))</f>
        <v/>
      </c>
      <c r="AS83" s="0">
        <f>IF($A83="","",$A83&amp;"|"&amp;Allocation!BG83)</f>
        <v/>
      </c>
    </row>
    <row r="84" ht="14.4975" customHeight="1" s="64">
      <c r="A84" s="0">
        <f>IF(Allocation!BI84="","",Allocation!BI84)</f>
        <v/>
      </c>
      <c r="B84" s="0">
        <f>IF(Allocation!BJ84="","",Allocation!BJ84)</f>
        <v/>
      </c>
      <c r="C84" s="0">
        <f>IF(Allocation!BK84="","",Allocation!BK84)</f>
        <v/>
      </c>
      <c r="D84" s="0">
        <f>IF(Allocation!BL84="","",Allocation!BL84)</f>
        <v/>
      </c>
      <c r="E84" s="0">
        <f>IF(Allocation!BM84="","",Allocation!BM84)</f>
        <v/>
      </c>
      <c r="F84" s="0">
        <f>IF(Allocation!BN84="","",Allocation!BN84)</f>
        <v/>
      </c>
      <c r="G84" s="0">
        <f>IF(Allocation!BO84="","",Allocation!BO84)</f>
        <v/>
      </c>
      <c r="H84" s="0">
        <f>IF(Allocation!BP84="","",Allocation!BP84)</f>
        <v/>
      </c>
      <c r="I84" s="0">
        <f>IF(Allocation!BQ84="","",Allocation!BQ84)</f>
        <v/>
      </c>
      <c r="J84" s="0">
        <f>IF(Allocation!CC84="","",Allocation!CC84)</f>
        <v/>
      </c>
      <c r="K84" s="0">
        <f>IF($A84="","",$H84*IF(AND(LEFT($D84,3)="BAC",$F84="INIT"),600,IF(LEFT($D84,3)="BAC",480,IF(AND(LEFT($D84,3)="MAS",$F84="INIT"),520,IF(LEFT($D84,3)="MAS",420,IF($F84="INIT",1000,700))))))</f>
        <v/>
      </c>
      <c r="L84" s="0">
        <f>IF($A84="","",SUMIFS($G$1:$G$349,$AS$1:$AS$349,$AS84,$B$1:$B$349,$B84))</f>
        <v/>
      </c>
      <c r="M84" s="0">
        <f>IF($A84="","",SUMIFS($H$1:$H$349,$AS$1:$AS$349,$AS84,$B$1:$B$349,$B84))</f>
        <v/>
      </c>
      <c r="N84" s="0">
        <f>IF($A84="","",SUMIFS($I$1:$I$349,$AS$1:$AS$349,$AS84,$B$1:$B$349,$B84))</f>
        <v/>
      </c>
      <c r="O84" s="0">
        <f>IF($A84="","",SUMIFS($K$1:$K$349,$AS$1:$AS$349,$AS84,$B$1:$B$349,$B84))</f>
        <v/>
      </c>
      <c r="P84" s="0">
        <f>IF($A84="","",SUMIFS($J$1:$J$349,$AS$1:$AS$349,$AS84,$B$1:$B$349,$B84))</f>
        <v/>
      </c>
      <c r="Q84" s="0">
        <f>IF($A84="","",SUMIFS($G$1:$G$349,$AS$1:$AS$349,$AS84,$C$1:$C$349,$C84))</f>
        <v/>
      </c>
      <c r="R84" s="0">
        <f>IF($A84="","",SUMIFS($H$1:$H$349,$AS$1:$AS$349,$AS84,$C$1:$C$349,$C84))</f>
        <v/>
      </c>
      <c r="S84" s="0">
        <f>IF($A84="","",SUMIFS($I$1:$I$349,$AS$1:$AS$349,$AS84,$C$1:$C$349,$C84))</f>
        <v/>
      </c>
      <c r="T84" s="0">
        <f>IF($A84="","",SUMIFS($G$1:$G$349,$AS$1:$AS$349,$AS84))</f>
        <v/>
      </c>
      <c r="U84" s="0">
        <f>IF($A84="","",SUMIFS($H$1:$H$349,$AS$1:$AS$349,$AS84))</f>
        <v/>
      </c>
      <c r="V84" s="0">
        <f>IF($A84="","",SUMIFS($I$1:$I$349,$AS$1:$AS$349,$AS84))</f>
        <v/>
      </c>
      <c r="W84" s="0">
        <f>IF($A84="","",Allocation!CD84)</f>
        <v/>
      </c>
      <c r="X84" s="0">
        <f>IF($A84="","",Allocation!CE84)</f>
        <v/>
      </c>
      <c r="Y84" s="0">
        <f>IF($A84="","",Allocation!CF84)</f>
        <v/>
      </c>
      <c r="Z84" s="0">
        <f>IF($A84="","",Allocation!CG84)</f>
        <v/>
      </c>
      <c r="AA84" s="0">
        <f>IF($A84="","",Allocation!CH84)</f>
        <v/>
      </c>
      <c r="AB84" s="0">
        <f>IF($A84="","",Allocation!CI84)</f>
        <v/>
      </c>
      <c r="AC84" s="0">
        <f>IF($A84="","",IF(Allocation!$N$4="VOL_EFF",$G84,IF(Allocation!$N$4="VOL_CLASS",$H84,$I84)))</f>
        <v/>
      </c>
      <c r="AD84" s="0">
        <f>IF($A84="","",IF(Allocation!$N$4="VOL_EFF",$L84,IF(Allocation!$N$4="VOL_CLASS",$M84,$N84)))</f>
        <v/>
      </c>
      <c r="AE84" s="0">
        <f>IF($A84="","",IF(Allocation!$N$3="VOL_EFF",$L84,IF(Allocation!$N$3="VOL_CLASS",$M84,$N84)))</f>
        <v/>
      </c>
      <c r="AF84" s="0">
        <f>IF($A84="","",IF(Allocation!$N$3="VOL_EFF",$Q84,IF(Allocation!$N$3="VOL_CLASS",$R84,$S84)))</f>
        <v/>
      </c>
      <c r="AG84" s="0">
        <f>IF($A84="","",IF(Allocation!$N$1="VOL_EFF",$Q84,IF(Allocation!$N$1="VOL_CLASS",$R84,$S84)))</f>
        <v/>
      </c>
      <c r="AH84" s="0">
        <f>IF($A84="","",IF(Allocation!$N$1="VOL_EFF",$T84,IF(Allocation!$N$1="VOL_CLASS",$U84,$V84)))</f>
        <v/>
      </c>
      <c r="AI84" s="0">
        <f>IF($A84="","",$W84*IFERROR($K84/$O84,0))</f>
        <v/>
      </c>
      <c r="AJ84" s="0">
        <f>IF($A84="","",$X84*IFERROR($K84/$O84,0))</f>
        <v/>
      </c>
      <c r="AK84" s="0">
        <f>IF($A84="","",$Y84*IFERROR($G84/$L84,0)+$Z84*IFERROR($J84/$P84,0))</f>
        <v/>
      </c>
      <c r="AL84" s="0">
        <f>IF($A84="","",$AA84*IFERROR($AC84/$AD84,0))</f>
        <v/>
      </c>
      <c r="AM84" s="0">
        <f>IF($A84="","",$AB84*IFERROR($AG84/$AH84,0)*IFERROR($AE84/$AF84,0)*IFERROR($AC84/$AD84,0))</f>
        <v/>
      </c>
      <c r="AN84" s="0">
        <f>IF($A84="","",$I84-($AI84+$AJ84+$AK84+$AL84+$AM84+$AR84))</f>
        <v/>
      </c>
      <c r="AO84" s="0">
        <f>IF($A84="","",Allocation!CJ84)</f>
        <v/>
      </c>
      <c r="AP84" s="0">
        <f>IF($A84="","",IF(Allocation!$N$2="VOL_EFF",$Q84,IF(Allocation!$N$2="VOL_CLASS",$R84,$S84)))</f>
        <v/>
      </c>
      <c r="AQ84" s="0">
        <f>IF($A84="","",IF(Allocation!$N$2="VOL_EFF",$T84,IF(Allocation!$N$2="VOL_CLASS",$U84,$V84)))</f>
        <v/>
      </c>
      <c r="AR84" s="0">
        <f>IF($A84="","",$AO84*IFERROR($AP84/$AQ84,0)*IFERROR($AE84/$AF84,0)*IFERROR($AC84/$AD84,0))</f>
        <v/>
      </c>
      <c r="AS84" s="0">
        <f>IF($A84="","",$A84&amp;"|"&amp;Allocation!BG84)</f>
        <v/>
      </c>
    </row>
    <row r="85" ht="14.4975" customHeight="1" s="64">
      <c r="A85" s="0">
        <f>IF(Allocation!BI85="","",Allocation!BI85)</f>
        <v/>
      </c>
      <c r="B85" s="0">
        <f>IF(Allocation!BJ85="","",Allocation!BJ85)</f>
        <v/>
      </c>
      <c r="C85" s="0">
        <f>IF(Allocation!BK85="","",Allocation!BK85)</f>
        <v/>
      </c>
      <c r="D85" s="0">
        <f>IF(Allocation!BL85="","",Allocation!BL85)</f>
        <v/>
      </c>
      <c r="E85" s="0">
        <f>IF(Allocation!BM85="","",Allocation!BM85)</f>
        <v/>
      </c>
      <c r="F85" s="0">
        <f>IF(Allocation!BN85="","",Allocation!BN85)</f>
        <v/>
      </c>
      <c r="G85" s="0">
        <f>IF(Allocation!BO85="","",Allocation!BO85)</f>
        <v/>
      </c>
      <c r="H85" s="0">
        <f>IF(Allocation!BP85="","",Allocation!BP85)</f>
        <v/>
      </c>
      <c r="I85" s="0">
        <f>IF(Allocation!BQ85="","",Allocation!BQ85)</f>
        <v/>
      </c>
      <c r="J85" s="0">
        <f>IF(Allocation!CC85="","",Allocation!CC85)</f>
        <v/>
      </c>
      <c r="K85" s="0">
        <f>IF($A85="","",$H85*IF(AND(LEFT($D85,3)="BAC",$F85="INIT"),600,IF(LEFT($D85,3)="BAC",480,IF(AND(LEFT($D85,3)="MAS",$F85="INIT"),520,IF(LEFT($D85,3)="MAS",420,IF($F85="INIT",1000,700))))))</f>
        <v/>
      </c>
      <c r="L85" s="0">
        <f>IF($A85="","",SUMIFS($G$1:$G$349,$AS$1:$AS$349,$AS85,$B$1:$B$349,$B85))</f>
        <v/>
      </c>
      <c r="M85" s="0">
        <f>IF($A85="","",SUMIFS($H$1:$H$349,$AS$1:$AS$349,$AS85,$B$1:$B$349,$B85))</f>
        <v/>
      </c>
      <c r="N85" s="0">
        <f>IF($A85="","",SUMIFS($I$1:$I$349,$AS$1:$AS$349,$AS85,$B$1:$B$349,$B85))</f>
        <v/>
      </c>
      <c r="O85" s="0">
        <f>IF($A85="","",SUMIFS($K$1:$K$349,$AS$1:$AS$349,$AS85,$B$1:$B$349,$B85))</f>
        <v/>
      </c>
      <c r="P85" s="0">
        <f>IF($A85="","",SUMIFS($J$1:$J$349,$AS$1:$AS$349,$AS85,$B$1:$B$349,$B85))</f>
        <v/>
      </c>
      <c r="Q85" s="0">
        <f>IF($A85="","",SUMIFS($G$1:$G$349,$AS$1:$AS$349,$AS85,$C$1:$C$349,$C85))</f>
        <v/>
      </c>
      <c r="R85" s="0">
        <f>IF($A85="","",SUMIFS($H$1:$H$349,$AS$1:$AS$349,$AS85,$C$1:$C$349,$C85))</f>
        <v/>
      </c>
      <c r="S85" s="0">
        <f>IF($A85="","",SUMIFS($I$1:$I$349,$AS$1:$AS$349,$AS85,$C$1:$C$349,$C85))</f>
        <v/>
      </c>
      <c r="T85" s="0">
        <f>IF($A85="","",SUMIFS($G$1:$G$349,$AS$1:$AS$349,$AS85))</f>
        <v/>
      </c>
      <c r="U85" s="0">
        <f>IF($A85="","",SUMIFS($H$1:$H$349,$AS$1:$AS$349,$AS85))</f>
        <v/>
      </c>
      <c r="V85" s="0">
        <f>IF($A85="","",SUMIFS($I$1:$I$349,$AS$1:$AS$349,$AS85))</f>
        <v/>
      </c>
      <c r="W85" s="0">
        <f>IF($A85="","",Allocation!CD85)</f>
        <v/>
      </c>
      <c r="X85" s="0">
        <f>IF($A85="","",Allocation!CE85)</f>
        <v/>
      </c>
      <c r="Y85" s="0">
        <f>IF($A85="","",Allocation!CF85)</f>
        <v/>
      </c>
      <c r="Z85" s="0">
        <f>IF($A85="","",Allocation!CG85)</f>
        <v/>
      </c>
      <c r="AA85" s="0">
        <f>IF($A85="","",Allocation!CH85)</f>
        <v/>
      </c>
      <c r="AB85" s="0">
        <f>IF($A85="","",Allocation!CI85)</f>
        <v/>
      </c>
      <c r="AC85" s="0">
        <f>IF($A85="","",IF(Allocation!$N$4="VOL_EFF",$G85,IF(Allocation!$N$4="VOL_CLASS",$H85,$I85)))</f>
        <v/>
      </c>
      <c r="AD85" s="0">
        <f>IF($A85="","",IF(Allocation!$N$4="VOL_EFF",$L85,IF(Allocation!$N$4="VOL_CLASS",$M85,$N85)))</f>
        <v/>
      </c>
      <c r="AE85" s="0">
        <f>IF($A85="","",IF(Allocation!$N$3="VOL_EFF",$L85,IF(Allocation!$N$3="VOL_CLASS",$M85,$N85)))</f>
        <v/>
      </c>
      <c r="AF85" s="0">
        <f>IF($A85="","",IF(Allocation!$N$3="VOL_EFF",$Q85,IF(Allocation!$N$3="VOL_CLASS",$R85,$S85)))</f>
        <v/>
      </c>
      <c r="AG85" s="0">
        <f>IF($A85="","",IF(Allocation!$N$1="VOL_EFF",$Q85,IF(Allocation!$N$1="VOL_CLASS",$R85,$S85)))</f>
        <v/>
      </c>
      <c r="AH85" s="0">
        <f>IF($A85="","",IF(Allocation!$N$1="VOL_EFF",$T85,IF(Allocation!$N$1="VOL_CLASS",$U85,$V85)))</f>
        <v/>
      </c>
      <c r="AI85" s="0">
        <f>IF($A85="","",$W85*IFERROR($K85/$O85,0))</f>
        <v/>
      </c>
      <c r="AJ85" s="0">
        <f>IF($A85="","",$X85*IFERROR($K85/$O85,0))</f>
        <v/>
      </c>
      <c r="AK85" s="0">
        <f>IF($A85="","",$Y85*IFERROR($G85/$L85,0)+$Z85*IFERROR($J85/$P85,0))</f>
        <v/>
      </c>
      <c r="AL85" s="0">
        <f>IF($A85="","",$AA85*IFERROR($AC85/$AD85,0))</f>
        <v/>
      </c>
      <c r="AM85" s="0">
        <f>IF($A85="","",$AB85*IFERROR($AG85/$AH85,0)*IFERROR($AE85/$AF85,0)*IFERROR($AC85/$AD85,0))</f>
        <v/>
      </c>
      <c r="AN85" s="0">
        <f>IF($A85="","",$I85-($AI85+$AJ85+$AK85+$AL85+$AM85+$AR85))</f>
        <v/>
      </c>
      <c r="AO85" s="0">
        <f>IF($A85="","",Allocation!CJ85)</f>
        <v/>
      </c>
      <c r="AP85" s="0">
        <f>IF($A85="","",IF(Allocation!$N$2="VOL_EFF",$Q85,IF(Allocation!$N$2="VOL_CLASS",$R85,$S85)))</f>
        <v/>
      </c>
      <c r="AQ85" s="0">
        <f>IF($A85="","",IF(Allocation!$N$2="VOL_EFF",$T85,IF(Allocation!$N$2="VOL_CLASS",$U85,$V85)))</f>
        <v/>
      </c>
      <c r="AR85" s="0">
        <f>IF($A85="","",$AO85*IFERROR($AP85/$AQ85,0)*IFERROR($AE85/$AF85,0)*IFERROR($AC85/$AD85,0))</f>
        <v/>
      </c>
      <c r="AS85" s="0">
        <f>IF($A85="","",$A85&amp;"|"&amp;Allocation!BG85)</f>
        <v/>
      </c>
    </row>
    <row r="86" ht="14.4975" customHeight="1" s="64">
      <c r="A86" s="0">
        <f>IF(Allocation!BI86="","",Allocation!BI86)</f>
        <v/>
      </c>
      <c r="B86" s="0">
        <f>IF(Allocation!BJ86="","",Allocation!BJ86)</f>
        <v/>
      </c>
      <c r="C86" s="0">
        <f>IF(Allocation!BK86="","",Allocation!BK86)</f>
        <v/>
      </c>
      <c r="D86" s="0">
        <f>IF(Allocation!BL86="","",Allocation!BL86)</f>
        <v/>
      </c>
      <c r="E86" s="0">
        <f>IF(Allocation!BM86="","",Allocation!BM86)</f>
        <v/>
      </c>
      <c r="F86" s="0">
        <f>IF(Allocation!BN86="","",Allocation!BN86)</f>
        <v/>
      </c>
      <c r="G86" s="0">
        <f>IF(Allocation!BO86="","",Allocation!BO86)</f>
        <v/>
      </c>
      <c r="H86" s="0">
        <f>IF(Allocation!BP86="","",Allocation!BP86)</f>
        <v/>
      </c>
      <c r="I86" s="0">
        <f>IF(Allocation!BQ86="","",Allocation!BQ86)</f>
        <v/>
      </c>
      <c r="J86" s="0">
        <f>IF(Allocation!CC86="","",Allocation!CC86)</f>
        <v/>
      </c>
      <c r="K86" s="0">
        <f>IF($A86="","",$H86*IF(AND(LEFT($D86,3)="BAC",$F86="INIT"),600,IF(LEFT($D86,3)="BAC",480,IF(AND(LEFT($D86,3)="MAS",$F86="INIT"),520,IF(LEFT($D86,3)="MAS",420,IF($F86="INIT",1000,700))))))</f>
        <v/>
      </c>
      <c r="L86" s="0">
        <f>IF($A86="","",SUMIFS($G$1:$G$349,$AS$1:$AS$349,$AS86,$B$1:$B$349,$B86))</f>
        <v/>
      </c>
      <c r="M86" s="0">
        <f>IF($A86="","",SUMIFS($H$1:$H$349,$AS$1:$AS$349,$AS86,$B$1:$B$349,$B86))</f>
        <v/>
      </c>
      <c r="N86" s="0">
        <f>IF($A86="","",SUMIFS($I$1:$I$349,$AS$1:$AS$349,$AS86,$B$1:$B$349,$B86))</f>
        <v/>
      </c>
      <c r="O86" s="0">
        <f>IF($A86="","",SUMIFS($K$1:$K$349,$AS$1:$AS$349,$AS86,$B$1:$B$349,$B86))</f>
        <v/>
      </c>
      <c r="P86" s="0">
        <f>IF($A86="","",SUMIFS($J$1:$J$349,$AS$1:$AS$349,$AS86,$B$1:$B$349,$B86))</f>
        <v/>
      </c>
      <c r="Q86" s="0">
        <f>IF($A86="","",SUMIFS($G$1:$G$349,$AS$1:$AS$349,$AS86,$C$1:$C$349,$C86))</f>
        <v/>
      </c>
      <c r="R86" s="0">
        <f>IF($A86="","",SUMIFS($H$1:$H$349,$AS$1:$AS$349,$AS86,$C$1:$C$349,$C86))</f>
        <v/>
      </c>
      <c r="S86" s="0">
        <f>IF($A86="","",SUMIFS($I$1:$I$349,$AS$1:$AS$349,$AS86,$C$1:$C$349,$C86))</f>
        <v/>
      </c>
      <c r="T86" s="0">
        <f>IF($A86="","",SUMIFS($G$1:$G$349,$AS$1:$AS$349,$AS86))</f>
        <v/>
      </c>
      <c r="U86" s="0">
        <f>IF($A86="","",SUMIFS($H$1:$H$349,$AS$1:$AS$349,$AS86))</f>
        <v/>
      </c>
      <c r="V86" s="0">
        <f>IF($A86="","",SUMIFS($I$1:$I$349,$AS$1:$AS$349,$AS86))</f>
        <v/>
      </c>
      <c r="W86" s="0">
        <f>IF($A86="","",Allocation!CD86)</f>
        <v/>
      </c>
      <c r="X86" s="0">
        <f>IF($A86="","",Allocation!CE86)</f>
        <v/>
      </c>
      <c r="Y86" s="0">
        <f>IF($A86="","",Allocation!CF86)</f>
        <v/>
      </c>
      <c r="Z86" s="0">
        <f>IF($A86="","",Allocation!CG86)</f>
        <v/>
      </c>
      <c r="AA86" s="0">
        <f>IF($A86="","",Allocation!CH86)</f>
        <v/>
      </c>
      <c r="AB86" s="0">
        <f>IF($A86="","",Allocation!CI86)</f>
        <v/>
      </c>
      <c r="AC86" s="0">
        <f>IF($A86="","",IF(Allocation!$N$4="VOL_EFF",$G86,IF(Allocation!$N$4="VOL_CLASS",$H86,$I86)))</f>
        <v/>
      </c>
      <c r="AD86" s="0">
        <f>IF($A86="","",IF(Allocation!$N$4="VOL_EFF",$L86,IF(Allocation!$N$4="VOL_CLASS",$M86,$N86)))</f>
        <v/>
      </c>
      <c r="AE86" s="0">
        <f>IF($A86="","",IF(Allocation!$N$3="VOL_EFF",$L86,IF(Allocation!$N$3="VOL_CLASS",$M86,$N86)))</f>
        <v/>
      </c>
      <c r="AF86" s="0">
        <f>IF($A86="","",IF(Allocation!$N$3="VOL_EFF",$Q86,IF(Allocation!$N$3="VOL_CLASS",$R86,$S86)))</f>
        <v/>
      </c>
      <c r="AG86" s="0">
        <f>IF($A86="","",IF(Allocation!$N$1="VOL_EFF",$Q86,IF(Allocation!$N$1="VOL_CLASS",$R86,$S86)))</f>
        <v/>
      </c>
      <c r="AH86" s="0">
        <f>IF($A86="","",IF(Allocation!$N$1="VOL_EFF",$T86,IF(Allocation!$N$1="VOL_CLASS",$U86,$V86)))</f>
        <v/>
      </c>
      <c r="AI86" s="0">
        <f>IF($A86="","",$W86*IFERROR($K86/$O86,0))</f>
        <v/>
      </c>
      <c r="AJ86" s="0">
        <f>IF($A86="","",$X86*IFERROR($K86/$O86,0))</f>
        <v/>
      </c>
      <c r="AK86" s="0">
        <f>IF($A86="","",$Y86*IFERROR($G86/$L86,0)+$Z86*IFERROR($J86/$P86,0))</f>
        <v/>
      </c>
      <c r="AL86" s="0">
        <f>IF($A86="","",$AA86*IFERROR($AC86/$AD86,0))</f>
        <v/>
      </c>
      <c r="AM86" s="0">
        <f>IF($A86="","",$AB86*IFERROR($AG86/$AH86,0)*IFERROR($AE86/$AF86,0)*IFERROR($AC86/$AD86,0))</f>
        <v/>
      </c>
      <c r="AN86" s="0">
        <f>IF($A86="","",$I86-($AI86+$AJ86+$AK86+$AL86+$AM86+$AR86))</f>
        <v/>
      </c>
      <c r="AO86" s="0">
        <f>IF($A86="","",Allocation!CJ86)</f>
        <v/>
      </c>
      <c r="AP86" s="0">
        <f>IF($A86="","",IF(Allocation!$N$2="VOL_EFF",$Q86,IF(Allocation!$N$2="VOL_CLASS",$R86,$S86)))</f>
        <v/>
      </c>
      <c r="AQ86" s="0">
        <f>IF($A86="","",IF(Allocation!$N$2="VOL_EFF",$T86,IF(Allocation!$N$2="VOL_CLASS",$U86,$V86)))</f>
        <v/>
      </c>
      <c r="AR86" s="0">
        <f>IF($A86="","",$AO86*IFERROR($AP86/$AQ86,0)*IFERROR($AE86/$AF86,0)*IFERROR($AC86/$AD86,0))</f>
        <v/>
      </c>
      <c r="AS86" s="0">
        <f>IF($A86="","",$A86&amp;"|"&amp;Allocation!BG86)</f>
        <v/>
      </c>
    </row>
    <row r="87" ht="14.4975" customHeight="1" s="64">
      <c r="A87" s="0">
        <f>IF(Allocation!BI87="","",Allocation!BI87)</f>
        <v/>
      </c>
      <c r="B87" s="0">
        <f>IF(Allocation!BJ87="","",Allocation!BJ87)</f>
        <v/>
      </c>
      <c r="C87" s="0">
        <f>IF(Allocation!BK87="","",Allocation!BK87)</f>
        <v/>
      </c>
      <c r="D87" s="0">
        <f>IF(Allocation!BL87="","",Allocation!BL87)</f>
        <v/>
      </c>
      <c r="E87" s="0">
        <f>IF(Allocation!BM87="","",Allocation!BM87)</f>
        <v/>
      </c>
      <c r="F87" s="0">
        <f>IF(Allocation!BN87="","",Allocation!BN87)</f>
        <v/>
      </c>
      <c r="G87" s="0">
        <f>IF(Allocation!BO87="","",Allocation!BO87)</f>
        <v/>
      </c>
      <c r="H87" s="0">
        <f>IF(Allocation!BP87="","",Allocation!BP87)</f>
        <v/>
      </c>
      <c r="I87" s="0">
        <f>IF(Allocation!BQ87="","",Allocation!BQ87)</f>
        <v/>
      </c>
      <c r="J87" s="0">
        <f>IF(Allocation!CC87="","",Allocation!CC87)</f>
        <v/>
      </c>
      <c r="K87" s="0">
        <f>IF($A87="","",$H87*IF(AND(LEFT($D87,3)="BAC",$F87="INIT"),600,IF(LEFT($D87,3)="BAC",480,IF(AND(LEFT($D87,3)="MAS",$F87="INIT"),520,IF(LEFT($D87,3)="MAS",420,IF($F87="INIT",1000,700))))))</f>
        <v/>
      </c>
      <c r="L87" s="0">
        <f>IF($A87="","",SUMIFS($G$1:$G$349,$AS$1:$AS$349,$AS87,$B$1:$B$349,$B87))</f>
        <v/>
      </c>
      <c r="M87" s="0">
        <f>IF($A87="","",SUMIFS($H$1:$H$349,$AS$1:$AS$349,$AS87,$B$1:$B$349,$B87))</f>
        <v/>
      </c>
      <c r="N87" s="0">
        <f>IF($A87="","",SUMIFS($I$1:$I$349,$AS$1:$AS$349,$AS87,$B$1:$B$349,$B87))</f>
        <v/>
      </c>
      <c r="O87" s="0">
        <f>IF($A87="","",SUMIFS($K$1:$K$349,$AS$1:$AS$349,$AS87,$B$1:$B$349,$B87))</f>
        <v/>
      </c>
      <c r="P87" s="0">
        <f>IF($A87="","",SUMIFS($J$1:$J$349,$AS$1:$AS$349,$AS87,$B$1:$B$349,$B87))</f>
        <v/>
      </c>
      <c r="Q87" s="0">
        <f>IF($A87="","",SUMIFS($G$1:$G$349,$AS$1:$AS$349,$AS87,$C$1:$C$349,$C87))</f>
        <v/>
      </c>
      <c r="R87" s="0">
        <f>IF($A87="","",SUMIFS($H$1:$H$349,$AS$1:$AS$349,$AS87,$C$1:$C$349,$C87))</f>
        <v/>
      </c>
      <c r="S87" s="0">
        <f>IF($A87="","",SUMIFS($I$1:$I$349,$AS$1:$AS$349,$AS87,$C$1:$C$349,$C87))</f>
        <v/>
      </c>
      <c r="T87" s="0">
        <f>IF($A87="","",SUMIFS($G$1:$G$349,$AS$1:$AS$349,$AS87))</f>
        <v/>
      </c>
      <c r="U87" s="0">
        <f>IF($A87="","",SUMIFS($H$1:$H$349,$AS$1:$AS$349,$AS87))</f>
        <v/>
      </c>
      <c r="V87" s="0">
        <f>IF($A87="","",SUMIFS($I$1:$I$349,$AS$1:$AS$349,$AS87))</f>
        <v/>
      </c>
      <c r="W87" s="0">
        <f>IF($A87="","",Allocation!CD87)</f>
        <v/>
      </c>
      <c r="X87" s="0">
        <f>IF($A87="","",Allocation!CE87)</f>
        <v/>
      </c>
      <c r="Y87" s="0">
        <f>IF($A87="","",Allocation!CF87)</f>
        <v/>
      </c>
      <c r="Z87" s="0">
        <f>IF($A87="","",Allocation!CG87)</f>
        <v/>
      </c>
      <c r="AA87" s="0">
        <f>IF($A87="","",Allocation!CH87)</f>
        <v/>
      </c>
      <c r="AB87" s="0">
        <f>IF($A87="","",Allocation!CI87)</f>
        <v/>
      </c>
      <c r="AC87" s="0">
        <f>IF($A87="","",IF(Allocation!$N$4="VOL_EFF",$G87,IF(Allocation!$N$4="VOL_CLASS",$H87,$I87)))</f>
        <v/>
      </c>
      <c r="AD87" s="0">
        <f>IF($A87="","",IF(Allocation!$N$4="VOL_EFF",$L87,IF(Allocation!$N$4="VOL_CLASS",$M87,$N87)))</f>
        <v/>
      </c>
      <c r="AE87" s="0">
        <f>IF($A87="","",IF(Allocation!$N$3="VOL_EFF",$L87,IF(Allocation!$N$3="VOL_CLASS",$M87,$N87)))</f>
        <v/>
      </c>
      <c r="AF87" s="0">
        <f>IF($A87="","",IF(Allocation!$N$3="VOL_EFF",$Q87,IF(Allocation!$N$3="VOL_CLASS",$R87,$S87)))</f>
        <v/>
      </c>
      <c r="AG87" s="0">
        <f>IF($A87="","",IF(Allocation!$N$1="VOL_EFF",$Q87,IF(Allocation!$N$1="VOL_CLASS",$R87,$S87)))</f>
        <v/>
      </c>
      <c r="AH87" s="0">
        <f>IF($A87="","",IF(Allocation!$N$1="VOL_EFF",$T87,IF(Allocation!$N$1="VOL_CLASS",$U87,$V87)))</f>
        <v/>
      </c>
      <c r="AI87" s="0">
        <f>IF($A87="","",$W87*IFERROR($K87/$O87,0))</f>
        <v/>
      </c>
      <c r="AJ87" s="0">
        <f>IF($A87="","",$X87*IFERROR($K87/$O87,0))</f>
        <v/>
      </c>
      <c r="AK87" s="0">
        <f>IF($A87="","",$Y87*IFERROR($G87/$L87,0)+$Z87*IFERROR($J87/$P87,0))</f>
        <v/>
      </c>
      <c r="AL87" s="0">
        <f>IF($A87="","",$AA87*IFERROR($AC87/$AD87,0))</f>
        <v/>
      </c>
      <c r="AM87" s="0">
        <f>IF($A87="","",$AB87*IFERROR($AG87/$AH87,0)*IFERROR($AE87/$AF87,0)*IFERROR($AC87/$AD87,0))</f>
        <v/>
      </c>
      <c r="AN87" s="0">
        <f>IF($A87="","",$I87-($AI87+$AJ87+$AK87+$AL87+$AM87+$AR87))</f>
        <v/>
      </c>
      <c r="AO87" s="0">
        <f>IF($A87="","",Allocation!CJ87)</f>
        <v/>
      </c>
      <c r="AP87" s="0">
        <f>IF($A87="","",IF(Allocation!$N$2="VOL_EFF",$Q87,IF(Allocation!$N$2="VOL_CLASS",$R87,$S87)))</f>
        <v/>
      </c>
      <c r="AQ87" s="0">
        <f>IF($A87="","",IF(Allocation!$N$2="VOL_EFF",$T87,IF(Allocation!$N$2="VOL_CLASS",$U87,$V87)))</f>
        <v/>
      </c>
      <c r="AR87" s="0">
        <f>IF($A87="","",$AO87*IFERROR($AP87/$AQ87,0)*IFERROR($AE87/$AF87,0)*IFERROR($AC87/$AD87,0))</f>
        <v/>
      </c>
      <c r="AS87" s="0">
        <f>IF($A87="","",$A87&amp;"|"&amp;Allocation!BG87)</f>
        <v/>
      </c>
    </row>
    <row r="88" ht="14.4975" customHeight="1" s="64">
      <c r="A88" s="0">
        <f>IF(Allocation!BI88="","",Allocation!BI88)</f>
        <v/>
      </c>
      <c r="B88" s="0">
        <f>IF(Allocation!BJ88="","",Allocation!BJ88)</f>
        <v/>
      </c>
      <c r="C88" s="0">
        <f>IF(Allocation!BK88="","",Allocation!BK88)</f>
        <v/>
      </c>
      <c r="D88" s="0">
        <f>IF(Allocation!BL88="","",Allocation!BL88)</f>
        <v/>
      </c>
      <c r="E88" s="0">
        <f>IF(Allocation!BM88="","",Allocation!BM88)</f>
        <v/>
      </c>
      <c r="F88" s="0">
        <f>IF(Allocation!BN88="","",Allocation!BN88)</f>
        <v/>
      </c>
      <c r="G88" s="0">
        <f>IF(Allocation!BO88="","",Allocation!BO88)</f>
        <v/>
      </c>
      <c r="H88" s="0">
        <f>IF(Allocation!BP88="","",Allocation!BP88)</f>
        <v/>
      </c>
      <c r="I88" s="0">
        <f>IF(Allocation!BQ88="","",Allocation!BQ88)</f>
        <v/>
      </c>
      <c r="J88" s="0">
        <f>IF(Allocation!CC88="","",Allocation!CC88)</f>
        <v/>
      </c>
      <c r="K88" s="0">
        <f>IF($A88="","",$H88*IF(AND(LEFT($D88,3)="BAC",$F88="INIT"),600,IF(LEFT($D88,3)="BAC",480,IF(AND(LEFT($D88,3)="MAS",$F88="INIT"),520,IF(LEFT($D88,3)="MAS",420,IF($F88="INIT",1000,700))))))</f>
        <v/>
      </c>
      <c r="L88" s="0">
        <f>IF($A88="","",SUMIFS($G$1:$G$349,$AS$1:$AS$349,$AS88,$B$1:$B$349,$B88))</f>
        <v/>
      </c>
      <c r="M88" s="0">
        <f>IF($A88="","",SUMIFS($H$1:$H$349,$AS$1:$AS$349,$AS88,$B$1:$B$349,$B88))</f>
        <v/>
      </c>
      <c r="N88" s="0">
        <f>IF($A88="","",SUMIFS($I$1:$I$349,$AS$1:$AS$349,$AS88,$B$1:$B$349,$B88))</f>
        <v/>
      </c>
      <c r="O88" s="0">
        <f>IF($A88="","",SUMIFS($K$1:$K$349,$AS$1:$AS$349,$AS88,$B$1:$B$349,$B88))</f>
        <v/>
      </c>
      <c r="P88" s="0">
        <f>IF($A88="","",SUMIFS($J$1:$J$349,$AS$1:$AS$349,$AS88,$B$1:$B$349,$B88))</f>
        <v/>
      </c>
      <c r="Q88" s="0">
        <f>IF($A88="","",SUMIFS($G$1:$G$349,$AS$1:$AS$349,$AS88,$C$1:$C$349,$C88))</f>
        <v/>
      </c>
      <c r="R88" s="0">
        <f>IF($A88="","",SUMIFS($H$1:$H$349,$AS$1:$AS$349,$AS88,$C$1:$C$349,$C88))</f>
        <v/>
      </c>
      <c r="S88" s="0">
        <f>IF($A88="","",SUMIFS($I$1:$I$349,$AS$1:$AS$349,$AS88,$C$1:$C$349,$C88))</f>
        <v/>
      </c>
      <c r="T88" s="0">
        <f>IF($A88="","",SUMIFS($G$1:$G$349,$AS$1:$AS$349,$AS88))</f>
        <v/>
      </c>
      <c r="U88" s="0">
        <f>IF($A88="","",SUMIFS($H$1:$H$349,$AS$1:$AS$349,$AS88))</f>
        <v/>
      </c>
      <c r="V88" s="0">
        <f>IF($A88="","",SUMIFS($I$1:$I$349,$AS$1:$AS$349,$AS88))</f>
        <v/>
      </c>
      <c r="W88" s="0">
        <f>IF($A88="","",Allocation!CD88)</f>
        <v/>
      </c>
      <c r="X88" s="0">
        <f>IF($A88="","",Allocation!CE88)</f>
        <v/>
      </c>
      <c r="Y88" s="0">
        <f>IF($A88="","",Allocation!CF88)</f>
        <v/>
      </c>
      <c r="Z88" s="0">
        <f>IF($A88="","",Allocation!CG88)</f>
        <v/>
      </c>
      <c r="AA88" s="0">
        <f>IF($A88="","",Allocation!CH88)</f>
        <v/>
      </c>
      <c r="AB88" s="0">
        <f>IF($A88="","",Allocation!CI88)</f>
        <v/>
      </c>
      <c r="AC88" s="0">
        <f>IF($A88="","",IF(Allocation!$N$4="VOL_EFF",$G88,IF(Allocation!$N$4="VOL_CLASS",$H88,$I88)))</f>
        <v/>
      </c>
      <c r="AD88" s="0">
        <f>IF($A88="","",IF(Allocation!$N$4="VOL_EFF",$L88,IF(Allocation!$N$4="VOL_CLASS",$M88,$N88)))</f>
        <v/>
      </c>
      <c r="AE88" s="0">
        <f>IF($A88="","",IF(Allocation!$N$3="VOL_EFF",$L88,IF(Allocation!$N$3="VOL_CLASS",$M88,$N88)))</f>
        <v/>
      </c>
      <c r="AF88" s="0">
        <f>IF($A88="","",IF(Allocation!$N$3="VOL_EFF",$Q88,IF(Allocation!$N$3="VOL_CLASS",$R88,$S88)))</f>
        <v/>
      </c>
      <c r="AG88" s="0">
        <f>IF($A88="","",IF(Allocation!$N$1="VOL_EFF",$Q88,IF(Allocation!$N$1="VOL_CLASS",$R88,$S88)))</f>
        <v/>
      </c>
      <c r="AH88" s="0">
        <f>IF($A88="","",IF(Allocation!$N$1="VOL_EFF",$T88,IF(Allocation!$N$1="VOL_CLASS",$U88,$V88)))</f>
        <v/>
      </c>
      <c r="AI88" s="0">
        <f>IF($A88="","",$W88*IFERROR($K88/$O88,0))</f>
        <v/>
      </c>
      <c r="AJ88" s="0">
        <f>IF($A88="","",$X88*IFERROR($K88/$O88,0))</f>
        <v/>
      </c>
      <c r="AK88" s="0">
        <f>IF($A88="","",$Y88*IFERROR($G88/$L88,0)+$Z88*IFERROR($J88/$P88,0))</f>
        <v/>
      </c>
      <c r="AL88" s="0">
        <f>IF($A88="","",$AA88*IFERROR($AC88/$AD88,0))</f>
        <v/>
      </c>
      <c r="AM88" s="0">
        <f>IF($A88="","",$AB88*IFERROR($AG88/$AH88,0)*IFERROR($AE88/$AF88,0)*IFERROR($AC88/$AD88,0))</f>
        <v/>
      </c>
      <c r="AN88" s="0">
        <f>IF($A88="","",$I88-($AI88+$AJ88+$AK88+$AL88+$AM88+$AR88))</f>
        <v/>
      </c>
      <c r="AO88" s="0">
        <f>IF($A88="","",Allocation!CJ88)</f>
        <v/>
      </c>
      <c r="AP88" s="0">
        <f>IF($A88="","",IF(Allocation!$N$2="VOL_EFF",$Q88,IF(Allocation!$N$2="VOL_CLASS",$R88,$S88)))</f>
        <v/>
      </c>
      <c r="AQ88" s="0">
        <f>IF($A88="","",IF(Allocation!$N$2="VOL_EFF",$T88,IF(Allocation!$N$2="VOL_CLASS",$U88,$V88)))</f>
        <v/>
      </c>
      <c r="AR88" s="0">
        <f>IF($A88="","",$AO88*IFERROR($AP88/$AQ88,0)*IFERROR($AE88/$AF88,0)*IFERROR($AC88/$AD88,0))</f>
        <v/>
      </c>
      <c r="AS88" s="0">
        <f>IF($A88="","",$A88&amp;"|"&amp;Allocation!BG88)</f>
        <v/>
      </c>
    </row>
    <row r="89" ht="14.4975" customHeight="1" s="64">
      <c r="A89" s="0">
        <f>IF(Allocation!BI89="","",Allocation!BI89)</f>
        <v/>
      </c>
      <c r="B89" s="0">
        <f>IF(Allocation!BJ89="","",Allocation!BJ89)</f>
        <v/>
      </c>
      <c r="C89" s="0">
        <f>IF(Allocation!BK89="","",Allocation!BK89)</f>
        <v/>
      </c>
      <c r="D89" s="0">
        <f>IF(Allocation!BL89="","",Allocation!BL89)</f>
        <v/>
      </c>
      <c r="E89" s="0">
        <f>IF(Allocation!BM89="","",Allocation!BM89)</f>
        <v/>
      </c>
      <c r="F89" s="0">
        <f>IF(Allocation!BN89="","",Allocation!BN89)</f>
        <v/>
      </c>
      <c r="G89" s="0">
        <f>IF(Allocation!BO89="","",Allocation!BO89)</f>
        <v/>
      </c>
      <c r="H89" s="0">
        <f>IF(Allocation!BP89="","",Allocation!BP89)</f>
        <v/>
      </c>
      <c r="I89" s="0">
        <f>IF(Allocation!BQ89="","",Allocation!BQ89)</f>
        <v/>
      </c>
      <c r="J89" s="0">
        <f>IF(Allocation!CC89="","",Allocation!CC89)</f>
        <v/>
      </c>
      <c r="K89" s="0">
        <f>IF($A89="","",$H89*IF(AND(LEFT($D89,3)="BAC",$F89="INIT"),600,IF(LEFT($D89,3)="BAC",480,IF(AND(LEFT($D89,3)="MAS",$F89="INIT"),520,IF(LEFT($D89,3)="MAS",420,IF($F89="INIT",1000,700))))))</f>
        <v/>
      </c>
      <c r="L89" s="0">
        <f>IF($A89="","",SUMIFS($G$1:$G$349,$AS$1:$AS$349,$AS89,$B$1:$B$349,$B89))</f>
        <v/>
      </c>
      <c r="M89" s="0">
        <f>IF($A89="","",SUMIFS($H$1:$H$349,$AS$1:$AS$349,$AS89,$B$1:$B$349,$B89))</f>
        <v/>
      </c>
      <c r="N89" s="0">
        <f>IF($A89="","",SUMIFS($I$1:$I$349,$AS$1:$AS$349,$AS89,$B$1:$B$349,$B89))</f>
        <v/>
      </c>
      <c r="O89" s="0">
        <f>IF($A89="","",SUMIFS($K$1:$K$349,$AS$1:$AS$349,$AS89,$B$1:$B$349,$B89))</f>
        <v/>
      </c>
      <c r="P89" s="0">
        <f>IF($A89="","",SUMIFS($J$1:$J$349,$AS$1:$AS$349,$AS89,$B$1:$B$349,$B89))</f>
        <v/>
      </c>
      <c r="Q89" s="0">
        <f>IF($A89="","",SUMIFS($G$1:$G$349,$AS$1:$AS$349,$AS89,$C$1:$C$349,$C89))</f>
        <v/>
      </c>
      <c r="R89" s="0">
        <f>IF($A89="","",SUMIFS($H$1:$H$349,$AS$1:$AS$349,$AS89,$C$1:$C$349,$C89))</f>
        <v/>
      </c>
      <c r="S89" s="0">
        <f>IF($A89="","",SUMIFS($I$1:$I$349,$AS$1:$AS$349,$AS89,$C$1:$C$349,$C89))</f>
        <v/>
      </c>
      <c r="T89" s="0">
        <f>IF($A89="","",SUMIFS($G$1:$G$349,$AS$1:$AS$349,$AS89))</f>
        <v/>
      </c>
      <c r="U89" s="0">
        <f>IF($A89="","",SUMIFS($H$1:$H$349,$AS$1:$AS$349,$AS89))</f>
        <v/>
      </c>
      <c r="V89" s="0">
        <f>IF($A89="","",SUMIFS($I$1:$I$349,$AS$1:$AS$349,$AS89))</f>
        <v/>
      </c>
      <c r="W89" s="0">
        <f>IF($A89="","",Allocation!CD89)</f>
        <v/>
      </c>
      <c r="X89" s="0">
        <f>IF($A89="","",Allocation!CE89)</f>
        <v/>
      </c>
      <c r="Y89" s="0">
        <f>IF($A89="","",Allocation!CF89)</f>
        <v/>
      </c>
      <c r="Z89" s="0">
        <f>IF($A89="","",Allocation!CG89)</f>
        <v/>
      </c>
      <c r="AA89" s="0">
        <f>IF($A89="","",Allocation!CH89)</f>
        <v/>
      </c>
      <c r="AB89" s="0">
        <f>IF($A89="","",Allocation!CI89)</f>
        <v/>
      </c>
      <c r="AC89" s="0">
        <f>IF($A89="","",IF(Allocation!$N$4="VOL_EFF",$G89,IF(Allocation!$N$4="VOL_CLASS",$H89,$I89)))</f>
        <v/>
      </c>
      <c r="AD89" s="0">
        <f>IF($A89="","",IF(Allocation!$N$4="VOL_EFF",$L89,IF(Allocation!$N$4="VOL_CLASS",$M89,$N89)))</f>
        <v/>
      </c>
      <c r="AE89" s="0">
        <f>IF($A89="","",IF(Allocation!$N$3="VOL_EFF",$L89,IF(Allocation!$N$3="VOL_CLASS",$M89,$N89)))</f>
        <v/>
      </c>
      <c r="AF89" s="0">
        <f>IF($A89="","",IF(Allocation!$N$3="VOL_EFF",$Q89,IF(Allocation!$N$3="VOL_CLASS",$R89,$S89)))</f>
        <v/>
      </c>
      <c r="AG89" s="0">
        <f>IF($A89="","",IF(Allocation!$N$1="VOL_EFF",$Q89,IF(Allocation!$N$1="VOL_CLASS",$R89,$S89)))</f>
        <v/>
      </c>
      <c r="AH89" s="0">
        <f>IF($A89="","",IF(Allocation!$N$1="VOL_EFF",$T89,IF(Allocation!$N$1="VOL_CLASS",$U89,$V89)))</f>
        <v/>
      </c>
      <c r="AI89" s="0">
        <f>IF($A89="","",$W89*IFERROR($K89/$O89,0))</f>
        <v/>
      </c>
      <c r="AJ89" s="0">
        <f>IF($A89="","",$X89*IFERROR($K89/$O89,0))</f>
        <v/>
      </c>
      <c r="AK89" s="0">
        <f>IF($A89="","",$Y89*IFERROR($G89/$L89,0)+$Z89*IFERROR($J89/$P89,0))</f>
        <v/>
      </c>
      <c r="AL89" s="0">
        <f>IF($A89="","",$AA89*IFERROR($AC89/$AD89,0))</f>
        <v/>
      </c>
      <c r="AM89" s="0">
        <f>IF($A89="","",$AB89*IFERROR($AG89/$AH89,0)*IFERROR($AE89/$AF89,0)*IFERROR($AC89/$AD89,0))</f>
        <v/>
      </c>
      <c r="AN89" s="0">
        <f>IF($A89="","",$I89-($AI89+$AJ89+$AK89+$AL89+$AM89+$AR89))</f>
        <v/>
      </c>
      <c r="AO89" s="0">
        <f>IF($A89="","",Allocation!CJ89)</f>
        <v/>
      </c>
      <c r="AP89" s="0">
        <f>IF($A89="","",IF(Allocation!$N$2="VOL_EFF",$Q89,IF(Allocation!$N$2="VOL_CLASS",$R89,$S89)))</f>
        <v/>
      </c>
      <c r="AQ89" s="0">
        <f>IF($A89="","",IF(Allocation!$N$2="VOL_EFF",$T89,IF(Allocation!$N$2="VOL_CLASS",$U89,$V89)))</f>
        <v/>
      </c>
      <c r="AR89" s="0">
        <f>IF($A89="","",$AO89*IFERROR($AP89/$AQ89,0)*IFERROR($AE89/$AF89,0)*IFERROR($AC89/$AD89,0))</f>
        <v/>
      </c>
      <c r="AS89" s="0">
        <f>IF($A89="","",$A89&amp;"|"&amp;Allocation!BG89)</f>
        <v/>
      </c>
    </row>
    <row r="90" ht="14.4975" customHeight="1" s="64">
      <c r="A90" s="0">
        <f>IF(Allocation!BI90="","",Allocation!BI90)</f>
        <v/>
      </c>
      <c r="B90" s="0">
        <f>IF(Allocation!BJ90="","",Allocation!BJ90)</f>
        <v/>
      </c>
      <c r="C90" s="0">
        <f>IF(Allocation!BK90="","",Allocation!BK90)</f>
        <v/>
      </c>
      <c r="D90" s="0">
        <f>IF(Allocation!BL90="","",Allocation!BL90)</f>
        <v/>
      </c>
      <c r="E90" s="0">
        <f>IF(Allocation!BM90="","",Allocation!BM90)</f>
        <v/>
      </c>
      <c r="F90" s="0">
        <f>IF(Allocation!BN90="","",Allocation!BN90)</f>
        <v/>
      </c>
      <c r="G90" s="0">
        <f>IF(Allocation!BO90="","",Allocation!BO90)</f>
        <v/>
      </c>
      <c r="H90" s="0">
        <f>IF(Allocation!BP90="","",Allocation!BP90)</f>
        <v/>
      </c>
      <c r="I90" s="0">
        <f>IF(Allocation!BQ90="","",Allocation!BQ90)</f>
        <v/>
      </c>
      <c r="J90" s="0">
        <f>IF(Allocation!CC90="","",Allocation!CC90)</f>
        <v/>
      </c>
      <c r="K90" s="0">
        <f>IF($A90="","",$H90*IF(AND(LEFT($D90,3)="BAC",$F90="INIT"),600,IF(LEFT($D90,3)="BAC",480,IF(AND(LEFT($D90,3)="MAS",$F90="INIT"),520,IF(LEFT($D90,3)="MAS",420,IF($F90="INIT",1000,700))))))</f>
        <v/>
      </c>
      <c r="L90" s="0">
        <f>IF($A90="","",SUMIFS($G$1:$G$349,$AS$1:$AS$349,$AS90,$B$1:$B$349,$B90))</f>
        <v/>
      </c>
      <c r="M90" s="0">
        <f>IF($A90="","",SUMIFS($H$1:$H$349,$AS$1:$AS$349,$AS90,$B$1:$B$349,$B90))</f>
        <v/>
      </c>
      <c r="N90" s="0">
        <f>IF($A90="","",SUMIFS($I$1:$I$349,$AS$1:$AS$349,$AS90,$B$1:$B$349,$B90))</f>
        <v/>
      </c>
      <c r="O90" s="0">
        <f>IF($A90="","",SUMIFS($K$1:$K$349,$AS$1:$AS$349,$AS90,$B$1:$B$349,$B90))</f>
        <v/>
      </c>
      <c r="P90" s="0">
        <f>IF($A90="","",SUMIFS($J$1:$J$349,$AS$1:$AS$349,$AS90,$B$1:$B$349,$B90))</f>
        <v/>
      </c>
      <c r="Q90" s="0">
        <f>IF($A90="","",SUMIFS($G$1:$G$349,$AS$1:$AS$349,$AS90,$C$1:$C$349,$C90))</f>
        <v/>
      </c>
      <c r="R90" s="0">
        <f>IF($A90="","",SUMIFS($H$1:$H$349,$AS$1:$AS$349,$AS90,$C$1:$C$349,$C90))</f>
        <v/>
      </c>
      <c r="S90" s="0">
        <f>IF($A90="","",SUMIFS($I$1:$I$349,$AS$1:$AS$349,$AS90,$C$1:$C$349,$C90))</f>
        <v/>
      </c>
      <c r="T90" s="0">
        <f>IF($A90="","",SUMIFS($G$1:$G$349,$AS$1:$AS$349,$AS90))</f>
        <v/>
      </c>
      <c r="U90" s="0">
        <f>IF($A90="","",SUMIFS($H$1:$H$349,$AS$1:$AS$349,$AS90))</f>
        <v/>
      </c>
      <c r="V90" s="0">
        <f>IF($A90="","",SUMIFS($I$1:$I$349,$AS$1:$AS$349,$AS90))</f>
        <v/>
      </c>
      <c r="W90" s="0">
        <f>IF($A90="","",Allocation!CD90)</f>
        <v/>
      </c>
      <c r="X90" s="0">
        <f>IF($A90="","",Allocation!CE90)</f>
        <v/>
      </c>
      <c r="Y90" s="0">
        <f>IF($A90="","",Allocation!CF90)</f>
        <v/>
      </c>
      <c r="Z90" s="0">
        <f>IF($A90="","",Allocation!CG90)</f>
        <v/>
      </c>
      <c r="AA90" s="0">
        <f>IF($A90="","",Allocation!CH90)</f>
        <v/>
      </c>
      <c r="AB90" s="0">
        <f>IF($A90="","",Allocation!CI90)</f>
        <v/>
      </c>
      <c r="AC90" s="0">
        <f>IF($A90="","",IF(Allocation!$N$4="VOL_EFF",$G90,IF(Allocation!$N$4="VOL_CLASS",$H90,$I90)))</f>
        <v/>
      </c>
      <c r="AD90" s="0">
        <f>IF($A90="","",IF(Allocation!$N$4="VOL_EFF",$L90,IF(Allocation!$N$4="VOL_CLASS",$M90,$N90)))</f>
        <v/>
      </c>
      <c r="AE90" s="0">
        <f>IF($A90="","",IF(Allocation!$N$3="VOL_EFF",$L90,IF(Allocation!$N$3="VOL_CLASS",$M90,$N90)))</f>
        <v/>
      </c>
      <c r="AF90" s="0">
        <f>IF($A90="","",IF(Allocation!$N$3="VOL_EFF",$Q90,IF(Allocation!$N$3="VOL_CLASS",$R90,$S90)))</f>
        <v/>
      </c>
      <c r="AG90" s="0">
        <f>IF($A90="","",IF(Allocation!$N$1="VOL_EFF",$Q90,IF(Allocation!$N$1="VOL_CLASS",$R90,$S90)))</f>
        <v/>
      </c>
      <c r="AH90" s="0">
        <f>IF($A90="","",IF(Allocation!$N$1="VOL_EFF",$T90,IF(Allocation!$N$1="VOL_CLASS",$U90,$V90)))</f>
        <v/>
      </c>
      <c r="AI90" s="0">
        <f>IF($A90="","",$W90*IFERROR($K90/$O90,0))</f>
        <v/>
      </c>
      <c r="AJ90" s="0">
        <f>IF($A90="","",$X90*IFERROR($K90/$O90,0))</f>
        <v/>
      </c>
      <c r="AK90" s="0">
        <f>IF($A90="","",$Y90*IFERROR($G90/$L90,0)+$Z90*IFERROR($J90/$P90,0))</f>
        <v/>
      </c>
      <c r="AL90" s="0">
        <f>IF($A90="","",$AA90*IFERROR($AC90/$AD90,0))</f>
        <v/>
      </c>
      <c r="AM90" s="0">
        <f>IF($A90="","",$AB90*IFERROR($AG90/$AH90,0)*IFERROR($AE90/$AF90,0)*IFERROR($AC90/$AD90,0))</f>
        <v/>
      </c>
      <c r="AN90" s="0">
        <f>IF($A90="","",$I90-($AI90+$AJ90+$AK90+$AL90+$AM90+$AR90))</f>
        <v/>
      </c>
      <c r="AO90" s="0">
        <f>IF($A90="","",Allocation!CJ90)</f>
        <v/>
      </c>
      <c r="AP90" s="0">
        <f>IF($A90="","",IF(Allocation!$N$2="VOL_EFF",$Q90,IF(Allocation!$N$2="VOL_CLASS",$R90,$S90)))</f>
        <v/>
      </c>
      <c r="AQ90" s="0">
        <f>IF($A90="","",IF(Allocation!$N$2="VOL_EFF",$T90,IF(Allocation!$N$2="VOL_CLASS",$U90,$V90)))</f>
        <v/>
      </c>
      <c r="AR90" s="0">
        <f>IF($A90="","",$AO90*IFERROR($AP90/$AQ90,0)*IFERROR($AE90/$AF90,0)*IFERROR($AC90/$AD90,0))</f>
        <v/>
      </c>
      <c r="AS90" s="0">
        <f>IF($A90="","",$A90&amp;"|"&amp;Allocation!BG90)</f>
        <v/>
      </c>
    </row>
    <row r="91" ht="14.4975" customHeight="1" s="64">
      <c r="A91" s="0">
        <f>IF(Allocation!BI91="","",Allocation!BI91)</f>
        <v/>
      </c>
      <c r="B91" s="0">
        <f>IF(Allocation!BJ91="","",Allocation!BJ91)</f>
        <v/>
      </c>
      <c r="C91" s="0">
        <f>IF(Allocation!BK91="","",Allocation!BK91)</f>
        <v/>
      </c>
      <c r="D91" s="0">
        <f>IF(Allocation!BL91="","",Allocation!BL91)</f>
        <v/>
      </c>
      <c r="E91" s="0">
        <f>IF(Allocation!BM91="","",Allocation!BM91)</f>
        <v/>
      </c>
      <c r="F91" s="0">
        <f>IF(Allocation!BN91="","",Allocation!BN91)</f>
        <v/>
      </c>
      <c r="G91" s="0">
        <f>IF(Allocation!BO91="","",Allocation!BO91)</f>
        <v/>
      </c>
      <c r="H91" s="0">
        <f>IF(Allocation!BP91="","",Allocation!BP91)</f>
        <v/>
      </c>
      <c r="I91" s="0">
        <f>IF(Allocation!BQ91="","",Allocation!BQ91)</f>
        <v/>
      </c>
      <c r="J91" s="0">
        <f>IF(Allocation!CC91="","",Allocation!CC91)</f>
        <v/>
      </c>
      <c r="K91" s="0">
        <f>IF($A91="","",$H91*IF(AND(LEFT($D91,3)="BAC",$F91="INIT"),600,IF(LEFT($D91,3)="BAC",480,IF(AND(LEFT($D91,3)="MAS",$F91="INIT"),520,IF(LEFT($D91,3)="MAS",420,IF($F91="INIT",1000,700))))))</f>
        <v/>
      </c>
      <c r="L91" s="0">
        <f>IF($A91="","",SUMIFS($G$1:$G$349,$AS$1:$AS$349,$AS91,$B$1:$B$349,$B91))</f>
        <v/>
      </c>
      <c r="M91" s="0">
        <f>IF($A91="","",SUMIFS($H$1:$H$349,$AS$1:$AS$349,$AS91,$B$1:$B$349,$B91))</f>
        <v/>
      </c>
      <c r="N91" s="0">
        <f>IF($A91="","",SUMIFS($I$1:$I$349,$AS$1:$AS$349,$AS91,$B$1:$B$349,$B91))</f>
        <v/>
      </c>
      <c r="O91" s="0">
        <f>IF($A91="","",SUMIFS($K$1:$K$349,$AS$1:$AS$349,$AS91,$B$1:$B$349,$B91))</f>
        <v/>
      </c>
      <c r="P91" s="0">
        <f>IF($A91="","",SUMIFS($J$1:$J$349,$AS$1:$AS$349,$AS91,$B$1:$B$349,$B91))</f>
        <v/>
      </c>
      <c r="Q91" s="0">
        <f>IF($A91="","",SUMIFS($G$1:$G$349,$AS$1:$AS$349,$AS91,$C$1:$C$349,$C91))</f>
        <v/>
      </c>
      <c r="R91" s="0">
        <f>IF($A91="","",SUMIFS($H$1:$H$349,$AS$1:$AS$349,$AS91,$C$1:$C$349,$C91))</f>
        <v/>
      </c>
      <c r="S91" s="0">
        <f>IF($A91="","",SUMIFS($I$1:$I$349,$AS$1:$AS$349,$AS91,$C$1:$C$349,$C91))</f>
        <v/>
      </c>
      <c r="T91" s="0">
        <f>IF($A91="","",SUMIFS($G$1:$G$349,$AS$1:$AS$349,$AS91))</f>
        <v/>
      </c>
      <c r="U91" s="0">
        <f>IF($A91="","",SUMIFS($H$1:$H$349,$AS$1:$AS$349,$AS91))</f>
        <v/>
      </c>
      <c r="V91" s="0">
        <f>IF($A91="","",SUMIFS($I$1:$I$349,$AS$1:$AS$349,$AS91))</f>
        <v/>
      </c>
      <c r="W91" s="0">
        <f>IF($A91="","",Allocation!CD91)</f>
        <v/>
      </c>
      <c r="X91" s="0">
        <f>IF($A91="","",Allocation!CE91)</f>
        <v/>
      </c>
      <c r="Y91" s="0">
        <f>IF($A91="","",Allocation!CF91)</f>
        <v/>
      </c>
      <c r="Z91" s="0">
        <f>IF($A91="","",Allocation!CG91)</f>
        <v/>
      </c>
      <c r="AA91" s="0">
        <f>IF($A91="","",Allocation!CH91)</f>
        <v/>
      </c>
      <c r="AB91" s="0">
        <f>IF($A91="","",Allocation!CI91)</f>
        <v/>
      </c>
      <c r="AC91" s="0">
        <f>IF($A91="","",IF(Allocation!$N$4="VOL_EFF",$G91,IF(Allocation!$N$4="VOL_CLASS",$H91,$I91)))</f>
        <v/>
      </c>
      <c r="AD91" s="0">
        <f>IF($A91="","",IF(Allocation!$N$4="VOL_EFF",$L91,IF(Allocation!$N$4="VOL_CLASS",$M91,$N91)))</f>
        <v/>
      </c>
      <c r="AE91" s="0">
        <f>IF($A91="","",IF(Allocation!$N$3="VOL_EFF",$L91,IF(Allocation!$N$3="VOL_CLASS",$M91,$N91)))</f>
        <v/>
      </c>
      <c r="AF91" s="0">
        <f>IF($A91="","",IF(Allocation!$N$3="VOL_EFF",$Q91,IF(Allocation!$N$3="VOL_CLASS",$R91,$S91)))</f>
        <v/>
      </c>
      <c r="AG91" s="0">
        <f>IF($A91="","",IF(Allocation!$N$1="VOL_EFF",$Q91,IF(Allocation!$N$1="VOL_CLASS",$R91,$S91)))</f>
        <v/>
      </c>
      <c r="AH91" s="0">
        <f>IF($A91="","",IF(Allocation!$N$1="VOL_EFF",$T91,IF(Allocation!$N$1="VOL_CLASS",$U91,$V91)))</f>
        <v/>
      </c>
      <c r="AI91" s="0">
        <f>IF($A91="","",$W91*IFERROR($K91/$O91,0))</f>
        <v/>
      </c>
      <c r="AJ91" s="0">
        <f>IF($A91="","",$X91*IFERROR($K91/$O91,0))</f>
        <v/>
      </c>
      <c r="AK91" s="0">
        <f>IF($A91="","",$Y91*IFERROR($G91/$L91,0)+$Z91*IFERROR($J91/$P91,0))</f>
        <v/>
      </c>
      <c r="AL91" s="0">
        <f>IF($A91="","",$AA91*IFERROR($AC91/$AD91,0))</f>
        <v/>
      </c>
      <c r="AM91" s="0">
        <f>IF($A91="","",$AB91*IFERROR($AG91/$AH91,0)*IFERROR($AE91/$AF91,0)*IFERROR($AC91/$AD91,0))</f>
        <v/>
      </c>
      <c r="AN91" s="0">
        <f>IF($A91="","",$I91-($AI91+$AJ91+$AK91+$AL91+$AM91+$AR91))</f>
        <v/>
      </c>
      <c r="AO91" s="0">
        <f>IF($A91="","",Allocation!CJ91)</f>
        <v/>
      </c>
      <c r="AP91" s="0">
        <f>IF($A91="","",IF(Allocation!$N$2="VOL_EFF",$Q91,IF(Allocation!$N$2="VOL_CLASS",$R91,$S91)))</f>
        <v/>
      </c>
      <c r="AQ91" s="0">
        <f>IF($A91="","",IF(Allocation!$N$2="VOL_EFF",$T91,IF(Allocation!$N$2="VOL_CLASS",$U91,$V91)))</f>
        <v/>
      </c>
      <c r="AR91" s="0">
        <f>IF($A91="","",$AO91*IFERROR($AP91/$AQ91,0)*IFERROR($AE91/$AF91,0)*IFERROR($AC91/$AD91,0))</f>
        <v/>
      </c>
      <c r="AS91" s="0">
        <f>IF($A91="","",$A91&amp;"|"&amp;Allocation!BG91)</f>
        <v/>
      </c>
    </row>
    <row r="92" ht="14.4975" customHeight="1" s="64">
      <c r="A92" s="0">
        <f>IF(Allocation!BI92="","",Allocation!BI92)</f>
        <v/>
      </c>
      <c r="B92" s="0">
        <f>IF(Allocation!BJ92="","",Allocation!BJ92)</f>
        <v/>
      </c>
      <c r="C92" s="0">
        <f>IF(Allocation!BK92="","",Allocation!BK92)</f>
        <v/>
      </c>
      <c r="D92" s="0">
        <f>IF(Allocation!BL92="","",Allocation!BL92)</f>
        <v/>
      </c>
      <c r="E92" s="0">
        <f>IF(Allocation!BM92="","",Allocation!BM92)</f>
        <v/>
      </c>
      <c r="F92" s="0">
        <f>IF(Allocation!BN92="","",Allocation!BN92)</f>
        <v/>
      </c>
      <c r="G92" s="0">
        <f>IF(Allocation!BO92="","",Allocation!BO92)</f>
        <v/>
      </c>
      <c r="H92" s="0">
        <f>IF(Allocation!BP92="","",Allocation!BP92)</f>
        <v/>
      </c>
      <c r="I92" s="0">
        <f>IF(Allocation!BQ92="","",Allocation!BQ92)</f>
        <v/>
      </c>
      <c r="J92" s="0">
        <f>IF(Allocation!CC92="","",Allocation!CC92)</f>
        <v/>
      </c>
      <c r="K92" s="0">
        <f>IF($A92="","",$H92*IF(AND(LEFT($D92,3)="BAC",$F92="INIT"),600,IF(LEFT($D92,3)="BAC",480,IF(AND(LEFT($D92,3)="MAS",$F92="INIT"),520,IF(LEFT($D92,3)="MAS",420,IF($F92="INIT",1000,700))))))</f>
        <v/>
      </c>
      <c r="L92" s="0">
        <f>IF($A92="","",SUMIFS($G$1:$G$349,$AS$1:$AS$349,$AS92,$B$1:$B$349,$B92))</f>
        <v/>
      </c>
      <c r="M92" s="0">
        <f>IF($A92="","",SUMIFS($H$1:$H$349,$AS$1:$AS$349,$AS92,$B$1:$B$349,$B92))</f>
        <v/>
      </c>
      <c r="N92" s="0">
        <f>IF($A92="","",SUMIFS($I$1:$I$349,$AS$1:$AS$349,$AS92,$B$1:$B$349,$B92))</f>
        <v/>
      </c>
      <c r="O92" s="0">
        <f>IF($A92="","",SUMIFS($K$1:$K$349,$AS$1:$AS$349,$AS92,$B$1:$B$349,$B92))</f>
        <v/>
      </c>
      <c r="P92" s="0">
        <f>IF($A92="","",SUMIFS($J$1:$J$349,$AS$1:$AS$349,$AS92,$B$1:$B$349,$B92))</f>
        <v/>
      </c>
      <c r="Q92" s="0">
        <f>IF($A92="","",SUMIFS($G$1:$G$349,$AS$1:$AS$349,$AS92,$C$1:$C$349,$C92))</f>
        <v/>
      </c>
      <c r="R92" s="0">
        <f>IF($A92="","",SUMIFS($H$1:$H$349,$AS$1:$AS$349,$AS92,$C$1:$C$349,$C92))</f>
        <v/>
      </c>
      <c r="S92" s="0">
        <f>IF($A92="","",SUMIFS($I$1:$I$349,$AS$1:$AS$349,$AS92,$C$1:$C$349,$C92))</f>
        <v/>
      </c>
      <c r="T92" s="0">
        <f>IF($A92="","",SUMIFS($G$1:$G$349,$AS$1:$AS$349,$AS92))</f>
        <v/>
      </c>
      <c r="U92" s="0">
        <f>IF($A92="","",SUMIFS($H$1:$H$349,$AS$1:$AS$349,$AS92))</f>
        <v/>
      </c>
      <c r="V92" s="0">
        <f>IF($A92="","",SUMIFS($I$1:$I$349,$AS$1:$AS$349,$AS92))</f>
        <v/>
      </c>
      <c r="W92" s="0">
        <f>IF($A92="","",Allocation!CD92)</f>
        <v/>
      </c>
      <c r="X92" s="0">
        <f>IF($A92="","",Allocation!CE92)</f>
        <v/>
      </c>
      <c r="Y92" s="0">
        <f>IF($A92="","",Allocation!CF92)</f>
        <v/>
      </c>
      <c r="Z92" s="0">
        <f>IF($A92="","",Allocation!CG92)</f>
        <v/>
      </c>
      <c r="AA92" s="0">
        <f>IF($A92="","",Allocation!CH92)</f>
        <v/>
      </c>
      <c r="AB92" s="0">
        <f>IF($A92="","",Allocation!CI92)</f>
        <v/>
      </c>
      <c r="AC92" s="0">
        <f>IF($A92="","",IF(Allocation!$N$4="VOL_EFF",$G92,IF(Allocation!$N$4="VOL_CLASS",$H92,$I92)))</f>
        <v/>
      </c>
      <c r="AD92" s="0">
        <f>IF($A92="","",IF(Allocation!$N$4="VOL_EFF",$L92,IF(Allocation!$N$4="VOL_CLASS",$M92,$N92)))</f>
        <v/>
      </c>
      <c r="AE92" s="0">
        <f>IF($A92="","",IF(Allocation!$N$3="VOL_EFF",$L92,IF(Allocation!$N$3="VOL_CLASS",$M92,$N92)))</f>
        <v/>
      </c>
      <c r="AF92" s="0">
        <f>IF($A92="","",IF(Allocation!$N$3="VOL_EFF",$Q92,IF(Allocation!$N$3="VOL_CLASS",$R92,$S92)))</f>
        <v/>
      </c>
      <c r="AG92" s="0">
        <f>IF($A92="","",IF(Allocation!$N$1="VOL_EFF",$Q92,IF(Allocation!$N$1="VOL_CLASS",$R92,$S92)))</f>
        <v/>
      </c>
      <c r="AH92" s="0">
        <f>IF($A92="","",IF(Allocation!$N$1="VOL_EFF",$T92,IF(Allocation!$N$1="VOL_CLASS",$U92,$V92)))</f>
        <v/>
      </c>
      <c r="AI92" s="0">
        <f>IF($A92="","",$W92*IFERROR($K92/$O92,0))</f>
        <v/>
      </c>
      <c r="AJ92" s="0">
        <f>IF($A92="","",$X92*IFERROR($K92/$O92,0))</f>
        <v/>
      </c>
      <c r="AK92" s="0">
        <f>IF($A92="","",$Y92*IFERROR($G92/$L92,0)+$Z92*IFERROR($J92/$P92,0))</f>
        <v/>
      </c>
      <c r="AL92" s="0">
        <f>IF($A92="","",$AA92*IFERROR($AC92/$AD92,0))</f>
        <v/>
      </c>
      <c r="AM92" s="0">
        <f>IF($A92="","",$AB92*IFERROR($AG92/$AH92,0)*IFERROR($AE92/$AF92,0)*IFERROR($AC92/$AD92,0))</f>
        <v/>
      </c>
      <c r="AN92" s="0">
        <f>IF($A92="","",$I92-($AI92+$AJ92+$AK92+$AL92+$AM92+$AR92))</f>
        <v/>
      </c>
      <c r="AO92" s="0">
        <f>IF($A92="","",Allocation!CJ92)</f>
        <v/>
      </c>
      <c r="AP92" s="0">
        <f>IF($A92="","",IF(Allocation!$N$2="VOL_EFF",$Q92,IF(Allocation!$N$2="VOL_CLASS",$R92,$S92)))</f>
        <v/>
      </c>
      <c r="AQ92" s="0">
        <f>IF($A92="","",IF(Allocation!$N$2="VOL_EFF",$T92,IF(Allocation!$N$2="VOL_CLASS",$U92,$V92)))</f>
        <v/>
      </c>
      <c r="AR92" s="0">
        <f>IF($A92="","",$AO92*IFERROR($AP92/$AQ92,0)*IFERROR($AE92/$AF92,0)*IFERROR($AC92/$AD92,0))</f>
        <v/>
      </c>
      <c r="AS92" s="0">
        <f>IF($A92="","",$A92&amp;"|"&amp;Allocation!BG92)</f>
        <v/>
      </c>
    </row>
    <row r="93" ht="14.4975" customHeight="1" s="64">
      <c r="A93" s="0">
        <f>IF(Allocation!BI93="","",Allocation!BI93)</f>
        <v/>
      </c>
      <c r="B93" s="0">
        <f>IF(Allocation!BJ93="","",Allocation!BJ93)</f>
        <v/>
      </c>
      <c r="C93" s="0">
        <f>IF(Allocation!BK93="","",Allocation!BK93)</f>
        <v/>
      </c>
      <c r="D93" s="0">
        <f>IF(Allocation!BL93="","",Allocation!BL93)</f>
        <v/>
      </c>
      <c r="E93" s="0">
        <f>IF(Allocation!BM93="","",Allocation!BM93)</f>
        <v/>
      </c>
      <c r="F93" s="0">
        <f>IF(Allocation!BN93="","",Allocation!BN93)</f>
        <v/>
      </c>
      <c r="G93" s="0">
        <f>IF(Allocation!BO93="","",Allocation!BO93)</f>
        <v/>
      </c>
      <c r="H93" s="0">
        <f>IF(Allocation!BP93="","",Allocation!BP93)</f>
        <v/>
      </c>
      <c r="I93" s="0">
        <f>IF(Allocation!BQ93="","",Allocation!BQ93)</f>
        <v/>
      </c>
      <c r="J93" s="0">
        <f>IF(Allocation!CC93="","",Allocation!CC93)</f>
        <v/>
      </c>
      <c r="K93" s="0">
        <f>IF($A93="","",$H93*IF(AND(LEFT($D93,3)="BAC",$F93="INIT"),600,IF(LEFT($D93,3)="BAC",480,IF(AND(LEFT($D93,3)="MAS",$F93="INIT"),520,IF(LEFT($D93,3)="MAS",420,IF($F93="INIT",1000,700))))))</f>
        <v/>
      </c>
      <c r="L93" s="0">
        <f>IF($A93="","",SUMIFS($G$1:$G$349,$AS$1:$AS$349,$AS93,$B$1:$B$349,$B93))</f>
        <v/>
      </c>
      <c r="M93" s="0">
        <f>IF($A93="","",SUMIFS($H$1:$H$349,$AS$1:$AS$349,$AS93,$B$1:$B$349,$B93))</f>
        <v/>
      </c>
      <c r="N93" s="0">
        <f>IF($A93="","",SUMIFS($I$1:$I$349,$AS$1:$AS$349,$AS93,$B$1:$B$349,$B93))</f>
        <v/>
      </c>
      <c r="O93" s="0">
        <f>IF($A93="","",SUMIFS($K$1:$K$349,$AS$1:$AS$349,$AS93,$B$1:$B$349,$B93))</f>
        <v/>
      </c>
      <c r="P93" s="0">
        <f>IF($A93="","",SUMIFS($J$1:$J$349,$AS$1:$AS$349,$AS93,$B$1:$B$349,$B93))</f>
        <v/>
      </c>
      <c r="Q93" s="0">
        <f>IF($A93="","",SUMIFS($G$1:$G$349,$AS$1:$AS$349,$AS93,$C$1:$C$349,$C93))</f>
        <v/>
      </c>
      <c r="R93" s="0">
        <f>IF($A93="","",SUMIFS($H$1:$H$349,$AS$1:$AS$349,$AS93,$C$1:$C$349,$C93))</f>
        <v/>
      </c>
      <c r="S93" s="0">
        <f>IF($A93="","",SUMIFS($I$1:$I$349,$AS$1:$AS$349,$AS93,$C$1:$C$349,$C93))</f>
        <v/>
      </c>
      <c r="T93" s="0">
        <f>IF($A93="","",SUMIFS($G$1:$G$349,$AS$1:$AS$349,$AS93))</f>
        <v/>
      </c>
      <c r="U93" s="0">
        <f>IF($A93="","",SUMIFS($H$1:$H$349,$AS$1:$AS$349,$AS93))</f>
        <v/>
      </c>
      <c r="V93" s="0">
        <f>IF($A93="","",SUMIFS($I$1:$I$349,$AS$1:$AS$349,$AS93))</f>
        <v/>
      </c>
      <c r="W93" s="0">
        <f>IF($A93="","",Allocation!CD93)</f>
        <v/>
      </c>
      <c r="X93" s="0">
        <f>IF($A93="","",Allocation!CE93)</f>
        <v/>
      </c>
      <c r="Y93" s="0">
        <f>IF($A93="","",Allocation!CF93)</f>
        <v/>
      </c>
      <c r="Z93" s="0">
        <f>IF($A93="","",Allocation!CG93)</f>
        <v/>
      </c>
      <c r="AA93" s="0">
        <f>IF($A93="","",Allocation!CH93)</f>
        <v/>
      </c>
      <c r="AB93" s="0">
        <f>IF($A93="","",Allocation!CI93)</f>
        <v/>
      </c>
      <c r="AC93" s="0">
        <f>IF($A93="","",IF(Allocation!$N$4="VOL_EFF",$G93,IF(Allocation!$N$4="VOL_CLASS",$H93,$I93)))</f>
        <v/>
      </c>
      <c r="AD93" s="0">
        <f>IF($A93="","",IF(Allocation!$N$4="VOL_EFF",$L93,IF(Allocation!$N$4="VOL_CLASS",$M93,$N93)))</f>
        <v/>
      </c>
      <c r="AE93" s="0">
        <f>IF($A93="","",IF(Allocation!$N$3="VOL_EFF",$L93,IF(Allocation!$N$3="VOL_CLASS",$M93,$N93)))</f>
        <v/>
      </c>
      <c r="AF93" s="0">
        <f>IF($A93="","",IF(Allocation!$N$3="VOL_EFF",$Q93,IF(Allocation!$N$3="VOL_CLASS",$R93,$S93)))</f>
        <v/>
      </c>
      <c r="AG93" s="0">
        <f>IF($A93="","",IF(Allocation!$N$1="VOL_EFF",$Q93,IF(Allocation!$N$1="VOL_CLASS",$R93,$S93)))</f>
        <v/>
      </c>
      <c r="AH93" s="0">
        <f>IF($A93="","",IF(Allocation!$N$1="VOL_EFF",$T93,IF(Allocation!$N$1="VOL_CLASS",$U93,$V93)))</f>
        <v/>
      </c>
      <c r="AI93" s="0">
        <f>IF($A93="","",$W93*IFERROR($K93/$O93,0))</f>
        <v/>
      </c>
      <c r="AJ93" s="0">
        <f>IF($A93="","",$X93*IFERROR($K93/$O93,0))</f>
        <v/>
      </c>
      <c r="AK93" s="0">
        <f>IF($A93="","",$Y93*IFERROR($G93/$L93,0)+$Z93*IFERROR($J93/$P93,0))</f>
        <v/>
      </c>
      <c r="AL93" s="0">
        <f>IF($A93="","",$AA93*IFERROR($AC93/$AD93,0))</f>
        <v/>
      </c>
      <c r="AM93" s="0">
        <f>IF($A93="","",$AB93*IFERROR($AG93/$AH93,0)*IFERROR($AE93/$AF93,0)*IFERROR($AC93/$AD93,0))</f>
        <v/>
      </c>
      <c r="AN93" s="0">
        <f>IF($A93="","",$I93-($AI93+$AJ93+$AK93+$AL93+$AM93+$AR93))</f>
        <v/>
      </c>
      <c r="AO93" s="0">
        <f>IF($A93="","",Allocation!CJ93)</f>
        <v/>
      </c>
      <c r="AP93" s="0">
        <f>IF($A93="","",IF(Allocation!$N$2="VOL_EFF",$Q93,IF(Allocation!$N$2="VOL_CLASS",$R93,$S93)))</f>
        <v/>
      </c>
      <c r="AQ93" s="0">
        <f>IF($A93="","",IF(Allocation!$N$2="VOL_EFF",$T93,IF(Allocation!$N$2="VOL_CLASS",$U93,$V93)))</f>
        <v/>
      </c>
      <c r="AR93" s="0">
        <f>IF($A93="","",$AO93*IFERROR($AP93/$AQ93,0)*IFERROR($AE93/$AF93,0)*IFERROR($AC93/$AD93,0))</f>
        <v/>
      </c>
      <c r="AS93" s="0">
        <f>IF($A93="","",$A93&amp;"|"&amp;Allocation!BG93)</f>
        <v/>
      </c>
    </row>
    <row r="94" ht="14.4975" customHeight="1" s="64">
      <c r="A94" s="0">
        <f>IF(Allocation!BI94="","",Allocation!BI94)</f>
        <v/>
      </c>
      <c r="B94" s="0">
        <f>IF(Allocation!BJ94="","",Allocation!BJ94)</f>
        <v/>
      </c>
      <c r="C94" s="0">
        <f>IF(Allocation!BK94="","",Allocation!BK94)</f>
        <v/>
      </c>
      <c r="D94" s="0">
        <f>IF(Allocation!BL94="","",Allocation!BL94)</f>
        <v/>
      </c>
      <c r="E94" s="0">
        <f>IF(Allocation!BM94="","",Allocation!BM94)</f>
        <v/>
      </c>
      <c r="F94" s="0">
        <f>IF(Allocation!BN94="","",Allocation!BN94)</f>
        <v/>
      </c>
      <c r="G94" s="0">
        <f>IF(Allocation!BO94="","",Allocation!BO94)</f>
        <v/>
      </c>
      <c r="H94" s="0">
        <f>IF(Allocation!BP94="","",Allocation!BP94)</f>
        <v/>
      </c>
      <c r="I94" s="0">
        <f>IF(Allocation!BQ94="","",Allocation!BQ94)</f>
        <v/>
      </c>
      <c r="J94" s="0">
        <f>IF(Allocation!CC94="","",Allocation!CC94)</f>
        <v/>
      </c>
      <c r="K94" s="0">
        <f>IF($A94="","",$H94*IF(AND(LEFT($D94,3)="BAC",$F94="INIT"),600,IF(LEFT($D94,3)="BAC",480,IF(AND(LEFT($D94,3)="MAS",$F94="INIT"),520,IF(LEFT($D94,3)="MAS",420,IF($F94="INIT",1000,700))))))</f>
        <v/>
      </c>
      <c r="L94" s="0">
        <f>IF($A94="","",SUMIFS($G$1:$G$349,$AS$1:$AS$349,$AS94,$B$1:$B$349,$B94))</f>
        <v/>
      </c>
      <c r="M94" s="0">
        <f>IF($A94="","",SUMIFS($H$1:$H$349,$AS$1:$AS$349,$AS94,$B$1:$B$349,$B94))</f>
        <v/>
      </c>
      <c r="N94" s="0">
        <f>IF($A94="","",SUMIFS($I$1:$I$349,$AS$1:$AS$349,$AS94,$B$1:$B$349,$B94))</f>
        <v/>
      </c>
      <c r="O94" s="0">
        <f>IF($A94="","",SUMIFS($K$1:$K$349,$AS$1:$AS$349,$AS94,$B$1:$B$349,$B94))</f>
        <v/>
      </c>
      <c r="P94" s="0">
        <f>IF($A94="","",SUMIFS($J$1:$J$349,$AS$1:$AS$349,$AS94,$B$1:$B$349,$B94))</f>
        <v/>
      </c>
      <c r="Q94" s="0">
        <f>IF($A94="","",SUMIFS($G$1:$G$349,$AS$1:$AS$349,$AS94,$C$1:$C$349,$C94))</f>
        <v/>
      </c>
      <c r="R94" s="0">
        <f>IF($A94="","",SUMIFS($H$1:$H$349,$AS$1:$AS$349,$AS94,$C$1:$C$349,$C94))</f>
        <v/>
      </c>
      <c r="S94" s="0">
        <f>IF($A94="","",SUMIFS($I$1:$I$349,$AS$1:$AS$349,$AS94,$C$1:$C$349,$C94))</f>
        <v/>
      </c>
      <c r="T94" s="0">
        <f>IF($A94="","",SUMIFS($G$1:$G$349,$AS$1:$AS$349,$AS94))</f>
        <v/>
      </c>
      <c r="U94" s="0">
        <f>IF($A94="","",SUMIFS($H$1:$H$349,$AS$1:$AS$349,$AS94))</f>
        <v/>
      </c>
      <c r="V94" s="0">
        <f>IF($A94="","",SUMIFS($I$1:$I$349,$AS$1:$AS$349,$AS94))</f>
        <v/>
      </c>
      <c r="W94" s="0">
        <f>IF($A94="","",Allocation!CD94)</f>
        <v/>
      </c>
      <c r="X94" s="0">
        <f>IF($A94="","",Allocation!CE94)</f>
        <v/>
      </c>
      <c r="Y94" s="0">
        <f>IF($A94="","",Allocation!CF94)</f>
        <v/>
      </c>
      <c r="Z94" s="0">
        <f>IF($A94="","",Allocation!CG94)</f>
        <v/>
      </c>
      <c r="AA94" s="0">
        <f>IF($A94="","",Allocation!CH94)</f>
        <v/>
      </c>
      <c r="AB94" s="0">
        <f>IF($A94="","",Allocation!CI94)</f>
        <v/>
      </c>
      <c r="AC94" s="0">
        <f>IF($A94="","",IF(Allocation!$N$4="VOL_EFF",$G94,IF(Allocation!$N$4="VOL_CLASS",$H94,$I94)))</f>
        <v/>
      </c>
      <c r="AD94" s="0">
        <f>IF($A94="","",IF(Allocation!$N$4="VOL_EFF",$L94,IF(Allocation!$N$4="VOL_CLASS",$M94,$N94)))</f>
        <v/>
      </c>
      <c r="AE94" s="0">
        <f>IF($A94="","",IF(Allocation!$N$3="VOL_EFF",$L94,IF(Allocation!$N$3="VOL_CLASS",$M94,$N94)))</f>
        <v/>
      </c>
      <c r="AF94" s="0">
        <f>IF($A94="","",IF(Allocation!$N$3="VOL_EFF",$Q94,IF(Allocation!$N$3="VOL_CLASS",$R94,$S94)))</f>
        <v/>
      </c>
      <c r="AG94" s="0">
        <f>IF($A94="","",IF(Allocation!$N$1="VOL_EFF",$Q94,IF(Allocation!$N$1="VOL_CLASS",$R94,$S94)))</f>
        <v/>
      </c>
      <c r="AH94" s="0">
        <f>IF($A94="","",IF(Allocation!$N$1="VOL_EFF",$T94,IF(Allocation!$N$1="VOL_CLASS",$U94,$V94)))</f>
        <v/>
      </c>
      <c r="AI94" s="0">
        <f>IF($A94="","",$W94*IFERROR($K94/$O94,0))</f>
        <v/>
      </c>
      <c r="AJ94" s="0">
        <f>IF($A94="","",$X94*IFERROR($K94/$O94,0))</f>
        <v/>
      </c>
      <c r="AK94" s="0">
        <f>IF($A94="","",$Y94*IFERROR($G94/$L94,0)+$Z94*IFERROR($J94/$P94,0))</f>
        <v/>
      </c>
      <c r="AL94" s="0">
        <f>IF($A94="","",$AA94*IFERROR($AC94/$AD94,0))</f>
        <v/>
      </c>
      <c r="AM94" s="0">
        <f>IF($A94="","",$AB94*IFERROR($AG94/$AH94,0)*IFERROR($AE94/$AF94,0)*IFERROR($AC94/$AD94,0))</f>
        <v/>
      </c>
      <c r="AN94" s="0">
        <f>IF($A94="","",$I94-($AI94+$AJ94+$AK94+$AL94+$AM94+$AR94))</f>
        <v/>
      </c>
      <c r="AO94" s="0">
        <f>IF($A94="","",Allocation!CJ94)</f>
        <v/>
      </c>
      <c r="AP94" s="0">
        <f>IF($A94="","",IF(Allocation!$N$2="VOL_EFF",$Q94,IF(Allocation!$N$2="VOL_CLASS",$R94,$S94)))</f>
        <v/>
      </c>
      <c r="AQ94" s="0">
        <f>IF($A94="","",IF(Allocation!$N$2="VOL_EFF",$T94,IF(Allocation!$N$2="VOL_CLASS",$U94,$V94)))</f>
        <v/>
      </c>
      <c r="AR94" s="0">
        <f>IF($A94="","",$AO94*IFERROR($AP94/$AQ94,0)*IFERROR($AE94/$AF94,0)*IFERROR($AC94/$AD94,0))</f>
        <v/>
      </c>
      <c r="AS94" s="0">
        <f>IF($A94="","",$A94&amp;"|"&amp;Allocation!BG94)</f>
        <v/>
      </c>
    </row>
    <row r="95" ht="14.4975" customHeight="1" s="64">
      <c r="A95" s="0">
        <f>IF(Allocation!BI95="","",Allocation!BI95)</f>
        <v/>
      </c>
      <c r="B95" s="0">
        <f>IF(Allocation!BJ95="","",Allocation!BJ95)</f>
        <v/>
      </c>
      <c r="C95" s="0">
        <f>IF(Allocation!BK95="","",Allocation!BK95)</f>
        <v/>
      </c>
      <c r="D95" s="0">
        <f>IF(Allocation!BL95="","",Allocation!BL95)</f>
        <v/>
      </c>
      <c r="E95" s="0">
        <f>IF(Allocation!BM95="","",Allocation!BM95)</f>
        <v/>
      </c>
      <c r="F95" s="0">
        <f>IF(Allocation!BN95="","",Allocation!BN95)</f>
        <v/>
      </c>
      <c r="G95" s="0">
        <f>IF(Allocation!BO95="","",Allocation!BO95)</f>
        <v/>
      </c>
      <c r="H95" s="0">
        <f>IF(Allocation!BP95="","",Allocation!BP95)</f>
        <v/>
      </c>
      <c r="I95" s="0">
        <f>IF(Allocation!BQ95="","",Allocation!BQ95)</f>
        <v/>
      </c>
      <c r="J95" s="0">
        <f>IF(Allocation!CC95="","",Allocation!CC95)</f>
        <v/>
      </c>
      <c r="K95" s="0">
        <f>IF($A95="","",$H95*IF(AND(LEFT($D95,3)="BAC",$F95="INIT"),600,IF(LEFT($D95,3)="BAC",480,IF(AND(LEFT($D95,3)="MAS",$F95="INIT"),520,IF(LEFT($D95,3)="MAS",420,IF($F95="INIT",1000,700))))))</f>
        <v/>
      </c>
      <c r="L95" s="0">
        <f>IF($A95="","",SUMIFS($G$1:$G$349,$AS$1:$AS$349,$AS95,$B$1:$B$349,$B95))</f>
        <v/>
      </c>
      <c r="M95" s="0">
        <f>IF($A95="","",SUMIFS($H$1:$H$349,$AS$1:$AS$349,$AS95,$B$1:$B$349,$B95))</f>
        <v/>
      </c>
      <c r="N95" s="0">
        <f>IF($A95="","",SUMIFS($I$1:$I$349,$AS$1:$AS$349,$AS95,$B$1:$B$349,$B95))</f>
        <v/>
      </c>
      <c r="O95" s="0">
        <f>IF($A95="","",SUMIFS($K$1:$K$349,$AS$1:$AS$349,$AS95,$B$1:$B$349,$B95))</f>
        <v/>
      </c>
      <c r="P95" s="0">
        <f>IF($A95="","",SUMIFS($J$1:$J$349,$AS$1:$AS$349,$AS95,$B$1:$B$349,$B95))</f>
        <v/>
      </c>
      <c r="Q95" s="0">
        <f>IF($A95="","",SUMIFS($G$1:$G$349,$AS$1:$AS$349,$AS95,$C$1:$C$349,$C95))</f>
        <v/>
      </c>
      <c r="R95" s="0">
        <f>IF($A95="","",SUMIFS($H$1:$H$349,$AS$1:$AS$349,$AS95,$C$1:$C$349,$C95))</f>
        <v/>
      </c>
      <c r="S95" s="0">
        <f>IF($A95="","",SUMIFS($I$1:$I$349,$AS$1:$AS$349,$AS95,$C$1:$C$349,$C95))</f>
        <v/>
      </c>
      <c r="T95" s="0">
        <f>IF($A95="","",SUMIFS($G$1:$G$349,$AS$1:$AS$349,$AS95))</f>
        <v/>
      </c>
      <c r="U95" s="0">
        <f>IF($A95="","",SUMIFS($H$1:$H$349,$AS$1:$AS$349,$AS95))</f>
        <v/>
      </c>
      <c r="V95" s="0">
        <f>IF($A95="","",SUMIFS($I$1:$I$349,$AS$1:$AS$349,$AS95))</f>
        <v/>
      </c>
      <c r="W95" s="0">
        <f>IF($A95="","",Allocation!CD95)</f>
        <v/>
      </c>
      <c r="X95" s="0">
        <f>IF($A95="","",Allocation!CE95)</f>
        <v/>
      </c>
      <c r="Y95" s="0">
        <f>IF($A95="","",Allocation!CF95)</f>
        <v/>
      </c>
      <c r="Z95" s="0">
        <f>IF($A95="","",Allocation!CG95)</f>
        <v/>
      </c>
      <c r="AA95" s="0">
        <f>IF($A95="","",Allocation!CH95)</f>
        <v/>
      </c>
      <c r="AB95" s="0">
        <f>IF($A95="","",Allocation!CI95)</f>
        <v/>
      </c>
      <c r="AC95" s="0">
        <f>IF($A95="","",IF(Allocation!$N$4="VOL_EFF",$G95,IF(Allocation!$N$4="VOL_CLASS",$H95,$I95)))</f>
        <v/>
      </c>
      <c r="AD95" s="0">
        <f>IF($A95="","",IF(Allocation!$N$4="VOL_EFF",$L95,IF(Allocation!$N$4="VOL_CLASS",$M95,$N95)))</f>
        <v/>
      </c>
      <c r="AE95" s="0">
        <f>IF($A95="","",IF(Allocation!$N$3="VOL_EFF",$L95,IF(Allocation!$N$3="VOL_CLASS",$M95,$N95)))</f>
        <v/>
      </c>
      <c r="AF95" s="0">
        <f>IF($A95="","",IF(Allocation!$N$3="VOL_EFF",$Q95,IF(Allocation!$N$3="VOL_CLASS",$R95,$S95)))</f>
        <v/>
      </c>
      <c r="AG95" s="0">
        <f>IF($A95="","",IF(Allocation!$N$1="VOL_EFF",$Q95,IF(Allocation!$N$1="VOL_CLASS",$R95,$S95)))</f>
        <v/>
      </c>
      <c r="AH95" s="0">
        <f>IF($A95="","",IF(Allocation!$N$1="VOL_EFF",$T95,IF(Allocation!$N$1="VOL_CLASS",$U95,$V95)))</f>
        <v/>
      </c>
      <c r="AI95" s="0">
        <f>IF($A95="","",$W95*IFERROR($K95/$O95,0))</f>
        <v/>
      </c>
      <c r="AJ95" s="0">
        <f>IF($A95="","",$X95*IFERROR($K95/$O95,0))</f>
        <v/>
      </c>
      <c r="AK95" s="0">
        <f>IF($A95="","",$Y95*IFERROR($G95/$L95,0)+$Z95*IFERROR($J95/$P95,0))</f>
        <v/>
      </c>
      <c r="AL95" s="0">
        <f>IF($A95="","",$AA95*IFERROR($AC95/$AD95,0))</f>
        <v/>
      </c>
      <c r="AM95" s="0">
        <f>IF($A95="","",$AB95*IFERROR($AG95/$AH95,0)*IFERROR($AE95/$AF95,0)*IFERROR($AC95/$AD95,0))</f>
        <v/>
      </c>
      <c r="AN95" s="0">
        <f>IF($A95="","",$I95-($AI95+$AJ95+$AK95+$AL95+$AM95+$AR95))</f>
        <v/>
      </c>
      <c r="AO95" s="0">
        <f>IF($A95="","",Allocation!CJ95)</f>
        <v/>
      </c>
      <c r="AP95" s="0">
        <f>IF($A95="","",IF(Allocation!$N$2="VOL_EFF",$Q95,IF(Allocation!$N$2="VOL_CLASS",$R95,$S95)))</f>
        <v/>
      </c>
      <c r="AQ95" s="0">
        <f>IF($A95="","",IF(Allocation!$N$2="VOL_EFF",$T95,IF(Allocation!$N$2="VOL_CLASS",$U95,$V95)))</f>
        <v/>
      </c>
      <c r="AR95" s="0">
        <f>IF($A95="","",$AO95*IFERROR($AP95/$AQ95,0)*IFERROR($AE95/$AF95,0)*IFERROR($AC95/$AD95,0))</f>
        <v/>
      </c>
      <c r="AS95" s="0">
        <f>IF($A95="","",$A95&amp;"|"&amp;Allocation!BG95)</f>
        <v/>
      </c>
    </row>
    <row r="96" ht="14.4975" customHeight="1" s="64">
      <c r="A96" s="0">
        <f>IF(Allocation!BI96="","",Allocation!BI96)</f>
        <v/>
      </c>
      <c r="B96" s="0">
        <f>IF(Allocation!BJ96="","",Allocation!BJ96)</f>
        <v/>
      </c>
      <c r="C96" s="0">
        <f>IF(Allocation!BK96="","",Allocation!BK96)</f>
        <v/>
      </c>
      <c r="D96" s="0">
        <f>IF(Allocation!BL96="","",Allocation!BL96)</f>
        <v/>
      </c>
      <c r="E96" s="0">
        <f>IF(Allocation!BM96="","",Allocation!BM96)</f>
        <v/>
      </c>
      <c r="F96" s="0">
        <f>IF(Allocation!BN96="","",Allocation!BN96)</f>
        <v/>
      </c>
      <c r="G96" s="0">
        <f>IF(Allocation!BO96="","",Allocation!BO96)</f>
        <v/>
      </c>
      <c r="H96" s="0">
        <f>IF(Allocation!BP96="","",Allocation!BP96)</f>
        <v/>
      </c>
      <c r="I96" s="0">
        <f>IF(Allocation!BQ96="","",Allocation!BQ96)</f>
        <v/>
      </c>
      <c r="J96" s="0">
        <f>IF(Allocation!CC96="","",Allocation!CC96)</f>
        <v/>
      </c>
      <c r="K96" s="0">
        <f>IF($A96="","",$H96*IF(AND(LEFT($D96,3)="BAC",$F96="INIT"),600,IF(LEFT($D96,3)="BAC",480,IF(AND(LEFT($D96,3)="MAS",$F96="INIT"),520,IF(LEFT($D96,3)="MAS",420,IF($F96="INIT",1000,700))))))</f>
        <v/>
      </c>
      <c r="L96" s="0">
        <f>IF($A96="","",SUMIFS($G$1:$G$349,$AS$1:$AS$349,$AS96,$B$1:$B$349,$B96))</f>
        <v/>
      </c>
      <c r="M96" s="0">
        <f>IF($A96="","",SUMIFS($H$1:$H$349,$AS$1:$AS$349,$AS96,$B$1:$B$349,$B96))</f>
        <v/>
      </c>
      <c r="N96" s="0">
        <f>IF($A96="","",SUMIFS($I$1:$I$349,$AS$1:$AS$349,$AS96,$B$1:$B$349,$B96))</f>
        <v/>
      </c>
      <c r="O96" s="0">
        <f>IF($A96="","",SUMIFS($K$1:$K$349,$AS$1:$AS$349,$AS96,$B$1:$B$349,$B96))</f>
        <v/>
      </c>
      <c r="P96" s="0">
        <f>IF($A96="","",SUMIFS($J$1:$J$349,$AS$1:$AS$349,$AS96,$B$1:$B$349,$B96))</f>
        <v/>
      </c>
      <c r="Q96" s="0">
        <f>IF($A96="","",SUMIFS($G$1:$G$349,$AS$1:$AS$349,$AS96,$C$1:$C$349,$C96))</f>
        <v/>
      </c>
      <c r="R96" s="0">
        <f>IF($A96="","",SUMIFS($H$1:$H$349,$AS$1:$AS$349,$AS96,$C$1:$C$349,$C96))</f>
        <v/>
      </c>
      <c r="S96" s="0">
        <f>IF($A96="","",SUMIFS($I$1:$I$349,$AS$1:$AS$349,$AS96,$C$1:$C$349,$C96))</f>
        <v/>
      </c>
      <c r="T96" s="0">
        <f>IF($A96="","",SUMIFS($G$1:$G$349,$AS$1:$AS$349,$AS96))</f>
        <v/>
      </c>
      <c r="U96" s="0">
        <f>IF($A96="","",SUMIFS($H$1:$H$349,$AS$1:$AS$349,$AS96))</f>
        <v/>
      </c>
      <c r="V96" s="0">
        <f>IF($A96="","",SUMIFS($I$1:$I$349,$AS$1:$AS$349,$AS96))</f>
        <v/>
      </c>
      <c r="W96" s="0">
        <f>IF($A96="","",Allocation!CD96)</f>
        <v/>
      </c>
      <c r="X96" s="0">
        <f>IF($A96="","",Allocation!CE96)</f>
        <v/>
      </c>
      <c r="Y96" s="0">
        <f>IF($A96="","",Allocation!CF96)</f>
        <v/>
      </c>
      <c r="Z96" s="0">
        <f>IF($A96="","",Allocation!CG96)</f>
        <v/>
      </c>
      <c r="AA96" s="0">
        <f>IF($A96="","",Allocation!CH96)</f>
        <v/>
      </c>
      <c r="AB96" s="0">
        <f>IF($A96="","",Allocation!CI96)</f>
        <v/>
      </c>
      <c r="AC96" s="0">
        <f>IF($A96="","",IF(Allocation!$N$4="VOL_EFF",$G96,IF(Allocation!$N$4="VOL_CLASS",$H96,$I96)))</f>
        <v/>
      </c>
      <c r="AD96" s="0">
        <f>IF($A96="","",IF(Allocation!$N$4="VOL_EFF",$L96,IF(Allocation!$N$4="VOL_CLASS",$M96,$N96)))</f>
        <v/>
      </c>
      <c r="AE96" s="0">
        <f>IF($A96="","",IF(Allocation!$N$3="VOL_EFF",$L96,IF(Allocation!$N$3="VOL_CLASS",$M96,$N96)))</f>
        <v/>
      </c>
      <c r="AF96" s="0">
        <f>IF($A96="","",IF(Allocation!$N$3="VOL_EFF",$Q96,IF(Allocation!$N$3="VOL_CLASS",$R96,$S96)))</f>
        <v/>
      </c>
      <c r="AG96" s="0">
        <f>IF($A96="","",IF(Allocation!$N$1="VOL_EFF",$Q96,IF(Allocation!$N$1="VOL_CLASS",$R96,$S96)))</f>
        <v/>
      </c>
      <c r="AH96" s="0">
        <f>IF($A96="","",IF(Allocation!$N$1="VOL_EFF",$T96,IF(Allocation!$N$1="VOL_CLASS",$U96,$V96)))</f>
        <v/>
      </c>
      <c r="AI96" s="0">
        <f>IF($A96="","",$W96*IFERROR($K96/$O96,0))</f>
        <v/>
      </c>
      <c r="AJ96" s="0">
        <f>IF($A96="","",$X96*IFERROR($K96/$O96,0))</f>
        <v/>
      </c>
      <c r="AK96" s="0">
        <f>IF($A96="","",$Y96*IFERROR($G96/$L96,0)+$Z96*IFERROR($J96/$P96,0))</f>
        <v/>
      </c>
      <c r="AL96" s="0">
        <f>IF($A96="","",$AA96*IFERROR($AC96/$AD96,0))</f>
        <v/>
      </c>
      <c r="AM96" s="0">
        <f>IF($A96="","",$AB96*IFERROR($AG96/$AH96,0)*IFERROR($AE96/$AF96,0)*IFERROR($AC96/$AD96,0))</f>
        <v/>
      </c>
      <c r="AN96" s="0">
        <f>IF($A96="","",$I96-($AI96+$AJ96+$AK96+$AL96+$AM96+$AR96))</f>
        <v/>
      </c>
      <c r="AO96" s="0">
        <f>IF($A96="","",Allocation!CJ96)</f>
        <v/>
      </c>
      <c r="AP96" s="0">
        <f>IF($A96="","",IF(Allocation!$N$2="VOL_EFF",$Q96,IF(Allocation!$N$2="VOL_CLASS",$R96,$S96)))</f>
        <v/>
      </c>
      <c r="AQ96" s="0">
        <f>IF($A96="","",IF(Allocation!$N$2="VOL_EFF",$T96,IF(Allocation!$N$2="VOL_CLASS",$U96,$V96)))</f>
        <v/>
      </c>
      <c r="AR96" s="0">
        <f>IF($A96="","",$AO96*IFERROR($AP96/$AQ96,0)*IFERROR($AE96/$AF96,0)*IFERROR($AC96/$AD96,0))</f>
        <v/>
      </c>
      <c r="AS96" s="0">
        <f>IF($A96="","",$A96&amp;"|"&amp;Allocation!BG96)</f>
        <v/>
      </c>
    </row>
    <row r="97" ht="14.4975" customHeight="1" s="64">
      <c r="A97" s="0">
        <f>IF(Allocation!BI97="","",Allocation!BI97)</f>
        <v/>
      </c>
      <c r="B97" s="0">
        <f>IF(Allocation!BJ97="","",Allocation!BJ97)</f>
        <v/>
      </c>
      <c r="C97" s="0">
        <f>IF(Allocation!BK97="","",Allocation!BK97)</f>
        <v/>
      </c>
      <c r="D97" s="0">
        <f>IF(Allocation!BL97="","",Allocation!BL97)</f>
        <v/>
      </c>
      <c r="E97" s="0">
        <f>IF(Allocation!BM97="","",Allocation!BM97)</f>
        <v/>
      </c>
      <c r="F97" s="0">
        <f>IF(Allocation!BN97="","",Allocation!BN97)</f>
        <v/>
      </c>
      <c r="G97" s="0">
        <f>IF(Allocation!BO97="","",Allocation!BO97)</f>
        <v/>
      </c>
      <c r="H97" s="0">
        <f>IF(Allocation!BP97="","",Allocation!BP97)</f>
        <v/>
      </c>
      <c r="I97" s="0">
        <f>IF(Allocation!BQ97="","",Allocation!BQ97)</f>
        <v/>
      </c>
      <c r="J97" s="0">
        <f>IF(Allocation!CC97="","",Allocation!CC97)</f>
        <v/>
      </c>
      <c r="K97" s="0">
        <f>IF($A97="","",$H97*IF(AND(LEFT($D97,3)="BAC",$F97="INIT"),600,IF(LEFT($D97,3)="BAC",480,IF(AND(LEFT($D97,3)="MAS",$F97="INIT"),520,IF(LEFT($D97,3)="MAS",420,IF($F97="INIT",1000,700))))))</f>
        <v/>
      </c>
      <c r="L97" s="0">
        <f>IF($A97="","",SUMIFS($G$1:$G$349,$AS$1:$AS$349,$AS97,$B$1:$B$349,$B97))</f>
        <v/>
      </c>
      <c r="M97" s="0">
        <f>IF($A97="","",SUMIFS($H$1:$H$349,$AS$1:$AS$349,$AS97,$B$1:$B$349,$B97))</f>
        <v/>
      </c>
      <c r="N97" s="0">
        <f>IF($A97="","",SUMIFS($I$1:$I$349,$AS$1:$AS$349,$AS97,$B$1:$B$349,$B97))</f>
        <v/>
      </c>
      <c r="O97" s="0">
        <f>IF($A97="","",SUMIFS($K$1:$K$349,$AS$1:$AS$349,$AS97,$B$1:$B$349,$B97))</f>
        <v/>
      </c>
      <c r="P97" s="0">
        <f>IF($A97="","",SUMIFS($J$1:$J$349,$AS$1:$AS$349,$AS97,$B$1:$B$349,$B97))</f>
        <v/>
      </c>
      <c r="Q97" s="0">
        <f>IF($A97="","",SUMIFS($G$1:$G$349,$AS$1:$AS$349,$AS97,$C$1:$C$349,$C97))</f>
        <v/>
      </c>
      <c r="R97" s="0">
        <f>IF($A97="","",SUMIFS($H$1:$H$349,$AS$1:$AS$349,$AS97,$C$1:$C$349,$C97))</f>
        <v/>
      </c>
      <c r="S97" s="0">
        <f>IF($A97="","",SUMIFS($I$1:$I$349,$AS$1:$AS$349,$AS97,$C$1:$C$349,$C97))</f>
        <v/>
      </c>
      <c r="T97" s="0">
        <f>IF($A97="","",SUMIFS($G$1:$G$349,$AS$1:$AS$349,$AS97))</f>
        <v/>
      </c>
      <c r="U97" s="0">
        <f>IF($A97="","",SUMIFS($H$1:$H$349,$AS$1:$AS$349,$AS97))</f>
        <v/>
      </c>
      <c r="V97" s="0">
        <f>IF($A97="","",SUMIFS($I$1:$I$349,$AS$1:$AS$349,$AS97))</f>
        <v/>
      </c>
      <c r="W97" s="0">
        <f>IF($A97="","",Allocation!CD97)</f>
        <v/>
      </c>
      <c r="X97" s="0">
        <f>IF($A97="","",Allocation!CE97)</f>
        <v/>
      </c>
      <c r="Y97" s="0">
        <f>IF($A97="","",Allocation!CF97)</f>
        <v/>
      </c>
      <c r="Z97" s="0">
        <f>IF($A97="","",Allocation!CG97)</f>
        <v/>
      </c>
      <c r="AA97" s="0">
        <f>IF($A97="","",Allocation!CH97)</f>
        <v/>
      </c>
      <c r="AB97" s="0">
        <f>IF($A97="","",Allocation!CI97)</f>
        <v/>
      </c>
      <c r="AC97" s="0">
        <f>IF($A97="","",IF(Allocation!$N$4="VOL_EFF",$G97,IF(Allocation!$N$4="VOL_CLASS",$H97,$I97)))</f>
        <v/>
      </c>
      <c r="AD97" s="0">
        <f>IF($A97="","",IF(Allocation!$N$4="VOL_EFF",$L97,IF(Allocation!$N$4="VOL_CLASS",$M97,$N97)))</f>
        <v/>
      </c>
      <c r="AE97" s="0">
        <f>IF($A97="","",IF(Allocation!$N$3="VOL_EFF",$L97,IF(Allocation!$N$3="VOL_CLASS",$M97,$N97)))</f>
        <v/>
      </c>
      <c r="AF97" s="0">
        <f>IF($A97="","",IF(Allocation!$N$3="VOL_EFF",$Q97,IF(Allocation!$N$3="VOL_CLASS",$R97,$S97)))</f>
        <v/>
      </c>
      <c r="AG97" s="0">
        <f>IF($A97="","",IF(Allocation!$N$1="VOL_EFF",$Q97,IF(Allocation!$N$1="VOL_CLASS",$R97,$S97)))</f>
        <v/>
      </c>
      <c r="AH97" s="0">
        <f>IF($A97="","",IF(Allocation!$N$1="VOL_EFF",$T97,IF(Allocation!$N$1="VOL_CLASS",$U97,$V97)))</f>
        <v/>
      </c>
      <c r="AI97" s="0">
        <f>IF($A97="","",$W97*IFERROR($K97/$O97,0))</f>
        <v/>
      </c>
      <c r="AJ97" s="0">
        <f>IF($A97="","",$X97*IFERROR($K97/$O97,0))</f>
        <v/>
      </c>
      <c r="AK97" s="0">
        <f>IF($A97="","",$Y97*IFERROR($G97/$L97,0)+$Z97*IFERROR($J97/$P97,0))</f>
        <v/>
      </c>
      <c r="AL97" s="0">
        <f>IF($A97="","",$AA97*IFERROR($AC97/$AD97,0))</f>
        <v/>
      </c>
      <c r="AM97" s="0">
        <f>IF($A97="","",$AB97*IFERROR($AG97/$AH97,0)*IFERROR($AE97/$AF97,0)*IFERROR($AC97/$AD97,0))</f>
        <v/>
      </c>
      <c r="AN97" s="0">
        <f>IF($A97="","",$I97-($AI97+$AJ97+$AK97+$AL97+$AM97+$AR97))</f>
        <v/>
      </c>
      <c r="AO97" s="0">
        <f>IF($A97="","",Allocation!CJ97)</f>
        <v/>
      </c>
      <c r="AP97" s="0">
        <f>IF($A97="","",IF(Allocation!$N$2="VOL_EFF",$Q97,IF(Allocation!$N$2="VOL_CLASS",$R97,$S97)))</f>
        <v/>
      </c>
      <c r="AQ97" s="0">
        <f>IF($A97="","",IF(Allocation!$N$2="VOL_EFF",$T97,IF(Allocation!$N$2="VOL_CLASS",$U97,$V97)))</f>
        <v/>
      </c>
      <c r="AR97" s="0">
        <f>IF($A97="","",$AO97*IFERROR($AP97/$AQ97,0)*IFERROR($AE97/$AF97,0)*IFERROR($AC97/$AD97,0))</f>
        <v/>
      </c>
      <c r="AS97" s="0">
        <f>IF($A97="","",$A97&amp;"|"&amp;Allocation!BG97)</f>
        <v/>
      </c>
    </row>
    <row r="98" ht="14.4975" customHeight="1" s="64">
      <c r="A98" s="0">
        <f>IF(Allocation!BI98="","",Allocation!BI98)</f>
        <v/>
      </c>
      <c r="B98" s="0">
        <f>IF(Allocation!BJ98="","",Allocation!BJ98)</f>
        <v/>
      </c>
      <c r="C98" s="0">
        <f>IF(Allocation!BK98="","",Allocation!BK98)</f>
        <v/>
      </c>
      <c r="D98" s="0">
        <f>IF(Allocation!BL98="","",Allocation!BL98)</f>
        <v/>
      </c>
      <c r="E98" s="0">
        <f>IF(Allocation!BM98="","",Allocation!BM98)</f>
        <v/>
      </c>
      <c r="F98" s="0">
        <f>IF(Allocation!BN98="","",Allocation!BN98)</f>
        <v/>
      </c>
      <c r="G98" s="0">
        <f>IF(Allocation!BO98="","",Allocation!BO98)</f>
        <v/>
      </c>
      <c r="H98" s="0">
        <f>IF(Allocation!BP98="","",Allocation!BP98)</f>
        <v/>
      </c>
      <c r="I98" s="0">
        <f>IF(Allocation!BQ98="","",Allocation!BQ98)</f>
        <v/>
      </c>
      <c r="J98" s="0">
        <f>IF(Allocation!CC98="","",Allocation!CC98)</f>
        <v/>
      </c>
      <c r="K98" s="0">
        <f>IF($A98="","",$H98*IF(AND(LEFT($D98,3)="BAC",$F98="INIT"),600,IF(LEFT($D98,3)="BAC",480,IF(AND(LEFT($D98,3)="MAS",$F98="INIT"),520,IF(LEFT($D98,3)="MAS",420,IF($F98="INIT",1000,700))))))</f>
        <v/>
      </c>
      <c r="L98" s="0">
        <f>IF($A98="","",SUMIFS($G$1:$G$349,$AS$1:$AS$349,$AS98,$B$1:$B$349,$B98))</f>
        <v/>
      </c>
      <c r="M98" s="0">
        <f>IF($A98="","",SUMIFS($H$1:$H$349,$AS$1:$AS$349,$AS98,$B$1:$B$349,$B98))</f>
        <v/>
      </c>
      <c r="N98" s="0">
        <f>IF($A98="","",SUMIFS($I$1:$I$349,$AS$1:$AS$349,$AS98,$B$1:$B$349,$B98))</f>
        <v/>
      </c>
      <c r="O98" s="0">
        <f>IF($A98="","",SUMIFS($K$1:$K$349,$AS$1:$AS$349,$AS98,$B$1:$B$349,$B98))</f>
        <v/>
      </c>
      <c r="P98" s="0">
        <f>IF($A98="","",SUMIFS($J$1:$J$349,$AS$1:$AS$349,$AS98,$B$1:$B$349,$B98))</f>
        <v/>
      </c>
      <c r="Q98" s="0">
        <f>IF($A98="","",SUMIFS($G$1:$G$349,$AS$1:$AS$349,$AS98,$C$1:$C$349,$C98))</f>
        <v/>
      </c>
      <c r="R98" s="0">
        <f>IF($A98="","",SUMIFS($H$1:$H$349,$AS$1:$AS$349,$AS98,$C$1:$C$349,$C98))</f>
        <v/>
      </c>
      <c r="S98" s="0">
        <f>IF($A98="","",SUMIFS($I$1:$I$349,$AS$1:$AS$349,$AS98,$C$1:$C$349,$C98))</f>
        <v/>
      </c>
      <c r="T98" s="0">
        <f>IF($A98="","",SUMIFS($G$1:$G$349,$AS$1:$AS$349,$AS98))</f>
        <v/>
      </c>
      <c r="U98" s="0">
        <f>IF($A98="","",SUMIFS($H$1:$H$349,$AS$1:$AS$349,$AS98))</f>
        <v/>
      </c>
      <c r="V98" s="0">
        <f>IF($A98="","",SUMIFS($I$1:$I$349,$AS$1:$AS$349,$AS98))</f>
        <v/>
      </c>
      <c r="W98" s="0">
        <f>IF($A98="","",Allocation!CD98)</f>
        <v/>
      </c>
      <c r="X98" s="0">
        <f>IF($A98="","",Allocation!CE98)</f>
        <v/>
      </c>
      <c r="Y98" s="0">
        <f>IF($A98="","",Allocation!CF98)</f>
        <v/>
      </c>
      <c r="Z98" s="0">
        <f>IF($A98="","",Allocation!CG98)</f>
        <v/>
      </c>
      <c r="AA98" s="0">
        <f>IF($A98="","",Allocation!CH98)</f>
        <v/>
      </c>
      <c r="AB98" s="0">
        <f>IF($A98="","",Allocation!CI98)</f>
        <v/>
      </c>
      <c r="AC98" s="0">
        <f>IF($A98="","",IF(Allocation!$N$4="VOL_EFF",$G98,IF(Allocation!$N$4="VOL_CLASS",$H98,$I98)))</f>
        <v/>
      </c>
      <c r="AD98" s="0">
        <f>IF($A98="","",IF(Allocation!$N$4="VOL_EFF",$L98,IF(Allocation!$N$4="VOL_CLASS",$M98,$N98)))</f>
        <v/>
      </c>
      <c r="AE98" s="0">
        <f>IF($A98="","",IF(Allocation!$N$3="VOL_EFF",$L98,IF(Allocation!$N$3="VOL_CLASS",$M98,$N98)))</f>
        <v/>
      </c>
      <c r="AF98" s="0">
        <f>IF($A98="","",IF(Allocation!$N$3="VOL_EFF",$Q98,IF(Allocation!$N$3="VOL_CLASS",$R98,$S98)))</f>
        <v/>
      </c>
      <c r="AG98" s="0">
        <f>IF($A98="","",IF(Allocation!$N$1="VOL_EFF",$Q98,IF(Allocation!$N$1="VOL_CLASS",$R98,$S98)))</f>
        <v/>
      </c>
      <c r="AH98" s="0">
        <f>IF($A98="","",IF(Allocation!$N$1="VOL_EFF",$T98,IF(Allocation!$N$1="VOL_CLASS",$U98,$V98)))</f>
        <v/>
      </c>
      <c r="AI98" s="0">
        <f>IF($A98="","",$W98*IFERROR($K98/$O98,0))</f>
        <v/>
      </c>
      <c r="AJ98" s="0">
        <f>IF($A98="","",$X98*IFERROR($K98/$O98,0))</f>
        <v/>
      </c>
      <c r="AK98" s="0">
        <f>IF($A98="","",$Y98*IFERROR($G98/$L98,0)+$Z98*IFERROR($J98/$P98,0))</f>
        <v/>
      </c>
      <c r="AL98" s="0">
        <f>IF($A98="","",$AA98*IFERROR($AC98/$AD98,0))</f>
        <v/>
      </c>
      <c r="AM98" s="0">
        <f>IF($A98="","",$AB98*IFERROR($AG98/$AH98,0)*IFERROR($AE98/$AF98,0)*IFERROR($AC98/$AD98,0))</f>
        <v/>
      </c>
      <c r="AN98" s="0">
        <f>IF($A98="","",$I98-($AI98+$AJ98+$AK98+$AL98+$AM98+$AR98))</f>
        <v/>
      </c>
      <c r="AO98" s="0">
        <f>IF($A98="","",Allocation!CJ98)</f>
        <v/>
      </c>
      <c r="AP98" s="0">
        <f>IF($A98="","",IF(Allocation!$N$2="VOL_EFF",$Q98,IF(Allocation!$N$2="VOL_CLASS",$R98,$S98)))</f>
        <v/>
      </c>
      <c r="AQ98" s="0">
        <f>IF($A98="","",IF(Allocation!$N$2="VOL_EFF",$T98,IF(Allocation!$N$2="VOL_CLASS",$U98,$V98)))</f>
        <v/>
      </c>
      <c r="AR98" s="0">
        <f>IF($A98="","",$AO98*IFERROR($AP98/$AQ98,0)*IFERROR($AE98/$AF98,0)*IFERROR($AC98/$AD98,0))</f>
        <v/>
      </c>
      <c r="AS98" s="0">
        <f>IF($A98="","",$A98&amp;"|"&amp;Allocation!BG98)</f>
        <v/>
      </c>
    </row>
    <row r="99" ht="14.4975" customHeight="1" s="64">
      <c r="A99" s="0">
        <f>IF(Allocation!BI99="","",Allocation!BI99)</f>
        <v/>
      </c>
      <c r="B99" s="0">
        <f>IF(Allocation!BJ99="","",Allocation!BJ99)</f>
        <v/>
      </c>
      <c r="C99" s="0">
        <f>IF(Allocation!BK99="","",Allocation!BK99)</f>
        <v/>
      </c>
      <c r="D99" s="0">
        <f>IF(Allocation!BL99="","",Allocation!BL99)</f>
        <v/>
      </c>
      <c r="E99" s="0">
        <f>IF(Allocation!BM99="","",Allocation!BM99)</f>
        <v/>
      </c>
      <c r="F99" s="0">
        <f>IF(Allocation!BN99="","",Allocation!BN99)</f>
        <v/>
      </c>
      <c r="G99" s="0">
        <f>IF(Allocation!BO99="","",Allocation!BO99)</f>
        <v/>
      </c>
      <c r="H99" s="0">
        <f>IF(Allocation!BP99="","",Allocation!BP99)</f>
        <v/>
      </c>
      <c r="I99" s="0">
        <f>IF(Allocation!BQ99="","",Allocation!BQ99)</f>
        <v/>
      </c>
      <c r="J99" s="0">
        <f>IF(Allocation!CC99="","",Allocation!CC99)</f>
        <v/>
      </c>
      <c r="K99" s="0">
        <f>IF($A99="","",$H99*IF(AND(LEFT($D99,3)="BAC",$F99="INIT"),600,IF(LEFT($D99,3)="BAC",480,IF(AND(LEFT($D99,3)="MAS",$F99="INIT"),520,IF(LEFT($D99,3)="MAS",420,IF($F99="INIT",1000,700))))))</f>
        <v/>
      </c>
      <c r="L99" s="0">
        <f>IF($A99="","",SUMIFS($G$1:$G$349,$AS$1:$AS$349,$AS99,$B$1:$B$349,$B99))</f>
        <v/>
      </c>
      <c r="M99" s="0">
        <f>IF($A99="","",SUMIFS($H$1:$H$349,$AS$1:$AS$349,$AS99,$B$1:$B$349,$B99))</f>
        <v/>
      </c>
      <c r="N99" s="0">
        <f>IF($A99="","",SUMIFS($I$1:$I$349,$AS$1:$AS$349,$AS99,$B$1:$B$349,$B99))</f>
        <v/>
      </c>
      <c r="O99" s="0">
        <f>IF($A99="","",SUMIFS($K$1:$K$349,$AS$1:$AS$349,$AS99,$B$1:$B$349,$B99))</f>
        <v/>
      </c>
      <c r="P99" s="0">
        <f>IF($A99="","",SUMIFS($J$1:$J$349,$AS$1:$AS$349,$AS99,$B$1:$B$349,$B99))</f>
        <v/>
      </c>
      <c r="Q99" s="0">
        <f>IF($A99="","",SUMIFS($G$1:$G$349,$AS$1:$AS$349,$AS99,$C$1:$C$349,$C99))</f>
        <v/>
      </c>
      <c r="R99" s="0">
        <f>IF($A99="","",SUMIFS($H$1:$H$349,$AS$1:$AS$349,$AS99,$C$1:$C$349,$C99))</f>
        <v/>
      </c>
      <c r="S99" s="0">
        <f>IF($A99="","",SUMIFS($I$1:$I$349,$AS$1:$AS$349,$AS99,$C$1:$C$349,$C99))</f>
        <v/>
      </c>
      <c r="T99" s="0">
        <f>IF($A99="","",SUMIFS($G$1:$G$349,$AS$1:$AS$349,$AS99))</f>
        <v/>
      </c>
      <c r="U99" s="0">
        <f>IF($A99="","",SUMIFS($H$1:$H$349,$AS$1:$AS$349,$AS99))</f>
        <v/>
      </c>
      <c r="V99" s="0">
        <f>IF($A99="","",SUMIFS($I$1:$I$349,$AS$1:$AS$349,$AS99))</f>
        <v/>
      </c>
      <c r="W99" s="0">
        <f>IF($A99="","",Allocation!CD99)</f>
        <v/>
      </c>
      <c r="X99" s="0">
        <f>IF($A99="","",Allocation!CE99)</f>
        <v/>
      </c>
      <c r="Y99" s="0">
        <f>IF($A99="","",Allocation!CF99)</f>
        <v/>
      </c>
      <c r="Z99" s="0">
        <f>IF($A99="","",Allocation!CG99)</f>
        <v/>
      </c>
      <c r="AA99" s="0">
        <f>IF($A99="","",Allocation!CH99)</f>
        <v/>
      </c>
      <c r="AB99" s="0">
        <f>IF($A99="","",Allocation!CI99)</f>
        <v/>
      </c>
      <c r="AC99" s="0">
        <f>IF($A99="","",IF(Allocation!$N$4="VOL_EFF",$G99,IF(Allocation!$N$4="VOL_CLASS",$H99,$I99)))</f>
        <v/>
      </c>
      <c r="AD99" s="0">
        <f>IF($A99="","",IF(Allocation!$N$4="VOL_EFF",$L99,IF(Allocation!$N$4="VOL_CLASS",$M99,$N99)))</f>
        <v/>
      </c>
      <c r="AE99" s="0">
        <f>IF($A99="","",IF(Allocation!$N$3="VOL_EFF",$L99,IF(Allocation!$N$3="VOL_CLASS",$M99,$N99)))</f>
        <v/>
      </c>
      <c r="AF99" s="0">
        <f>IF($A99="","",IF(Allocation!$N$3="VOL_EFF",$Q99,IF(Allocation!$N$3="VOL_CLASS",$R99,$S99)))</f>
        <v/>
      </c>
      <c r="AG99" s="0">
        <f>IF($A99="","",IF(Allocation!$N$1="VOL_EFF",$Q99,IF(Allocation!$N$1="VOL_CLASS",$R99,$S99)))</f>
        <v/>
      </c>
      <c r="AH99" s="0">
        <f>IF($A99="","",IF(Allocation!$N$1="VOL_EFF",$T99,IF(Allocation!$N$1="VOL_CLASS",$U99,$V99)))</f>
        <v/>
      </c>
      <c r="AI99" s="0">
        <f>IF($A99="","",$W99*IFERROR($K99/$O99,0))</f>
        <v/>
      </c>
      <c r="AJ99" s="0">
        <f>IF($A99="","",$X99*IFERROR($K99/$O99,0))</f>
        <v/>
      </c>
      <c r="AK99" s="0">
        <f>IF($A99="","",$Y99*IFERROR($G99/$L99,0)+$Z99*IFERROR($J99/$P99,0))</f>
        <v/>
      </c>
      <c r="AL99" s="0">
        <f>IF($A99="","",$AA99*IFERROR($AC99/$AD99,0))</f>
        <v/>
      </c>
      <c r="AM99" s="0">
        <f>IF($A99="","",$AB99*IFERROR($AG99/$AH99,0)*IFERROR($AE99/$AF99,0)*IFERROR($AC99/$AD99,0))</f>
        <v/>
      </c>
      <c r="AN99" s="0">
        <f>IF($A99="","",$I99-($AI99+$AJ99+$AK99+$AL99+$AM99+$AR99))</f>
        <v/>
      </c>
      <c r="AO99" s="0">
        <f>IF($A99="","",Allocation!CJ99)</f>
        <v/>
      </c>
      <c r="AP99" s="0">
        <f>IF($A99="","",IF(Allocation!$N$2="VOL_EFF",$Q99,IF(Allocation!$N$2="VOL_CLASS",$R99,$S99)))</f>
        <v/>
      </c>
      <c r="AQ99" s="0">
        <f>IF($A99="","",IF(Allocation!$N$2="VOL_EFF",$T99,IF(Allocation!$N$2="VOL_CLASS",$U99,$V99)))</f>
        <v/>
      </c>
      <c r="AR99" s="0">
        <f>IF($A99="","",$AO99*IFERROR($AP99/$AQ99,0)*IFERROR($AE99/$AF99,0)*IFERROR($AC99/$AD99,0))</f>
        <v/>
      </c>
      <c r="AS99" s="0">
        <f>IF($A99="","",$A99&amp;"|"&amp;Allocation!BG99)</f>
        <v/>
      </c>
    </row>
    <row r="100" ht="14.4975" customHeight="1" s="64">
      <c r="A100" s="0">
        <f>IF(Allocation!BI100="","",Allocation!BI100)</f>
        <v/>
      </c>
      <c r="B100" s="0">
        <f>IF(Allocation!BJ100="","",Allocation!BJ100)</f>
        <v/>
      </c>
      <c r="C100" s="0">
        <f>IF(Allocation!BK100="","",Allocation!BK100)</f>
        <v/>
      </c>
      <c r="D100" s="0">
        <f>IF(Allocation!BL100="","",Allocation!BL100)</f>
        <v/>
      </c>
      <c r="E100" s="0">
        <f>IF(Allocation!BM100="","",Allocation!BM100)</f>
        <v/>
      </c>
      <c r="F100" s="0">
        <f>IF(Allocation!BN100="","",Allocation!BN100)</f>
        <v/>
      </c>
      <c r="G100" s="0">
        <f>IF(Allocation!BO100="","",Allocation!BO100)</f>
        <v/>
      </c>
      <c r="H100" s="0">
        <f>IF(Allocation!BP100="","",Allocation!BP100)</f>
        <v/>
      </c>
      <c r="I100" s="0">
        <f>IF(Allocation!BQ100="","",Allocation!BQ100)</f>
        <v/>
      </c>
      <c r="J100" s="0">
        <f>IF(Allocation!CC100="","",Allocation!CC100)</f>
        <v/>
      </c>
      <c r="K100" s="0">
        <f>IF($A100="","",$H100*IF(AND(LEFT($D100,3)="BAC",$F100="INIT"),600,IF(LEFT($D100,3)="BAC",480,IF(AND(LEFT($D100,3)="MAS",$F100="INIT"),520,IF(LEFT($D100,3)="MAS",420,IF($F100="INIT",1000,700))))))</f>
        <v/>
      </c>
      <c r="L100" s="0">
        <f>IF($A100="","",SUMIFS($G$1:$G$349,$AS$1:$AS$349,$AS100,$B$1:$B$349,$B100))</f>
        <v/>
      </c>
      <c r="M100" s="0">
        <f>IF($A100="","",SUMIFS($H$1:$H$349,$AS$1:$AS$349,$AS100,$B$1:$B$349,$B100))</f>
        <v/>
      </c>
      <c r="N100" s="0">
        <f>IF($A100="","",SUMIFS($I$1:$I$349,$AS$1:$AS$349,$AS100,$B$1:$B$349,$B100))</f>
        <v/>
      </c>
      <c r="O100" s="0">
        <f>IF($A100="","",SUMIFS($K$1:$K$349,$AS$1:$AS$349,$AS100,$B$1:$B$349,$B100))</f>
        <v/>
      </c>
      <c r="P100" s="0">
        <f>IF($A100="","",SUMIFS($J$1:$J$349,$AS$1:$AS$349,$AS100,$B$1:$B$349,$B100))</f>
        <v/>
      </c>
      <c r="Q100" s="0">
        <f>IF($A100="","",SUMIFS($G$1:$G$349,$AS$1:$AS$349,$AS100,$C$1:$C$349,$C100))</f>
        <v/>
      </c>
      <c r="R100" s="0">
        <f>IF($A100="","",SUMIFS($H$1:$H$349,$AS$1:$AS$349,$AS100,$C$1:$C$349,$C100))</f>
        <v/>
      </c>
      <c r="S100" s="0">
        <f>IF($A100="","",SUMIFS($I$1:$I$349,$AS$1:$AS$349,$AS100,$C$1:$C$349,$C100))</f>
        <v/>
      </c>
      <c r="T100" s="0">
        <f>IF($A100="","",SUMIFS($G$1:$G$349,$AS$1:$AS$349,$AS100))</f>
        <v/>
      </c>
      <c r="U100" s="0">
        <f>IF($A100="","",SUMIFS($H$1:$H$349,$AS$1:$AS$349,$AS100))</f>
        <v/>
      </c>
      <c r="V100" s="0">
        <f>IF($A100="","",SUMIFS($I$1:$I$349,$AS$1:$AS$349,$AS100))</f>
        <v/>
      </c>
      <c r="W100" s="0">
        <f>IF($A100="","",Allocation!CD100)</f>
        <v/>
      </c>
      <c r="X100" s="0">
        <f>IF($A100="","",Allocation!CE100)</f>
        <v/>
      </c>
      <c r="Y100" s="0">
        <f>IF($A100="","",Allocation!CF100)</f>
        <v/>
      </c>
      <c r="Z100" s="0">
        <f>IF($A100="","",Allocation!CG100)</f>
        <v/>
      </c>
      <c r="AA100" s="0">
        <f>IF($A100="","",Allocation!CH100)</f>
        <v/>
      </c>
      <c r="AB100" s="0">
        <f>IF($A100="","",Allocation!CI100)</f>
        <v/>
      </c>
      <c r="AC100" s="0">
        <f>IF($A100="","",IF(Allocation!$N$4="VOL_EFF",$G100,IF(Allocation!$N$4="VOL_CLASS",$H100,$I100)))</f>
        <v/>
      </c>
      <c r="AD100" s="0">
        <f>IF($A100="","",IF(Allocation!$N$4="VOL_EFF",$L100,IF(Allocation!$N$4="VOL_CLASS",$M100,$N100)))</f>
        <v/>
      </c>
      <c r="AE100" s="0">
        <f>IF($A100="","",IF(Allocation!$N$3="VOL_EFF",$L100,IF(Allocation!$N$3="VOL_CLASS",$M100,$N100)))</f>
        <v/>
      </c>
      <c r="AF100" s="0">
        <f>IF($A100="","",IF(Allocation!$N$3="VOL_EFF",$Q100,IF(Allocation!$N$3="VOL_CLASS",$R100,$S100)))</f>
        <v/>
      </c>
      <c r="AG100" s="0">
        <f>IF($A100="","",IF(Allocation!$N$1="VOL_EFF",$Q100,IF(Allocation!$N$1="VOL_CLASS",$R100,$S100)))</f>
        <v/>
      </c>
      <c r="AH100" s="0">
        <f>IF($A100="","",IF(Allocation!$N$1="VOL_EFF",$T100,IF(Allocation!$N$1="VOL_CLASS",$U100,$V100)))</f>
        <v/>
      </c>
      <c r="AI100" s="0">
        <f>IF($A100="","",$W100*IFERROR($K100/$O100,0))</f>
        <v/>
      </c>
      <c r="AJ100" s="0">
        <f>IF($A100="","",$X100*IFERROR($K100/$O100,0))</f>
        <v/>
      </c>
      <c r="AK100" s="0">
        <f>IF($A100="","",$Y100*IFERROR($G100/$L100,0)+$Z100*IFERROR($J100/$P100,0))</f>
        <v/>
      </c>
      <c r="AL100" s="0">
        <f>IF($A100="","",$AA100*IFERROR($AC100/$AD100,0))</f>
        <v/>
      </c>
      <c r="AM100" s="0">
        <f>IF($A100="","",$AB100*IFERROR($AG100/$AH100,0)*IFERROR($AE100/$AF100,0)*IFERROR($AC100/$AD100,0))</f>
        <v/>
      </c>
      <c r="AN100" s="0">
        <f>IF($A100="","",$I100-($AI100+$AJ100+$AK100+$AL100+$AM100+$AR100))</f>
        <v/>
      </c>
      <c r="AO100" s="0">
        <f>IF($A100="","",Allocation!CJ100)</f>
        <v/>
      </c>
      <c r="AP100" s="0">
        <f>IF($A100="","",IF(Allocation!$N$2="VOL_EFF",$Q100,IF(Allocation!$N$2="VOL_CLASS",$R100,$S100)))</f>
        <v/>
      </c>
      <c r="AQ100" s="0">
        <f>IF($A100="","",IF(Allocation!$N$2="VOL_EFF",$T100,IF(Allocation!$N$2="VOL_CLASS",$U100,$V100)))</f>
        <v/>
      </c>
      <c r="AR100" s="0">
        <f>IF($A100="","",$AO100*IFERROR($AP100/$AQ100,0)*IFERROR($AE100/$AF100,0)*IFERROR($AC100/$AD100,0))</f>
        <v/>
      </c>
      <c r="AS100" s="0">
        <f>IF($A100="","",$A100&amp;"|"&amp;Allocation!BG100)</f>
        <v/>
      </c>
    </row>
    <row r="101" ht="14.4975" customHeight="1" s="64">
      <c r="A101" s="0">
        <f>IF(Allocation!BI101="","",Allocation!BI101)</f>
        <v/>
      </c>
      <c r="B101" s="0">
        <f>IF(Allocation!BJ101="","",Allocation!BJ101)</f>
        <v/>
      </c>
      <c r="C101" s="0">
        <f>IF(Allocation!BK101="","",Allocation!BK101)</f>
        <v/>
      </c>
      <c r="D101" s="0">
        <f>IF(Allocation!BL101="","",Allocation!BL101)</f>
        <v/>
      </c>
      <c r="E101" s="0">
        <f>IF(Allocation!BM101="","",Allocation!BM101)</f>
        <v/>
      </c>
      <c r="F101" s="0">
        <f>IF(Allocation!BN101="","",Allocation!BN101)</f>
        <v/>
      </c>
      <c r="G101" s="0">
        <f>IF(Allocation!BO101="","",Allocation!BO101)</f>
        <v/>
      </c>
      <c r="H101" s="0">
        <f>IF(Allocation!BP101="","",Allocation!BP101)</f>
        <v/>
      </c>
      <c r="I101" s="0">
        <f>IF(Allocation!BQ101="","",Allocation!BQ101)</f>
        <v/>
      </c>
      <c r="J101" s="0">
        <f>IF(Allocation!CC101="","",Allocation!CC101)</f>
        <v/>
      </c>
      <c r="K101" s="0">
        <f>IF($A101="","",$H101*IF(AND(LEFT($D101,3)="BAC",$F101="INIT"),600,IF(LEFT($D101,3)="BAC",480,IF(AND(LEFT($D101,3)="MAS",$F101="INIT"),520,IF(LEFT($D101,3)="MAS",420,IF($F101="INIT",1000,700))))))</f>
        <v/>
      </c>
      <c r="L101" s="0">
        <f>IF($A101="","",SUMIFS($G$1:$G$349,$AS$1:$AS$349,$AS101,$B$1:$B$349,$B101))</f>
        <v/>
      </c>
      <c r="M101" s="0">
        <f>IF($A101="","",SUMIFS($H$1:$H$349,$AS$1:$AS$349,$AS101,$B$1:$B$349,$B101))</f>
        <v/>
      </c>
      <c r="N101" s="0">
        <f>IF($A101="","",SUMIFS($I$1:$I$349,$AS$1:$AS$349,$AS101,$B$1:$B$349,$B101))</f>
        <v/>
      </c>
      <c r="O101" s="0">
        <f>IF($A101="","",SUMIFS($K$1:$K$349,$AS$1:$AS$349,$AS101,$B$1:$B$349,$B101))</f>
        <v/>
      </c>
      <c r="P101" s="0">
        <f>IF($A101="","",SUMIFS($J$1:$J$349,$AS$1:$AS$349,$AS101,$B$1:$B$349,$B101))</f>
        <v/>
      </c>
      <c r="Q101" s="0">
        <f>IF($A101="","",SUMIFS($G$1:$G$349,$AS$1:$AS$349,$AS101,$C$1:$C$349,$C101))</f>
        <v/>
      </c>
      <c r="R101" s="0">
        <f>IF($A101="","",SUMIFS($H$1:$H$349,$AS$1:$AS$349,$AS101,$C$1:$C$349,$C101))</f>
        <v/>
      </c>
      <c r="S101" s="0">
        <f>IF($A101="","",SUMIFS($I$1:$I$349,$AS$1:$AS$349,$AS101,$C$1:$C$349,$C101))</f>
        <v/>
      </c>
      <c r="T101" s="0">
        <f>IF($A101="","",SUMIFS($G$1:$G$349,$AS$1:$AS$349,$AS101))</f>
        <v/>
      </c>
      <c r="U101" s="0">
        <f>IF($A101="","",SUMIFS($H$1:$H$349,$AS$1:$AS$349,$AS101))</f>
        <v/>
      </c>
      <c r="V101" s="0">
        <f>IF($A101="","",SUMIFS($I$1:$I$349,$AS$1:$AS$349,$AS101))</f>
        <v/>
      </c>
      <c r="W101" s="0">
        <f>IF($A101="","",Allocation!CD101)</f>
        <v/>
      </c>
      <c r="X101" s="0">
        <f>IF($A101="","",Allocation!CE101)</f>
        <v/>
      </c>
      <c r="Y101" s="0">
        <f>IF($A101="","",Allocation!CF101)</f>
        <v/>
      </c>
      <c r="Z101" s="0">
        <f>IF($A101="","",Allocation!CG101)</f>
        <v/>
      </c>
      <c r="AA101" s="0">
        <f>IF($A101="","",Allocation!CH101)</f>
        <v/>
      </c>
      <c r="AB101" s="0">
        <f>IF($A101="","",Allocation!CI101)</f>
        <v/>
      </c>
      <c r="AC101" s="0">
        <f>IF($A101="","",IF(Allocation!$N$4="VOL_EFF",$G101,IF(Allocation!$N$4="VOL_CLASS",$H101,$I101)))</f>
        <v/>
      </c>
      <c r="AD101" s="0">
        <f>IF($A101="","",IF(Allocation!$N$4="VOL_EFF",$L101,IF(Allocation!$N$4="VOL_CLASS",$M101,$N101)))</f>
        <v/>
      </c>
      <c r="AE101" s="0">
        <f>IF($A101="","",IF(Allocation!$N$3="VOL_EFF",$L101,IF(Allocation!$N$3="VOL_CLASS",$M101,$N101)))</f>
        <v/>
      </c>
      <c r="AF101" s="0">
        <f>IF($A101="","",IF(Allocation!$N$3="VOL_EFF",$Q101,IF(Allocation!$N$3="VOL_CLASS",$R101,$S101)))</f>
        <v/>
      </c>
      <c r="AG101" s="0">
        <f>IF($A101="","",IF(Allocation!$N$1="VOL_EFF",$Q101,IF(Allocation!$N$1="VOL_CLASS",$R101,$S101)))</f>
        <v/>
      </c>
      <c r="AH101" s="0">
        <f>IF($A101="","",IF(Allocation!$N$1="VOL_EFF",$T101,IF(Allocation!$N$1="VOL_CLASS",$U101,$V101)))</f>
        <v/>
      </c>
      <c r="AI101" s="0">
        <f>IF($A101="","",$W101*IFERROR($K101/$O101,0))</f>
        <v/>
      </c>
      <c r="AJ101" s="0">
        <f>IF($A101="","",$X101*IFERROR($K101/$O101,0))</f>
        <v/>
      </c>
      <c r="AK101" s="0">
        <f>IF($A101="","",$Y101*IFERROR($G101/$L101,0)+$Z101*IFERROR($J101/$P101,0))</f>
        <v/>
      </c>
      <c r="AL101" s="0">
        <f>IF($A101="","",$AA101*IFERROR($AC101/$AD101,0))</f>
        <v/>
      </c>
      <c r="AM101" s="0">
        <f>IF($A101="","",$AB101*IFERROR($AG101/$AH101,0)*IFERROR($AE101/$AF101,0)*IFERROR($AC101/$AD101,0))</f>
        <v/>
      </c>
      <c r="AN101" s="0">
        <f>IF($A101="","",$I101-($AI101+$AJ101+$AK101+$AL101+$AM101+$AR101))</f>
        <v/>
      </c>
      <c r="AO101" s="0">
        <f>IF($A101="","",Allocation!CJ101)</f>
        <v/>
      </c>
      <c r="AP101" s="0">
        <f>IF($A101="","",IF(Allocation!$N$2="VOL_EFF",$Q101,IF(Allocation!$N$2="VOL_CLASS",$R101,$S101)))</f>
        <v/>
      </c>
      <c r="AQ101" s="0">
        <f>IF($A101="","",IF(Allocation!$N$2="VOL_EFF",$T101,IF(Allocation!$N$2="VOL_CLASS",$U101,$V101)))</f>
        <v/>
      </c>
      <c r="AR101" s="0">
        <f>IF($A101="","",$AO101*IFERROR($AP101/$AQ101,0)*IFERROR($AE101/$AF101,0)*IFERROR($AC101/$AD101,0))</f>
        <v/>
      </c>
      <c r="AS101" s="0">
        <f>IF($A101="","",$A101&amp;"|"&amp;Allocation!BG101)</f>
        <v/>
      </c>
    </row>
    <row r="102" ht="14.4975" customHeight="1" s="64">
      <c r="A102" s="0">
        <f>IF(Allocation!BI102="","",Allocation!BI102)</f>
        <v/>
      </c>
      <c r="B102" s="0">
        <f>IF(Allocation!BJ102="","",Allocation!BJ102)</f>
        <v/>
      </c>
      <c r="C102" s="0">
        <f>IF(Allocation!BK102="","",Allocation!BK102)</f>
        <v/>
      </c>
      <c r="D102" s="0">
        <f>IF(Allocation!BL102="","",Allocation!BL102)</f>
        <v/>
      </c>
      <c r="E102" s="0">
        <f>IF(Allocation!BM102="","",Allocation!BM102)</f>
        <v/>
      </c>
      <c r="F102" s="0">
        <f>IF(Allocation!BN102="","",Allocation!BN102)</f>
        <v/>
      </c>
      <c r="G102" s="0">
        <f>IF(Allocation!BO102="","",Allocation!BO102)</f>
        <v/>
      </c>
      <c r="H102" s="0">
        <f>IF(Allocation!BP102="","",Allocation!BP102)</f>
        <v/>
      </c>
      <c r="I102" s="0">
        <f>IF(Allocation!BQ102="","",Allocation!BQ102)</f>
        <v/>
      </c>
      <c r="J102" s="0">
        <f>IF(Allocation!CC102="","",Allocation!CC102)</f>
        <v/>
      </c>
      <c r="K102" s="0">
        <f>IF($A102="","",$H102*IF(AND(LEFT($D102,3)="BAC",$F102="INIT"),600,IF(LEFT($D102,3)="BAC",480,IF(AND(LEFT($D102,3)="MAS",$F102="INIT"),520,IF(LEFT($D102,3)="MAS",420,IF($F102="INIT",1000,700))))))</f>
        <v/>
      </c>
      <c r="L102" s="0">
        <f>IF($A102="","",SUMIFS($G$1:$G$349,$AS$1:$AS$349,$AS102,$B$1:$B$349,$B102))</f>
        <v/>
      </c>
      <c r="M102" s="0">
        <f>IF($A102="","",SUMIFS($H$1:$H$349,$AS$1:$AS$349,$AS102,$B$1:$B$349,$B102))</f>
        <v/>
      </c>
      <c r="N102" s="0">
        <f>IF($A102="","",SUMIFS($I$1:$I$349,$AS$1:$AS$349,$AS102,$B$1:$B$349,$B102))</f>
        <v/>
      </c>
      <c r="O102" s="0">
        <f>IF($A102="","",SUMIFS($K$1:$K$349,$AS$1:$AS$349,$AS102,$B$1:$B$349,$B102))</f>
        <v/>
      </c>
      <c r="P102" s="0">
        <f>IF($A102="","",SUMIFS($J$1:$J$349,$AS$1:$AS$349,$AS102,$B$1:$B$349,$B102))</f>
        <v/>
      </c>
      <c r="Q102" s="0">
        <f>IF($A102="","",SUMIFS($G$1:$G$349,$AS$1:$AS$349,$AS102,$C$1:$C$349,$C102))</f>
        <v/>
      </c>
      <c r="R102" s="0">
        <f>IF($A102="","",SUMIFS($H$1:$H$349,$AS$1:$AS$349,$AS102,$C$1:$C$349,$C102))</f>
        <v/>
      </c>
      <c r="S102" s="0">
        <f>IF($A102="","",SUMIFS($I$1:$I$349,$AS$1:$AS$349,$AS102,$C$1:$C$349,$C102))</f>
        <v/>
      </c>
      <c r="T102" s="0">
        <f>IF($A102="","",SUMIFS($G$1:$G$349,$AS$1:$AS$349,$AS102))</f>
        <v/>
      </c>
      <c r="U102" s="0">
        <f>IF($A102="","",SUMIFS($H$1:$H$349,$AS$1:$AS$349,$AS102))</f>
        <v/>
      </c>
      <c r="V102" s="0">
        <f>IF($A102="","",SUMIFS($I$1:$I$349,$AS$1:$AS$349,$AS102))</f>
        <v/>
      </c>
      <c r="W102" s="0">
        <f>IF($A102="","",Allocation!CD102)</f>
        <v/>
      </c>
      <c r="X102" s="0">
        <f>IF($A102="","",Allocation!CE102)</f>
        <v/>
      </c>
      <c r="Y102" s="0">
        <f>IF($A102="","",Allocation!CF102)</f>
        <v/>
      </c>
      <c r="Z102" s="0">
        <f>IF($A102="","",Allocation!CG102)</f>
        <v/>
      </c>
      <c r="AA102" s="0">
        <f>IF($A102="","",Allocation!CH102)</f>
        <v/>
      </c>
      <c r="AB102" s="0">
        <f>IF($A102="","",Allocation!CI102)</f>
        <v/>
      </c>
      <c r="AC102" s="0">
        <f>IF($A102="","",IF(Allocation!$N$4="VOL_EFF",$G102,IF(Allocation!$N$4="VOL_CLASS",$H102,$I102)))</f>
        <v/>
      </c>
      <c r="AD102" s="0">
        <f>IF($A102="","",IF(Allocation!$N$4="VOL_EFF",$L102,IF(Allocation!$N$4="VOL_CLASS",$M102,$N102)))</f>
        <v/>
      </c>
      <c r="AE102" s="0">
        <f>IF($A102="","",IF(Allocation!$N$3="VOL_EFF",$L102,IF(Allocation!$N$3="VOL_CLASS",$M102,$N102)))</f>
        <v/>
      </c>
      <c r="AF102" s="0">
        <f>IF($A102="","",IF(Allocation!$N$3="VOL_EFF",$Q102,IF(Allocation!$N$3="VOL_CLASS",$R102,$S102)))</f>
        <v/>
      </c>
      <c r="AG102" s="0">
        <f>IF($A102="","",IF(Allocation!$N$1="VOL_EFF",$Q102,IF(Allocation!$N$1="VOL_CLASS",$R102,$S102)))</f>
        <v/>
      </c>
      <c r="AH102" s="0">
        <f>IF($A102="","",IF(Allocation!$N$1="VOL_EFF",$T102,IF(Allocation!$N$1="VOL_CLASS",$U102,$V102)))</f>
        <v/>
      </c>
      <c r="AI102" s="0">
        <f>IF($A102="","",$W102*IFERROR($K102/$O102,0))</f>
        <v/>
      </c>
      <c r="AJ102" s="0">
        <f>IF($A102="","",$X102*IFERROR($K102/$O102,0))</f>
        <v/>
      </c>
      <c r="AK102" s="0">
        <f>IF($A102="","",$Y102*IFERROR($G102/$L102,0)+$Z102*IFERROR($J102/$P102,0))</f>
        <v/>
      </c>
      <c r="AL102" s="0">
        <f>IF($A102="","",$AA102*IFERROR($AC102/$AD102,0))</f>
        <v/>
      </c>
      <c r="AM102" s="0">
        <f>IF($A102="","",$AB102*IFERROR($AG102/$AH102,0)*IFERROR($AE102/$AF102,0)*IFERROR($AC102/$AD102,0))</f>
        <v/>
      </c>
      <c r="AN102" s="0">
        <f>IF($A102="","",$I102-($AI102+$AJ102+$AK102+$AL102+$AM102+$AR102))</f>
        <v/>
      </c>
      <c r="AO102" s="0">
        <f>IF($A102="","",Allocation!CJ102)</f>
        <v/>
      </c>
      <c r="AP102" s="0">
        <f>IF($A102="","",IF(Allocation!$N$2="VOL_EFF",$Q102,IF(Allocation!$N$2="VOL_CLASS",$R102,$S102)))</f>
        <v/>
      </c>
      <c r="AQ102" s="0">
        <f>IF($A102="","",IF(Allocation!$N$2="VOL_EFF",$T102,IF(Allocation!$N$2="VOL_CLASS",$U102,$V102)))</f>
        <v/>
      </c>
      <c r="AR102" s="0">
        <f>IF($A102="","",$AO102*IFERROR($AP102/$AQ102,0)*IFERROR($AE102/$AF102,0)*IFERROR($AC102/$AD102,0))</f>
        <v/>
      </c>
      <c r="AS102" s="0">
        <f>IF($A102="","",$A102&amp;"|"&amp;Allocation!BG102)</f>
        <v/>
      </c>
    </row>
    <row r="103" ht="14.4975" customHeight="1" s="64">
      <c r="A103" s="0">
        <f>IF(Allocation!BI103="","",Allocation!BI103)</f>
        <v/>
      </c>
      <c r="B103" s="0">
        <f>IF(Allocation!BJ103="","",Allocation!BJ103)</f>
        <v/>
      </c>
      <c r="C103" s="0">
        <f>IF(Allocation!BK103="","",Allocation!BK103)</f>
        <v/>
      </c>
      <c r="D103" s="0">
        <f>IF(Allocation!BL103="","",Allocation!BL103)</f>
        <v/>
      </c>
      <c r="E103" s="0">
        <f>IF(Allocation!BM103="","",Allocation!BM103)</f>
        <v/>
      </c>
      <c r="F103" s="0">
        <f>IF(Allocation!BN103="","",Allocation!BN103)</f>
        <v/>
      </c>
      <c r="G103" s="0">
        <f>IF(Allocation!BO103="","",Allocation!BO103)</f>
        <v/>
      </c>
      <c r="H103" s="0">
        <f>IF(Allocation!BP103="","",Allocation!BP103)</f>
        <v/>
      </c>
      <c r="I103" s="0">
        <f>IF(Allocation!BQ103="","",Allocation!BQ103)</f>
        <v/>
      </c>
      <c r="J103" s="0">
        <f>IF(Allocation!CC103="","",Allocation!CC103)</f>
        <v/>
      </c>
      <c r="K103" s="0">
        <f>IF($A103="","",$H103*IF(AND(LEFT($D103,3)="BAC",$F103="INIT"),600,IF(LEFT($D103,3)="BAC",480,IF(AND(LEFT($D103,3)="MAS",$F103="INIT"),520,IF(LEFT($D103,3)="MAS",420,IF($F103="INIT",1000,700))))))</f>
        <v/>
      </c>
      <c r="L103" s="0">
        <f>IF($A103="","",SUMIFS($G$1:$G$349,$AS$1:$AS$349,$AS103,$B$1:$B$349,$B103))</f>
        <v/>
      </c>
      <c r="M103" s="0">
        <f>IF($A103="","",SUMIFS($H$1:$H$349,$AS$1:$AS$349,$AS103,$B$1:$B$349,$B103))</f>
        <v/>
      </c>
      <c r="N103" s="0">
        <f>IF($A103="","",SUMIFS($I$1:$I$349,$AS$1:$AS$349,$AS103,$B$1:$B$349,$B103))</f>
        <v/>
      </c>
      <c r="O103" s="0">
        <f>IF($A103="","",SUMIFS($K$1:$K$349,$AS$1:$AS$349,$AS103,$B$1:$B$349,$B103))</f>
        <v/>
      </c>
      <c r="P103" s="0">
        <f>IF($A103="","",SUMIFS($J$1:$J$349,$AS$1:$AS$349,$AS103,$B$1:$B$349,$B103))</f>
        <v/>
      </c>
      <c r="Q103" s="0">
        <f>IF($A103="","",SUMIFS($G$1:$G$349,$AS$1:$AS$349,$AS103,$C$1:$C$349,$C103))</f>
        <v/>
      </c>
      <c r="R103" s="0">
        <f>IF($A103="","",SUMIFS($H$1:$H$349,$AS$1:$AS$349,$AS103,$C$1:$C$349,$C103))</f>
        <v/>
      </c>
      <c r="S103" s="0">
        <f>IF($A103="","",SUMIFS($I$1:$I$349,$AS$1:$AS$349,$AS103,$C$1:$C$349,$C103))</f>
        <v/>
      </c>
      <c r="T103" s="0">
        <f>IF($A103="","",SUMIFS($G$1:$G$349,$AS$1:$AS$349,$AS103))</f>
        <v/>
      </c>
      <c r="U103" s="0">
        <f>IF($A103="","",SUMIFS($H$1:$H$349,$AS$1:$AS$349,$AS103))</f>
        <v/>
      </c>
      <c r="V103" s="0">
        <f>IF($A103="","",SUMIFS($I$1:$I$349,$AS$1:$AS$349,$AS103))</f>
        <v/>
      </c>
      <c r="W103" s="0">
        <f>IF($A103="","",Allocation!CD103)</f>
        <v/>
      </c>
      <c r="X103" s="0">
        <f>IF($A103="","",Allocation!CE103)</f>
        <v/>
      </c>
      <c r="Y103" s="0">
        <f>IF($A103="","",Allocation!CF103)</f>
        <v/>
      </c>
      <c r="Z103" s="0">
        <f>IF($A103="","",Allocation!CG103)</f>
        <v/>
      </c>
      <c r="AA103" s="0">
        <f>IF($A103="","",Allocation!CH103)</f>
        <v/>
      </c>
      <c r="AB103" s="0">
        <f>IF($A103="","",Allocation!CI103)</f>
        <v/>
      </c>
      <c r="AC103" s="0">
        <f>IF($A103="","",IF(Allocation!$N$4="VOL_EFF",$G103,IF(Allocation!$N$4="VOL_CLASS",$H103,$I103)))</f>
        <v/>
      </c>
      <c r="AD103" s="0">
        <f>IF($A103="","",IF(Allocation!$N$4="VOL_EFF",$L103,IF(Allocation!$N$4="VOL_CLASS",$M103,$N103)))</f>
        <v/>
      </c>
      <c r="AE103" s="0">
        <f>IF($A103="","",IF(Allocation!$N$3="VOL_EFF",$L103,IF(Allocation!$N$3="VOL_CLASS",$M103,$N103)))</f>
        <v/>
      </c>
      <c r="AF103" s="0">
        <f>IF($A103="","",IF(Allocation!$N$3="VOL_EFF",$Q103,IF(Allocation!$N$3="VOL_CLASS",$R103,$S103)))</f>
        <v/>
      </c>
      <c r="AG103" s="0">
        <f>IF($A103="","",IF(Allocation!$N$1="VOL_EFF",$Q103,IF(Allocation!$N$1="VOL_CLASS",$R103,$S103)))</f>
        <v/>
      </c>
      <c r="AH103" s="0">
        <f>IF($A103="","",IF(Allocation!$N$1="VOL_EFF",$T103,IF(Allocation!$N$1="VOL_CLASS",$U103,$V103)))</f>
        <v/>
      </c>
      <c r="AI103" s="0">
        <f>IF($A103="","",$W103*IFERROR($K103/$O103,0))</f>
        <v/>
      </c>
      <c r="AJ103" s="0">
        <f>IF($A103="","",$X103*IFERROR($K103/$O103,0))</f>
        <v/>
      </c>
      <c r="AK103" s="0">
        <f>IF($A103="","",$Y103*IFERROR($G103/$L103,0)+$Z103*IFERROR($J103/$P103,0))</f>
        <v/>
      </c>
      <c r="AL103" s="0">
        <f>IF($A103="","",$AA103*IFERROR($AC103/$AD103,0))</f>
        <v/>
      </c>
      <c r="AM103" s="0">
        <f>IF($A103="","",$AB103*IFERROR($AG103/$AH103,0)*IFERROR($AE103/$AF103,0)*IFERROR($AC103/$AD103,0))</f>
        <v/>
      </c>
      <c r="AN103" s="0">
        <f>IF($A103="","",$I103-($AI103+$AJ103+$AK103+$AL103+$AM103+$AR103))</f>
        <v/>
      </c>
      <c r="AO103" s="0">
        <f>IF($A103="","",Allocation!CJ103)</f>
        <v/>
      </c>
      <c r="AP103" s="0">
        <f>IF($A103="","",IF(Allocation!$N$2="VOL_EFF",$Q103,IF(Allocation!$N$2="VOL_CLASS",$R103,$S103)))</f>
        <v/>
      </c>
      <c r="AQ103" s="0">
        <f>IF($A103="","",IF(Allocation!$N$2="VOL_EFF",$T103,IF(Allocation!$N$2="VOL_CLASS",$U103,$V103)))</f>
        <v/>
      </c>
      <c r="AR103" s="0">
        <f>IF($A103="","",$AO103*IFERROR($AP103/$AQ103,0)*IFERROR($AE103/$AF103,0)*IFERROR($AC103/$AD103,0))</f>
        <v/>
      </c>
      <c r="AS103" s="0">
        <f>IF($A103="","",$A103&amp;"|"&amp;Allocation!BG103)</f>
        <v/>
      </c>
    </row>
    <row r="104" ht="14.4975" customHeight="1" s="64">
      <c r="A104" s="0">
        <f>IF(Allocation!BI104="","",Allocation!BI104)</f>
        <v/>
      </c>
      <c r="B104" s="0">
        <f>IF(Allocation!BJ104="","",Allocation!BJ104)</f>
        <v/>
      </c>
      <c r="C104" s="0">
        <f>IF(Allocation!BK104="","",Allocation!BK104)</f>
        <v/>
      </c>
      <c r="D104" s="0">
        <f>IF(Allocation!BL104="","",Allocation!BL104)</f>
        <v/>
      </c>
      <c r="E104" s="0">
        <f>IF(Allocation!BM104="","",Allocation!BM104)</f>
        <v/>
      </c>
      <c r="F104" s="0">
        <f>IF(Allocation!BN104="","",Allocation!BN104)</f>
        <v/>
      </c>
      <c r="G104" s="0">
        <f>IF(Allocation!BO104="","",Allocation!BO104)</f>
        <v/>
      </c>
      <c r="H104" s="0">
        <f>IF(Allocation!BP104="","",Allocation!BP104)</f>
        <v/>
      </c>
      <c r="I104" s="0">
        <f>IF(Allocation!BQ104="","",Allocation!BQ104)</f>
        <v/>
      </c>
      <c r="J104" s="0">
        <f>IF(Allocation!CC104="","",Allocation!CC104)</f>
        <v/>
      </c>
      <c r="K104" s="0">
        <f>IF($A104="","",$H104*IF(AND(LEFT($D104,3)="BAC",$F104="INIT"),600,IF(LEFT($D104,3)="BAC",480,IF(AND(LEFT($D104,3)="MAS",$F104="INIT"),520,IF(LEFT($D104,3)="MAS",420,IF($F104="INIT",1000,700))))))</f>
        <v/>
      </c>
      <c r="L104" s="0">
        <f>IF($A104="","",SUMIFS($G$1:$G$349,$AS$1:$AS$349,$AS104,$B$1:$B$349,$B104))</f>
        <v/>
      </c>
      <c r="M104" s="0">
        <f>IF($A104="","",SUMIFS($H$1:$H$349,$AS$1:$AS$349,$AS104,$B$1:$B$349,$B104))</f>
        <v/>
      </c>
      <c r="N104" s="0">
        <f>IF($A104="","",SUMIFS($I$1:$I$349,$AS$1:$AS$349,$AS104,$B$1:$B$349,$B104))</f>
        <v/>
      </c>
      <c r="O104" s="0">
        <f>IF($A104="","",SUMIFS($K$1:$K$349,$AS$1:$AS$349,$AS104,$B$1:$B$349,$B104))</f>
        <v/>
      </c>
      <c r="P104" s="0">
        <f>IF($A104="","",SUMIFS($J$1:$J$349,$AS$1:$AS$349,$AS104,$B$1:$B$349,$B104))</f>
        <v/>
      </c>
      <c r="Q104" s="0">
        <f>IF($A104="","",SUMIFS($G$1:$G$349,$AS$1:$AS$349,$AS104,$C$1:$C$349,$C104))</f>
        <v/>
      </c>
      <c r="R104" s="0">
        <f>IF($A104="","",SUMIFS($H$1:$H$349,$AS$1:$AS$349,$AS104,$C$1:$C$349,$C104))</f>
        <v/>
      </c>
      <c r="S104" s="0">
        <f>IF($A104="","",SUMIFS($I$1:$I$349,$AS$1:$AS$349,$AS104,$C$1:$C$349,$C104))</f>
        <v/>
      </c>
      <c r="T104" s="0">
        <f>IF($A104="","",SUMIFS($G$1:$G$349,$AS$1:$AS$349,$AS104))</f>
        <v/>
      </c>
      <c r="U104" s="0">
        <f>IF($A104="","",SUMIFS($H$1:$H$349,$AS$1:$AS$349,$AS104))</f>
        <v/>
      </c>
      <c r="V104" s="0">
        <f>IF($A104="","",SUMIFS($I$1:$I$349,$AS$1:$AS$349,$AS104))</f>
        <v/>
      </c>
      <c r="W104" s="0">
        <f>IF($A104="","",Allocation!CD104)</f>
        <v/>
      </c>
      <c r="X104" s="0">
        <f>IF($A104="","",Allocation!CE104)</f>
        <v/>
      </c>
      <c r="Y104" s="0">
        <f>IF($A104="","",Allocation!CF104)</f>
        <v/>
      </c>
      <c r="Z104" s="0">
        <f>IF($A104="","",Allocation!CG104)</f>
        <v/>
      </c>
      <c r="AA104" s="0">
        <f>IF($A104="","",Allocation!CH104)</f>
        <v/>
      </c>
      <c r="AB104" s="0">
        <f>IF($A104="","",Allocation!CI104)</f>
        <v/>
      </c>
      <c r="AC104" s="0">
        <f>IF($A104="","",IF(Allocation!$N$4="VOL_EFF",$G104,IF(Allocation!$N$4="VOL_CLASS",$H104,$I104)))</f>
        <v/>
      </c>
      <c r="AD104" s="0">
        <f>IF($A104="","",IF(Allocation!$N$4="VOL_EFF",$L104,IF(Allocation!$N$4="VOL_CLASS",$M104,$N104)))</f>
        <v/>
      </c>
      <c r="AE104" s="0">
        <f>IF($A104="","",IF(Allocation!$N$3="VOL_EFF",$L104,IF(Allocation!$N$3="VOL_CLASS",$M104,$N104)))</f>
        <v/>
      </c>
      <c r="AF104" s="0">
        <f>IF($A104="","",IF(Allocation!$N$3="VOL_EFF",$Q104,IF(Allocation!$N$3="VOL_CLASS",$R104,$S104)))</f>
        <v/>
      </c>
      <c r="AG104" s="0">
        <f>IF($A104="","",IF(Allocation!$N$1="VOL_EFF",$Q104,IF(Allocation!$N$1="VOL_CLASS",$R104,$S104)))</f>
        <v/>
      </c>
      <c r="AH104" s="0">
        <f>IF($A104="","",IF(Allocation!$N$1="VOL_EFF",$T104,IF(Allocation!$N$1="VOL_CLASS",$U104,$V104)))</f>
        <v/>
      </c>
      <c r="AI104" s="0">
        <f>IF($A104="","",$W104*IFERROR($K104/$O104,0))</f>
        <v/>
      </c>
      <c r="AJ104" s="0">
        <f>IF($A104="","",$X104*IFERROR($K104/$O104,0))</f>
        <v/>
      </c>
      <c r="AK104" s="0">
        <f>IF($A104="","",$Y104*IFERROR($G104/$L104,0)+$Z104*IFERROR($J104/$P104,0))</f>
        <v/>
      </c>
      <c r="AL104" s="0">
        <f>IF($A104="","",$AA104*IFERROR($AC104/$AD104,0))</f>
        <v/>
      </c>
      <c r="AM104" s="0">
        <f>IF($A104="","",$AB104*IFERROR($AG104/$AH104,0)*IFERROR($AE104/$AF104,0)*IFERROR($AC104/$AD104,0))</f>
        <v/>
      </c>
      <c r="AN104" s="0">
        <f>IF($A104="","",$I104-($AI104+$AJ104+$AK104+$AL104+$AM104+$AR104))</f>
        <v/>
      </c>
      <c r="AO104" s="0">
        <f>IF($A104="","",Allocation!CJ104)</f>
        <v/>
      </c>
      <c r="AP104" s="0">
        <f>IF($A104="","",IF(Allocation!$N$2="VOL_EFF",$Q104,IF(Allocation!$N$2="VOL_CLASS",$R104,$S104)))</f>
        <v/>
      </c>
      <c r="AQ104" s="0">
        <f>IF($A104="","",IF(Allocation!$N$2="VOL_EFF",$T104,IF(Allocation!$N$2="VOL_CLASS",$U104,$V104)))</f>
        <v/>
      </c>
      <c r="AR104" s="0">
        <f>IF($A104="","",$AO104*IFERROR($AP104/$AQ104,0)*IFERROR($AE104/$AF104,0)*IFERROR($AC104/$AD104,0))</f>
        <v/>
      </c>
      <c r="AS104" s="0">
        <f>IF($A104="","",$A104&amp;"|"&amp;Allocation!BG104)</f>
        <v/>
      </c>
    </row>
    <row r="105" ht="14.4975" customHeight="1" s="64">
      <c r="A105" s="0">
        <f>IF(Allocation!BI105="","",Allocation!BI105)</f>
        <v/>
      </c>
      <c r="B105" s="0">
        <f>IF(Allocation!BJ105="","",Allocation!BJ105)</f>
        <v/>
      </c>
      <c r="C105" s="0">
        <f>IF(Allocation!BK105="","",Allocation!BK105)</f>
        <v/>
      </c>
      <c r="D105" s="0">
        <f>IF(Allocation!BL105="","",Allocation!BL105)</f>
        <v/>
      </c>
      <c r="E105" s="0">
        <f>IF(Allocation!BM105="","",Allocation!BM105)</f>
        <v/>
      </c>
      <c r="F105" s="0">
        <f>IF(Allocation!BN105="","",Allocation!BN105)</f>
        <v/>
      </c>
      <c r="G105" s="0">
        <f>IF(Allocation!BO105="","",Allocation!BO105)</f>
        <v/>
      </c>
      <c r="H105" s="0">
        <f>IF(Allocation!BP105="","",Allocation!BP105)</f>
        <v/>
      </c>
      <c r="I105" s="0">
        <f>IF(Allocation!BQ105="","",Allocation!BQ105)</f>
        <v/>
      </c>
      <c r="J105" s="0">
        <f>IF(Allocation!CC105="","",Allocation!CC105)</f>
        <v/>
      </c>
      <c r="K105" s="0">
        <f>IF($A105="","",$H105*IF(AND(LEFT($D105,3)="BAC",$F105="INIT"),600,IF(LEFT($D105,3)="BAC",480,IF(AND(LEFT($D105,3)="MAS",$F105="INIT"),520,IF(LEFT($D105,3)="MAS",420,IF($F105="INIT",1000,700))))))</f>
        <v/>
      </c>
      <c r="L105" s="0">
        <f>IF($A105="","",SUMIFS($G$1:$G$349,$AS$1:$AS$349,$AS105,$B$1:$B$349,$B105))</f>
        <v/>
      </c>
      <c r="M105" s="0">
        <f>IF($A105="","",SUMIFS($H$1:$H$349,$AS$1:$AS$349,$AS105,$B$1:$B$349,$B105))</f>
        <v/>
      </c>
      <c r="N105" s="0">
        <f>IF($A105="","",SUMIFS($I$1:$I$349,$AS$1:$AS$349,$AS105,$B$1:$B$349,$B105))</f>
        <v/>
      </c>
      <c r="O105" s="0">
        <f>IF($A105="","",SUMIFS($K$1:$K$349,$AS$1:$AS$349,$AS105,$B$1:$B$349,$B105))</f>
        <v/>
      </c>
      <c r="P105" s="0">
        <f>IF($A105="","",SUMIFS($J$1:$J$349,$AS$1:$AS$349,$AS105,$B$1:$B$349,$B105))</f>
        <v/>
      </c>
      <c r="Q105" s="0">
        <f>IF($A105="","",SUMIFS($G$1:$G$349,$AS$1:$AS$349,$AS105,$C$1:$C$349,$C105))</f>
        <v/>
      </c>
      <c r="R105" s="0">
        <f>IF($A105="","",SUMIFS($H$1:$H$349,$AS$1:$AS$349,$AS105,$C$1:$C$349,$C105))</f>
        <v/>
      </c>
      <c r="S105" s="0">
        <f>IF($A105="","",SUMIFS($I$1:$I$349,$AS$1:$AS$349,$AS105,$C$1:$C$349,$C105))</f>
        <v/>
      </c>
      <c r="T105" s="0">
        <f>IF($A105="","",SUMIFS($G$1:$G$349,$AS$1:$AS$349,$AS105))</f>
        <v/>
      </c>
      <c r="U105" s="0">
        <f>IF($A105="","",SUMIFS($H$1:$H$349,$AS$1:$AS$349,$AS105))</f>
        <v/>
      </c>
      <c r="V105" s="0">
        <f>IF($A105="","",SUMIFS($I$1:$I$349,$AS$1:$AS$349,$AS105))</f>
        <v/>
      </c>
      <c r="W105" s="0">
        <f>IF($A105="","",Allocation!CD105)</f>
        <v/>
      </c>
      <c r="X105" s="0">
        <f>IF($A105="","",Allocation!CE105)</f>
        <v/>
      </c>
      <c r="Y105" s="0">
        <f>IF($A105="","",Allocation!CF105)</f>
        <v/>
      </c>
      <c r="Z105" s="0">
        <f>IF($A105="","",Allocation!CG105)</f>
        <v/>
      </c>
      <c r="AA105" s="0">
        <f>IF($A105="","",Allocation!CH105)</f>
        <v/>
      </c>
      <c r="AB105" s="0">
        <f>IF($A105="","",Allocation!CI105)</f>
        <v/>
      </c>
      <c r="AC105" s="0">
        <f>IF($A105="","",IF(Allocation!$N$4="VOL_EFF",$G105,IF(Allocation!$N$4="VOL_CLASS",$H105,$I105)))</f>
        <v/>
      </c>
      <c r="AD105" s="0">
        <f>IF($A105="","",IF(Allocation!$N$4="VOL_EFF",$L105,IF(Allocation!$N$4="VOL_CLASS",$M105,$N105)))</f>
        <v/>
      </c>
      <c r="AE105" s="0">
        <f>IF($A105="","",IF(Allocation!$N$3="VOL_EFF",$L105,IF(Allocation!$N$3="VOL_CLASS",$M105,$N105)))</f>
        <v/>
      </c>
      <c r="AF105" s="0">
        <f>IF($A105="","",IF(Allocation!$N$3="VOL_EFF",$Q105,IF(Allocation!$N$3="VOL_CLASS",$R105,$S105)))</f>
        <v/>
      </c>
      <c r="AG105" s="0">
        <f>IF($A105="","",IF(Allocation!$N$1="VOL_EFF",$Q105,IF(Allocation!$N$1="VOL_CLASS",$R105,$S105)))</f>
        <v/>
      </c>
      <c r="AH105" s="0">
        <f>IF($A105="","",IF(Allocation!$N$1="VOL_EFF",$T105,IF(Allocation!$N$1="VOL_CLASS",$U105,$V105)))</f>
        <v/>
      </c>
      <c r="AI105" s="0">
        <f>IF($A105="","",$W105*IFERROR($K105/$O105,0))</f>
        <v/>
      </c>
      <c r="AJ105" s="0">
        <f>IF($A105="","",$X105*IFERROR($K105/$O105,0))</f>
        <v/>
      </c>
      <c r="AK105" s="0">
        <f>IF($A105="","",$Y105*IFERROR($G105/$L105,0)+$Z105*IFERROR($J105/$P105,0))</f>
        <v/>
      </c>
      <c r="AL105" s="0">
        <f>IF($A105="","",$AA105*IFERROR($AC105/$AD105,0))</f>
        <v/>
      </c>
      <c r="AM105" s="0">
        <f>IF($A105="","",$AB105*IFERROR($AG105/$AH105,0)*IFERROR($AE105/$AF105,0)*IFERROR($AC105/$AD105,0))</f>
        <v/>
      </c>
      <c r="AN105" s="0">
        <f>IF($A105="","",$I105-($AI105+$AJ105+$AK105+$AL105+$AM105+$AR105))</f>
        <v/>
      </c>
      <c r="AO105" s="0">
        <f>IF($A105="","",Allocation!CJ105)</f>
        <v/>
      </c>
      <c r="AP105" s="0">
        <f>IF($A105="","",IF(Allocation!$N$2="VOL_EFF",$Q105,IF(Allocation!$N$2="VOL_CLASS",$R105,$S105)))</f>
        <v/>
      </c>
      <c r="AQ105" s="0">
        <f>IF($A105="","",IF(Allocation!$N$2="VOL_EFF",$T105,IF(Allocation!$N$2="VOL_CLASS",$U105,$V105)))</f>
        <v/>
      </c>
      <c r="AR105" s="0">
        <f>IF($A105="","",$AO105*IFERROR($AP105/$AQ105,0)*IFERROR($AE105/$AF105,0)*IFERROR($AC105/$AD105,0))</f>
        <v/>
      </c>
      <c r="AS105" s="0">
        <f>IF($A105="","",$A105&amp;"|"&amp;Allocation!BG105)</f>
        <v/>
      </c>
    </row>
    <row r="106" ht="14.4975" customHeight="1" s="64">
      <c r="A106" s="0">
        <f>IF(Allocation!BI106="","",Allocation!BI106)</f>
        <v/>
      </c>
      <c r="B106" s="0">
        <f>IF(Allocation!BJ106="","",Allocation!BJ106)</f>
        <v/>
      </c>
      <c r="C106" s="0">
        <f>IF(Allocation!BK106="","",Allocation!BK106)</f>
        <v/>
      </c>
      <c r="D106" s="0">
        <f>IF(Allocation!BL106="","",Allocation!BL106)</f>
        <v/>
      </c>
      <c r="E106" s="0">
        <f>IF(Allocation!BM106="","",Allocation!BM106)</f>
        <v/>
      </c>
      <c r="F106" s="0">
        <f>IF(Allocation!BN106="","",Allocation!BN106)</f>
        <v/>
      </c>
      <c r="G106" s="0">
        <f>IF(Allocation!BO106="","",Allocation!BO106)</f>
        <v/>
      </c>
      <c r="H106" s="0">
        <f>IF(Allocation!BP106="","",Allocation!BP106)</f>
        <v/>
      </c>
      <c r="I106" s="0">
        <f>IF(Allocation!BQ106="","",Allocation!BQ106)</f>
        <v/>
      </c>
      <c r="J106" s="0">
        <f>IF(Allocation!CC106="","",Allocation!CC106)</f>
        <v/>
      </c>
      <c r="K106" s="0">
        <f>IF($A106="","",$H106*IF(AND(LEFT($D106,3)="BAC",$F106="INIT"),600,IF(LEFT($D106,3)="BAC",480,IF(AND(LEFT($D106,3)="MAS",$F106="INIT"),520,IF(LEFT($D106,3)="MAS",420,IF($F106="INIT",1000,700))))))</f>
        <v/>
      </c>
      <c r="L106" s="0">
        <f>IF($A106="","",SUMIFS($G$1:$G$349,$AS$1:$AS$349,$AS106,$B$1:$B$349,$B106))</f>
        <v/>
      </c>
      <c r="M106" s="0">
        <f>IF($A106="","",SUMIFS($H$1:$H$349,$AS$1:$AS$349,$AS106,$B$1:$B$349,$B106))</f>
        <v/>
      </c>
      <c r="N106" s="0">
        <f>IF($A106="","",SUMIFS($I$1:$I$349,$AS$1:$AS$349,$AS106,$B$1:$B$349,$B106))</f>
        <v/>
      </c>
      <c r="O106" s="0">
        <f>IF($A106="","",SUMIFS($K$1:$K$349,$AS$1:$AS$349,$AS106,$B$1:$B$349,$B106))</f>
        <v/>
      </c>
      <c r="P106" s="0">
        <f>IF($A106="","",SUMIFS($J$1:$J$349,$AS$1:$AS$349,$AS106,$B$1:$B$349,$B106))</f>
        <v/>
      </c>
      <c r="Q106" s="0">
        <f>IF($A106="","",SUMIFS($G$1:$G$349,$AS$1:$AS$349,$AS106,$C$1:$C$349,$C106))</f>
        <v/>
      </c>
      <c r="R106" s="0">
        <f>IF($A106="","",SUMIFS($H$1:$H$349,$AS$1:$AS$349,$AS106,$C$1:$C$349,$C106))</f>
        <v/>
      </c>
      <c r="S106" s="0">
        <f>IF($A106="","",SUMIFS($I$1:$I$349,$AS$1:$AS$349,$AS106,$C$1:$C$349,$C106))</f>
        <v/>
      </c>
      <c r="T106" s="0">
        <f>IF($A106="","",SUMIFS($G$1:$G$349,$AS$1:$AS$349,$AS106))</f>
        <v/>
      </c>
      <c r="U106" s="0">
        <f>IF($A106="","",SUMIFS($H$1:$H$349,$AS$1:$AS$349,$AS106))</f>
        <v/>
      </c>
      <c r="V106" s="0">
        <f>IF($A106="","",SUMIFS($I$1:$I$349,$AS$1:$AS$349,$AS106))</f>
        <v/>
      </c>
      <c r="W106" s="0">
        <f>IF($A106="","",Allocation!CD106)</f>
        <v/>
      </c>
      <c r="X106" s="0">
        <f>IF($A106="","",Allocation!CE106)</f>
        <v/>
      </c>
      <c r="Y106" s="0">
        <f>IF($A106="","",Allocation!CF106)</f>
        <v/>
      </c>
      <c r="Z106" s="0">
        <f>IF($A106="","",Allocation!CG106)</f>
        <v/>
      </c>
      <c r="AA106" s="0">
        <f>IF($A106="","",Allocation!CH106)</f>
        <v/>
      </c>
      <c r="AB106" s="0">
        <f>IF($A106="","",Allocation!CI106)</f>
        <v/>
      </c>
      <c r="AC106" s="0">
        <f>IF($A106="","",IF(Allocation!$N$4="VOL_EFF",$G106,IF(Allocation!$N$4="VOL_CLASS",$H106,$I106)))</f>
        <v/>
      </c>
      <c r="AD106" s="0">
        <f>IF($A106="","",IF(Allocation!$N$4="VOL_EFF",$L106,IF(Allocation!$N$4="VOL_CLASS",$M106,$N106)))</f>
        <v/>
      </c>
      <c r="AE106" s="0">
        <f>IF($A106="","",IF(Allocation!$N$3="VOL_EFF",$L106,IF(Allocation!$N$3="VOL_CLASS",$M106,$N106)))</f>
        <v/>
      </c>
      <c r="AF106" s="0">
        <f>IF($A106="","",IF(Allocation!$N$3="VOL_EFF",$Q106,IF(Allocation!$N$3="VOL_CLASS",$R106,$S106)))</f>
        <v/>
      </c>
      <c r="AG106" s="0">
        <f>IF($A106="","",IF(Allocation!$N$1="VOL_EFF",$Q106,IF(Allocation!$N$1="VOL_CLASS",$R106,$S106)))</f>
        <v/>
      </c>
      <c r="AH106" s="0">
        <f>IF($A106="","",IF(Allocation!$N$1="VOL_EFF",$T106,IF(Allocation!$N$1="VOL_CLASS",$U106,$V106)))</f>
        <v/>
      </c>
      <c r="AI106" s="0">
        <f>IF($A106="","",$W106*IFERROR($K106/$O106,0))</f>
        <v/>
      </c>
      <c r="AJ106" s="0">
        <f>IF($A106="","",$X106*IFERROR($K106/$O106,0))</f>
        <v/>
      </c>
      <c r="AK106" s="0">
        <f>IF($A106="","",$Y106*IFERROR($G106/$L106,0)+$Z106*IFERROR($J106/$P106,0))</f>
        <v/>
      </c>
      <c r="AL106" s="0">
        <f>IF($A106="","",$AA106*IFERROR($AC106/$AD106,0))</f>
        <v/>
      </c>
      <c r="AM106" s="0">
        <f>IF($A106="","",$AB106*IFERROR($AG106/$AH106,0)*IFERROR($AE106/$AF106,0)*IFERROR($AC106/$AD106,0))</f>
        <v/>
      </c>
      <c r="AN106" s="0">
        <f>IF($A106="","",$I106-($AI106+$AJ106+$AK106+$AL106+$AM106+$AR106))</f>
        <v/>
      </c>
      <c r="AO106" s="0">
        <f>IF($A106="","",Allocation!CJ106)</f>
        <v/>
      </c>
      <c r="AP106" s="0">
        <f>IF($A106="","",IF(Allocation!$N$2="VOL_EFF",$Q106,IF(Allocation!$N$2="VOL_CLASS",$R106,$S106)))</f>
        <v/>
      </c>
      <c r="AQ106" s="0">
        <f>IF($A106="","",IF(Allocation!$N$2="VOL_EFF",$T106,IF(Allocation!$N$2="VOL_CLASS",$U106,$V106)))</f>
        <v/>
      </c>
      <c r="AR106" s="0">
        <f>IF($A106="","",$AO106*IFERROR($AP106/$AQ106,0)*IFERROR($AE106/$AF106,0)*IFERROR($AC106/$AD106,0))</f>
        <v/>
      </c>
      <c r="AS106" s="0">
        <f>IF($A106="","",$A106&amp;"|"&amp;Allocation!BG106)</f>
        <v/>
      </c>
    </row>
    <row r="107" ht="14.4975" customHeight="1" s="64">
      <c r="A107" s="0">
        <f>IF(Allocation!BI107="","",Allocation!BI107)</f>
        <v/>
      </c>
      <c r="B107" s="0">
        <f>IF(Allocation!BJ107="","",Allocation!BJ107)</f>
        <v/>
      </c>
      <c r="C107" s="0">
        <f>IF(Allocation!BK107="","",Allocation!BK107)</f>
        <v/>
      </c>
      <c r="D107" s="0">
        <f>IF(Allocation!BL107="","",Allocation!BL107)</f>
        <v/>
      </c>
      <c r="E107" s="0">
        <f>IF(Allocation!BM107="","",Allocation!BM107)</f>
        <v/>
      </c>
      <c r="F107" s="0">
        <f>IF(Allocation!BN107="","",Allocation!BN107)</f>
        <v/>
      </c>
      <c r="G107" s="0">
        <f>IF(Allocation!BO107="","",Allocation!BO107)</f>
        <v/>
      </c>
      <c r="H107" s="0">
        <f>IF(Allocation!BP107="","",Allocation!BP107)</f>
        <v/>
      </c>
      <c r="I107" s="0">
        <f>IF(Allocation!BQ107="","",Allocation!BQ107)</f>
        <v/>
      </c>
      <c r="J107" s="0">
        <f>IF(Allocation!CC107="","",Allocation!CC107)</f>
        <v/>
      </c>
      <c r="K107" s="0">
        <f>IF($A107="","",$H107*IF(AND(LEFT($D107,3)="BAC",$F107="INIT"),600,IF(LEFT($D107,3)="BAC",480,IF(AND(LEFT($D107,3)="MAS",$F107="INIT"),520,IF(LEFT($D107,3)="MAS",420,IF($F107="INIT",1000,700))))))</f>
        <v/>
      </c>
      <c r="L107" s="0">
        <f>IF($A107="","",SUMIFS($G$1:$G$349,$AS$1:$AS$349,$AS107,$B$1:$B$349,$B107))</f>
        <v/>
      </c>
      <c r="M107" s="0">
        <f>IF($A107="","",SUMIFS($H$1:$H$349,$AS$1:$AS$349,$AS107,$B$1:$B$349,$B107))</f>
        <v/>
      </c>
      <c r="N107" s="0">
        <f>IF($A107="","",SUMIFS($I$1:$I$349,$AS$1:$AS$349,$AS107,$B$1:$B$349,$B107))</f>
        <v/>
      </c>
      <c r="O107" s="0">
        <f>IF($A107="","",SUMIFS($K$1:$K$349,$AS$1:$AS$349,$AS107,$B$1:$B$349,$B107))</f>
        <v/>
      </c>
      <c r="P107" s="0">
        <f>IF($A107="","",SUMIFS($J$1:$J$349,$AS$1:$AS$349,$AS107,$B$1:$B$349,$B107))</f>
        <v/>
      </c>
      <c r="Q107" s="0">
        <f>IF($A107="","",SUMIFS($G$1:$G$349,$AS$1:$AS$349,$AS107,$C$1:$C$349,$C107))</f>
        <v/>
      </c>
      <c r="R107" s="0">
        <f>IF($A107="","",SUMIFS($H$1:$H$349,$AS$1:$AS$349,$AS107,$C$1:$C$349,$C107))</f>
        <v/>
      </c>
      <c r="S107" s="0">
        <f>IF($A107="","",SUMIFS($I$1:$I$349,$AS$1:$AS$349,$AS107,$C$1:$C$349,$C107))</f>
        <v/>
      </c>
      <c r="T107" s="0">
        <f>IF($A107="","",SUMIFS($G$1:$G$349,$AS$1:$AS$349,$AS107))</f>
        <v/>
      </c>
      <c r="U107" s="0">
        <f>IF($A107="","",SUMIFS($H$1:$H$349,$AS$1:$AS$349,$AS107))</f>
        <v/>
      </c>
      <c r="V107" s="0">
        <f>IF($A107="","",SUMIFS($I$1:$I$349,$AS$1:$AS$349,$AS107))</f>
        <v/>
      </c>
      <c r="W107" s="0">
        <f>IF($A107="","",Allocation!CD107)</f>
        <v/>
      </c>
      <c r="X107" s="0">
        <f>IF($A107="","",Allocation!CE107)</f>
        <v/>
      </c>
      <c r="Y107" s="0">
        <f>IF($A107="","",Allocation!CF107)</f>
        <v/>
      </c>
      <c r="Z107" s="0">
        <f>IF($A107="","",Allocation!CG107)</f>
        <v/>
      </c>
      <c r="AA107" s="0">
        <f>IF($A107="","",Allocation!CH107)</f>
        <v/>
      </c>
      <c r="AB107" s="0">
        <f>IF($A107="","",Allocation!CI107)</f>
        <v/>
      </c>
      <c r="AC107" s="0">
        <f>IF($A107="","",IF(Allocation!$N$4="VOL_EFF",$G107,IF(Allocation!$N$4="VOL_CLASS",$H107,$I107)))</f>
        <v/>
      </c>
      <c r="AD107" s="0">
        <f>IF($A107="","",IF(Allocation!$N$4="VOL_EFF",$L107,IF(Allocation!$N$4="VOL_CLASS",$M107,$N107)))</f>
        <v/>
      </c>
      <c r="AE107" s="0">
        <f>IF($A107="","",IF(Allocation!$N$3="VOL_EFF",$L107,IF(Allocation!$N$3="VOL_CLASS",$M107,$N107)))</f>
        <v/>
      </c>
      <c r="AF107" s="0">
        <f>IF($A107="","",IF(Allocation!$N$3="VOL_EFF",$Q107,IF(Allocation!$N$3="VOL_CLASS",$R107,$S107)))</f>
        <v/>
      </c>
      <c r="AG107" s="0">
        <f>IF($A107="","",IF(Allocation!$N$1="VOL_EFF",$Q107,IF(Allocation!$N$1="VOL_CLASS",$R107,$S107)))</f>
        <v/>
      </c>
      <c r="AH107" s="0">
        <f>IF($A107="","",IF(Allocation!$N$1="VOL_EFF",$T107,IF(Allocation!$N$1="VOL_CLASS",$U107,$V107)))</f>
        <v/>
      </c>
      <c r="AI107" s="0">
        <f>IF($A107="","",$W107*IFERROR($K107/$O107,0))</f>
        <v/>
      </c>
      <c r="AJ107" s="0">
        <f>IF($A107="","",$X107*IFERROR($K107/$O107,0))</f>
        <v/>
      </c>
      <c r="AK107" s="0">
        <f>IF($A107="","",$Y107*IFERROR($G107/$L107,0)+$Z107*IFERROR($J107/$P107,0))</f>
        <v/>
      </c>
      <c r="AL107" s="0">
        <f>IF($A107="","",$AA107*IFERROR($AC107/$AD107,0))</f>
        <v/>
      </c>
      <c r="AM107" s="0">
        <f>IF($A107="","",$AB107*IFERROR($AG107/$AH107,0)*IFERROR($AE107/$AF107,0)*IFERROR($AC107/$AD107,0))</f>
        <v/>
      </c>
      <c r="AN107" s="0">
        <f>IF($A107="","",$I107-($AI107+$AJ107+$AK107+$AL107+$AM107+$AR107))</f>
        <v/>
      </c>
      <c r="AO107" s="0">
        <f>IF($A107="","",Allocation!CJ107)</f>
        <v/>
      </c>
      <c r="AP107" s="0">
        <f>IF($A107="","",IF(Allocation!$N$2="VOL_EFF",$Q107,IF(Allocation!$N$2="VOL_CLASS",$R107,$S107)))</f>
        <v/>
      </c>
      <c r="AQ107" s="0">
        <f>IF($A107="","",IF(Allocation!$N$2="VOL_EFF",$T107,IF(Allocation!$N$2="VOL_CLASS",$U107,$V107)))</f>
        <v/>
      </c>
      <c r="AR107" s="0">
        <f>IF($A107="","",$AO107*IFERROR($AP107/$AQ107,0)*IFERROR($AE107/$AF107,0)*IFERROR($AC107/$AD107,0))</f>
        <v/>
      </c>
      <c r="AS107" s="0">
        <f>IF($A107="","",$A107&amp;"|"&amp;Allocation!BG107)</f>
        <v/>
      </c>
    </row>
    <row r="108" ht="14.4975" customHeight="1" s="64">
      <c r="A108" s="0">
        <f>IF(Allocation!BI108="","",Allocation!BI108)</f>
        <v/>
      </c>
      <c r="B108" s="0">
        <f>IF(Allocation!BJ108="","",Allocation!BJ108)</f>
        <v/>
      </c>
      <c r="C108" s="0">
        <f>IF(Allocation!BK108="","",Allocation!BK108)</f>
        <v/>
      </c>
      <c r="D108" s="0">
        <f>IF(Allocation!BL108="","",Allocation!BL108)</f>
        <v/>
      </c>
      <c r="E108" s="0">
        <f>IF(Allocation!BM108="","",Allocation!BM108)</f>
        <v/>
      </c>
      <c r="F108" s="0">
        <f>IF(Allocation!BN108="","",Allocation!BN108)</f>
        <v/>
      </c>
      <c r="G108" s="0">
        <f>IF(Allocation!BO108="","",Allocation!BO108)</f>
        <v/>
      </c>
      <c r="H108" s="0">
        <f>IF(Allocation!BP108="","",Allocation!BP108)</f>
        <v/>
      </c>
      <c r="I108" s="0">
        <f>IF(Allocation!BQ108="","",Allocation!BQ108)</f>
        <v/>
      </c>
      <c r="J108" s="0">
        <f>IF(Allocation!CC108="","",Allocation!CC108)</f>
        <v/>
      </c>
      <c r="K108" s="0">
        <f>IF($A108="","",$H108*IF(AND(LEFT($D108,3)="BAC",$F108="INIT"),600,IF(LEFT($D108,3)="BAC",480,IF(AND(LEFT($D108,3)="MAS",$F108="INIT"),520,IF(LEFT($D108,3)="MAS",420,IF($F108="INIT",1000,700))))))</f>
        <v/>
      </c>
      <c r="L108" s="0">
        <f>IF($A108="","",SUMIFS($G$1:$G$349,$AS$1:$AS$349,$AS108,$B$1:$B$349,$B108))</f>
        <v/>
      </c>
      <c r="M108" s="0">
        <f>IF($A108="","",SUMIFS($H$1:$H$349,$AS$1:$AS$349,$AS108,$B$1:$B$349,$B108))</f>
        <v/>
      </c>
      <c r="N108" s="0">
        <f>IF($A108="","",SUMIFS($I$1:$I$349,$AS$1:$AS$349,$AS108,$B$1:$B$349,$B108))</f>
        <v/>
      </c>
      <c r="O108" s="0">
        <f>IF($A108="","",SUMIFS($K$1:$K$349,$AS$1:$AS$349,$AS108,$B$1:$B$349,$B108))</f>
        <v/>
      </c>
      <c r="P108" s="0">
        <f>IF($A108="","",SUMIFS($J$1:$J$349,$AS$1:$AS$349,$AS108,$B$1:$B$349,$B108))</f>
        <v/>
      </c>
      <c r="Q108" s="0">
        <f>IF($A108="","",SUMIFS($G$1:$G$349,$AS$1:$AS$349,$AS108,$C$1:$C$349,$C108))</f>
        <v/>
      </c>
      <c r="R108" s="0">
        <f>IF($A108="","",SUMIFS($H$1:$H$349,$AS$1:$AS$349,$AS108,$C$1:$C$349,$C108))</f>
        <v/>
      </c>
      <c r="S108" s="0">
        <f>IF($A108="","",SUMIFS($I$1:$I$349,$AS$1:$AS$349,$AS108,$C$1:$C$349,$C108))</f>
        <v/>
      </c>
      <c r="T108" s="0">
        <f>IF($A108="","",SUMIFS($G$1:$G$349,$AS$1:$AS$349,$AS108))</f>
        <v/>
      </c>
      <c r="U108" s="0">
        <f>IF($A108="","",SUMIFS($H$1:$H$349,$AS$1:$AS$349,$AS108))</f>
        <v/>
      </c>
      <c r="V108" s="0">
        <f>IF($A108="","",SUMIFS($I$1:$I$349,$AS$1:$AS$349,$AS108))</f>
        <v/>
      </c>
      <c r="W108" s="0">
        <f>IF($A108="","",Allocation!CD108)</f>
        <v/>
      </c>
      <c r="X108" s="0">
        <f>IF($A108="","",Allocation!CE108)</f>
        <v/>
      </c>
      <c r="Y108" s="0">
        <f>IF($A108="","",Allocation!CF108)</f>
        <v/>
      </c>
      <c r="Z108" s="0">
        <f>IF($A108="","",Allocation!CG108)</f>
        <v/>
      </c>
      <c r="AA108" s="0">
        <f>IF($A108="","",Allocation!CH108)</f>
        <v/>
      </c>
      <c r="AB108" s="0">
        <f>IF($A108="","",Allocation!CI108)</f>
        <v/>
      </c>
      <c r="AC108" s="0">
        <f>IF($A108="","",IF(Allocation!$N$4="VOL_EFF",$G108,IF(Allocation!$N$4="VOL_CLASS",$H108,$I108)))</f>
        <v/>
      </c>
      <c r="AD108" s="0">
        <f>IF($A108="","",IF(Allocation!$N$4="VOL_EFF",$L108,IF(Allocation!$N$4="VOL_CLASS",$M108,$N108)))</f>
        <v/>
      </c>
      <c r="AE108" s="0">
        <f>IF($A108="","",IF(Allocation!$N$3="VOL_EFF",$L108,IF(Allocation!$N$3="VOL_CLASS",$M108,$N108)))</f>
        <v/>
      </c>
      <c r="AF108" s="0">
        <f>IF($A108="","",IF(Allocation!$N$3="VOL_EFF",$Q108,IF(Allocation!$N$3="VOL_CLASS",$R108,$S108)))</f>
        <v/>
      </c>
      <c r="AG108" s="0">
        <f>IF($A108="","",IF(Allocation!$N$1="VOL_EFF",$Q108,IF(Allocation!$N$1="VOL_CLASS",$R108,$S108)))</f>
        <v/>
      </c>
      <c r="AH108" s="0">
        <f>IF($A108="","",IF(Allocation!$N$1="VOL_EFF",$T108,IF(Allocation!$N$1="VOL_CLASS",$U108,$V108)))</f>
        <v/>
      </c>
      <c r="AI108" s="0">
        <f>IF($A108="","",$W108*IFERROR($K108/$O108,0))</f>
        <v/>
      </c>
      <c r="AJ108" s="0">
        <f>IF($A108="","",$X108*IFERROR($K108/$O108,0))</f>
        <v/>
      </c>
      <c r="AK108" s="0">
        <f>IF($A108="","",$Y108*IFERROR($G108/$L108,0)+$Z108*IFERROR($J108/$P108,0))</f>
        <v/>
      </c>
      <c r="AL108" s="0">
        <f>IF($A108="","",$AA108*IFERROR($AC108/$AD108,0))</f>
        <v/>
      </c>
      <c r="AM108" s="0">
        <f>IF($A108="","",$AB108*IFERROR($AG108/$AH108,0)*IFERROR($AE108/$AF108,0)*IFERROR($AC108/$AD108,0))</f>
        <v/>
      </c>
      <c r="AN108" s="0">
        <f>IF($A108="","",$I108-($AI108+$AJ108+$AK108+$AL108+$AM108+$AR108))</f>
        <v/>
      </c>
      <c r="AO108" s="0">
        <f>IF($A108="","",Allocation!CJ108)</f>
        <v/>
      </c>
      <c r="AP108" s="0">
        <f>IF($A108="","",IF(Allocation!$N$2="VOL_EFF",$Q108,IF(Allocation!$N$2="VOL_CLASS",$R108,$S108)))</f>
        <v/>
      </c>
      <c r="AQ108" s="0">
        <f>IF($A108="","",IF(Allocation!$N$2="VOL_EFF",$T108,IF(Allocation!$N$2="VOL_CLASS",$U108,$V108)))</f>
        <v/>
      </c>
      <c r="AR108" s="0">
        <f>IF($A108="","",$AO108*IFERROR($AP108/$AQ108,0)*IFERROR($AE108/$AF108,0)*IFERROR($AC108/$AD108,0))</f>
        <v/>
      </c>
      <c r="AS108" s="0">
        <f>IF($A108="","",$A108&amp;"|"&amp;Allocation!BG108)</f>
        <v/>
      </c>
    </row>
    <row r="109" ht="14.4975" customHeight="1" s="64">
      <c r="A109" s="0">
        <f>IF(Allocation!BI109="","",Allocation!BI109)</f>
        <v/>
      </c>
      <c r="B109" s="0">
        <f>IF(Allocation!BJ109="","",Allocation!BJ109)</f>
        <v/>
      </c>
      <c r="C109" s="0">
        <f>IF(Allocation!BK109="","",Allocation!BK109)</f>
        <v/>
      </c>
      <c r="D109" s="0">
        <f>IF(Allocation!BL109="","",Allocation!BL109)</f>
        <v/>
      </c>
      <c r="E109" s="0">
        <f>IF(Allocation!BM109="","",Allocation!BM109)</f>
        <v/>
      </c>
      <c r="F109" s="0">
        <f>IF(Allocation!BN109="","",Allocation!BN109)</f>
        <v/>
      </c>
      <c r="G109" s="0">
        <f>IF(Allocation!BO109="","",Allocation!BO109)</f>
        <v/>
      </c>
      <c r="H109" s="0">
        <f>IF(Allocation!BP109="","",Allocation!BP109)</f>
        <v/>
      </c>
      <c r="I109" s="0">
        <f>IF(Allocation!BQ109="","",Allocation!BQ109)</f>
        <v/>
      </c>
      <c r="J109" s="0">
        <f>IF(Allocation!CC109="","",Allocation!CC109)</f>
        <v/>
      </c>
      <c r="K109" s="0">
        <f>IF($A109="","",$H109*IF(AND(LEFT($D109,3)="BAC",$F109="INIT"),600,IF(LEFT($D109,3)="BAC",480,IF(AND(LEFT($D109,3)="MAS",$F109="INIT"),520,IF(LEFT($D109,3)="MAS",420,IF($F109="INIT",1000,700))))))</f>
        <v/>
      </c>
      <c r="L109" s="0">
        <f>IF($A109="","",SUMIFS($G$1:$G$349,$AS$1:$AS$349,$AS109,$B$1:$B$349,$B109))</f>
        <v/>
      </c>
      <c r="M109" s="0">
        <f>IF($A109="","",SUMIFS($H$1:$H$349,$AS$1:$AS$349,$AS109,$B$1:$B$349,$B109))</f>
        <v/>
      </c>
      <c r="N109" s="0">
        <f>IF($A109="","",SUMIFS($I$1:$I$349,$AS$1:$AS$349,$AS109,$B$1:$B$349,$B109))</f>
        <v/>
      </c>
      <c r="O109" s="0">
        <f>IF($A109="","",SUMIFS($K$1:$K$349,$AS$1:$AS$349,$AS109,$B$1:$B$349,$B109))</f>
        <v/>
      </c>
      <c r="P109" s="0">
        <f>IF($A109="","",SUMIFS($J$1:$J$349,$AS$1:$AS$349,$AS109,$B$1:$B$349,$B109))</f>
        <v/>
      </c>
      <c r="Q109" s="0">
        <f>IF($A109="","",SUMIFS($G$1:$G$349,$AS$1:$AS$349,$AS109,$C$1:$C$349,$C109))</f>
        <v/>
      </c>
      <c r="R109" s="0">
        <f>IF($A109="","",SUMIFS($H$1:$H$349,$AS$1:$AS$349,$AS109,$C$1:$C$349,$C109))</f>
        <v/>
      </c>
      <c r="S109" s="0">
        <f>IF($A109="","",SUMIFS($I$1:$I$349,$AS$1:$AS$349,$AS109,$C$1:$C$349,$C109))</f>
        <v/>
      </c>
      <c r="T109" s="0">
        <f>IF($A109="","",SUMIFS($G$1:$G$349,$AS$1:$AS$349,$AS109))</f>
        <v/>
      </c>
      <c r="U109" s="0">
        <f>IF($A109="","",SUMIFS($H$1:$H$349,$AS$1:$AS$349,$AS109))</f>
        <v/>
      </c>
      <c r="V109" s="0">
        <f>IF($A109="","",SUMIFS($I$1:$I$349,$AS$1:$AS$349,$AS109))</f>
        <v/>
      </c>
      <c r="W109" s="0">
        <f>IF($A109="","",Allocation!CD109)</f>
        <v/>
      </c>
      <c r="X109" s="0">
        <f>IF($A109="","",Allocation!CE109)</f>
        <v/>
      </c>
      <c r="Y109" s="0">
        <f>IF($A109="","",Allocation!CF109)</f>
        <v/>
      </c>
      <c r="Z109" s="0">
        <f>IF($A109="","",Allocation!CG109)</f>
        <v/>
      </c>
      <c r="AA109" s="0">
        <f>IF($A109="","",Allocation!CH109)</f>
        <v/>
      </c>
      <c r="AB109" s="0">
        <f>IF($A109="","",Allocation!CI109)</f>
        <v/>
      </c>
      <c r="AC109" s="0">
        <f>IF($A109="","",IF(Allocation!$N$4="VOL_EFF",$G109,IF(Allocation!$N$4="VOL_CLASS",$H109,$I109)))</f>
        <v/>
      </c>
      <c r="AD109" s="0">
        <f>IF($A109="","",IF(Allocation!$N$4="VOL_EFF",$L109,IF(Allocation!$N$4="VOL_CLASS",$M109,$N109)))</f>
        <v/>
      </c>
      <c r="AE109" s="0">
        <f>IF($A109="","",IF(Allocation!$N$3="VOL_EFF",$L109,IF(Allocation!$N$3="VOL_CLASS",$M109,$N109)))</f>
        <v/>
      </c>
      <c r="AF109" s="0">
        <f>IF($A109="","",IF(Allocation!$N$3="VOL_EFF",$Q109,IF(Allocation!$N$3="VOL_CLASS",$R109,$S109)))</f>
        <v/>
      </c>
      <c r="AG109" s="0">
        <f>IF($A109="","",IF(Allocation!$N$1="VOL_EFF",$Q109,IF(Allocation!$N$1="VOL_CLASS",$R109,$S109)))</f>
        <v/>
      </c>
      <c r="AH109" s="0">
        <f>IF($A109="","",IF(Allocation!$N$1="VOL_EFF",$T109,IF(Allocation!$N$1="VOL_CLASS",$U109,$V109)))</f>
        <v/>
      </c>
      <c r="AI109" s="0">
        <f>IF($A109="","",$W109*IFERROR($K109/$O109,0))</f>
        <v/>
      </c>
      <c r="AJ109" s="0">
        <f>IF($A109="","",$X109*IFERROR($K109/$O109,0))</f>
        <v/>
      </c>
      <c r="AK109" s="0">
        <f>IF($A109="","",$Y109*IFERROR($G109/$L109,0)+$Z109*IFERROR($J109/$P109,0))</f>
        <v/>
      </c>
      <c r="AL109" s="0">
        <f>IF($A109="","",$AA109*IFERROR($AC109/$AD109,0))</f>
        <v/>
      </c>
      <c r="AM109" s="0">
        <f>IF($A109="","",$AB109*IFERROR($AG109/$AH109,0)*IFERROR($AE109/$AF109,0)*IFERROR($AC109/$AD109,0))</f>
        <v/>
      </c>
      <c r="AN109" s="0">
        <f>IF($A109="","",$I109-($AI109+$AJ109+$AK109+$AL109+$AM109+$AR109))</f>
        <v/>
      </c>
      <c r="AO109" s="0">
        <f>IF($A109="","",Allocation!CJ109)</f>
        <v/>
      </c>
      <c r="AP109" s="0">
        <f>IF($A109="","",IF(Allocation!$N$2="VOL_EFF",$Q109,IF(Allocation!$N$2="VOL_CLASS",$R109,$S109)))</f>
        <v/>
      </c>
      <c r="AQ109" s="0">
        <f>IF($A109="","",IF(Allocation!$N$2="VOL_EFF",$T109,IF(Allocation!$N$2="VOL_CLASS",$U109,$V109)))</f>
        <v/>
      </c>
      <c r="AR109" s="0">
        <f>IF($A109="","",$AO109*IFERROR($AP109/$AQ109,0)*IFERROR($AE109/$AF109,0)*IFERROR($AC109/$AD109,0))</f>
        <v/>
      </c>
      <c r="AS109" s="0">
        <f>IF($A109="","",$A109&amp;"|"&amp;Allocation!BG109)</f>
        <v/>
      </c>
    </row>
    <row r="110" ht="14.4975" customHeight="1" s="64">
      <c r="A110" s="0">
        <f>IF(Allocation!BI110="","",Allocation!BI110)</f>
        <v/>
      </c>
      <c r="B110" s="0">
        <f>IF(Allocation!BJ110="","",Allocation!BJ110)</f>
        <v/>
      </c>
      <c r="C110" s="0">
        <f>IF(Allocation!BK110="","",Allocation!BK110)</f>
        <v/>
      </c>
      <c r="D110" s="0">
        <f>IF(Allocation!BL110="","",Allocation!BL110)</f>
        <v/>
      </c>
      <c r="E110" s="0">
        <f>IF(Allocation!BM110="","",Allocation!BM110)</f>
        <v/>
      </c>
      <c r="F110" s="0">
        <f>IF(Allocation!BN110="","",Allocation!BN110)</f>
        <v/>
      </c>
      <c r="G110" s="0">
        <f>IF(Allocation!BO110="","",Allocation!BO110)</f>
        <v/>
      </c>
      <c r="H110" s="0">
        <f>IF(Allocation!BP110="","",Allocation!BP110)</f>
        <v/>
      </c>
      <c r="I110" s="0">
        <f>IF(Allocation!BQ110="","",Allocation!BQ110)</f>
        <v/>
      </c>
      <c r="J110" s="0">
        <f>IF(Allocation!CC110="","",Allocation!CC110)</f>
        <v/>
      </c>
      <c r="K110" s="0">
        <f>IF($A110="","",$H110*IF(AND(LEFT($D110,3)="BAC",$F110="INIT"),600,IF(LEFT($D110,3)="BAC",480,IF(AND(LEFT($D110,3)="MAS",$F110="INIT"),520,IF(LEFT($D110,3)="MAS",420,IF($F110="INIT",1000,700))))))</f>
        <v/>
      </c>
      <c r="L110" s="0">
        <f>IF($A110="","",SUMIFS($G$1:$G$349,$AS$1:$AS$349,$AS110,$B$1:$B$349,$B110))</f>
        <v/>
      </c>
      <c r="M110" s="0">
        <f>IF($A110="","",SUMIFS($H$1:$H$349,$AS$1:$AS$349,$AS110,$B$1:$B$349,$B110))</f>
        <v/>
      </c>
      <c r="N110" s="0">
        <f>IF($A110="","",SUMIFS($I$1:$I$349,$AS$1:$AS$349,$AS110,$B$1:$B$349,$B110))</f>
        <v/>
      </c>
      <c r="O110" s="0">
        <f>IF($A110="","",SUMIFS($K$1:$K$349,$AS$1:$AS$349,$AS110,$B$1:$B$349,$B110))</f>
        <v/>
      </c>
      <c r="P110" s="0">
        <f>IF($A110="","",SUMIFS($J$1:$J$349,$AS$1:$AS$349,$AS110,$B$1:$B$349,$B110))</f>
        <v/>
      </c>
      <c r="Q110" s="0">
        <f>IF($A110="","",SUMIFS($G$1:$G$349,$AS$1:$AS$349,$AS110,$C$1:$C$349,$C110))</f>
        <v/>
      </c>
      <c r="R110" s="0">
        <f>IF($A110="","",SUMIFS($H$1:$H$349,$AS$1:$AS$349,$AS110,$C$1:$C$349,$C110))</f>
        <v/>
      </c>
      <c r="S110" s="0">
        <f>IF($A110="","",SUMIFS($I$1:$I$349,$AS$1:$AS$349,$AS110,$C$1:$C$349,$C110))</f>
        <v/>
      </c>
      <c r="T110" s="0">
        <f>IF($A110="","",SUMIFS($G$1:$G$349,$AS$1:$AS$349,$AS110))</f>
        <v/>
      </c>
      <c r="U110" s="0">
        <f>IF($A110="","",SUMIFS($H$1:$H$349,$AS$1:$AS$349,$AS110))</f>
        <v/>
      </c>
      <c r="V110" s="0">
        <f>IF($A110="","",SUMIFS($I$1:$I$349,$AS$1:$AS$349,$AS110))</f>
        <v/>
      </c>
      <c r="W110" s="0">
        <f>IF($A110="","",Allocation!CD110)</f>
        <v/>
      </c>
      <c r="X110" s="0">
        <f>IF($A110="","",Allocation!CE110)</f>
        <v/>
      </c>
      <c r="Y110" s="0">
        <f>IF($A110="","",Allocation!CF110)</f>
        <v/>
      </c>
      <c r="Z110" s="0">
        <f>IF($A110="","",Allocation!CG110)</f>
        <v/>
      </c>
      <c r="AA110" s="0">
        <f>IF($A110="","",Allocation!CH110)</f>
        <v/>
      </c>
      <c r="AB110" s="0">
        <f>IF($A110="","",Allocation!CI110)</f>
        <v/>
      </c>
      <c r="AC110" s="0">
        <f>IF($A110="","",IF(Allocation!$N$4="VOL_EFF",$G110,IF(Allocation!$N$4="VOL_CLASS",$H110,$I110)))</f>
        <v/>
      </c>
      <c r="AD110" s="0">
        <f>IF($A110="","",IF(Allocation!$N$4="VOL_EFF",$L110,IF(Allocation!$N$4="VOL_CLASS",$M110,$N110)))</f>
        <v/>
      </c>
      <c r="AE110" s="0">
        <f>IF($A110="","",IF(Allocation!$N$3="VOL_EFF",$L110,IF(Allocation!$N$3="VOL_CLASS",$M110,$N110)))</f>
        <v/>
      </c>
      <c r="AF110" s="0">
        <f>IF($A110="","",IF(Allocation!$N$3="VOL_EFF",$Q110,IF(Allocation!$N$3="VOL_CLASS",$R110,$S110)))</f>
        <v/>
      </c>
      <c r="AG110" s="0">
        <f>IF($A110="","",IF(Allocation!$N$1="VOL_EFF",$Q110,IF(Allocation!$N$1="VOL_CLASS",$R110,$S110)))</f>
        <v/>
      </c>
      <c r="AH110" s="0">
        <f>IF($A110="","",IF(Allocation!$N$1="VOL_EFF",$T110,IF(Allocation!$N$1="VOL_CLASS",$U110,$V110)))</f>
        <v/>
      </c>
      <c r="AI110" s="0">
        <f>IF($A110="","",$W110*IFERROR($K110/$O110,0))</f>
        <v/>
      </c>
      <c r="AJ110" s="0">
        <f>IF($A110="","",$X110*IFERROR($K110/$O110,0))</f>
        <v/>
      </c>
      <c r="AK110" s="0">
        <f>IF($A110="","",$Y110*IFERROR($G110/$L110,0)+$Z110*IFERROR($J110/$P110,0))</f>
        <v/>
      </c>
      <c r="AL110" s="0">
        <f>IF($A110="","",$AA110*IFERROR($AC110/$AD110,0))</f>
        <v/>
      </c>
      <c r="AM110" s="0">
        <f>IF($A110="","",$AB110*IFERROR($AG110/$AH110,0)*IFERROR($AE110/$AF110,0)*IFERROR($AC110/$AD110,0))</f>
        <v/>
      </c>
      <c r="AN110" s="0">
        <f>IF($A110="","",$I110-($AI110+$AJ110+$AK110+$AL110+$AM110+$AR110))</f>
        <v/>
      </c>
      <c r="AO110" s="0">
        <f>IF($A110="","",Allocation!CJ110)</f>
        <v/>
      </c>
      <c r="AP110" s="0">
        <f>IF($A110="","",IF(Allocation!$N$2="VOL_EFF",$Q110,IF(Allocation!$N$2="VOL_CLASS",$R110,$S110)))</f>
        <v/>
      </c>
      <c r="AQ110" s="0">
        <f>IF($A110="","",IF(Allocation!$N$2="VOL_EFF",$T110,IF(Allocation!$N$2="VOL_CLASS",$U110,$V110)))</f>
        <v/>
      </c>
      <c r="AR110" s="0">
        <f>IF($A110="","",$AO110*IFERROR($AP110/$AQ110,0)*IFERROR($AE110/$AF110,0)*IFERROR($AC110/$AD110,0))</f>
        <v/>
      </c>
      <c r="AS110" s="0">
        <f>IF($A110="","",$A110&amp;"|"&amp;Allocation!BG110)</f>
        <v/>
      </c>
    </row>
    <row r="111" ht="14.4975" customHeight="1" s="64">
      <c r="A111" s="0">
        <f>IF(Allocation!BI111="","",Allocation!BI111)</f>
        <v/>
      </c>
      <c r="B111" s="0">
        <f>IF(Allocation!BJ111="","",Allocation!BJ111)</f>
        <v/>
      </c>
      <c r="C111" s="0">
        <f>IF(Allocation!BK111="","",Allocation!BK111)</f>
        <v/>
      </c>
      <c r="D111" s="0">
        <f>IF(Allocation!BL111="","",Allocation!BL111)</f>
        <v/>
      </c>
      <c r="E111" s="0">
        <f>IF(Allocation!BM111="","",Allocation!BM111)</f>
        <v/>
      </c>
      <c r="F111" s="0">
        <f>IF(Allocation!BN111="","",Allocation!BN111)</f>
        <v/>
      </c>
      <c r="G111" s="0">
        <f>IF(Allocation!BO111="","",Allocation!BO111)</f>
        <v/>
      </c>
      <c r="H111" s="0">
        <f>IF(Allocation!BP111="","",Allocation!BP111)</f>
        <v/>
      </c>
      <c r="I111" s="0">
        <f>IF(Allocation!BQ111="","",Allocation!BQ111)</f>
        <v/>
      </c>
      <c r="J111" s="0">
        <f>IF(Allocation!CC111="","",Allocation!CC111)</f>
        <v/>
      </c>
      <c r="K111" s="0">
        <f>IF($A111="","",$H111*IF(AND(LEFT($D111,3)="BAC",$F111="INIT"),600,IF(LEFT($D111,3)="BAC",480,IF(AND(LEFT($D111,3)="MAS",$F111="INIT"),520,IF(LEFT($D111,3)="MAS",420,IF($F111="INIT",1000,700))))))</f>
        <v/>
      </c>
      <c r="L111" s="0">
        <f>IF($A111="","",SUMIFS($G$1:$G$349,$AS$1:$AS$349,$AS111,$B$1:$B$349,$B111))</f>
        <v/>
      </c>
      <c r="M111" s="0">
        <f>IF($A111="","",SUMIFS($H$1:$H$349,$AS$1:$AS$349,$AS111,$B$1:$B$349,$B111))</f>
        <v/>
      </c>
      <c r="N111" s="0">
        <f>IF($A111="","",SUMIFS($I$1:$I$349,$AS$1:$AS$349,$AS111,$B$1:$B$349,$B111))</f>
        <v/>
      </c>
      <c r="O111" s="0">
        <f>IF($A111="","",SUMIFS($K$1:$K$349,$AS$1:$AS$349,$AS111,$B$1:$B$349,$B111))</f>
        <v/>
      </c>
      <c r="P111" s="0">
        <f>IF($A111="","",SUMIFS($J$1:$J$349,$AS$1:$AS$349,$AS111,$B$1:$B$349,$B111))</f>
        <v/>
      </c>
      <c r="Q111" s="0">
        <f>IF($A111="","",SUMIFS($G$1:$G$349,$AS$1:$AS$349,$AS111,$C$1:$C$349,$C111))</f>
        <v/>
      </c>
      <c r="R111" s="0">
        <f>IF($A111="","",SUMIFS($H$1:$H$349,$AS$1:$AS$349,$AS111,$C$1:$C$349,$C111))</f>
        <v/>
      </c>
      <c r="S111" s="0">
        <f>IF($A111="","",SUMIFS($I$1:$I$349,$AS$1:$AS$349,$AS111,$C$1:$C$349,$C111))</f>
        <v/>
      </c>
      <c r="T111" s="0">
        <f>IF($A111="","",SUMIFS($G$1:$G$349,$AS$1:$AS$349,$AS111))</f>
        <v/>
      </c>
      <c r="U111" s="0">
        <f>IF($A111="","",SUMIFS($H$1:$H$349,$AS$1:$AS$349,$AS111))</f>
        <v/>
      </c>
      <c r="V111" s="0">
        <f>IF($A111="","",SUMIFS($I$1:$I$349,$AS$1:$AS$349,$AS111))</f>
        <v/>
      </c>
      <c r="W111" s="0">
        <f>IF($A111="","",Allocation!CD111)</f>
        <v/>
      </c>
      <c r="X111" s="0">
        <f>IF($A111="","",Allocation!CE111)</f>
        <v/>
      </c>
      <c r="Y111" s="0">
        <f>IF($A111="","",Allocation!CF111)</f>
        <v/>
      </c>
      <c r="Z111" s="0">
        <f>IF($A111="","",Allocation!CG111)</f>
        <v/>
      </c>
      <c r="AA111" s="0">
        <f>IF($A111="","",Allocation!CH111)</f>
        <v/>
      </c>
      <c r="AB111" s="0">
        <f>IF($A111="","",Allocation!CI111)</f>
        <v/>
      </c>
      <c r="AC111" s="0">
        <f>IF($A111="","",IF(Allocation!$N$4="VOL_EFF",$G111,IF(Allocation!$N$4="VOL_CLASS",$H111,$I111)))</f>
        <v/>
      </c>
      <c r="AD111" s="0">
        <f>IF($A111="","",IF(Allocation!$N$4="VOL_EFF",$L111,IF(Allocation!$N$4="VOL_CLASS",$M111,$N111)))</f>
        <v/>
      </c>
      <c r="AE111" s="0">
        <f>IF($A111="","",IF(Allocation!$N$3="VOL_EFF",$L111,IF(Allocation!$N$3="VOL_CLASS",$M111,$N111)))</f>
        <v/>
      </c>
      <c r="AF111" s="0">
        <f>IF($A111="","",IF(Allocation!$N$3="VOL_EFF",$Q111,IF(Allocation!$N$3="VOL_CLASS",$R111,$S111)))</f>
        <v/>
      </c>
      <c r="AG111" s="0">
        <f>IF($A111="","",IF(Allocation!$N$1="VOL_EFF",$Q111,IF(Allocation!$N$1="VOL_CLASS",$R111,$S111)))</f>
        <v/>
      </c>
      <c r="AH111" s="0">
        <f>IF($A111="","",IF(Allocation!$N$1="VOL_EFF",$T111,IF(Allocation!$N$1="VOL_CLASS",$U111,$V111)))</f>
        <v/>
      </c>
      <c r="AI111" s="0">
        <f>IF($A111="","",$W111*IFERROR($K111/$O111,0))</f>
        <v/>
      </c>
      <c r="AJ111" s="0">
        <f>IF($A111="","",$X111*IFERROR($K111/$O111,0))</f>
        <v/>
      </c>
      <c r="AK111" s="0">
        <f>IF($A111="","",$Y111*IFERROR($G111/$L111,0)+$Z111*IFERROR($J111/$P111,0))</f>
        <v/>
      </c>
      <c r="AL111" s="0">
        <f>IF($A111="","",$AA111*IFERROR($AC111/$AD111,0))</f>
        <v/>
      </c>
      <c r="AM111" s="0">
        <f>IF($A111="","",$AB111*IFERROR($AG111/$AH111,0)*IFERROR($AE111/$AF111,0)*IFERROR($AC111/$AD111,0))</f>
        <v/>
      </c>
      <c r="AN111" s="0">
        <f>IF($A111="","",$I111-($AI111+$AJ111+$AK111+$AL111+$AM111+$AR111))</f>
        <v/>
      </c>
      <c r="AO111" s="0">
        <f>IF($A111="","",Allocation!CJ111)</f>
        <v/>
      </c>
      <c r="AP111" s="0">
        <f>IF($A111="","",IF(Allocation!$N$2="VOL_EFF",$Q111,IF(Allocation!$N$2="VOL_CLASS",$R111,$S111)))</f>
        <v/>
      </c>
      <c r="AQ111" s="0">
        <f>IF($A111="","",IF(Allocation!$N$2="VOL_EFF",$T111,IF(Allocation!$N$2="VOL_CLASS",$U111,$V111)))</f>
        <v/>
      </c>
      <c r="AR111" s="0">
        <f>IF($A111="","",$AO111*IFERROR($AP111/$AQ111,0)*IFERROR($AE111/$AF111,0)*IFERROR($AC111/$AD111,0))</f>
        <v/>
      </c>
      <c r="AS111" s="0">
        <f>IF($A111="","",$A111&amp;"|"&amp;Allocation!BG111)</f>
        <v/>
      </c>
    </row>
    <row r="112" ht="14.4975" customHeight="1" s="64">
      <c r="A112" s="0">
        <f>IF(Allocation!BI112="","",Allocation!BI112)</f>
        <v/>
      </c>
      <c r="B112" s="0">
        <f>IF(Allocation!BJ112="","",Allocation!BJ112)</f>
        <v/>
      </c>
      <c r="C112" s="0">
        <f>IF(Allocation!BK112="","",Allocation!BK112)</f>
        <v/>
      </c>
      <c r="D112" s="0">
        <f>IF(Allocation!BL112="","",Allocation!BL112)</f>
        <v/>
      </c>
      <c r="E112" s="0">
        <f>IF(Allocation!BM112="","",Allocation!BM112)</f>
        <v/>
      </c>
      <c r="F112" s="0">
        <f>IF(Allocation!BN112="","",Allocation!BN112)</f>
        <v/>
      </c>
      <c r="G112" s="0">
        <f>IF(Allocation!BO112="","",Allocation!BO112)</f>
        <v/>
      </c>
      <c r="H112" s="0">
        <f>IF(Allocation!BP112="","",Allocation!BP112)</f>
        <v/>
      </c>
      <c r="I112" s="0">
        <f>IF(Allocation!BQ112="","",Allocation!BQ112)</f>
        <v/>
      </c>
      <c r="J112" s="0">
        <f>IF(Allocation!CC112="","",Allocation!CC112)</f>
        <v/>
      </c>
      <c r="K112" s="0">
        <f>IF($A112="","",$H112*IF(AND(LEFT($D112,3)="BAC",$F112="INIT"),600,IF(LEFT($D112,3)="BAC",480,IF(AND(LEFT($D112,3)="MAS",$F112="INIT"),520,IF(LEFT($D112,3)="MAS",420,IF($F112="INIT",1000,700))))))</f>
        <v/>
      </c>
      <c r="L112" s="0">
        <f>IF($A112="","",SUMIFS($G$1:$G$349,$AS$1:$AS$349,$AS112,$B$1:$B$349,$B112))</f>
        <v/>
      </c>
      <c r="M112" s="0">
        <f>IF($A112="","",SUMIFS($H$1:$H$349,$AS$1:$AS$349,$AS112,$B$1:$B$349,$B112))</f>
        <v/>
      </c>
      <c r="N112" s="0">
        <f>IF($A112="","",SUMIFS($I$1:$I$349,$AS$1:$AS$349,$AS112,$B$1:$B$349,$B112))</f>
        <v/>
      </c>
      <c r="O112" s="0">
        <f>IF($A112="","",SUMIFS($K$1:$K$349,$AS$1:$AS$349,$AS112,$B$1:$B$349,$B112))</f>
        <v/>
      </c>
      <c r="P112" s="0">
        <f>IF($A112="","",SUMIFS($J$1:$J$349,$AS$1:$AS$349,$AS112,$B$1:$B$349,$B112))</f>
        <v/>
      </c>
      <c r="Q112" s="0">
        <f>IF($A112="","",SUMIFS($G$1:$G$349,$AS$1:$AS$349,$AS112,$C$1:$C$349,$C112))</f>
        <v/>
      </c>
      <c r="R112" s="0">
        <f>IF($A112="","",SUMIFS($H$1:$H$349,$AS$1:$AS$349,$AS112,$C$1:$C$349,$C112))</f>
        <v/>
      </c>
      <c r="S112" s="0">
        <f>IF($A112="","",SUMIFS($I$1:$I$349,$AS$1:$AS$349,$AS112,$C$1:$C$349,$C112))</f>
        <v/>
      </c>
      <c r="T112" s="0">
        <f>IF($A112="","",SUMIFS($G$1:$G$349,$AS$1:$AS$349,$AS112))</f>
        <v/>
      </c>
      <c r="U112" s="0">
        <f>IF($A112="","",SUMIFS($H$1:$H$349,$AS$1:$AS$349,$AS112))</f>
        <v/>
      </c>
      <c r="V112" s="0">
        <f>IF($A112="","",SUMIFS($I$1:$I$349,$AS$1:$AS$349,$AS112))</f>
        <v/>
      </c>
      <c r="W112" s="0">
        <f>IF($A112="","",Allocation!CD112)</f>
        <v/>
      </c>
      <c r="X112" s="0">
        <f>IF($A112="","",Allocation!CE112)</f>
        <v/>
      </c>
      <c r="Y112" s="0">
        <f>IF($A112="","",Allocation!CF112)</f>
        <v/>
      </c>
      <c r="Z112" s="0">
        <f>IF($A112="","",Allocation!CG112)</f>
        <v/>
      </c>
      <c r="AA112" s="0">
        <f>IF($A112="","",Allocation!CH112)</f>
        <v/>
      </c>
      <c r="AB112" s="0">
        <f>IF($A112="","",Allocation!CI112)</f>
        <v/>
      </c>
      <c r="AC112" s="0">
        <f>IF($A112="","",IF(Allocation!$N$4="VOL_EFF",$G112,IF(Allocation!$N$4="VOL_CLASS",$H112,$I112)))</f>
        <v/>
      </c>
      <c r="AD112" s="0">
        <f>IF($A112="","",IF(Allocation!$N$4="VOL_EFF",$L112,IF(Allocation!$N$4="VOL_CLASS",$M112,$N112)))</f>
        <v/>
      </c>
      <c r="AE112" s="0">
        <f>IF($A112="","",IF(Allocation!$N$3="VOL_EFF",$L112,IF(Allocation!$N$3="VOL_CLASS",$M112,$N112)))</f>
        <v/>
      </c>
      <c r="AF112" s="0">
        <f>IF($A112="","",IF(Allocation!$N$3="VOL_EFF",$Q112,IF(Allocation!$N$3="VOL_CLASS",$R112,$S112)))</f>
        <v/>
      </c>
      <c r="AG112" s="0">
        <f>IF($A112="","",IF(Allocation!$N$1="VOL_EFF",$Q112,IF(Allocation!$N$1="VOL_CLASS",$R112,$S112)))</f>
        <v/>
      </c>
      <c r="AH112" s="0">
        <f>IF($A112="","",IF(Allocation!$N$1="VOL_EFF",$T112,IF(Allocation!$N$1="VOL_CLASS",$U112,$V112)))</f>
        <v/>
      </c>
      <c r="AI112" s="0">
        <f>IF($A112="","",$W112*IFERROR($K112/$O112,0))</f>
        <v/>
      </c>
      <c r="AJ112" s="0">
        <f>IF($A112="","",$X112*IFERROR($K112/$O112,0))</f>
        <v/>
      </c>
      <c r="AK112" s="0">
        <f>IF($A112="","",$Y112*IFERROR($G112/$L112,0)+$Z112*IFERROR($J112/$P112,0))</f>
        <v/>
      </c>
      <c r="AL112" s="0">
        <f>IF($A112="","",$AA112*IFERROR($AC112/$AD112,0))</f>
        <v/>
      </c>
      <c r="AM112" s="0">
        <f>IF($A112="","",$AB112*IFERROR($AG112/$AH112,0)*IFERROR($AE112/$AF112,0)*IFERROR($AC112/$AD112,0))</f>
        <v/>
      </c>
      <c r="AN112" s="0">
        <f>IF($A112="","",$I112-($AI112+$AJ112+$AK112+$AL112+$AM112+$AR112))</f>
        <v/>
      </c>
      <c r="AO112" s="0">
        <f>IF($A112="","",Allocation!CJ112)</f>
        <v/>
      </c>
      <c r="AP112" s="0">
        <f>IF($A112="","",IF(Allocation!$N$2="VOL_EFF",$Q112,IF(Allocation!$N$2="VOL_CLASS",$R112,$S112)))</f>
        <v/>
      </c>
      <c r="AQ112" s="0">
        <f>IF($A112="","",IF(Allocation!$N$2="VOL_EFF",$T112,IF(Allocation!$N$2="VOL_CLASS",$U112,$V112)))</f>
        <v/>
      </c>
      <c r="AR112" s="0">
        <f>IF($A112="","",$AO112*IFERROR($AP112/$AQ112,0)*IFERROR($AE112/$AF112,0)*IFERROR($AC112/$AD112,0))</f>
        <v/>
      </c>
      <c r="AS112" s="0">
        <f>IF($A112="","",$A112&amp;"|"&amp;Allocation!BG112)</f>
        <v/>
      </c>
    </row>
    <row r="113" ht="14.4975" customHeight="1" s="64">
      <c r="A113" s="0">
        <f>IF(Allocation!BI113="","",Allocation!BI113)</f>
        <v/>
      </c>
      <c r="B113" s="0">
        <f>IF(Allocation!BJ113="","",Allocation!BJ113)</f>
        <v/>
      </c>
      <c r="C113" s="0">
        <f>IF(Allocation!BK113="","",Allocation!BK113)</f>
        <v/>
      </c>
      <c r="D113" s="0">
        <f>IF(Allocation!BL113="","",Allocation!BL113)</f>
        <v/>
      </c>
      <c r="E113" s="0">
        <f>IF(Allocation!BM113="","",Allocation!BM113)</f>
        <v/>
      </c>
      <c r="F113" s="0">
        <f>IF(Allocation!BN113="","",Allocation!BN113)</f>
        <v/>
      </c>
      <c r="G113" s="0">
        <f>IF(Allocation!BO113="","",Allocation!BO113)</f>
        <v/>
      </c>
      <c r="H113" s="0">
        <f>IF(Allocation!BP113="","",Allocation!BP113)</f>
        <v/>
      </c>
      <c r="I113" s="0">
        <f>IF(Allocation!BQ113="","",Allocation!BQ113)</f>
        <v/>
      </c>
      <c r="J113" s="0">
        <f>IF(Allocation!CC113="","",Allocation!CC113)</f>
        <v/>
      </c>
      <c r="K113" s="0">
        <f>IF($A113="","",$H113*IF(AND(LEFT($D113,3)="BAC",$F113="INIT"),600,IF(LEFT($D113,3)="BAC",480,IF(AND(LEFT($D113,3)="MAS",$F113="INIT"),520,IF(LEFT($D113,3)="MAS",420,IF($F113="INIT",1000,700))))))</f>
        <v/>
      </c>
      <c r="L113" s="0">
        <f>IF($A113="","",SUMIFS($G$1:$G$349,$AS$1:$AS$349,$AS113,$B$1:$B$349,$B113))</f>
        <v/>
      </c>
      <c r="M113" s="0">
        <f>IF($A113="","",SUMIFS($H$1:$H$349,$AS$1:$AS$349,$AS113,$B$1:$B$349,$B113))</f>
        <v/>
      </c>
      <c r="N113" s="0">
        <f>IF($A113="","",SUMIFS($I$1:$I$349,$AS$1:$AS$349,$AS113,$B$1:$B$349,$B113))</f>
        <v/>
      </c>
      <c r="O113" s="0">
        <f>IF($A113="","",SUMIFS($K$1:$K$349,$AS$1:$AS$349,$AS113,$B$1:$B$349,$B113))</f>
        <v/>
      </c>
      <c r="P113" s="0">
        <f>IF($A113="","",SUMIFS($J$1:$J$349,$AS$1:$AS$349,$AS113,$B$1:$B$349,$B113))</f>
        <v/>
      </c>
      <c r="Q113" s="0">
        <f>IF($A113="","",SUMIFS($G$1:$G$349,$AS$1:$AS$349,$AS113,$C$1:$C$349,$C113))</f>
        <v/>
      </c>
      <c r="R113" s="0">
        <f>IF($A113="","",SUMIFS($H$1:$H$349,$AS$1:$AS$349,$AS113,$C$1:$C$349,$C113))</f>
        <v/>
      </c>
      <c r="S113" s="0">
        <f>IF($A113="","",SUMIFS($I$1:$I$349,$AS$1:$AS$349,$AS113,$C$1:$C$349,$C113))</f>
        <v/>
      </c>
      <c r="T113" s="0">
        <f>IF($A113="","",SUMIFS($G$1:$G$349,$AS$1:$AS$349,$AS113))</f>
        <v/>
      </c>
      <c r="U113" s="0">
        <f>IF($A113="","",SUMIFS($H$1:$H$349,$AS$1:$AS$349,$AS113))</f>
        <v/>
      </c>
      <c r="V113" s="0">
        <f>IF($A113="","",SUMIFS($I$1:$I$349,$AS$1:$AS$349,$AS113))</f>
        <v/>
      </c>
      <c r="W113" s="0">
        <f>IF($A113="","",Allocation!CD113)</f>
        <v/>
      </c>
      <c r="X113" s="0">
        <f>IF($A113="","",Allocation!CE113)</f>
        <v/>
      </c>
      <c r="Y113" s="0">
        <f>IF($A113="","",Allocation!CF113)</f>
        <v/>
      </c>
      <c r="Z113" s="0">
        <f>IF($A113="","",Allocation!CG113)</f>
        <v/>
      </c>
      <c r="AA113" s="0">
        <f>IF($A113="","",Allocation!CH113)</f>
        <v/>
      </c>
      <c r="AB113" s="0">
        <f>IF($A113="","",Allocation!CI113)</f>
        <v/>
      </c>
      <c r="AC113" s="0">
        <f>IF($A113="","",IF(Allocation!$N$4="VOL_EFF",$G113,IF(Allocation!$N$4="VOL_CLASS",$H113,$I113)))</f>
        <v/>
      </c>
      <c r="AD113" s="0">
        <f>IF($A113="","",IF(Allocation!$N$4="VOL_EFF",$L113,IF(Allocation!$N$4="VOL_CLASS",$M113,$N113)))</f>
        <v/>
      </c>
      <c r="AE113" s="0">
        <f>IF($A113="","",IF(Allocation!$N$3="VOL_EFF",$L113,IF(Allocation!$N$3="VOL_CLASS",$M113,$N113)))</f>
        <v/>
      </c>
      <c r="AF113" s="0">
        <f>IF($A113="","",IF(Allocation!$N$3="VOL_EFF",$Q113,IF(Allocation!$N$3="VOL_CLASS",$R113,$S113)))</f>
        <v/>
      </c>
      <c r="AG113" s="0">
        <f>IF($A113="","",IF(Allocation!$N$1="VOL_EFF",$Q113,IF(Allocation!$N$1="VOL_CLASS",$R113,$S113)))</f>
        <v/>
      </c>
      <c r="AH113" s="0">
        <f>IF($A113="","",IF(Allocation!$N$1="VOL_EFF",$T113,IF(Allocation!$N$1="VOL_CLASS",$U113,$V113)))</f>
        <v/>
      </c>
      <c r="AI113" s="0">
        <f>IF($A113="","",$W113*IFERROR($K113/$O113,0))</f>
        <v/>
      </c>
      <c r="AJ113" s="0">
        <f>IF($A113="","",$X113*IFERROR($K113/$O113,0))</f>
        <v/>
      </c>
      <c r="AK113" s="0">
        <f>IF($A113="","",$Y113*IFERROR($G113/$L113,0)+$Z113*IFERROR($J113/$P113,0))</f>
        <v/>
      </c>
      <c r="AL113" s="0">
        <f>IF($A113="","",$AA113*IFERROR($AC113/$AD113,0))</f>
        <v/>
      </c>
      <c r="AM113" s="0">
        <f>IF($A113="","",$AB113*IFERROR($AG113/$AH113,0)*IFERROR($AE113/$AF113,0)*IFERROR($AC113/$AD113,0))</f>
        <v/>
      </c>
      <c r="AN113" s="0">
        <f>IF($A113="","",$I113-($AI113+$AJ113+$AK113+$AL113+$AM113+$AR113))</f>
        <v/>
      </c>
      <c r="AO113" s="0">
        <f>IF($A113="","",Allocation!CJ113)</f>
        <v/>
      </c>
      <c r="AP113" s="0">
        <f>IF($A113="","",IF(Allocation!$N$2="VOL_EFF",$Q113,IF(Allocation!$N$2="VOL_CLASS",$R113,$S113)))</f>
        <v/>
      </c>
      <c r="AQ113" s="0">
        <f>IF($A113="","",IF(Allocation!$N$2="VOL_EFF",$T113,IF(Allocation!$N$2="VOL_CLASS",$U113,$V113)))</f>
        <v/>
      </c>
      <c r="AR113" s="0">
        <f>IF($A113="","",$AO113*IFERROR($AP113/$AQ113,0)*IFERROR($AE113/$AF113,0)*IFERROR($AC113/$AD113,0))</f>
        <v/>
      </c>
      <c r="AS113" s="0">
        <f>IF($A113="","",$A113&amp;"|"&amp;Allocation!BG113)</f>
        <v/>
      </c>
    </row>
    <row r="114" ht="14.4975" customHeight="1" s="64">
      <c r="A114" s="0">
        <f>IF(Allocation!BI114="","",Allocation!BI114)</f>
        <v/>
      </c>
      <c r="B114" s="0">
        <f>IF(Allocation!BJ114="","",Allocation!BJ114)</f>
        <v/>
      </c>
      <c r="C114" s="0">
        <f>IF(Allocation!BK114="","",Allocation!BK114)</f>
        <v/>
      </c>
      <c r="D114" s="0">
        <f>IF(Allocation!BL114="","",Allocation!BL114)</f>
        <v/>
      </c>
      <c r="E114" s="0">
        <f>IF(Allocation!BM114="","",Allocation!BM114)</f>
        <v/>
      </c>
      <c r="F114" s="0">
        <f>IF(Allocation!BN114="","",Allocation!BN114)</f>
        <v/>
      </c>
      <c r="G114" s="0">
        <f>IF(Allocation!BO114="","",Allocation!BO114)</f>
        <v/>
      </c>
      <c r="H114" s="0">
        <f>IF(Allocation!BP114="","",Allocation!BP114)</f>
        <v/>
      </c>
      <c r="I114" s="0">
        <f>IF(Allocation!BQ114="","",Allocation!BQ114)</f>
        <v/>
      </c>
      <c r="J114" s="0">
        <f>IF(Allocation!CC114="","",Allocation!CC114)</f>
        <v/>
      </c>
      <c r="K114" s="0">
        <f>IF($A114="","",$H114*IF(AND(LEFT($D114,3)="BAC",$F114="INIT"),600,IF(LEFT($D114,3)="BAC",480,IF(AND(LEFT($D114,3)="MAS",$F114="INIT"),520,IF(LEFT($D114,3)="MAS",420,IF($F114="INIT",1000,700))))))</f>
        <v/>
      </c>
      <c r="L114" s="0">
        <f>IF($A114="","",SUMIFS($G$1:$G$349,$AS$1:$AS$349,$AS114,$B$1:$B$349,$B114))</f>
        <v/>
      </c>
      <c r="M114" s="0">
        <f>IF($A114="","",SUMIFS($H$1:$H$349,$AS$1:$AS$349,$AS114,$B$1:$B$349,$B114))</f>
        <v/>
      </c>
      <c r="N114" s="0">
        <f>IF($A114="","",SUMIFS($I$1:$I$349,$AS$1:$AS$349,$AS114,$B$1:$B$349,$B114))</f>
        <v/>
      </c>
      <c r="O114" s="0">
        <f>IF($A114="","",SUMIFS($K$1:$K$349,$AS$1:$AS$349,$AS114,$B$1:$B$349,$B114))</f>
        <v/>
      </c>
      <c r="P114" s="0">
        <f>IF($A114="","",SUMIFS($J$1:$J$349,$AS$1:$AS$349,$AS114,$B$1:$B$349,$B114))</f>
        <v/>
      </c>
      <c r="Q114" s="0">
        <f>IF($A114="","",SUMIFS($G$1:$G$349,$AS$1:$AS$349,$AS114,$C$1:$C$349,$C114))</f>
        <v/>
      </c>
      <c r="R114" s="0">
        <f>IF($A114="","",SUMIFS($H$1:$H$349,$AS$1:$AS$349,$AS114,$C$1:$C$349,$C114))</f>
        <v/>
      </c>
      <c r="S114" s="0">
        <f>IF($A114="","",SUMIFS($I$1:$I$349,$AS$1:$AS$349,$AS114,$C$1:$C$349,$C114))</f>
        <v/>
      </c>
      <c r="T114" s="0">
        <f>IF($A114="","",SUMIFS($G$1:$G$349,$AS$1:$AS$349,$AS114))</f>
        <v/>
      </c>
      <c r="U114" s="0">
        <f>IF($A114="","",SUMIFS($H$1:$H$349,$AS$1:$AS$349,$AS114))</f>
        <v/>
      </c>
      <c r="V114" s="0">
        <f>IF($A114="","",SUMIFS($I$1:$I$349,$AS$1:$AS$349,$AS114))</f>
        <v/>
      </c>
      <c r="W114" s="0">
        <f>IF($A114="","",Allocation!CD114)</f>
        <v/>
      </c>
      <c r="X114" s="0">
        <f>IF($A114="","",Allocation!CE114)</f>
        <v/>
      </c>
      <c r="Y114" s="0">
        <f>IF($A114="","",Allocation!CF114)</f>
        <v/>
      </c>
      <c r="Z114" s="0">
        <f>IF($A114="","",Allocation!CG114)</f>
        <v/>
      </c>
      <c r="AA114" s="0">
        <f>IF($A114="","",Allocation!CH114)</f>
        <v/>
      </c>
      <c r="AB114" s="0">
        <f>IF($A114="","",Allocation!CI114)</f>
        <v/>
      </c>
      <c r="AC114" s="0">
        <f>IF($A114="","",IF(Allocation!$N$4="VOL_EFF",$G114,IF(Allocation!$N$4="VOL_CLASS",$H114,$I114)))</f>
        <v/>
      </c>
      <c r="AD114" s="0">
        <f>IF($A114="","",IF(Allocation!$N$4="VOL_EFF",$L114,IF(Allocation!$N$4="VOL_CLASS",$M114,$N114)))</f>
        <v/>
      </c>
      <c r="AE114" s="0">
        <f>IF($A114="","",IF(Allocation!$N$3="VOL_EFF",$L114,IF(Allocation!$N$3="VOL_CLASS",$M114,$N114)))</f>
        <v/>
      </c>
      <c r="AF114" s="0">
        <f>IF($A114="","",IF(Allocation!$N$3="VOL_EFF",$Q114,IF(Allocation!$N$3="VOL_CLASS",$R114,$S114)))</f>
        <v/>
      </c>
      <c r="AG114" s="0">
        <f>IF($A114="","",IF(Allocation!$N$1="VOL_EFF",$Q114,IF(Allocation!$N$1="VOL_CLASS",$R114,$S114)))</f>
        <v/>
      </c>
      <c r="AH114" s="0">
        <f>IF($A114="","",IF(Allocation!$N$1="VOL_EFF",$T114,IF(Allocation!$N$1="VOL_CLASS",$U114,$V114)))</f>
        <v/>
      </c>
      <c r="AI114" s="0">
        <f>IF($A114="","",$W114*IFERROR($K114/$O114,0))</f>
        <v/>
      </c>
      <c r="AJ114" s="0">
        <f>IF($A114="","",$X114*IFERROR($K114/$O114,0))</f>
        <v/>
      </c>
      <c r="AK114" s="0">
        <f>IF($A114="","",$Y114*IFERROR($G114/$L114,0)+$Z114*IFERROR($J114/$P114,0))</f>
        <v/>
      </c>
      <c r="AL114" s="0">
        <f>IF($A114="","",$AA114*IFERROR($AC114/$AD114,0))</f>
        <v/>
      </c>
      <c r="AM114" s="0">
        <f>IF($A114="","",$AB114*IFERROR($AG114/$AH114,0)*IFERROR($AE114/$AF114,0)*IFERROR($AC114/$AD114,0))</f>
        <v/>
      </c>
      <c r="AN114" s="0">
        <f>IF($A114="","",$I114-($AI114+$AJ114+$AK114+$AL114+$AM114+$AR114))</f>
        <v/>
      </c>
      <c r="AO114" s="0">
        <f>IF($A114="","",Allocation!CJ114)</f>
        <v/>
      </c>
      <c r="AP114" s="0">
        <f>IF($A114="","",IF(Allocation!$N$2="VOL_EFF",$Q114,IF(Allocation!$N$2="VOL_CLASS",$R114,$S114)))</f>
        <v/>
      </c>
      <c r="AQ114" s="0">
        <f>IF($A114="","",IF(Allocation!$N$2="VOL_EFF",$T114,IF(Allocation!$N$2="VOL_CLASS",$U114,$V114)))</f>
        <v/>
      </c>
      <c r="AR114" s="0">
        <f>IF($A114="","",$AO114*IFERROR($AP114/$AQ114,0)*IFERROR($AE114/$AF114,0)*IFERROR($AC114/$AD114,0))</f>
        <v/>
      </c>
      <c r="AS114" s="0">
        <f>IF($A114="","",$A114&amp;"|"&amp;Allocation!BG114)</f>
        <v/>
      </c>
    </row>
    <row r="115" ht="14.4975" customHeight="1" s="64">
      <c r="A115" s="0">
        <f>IF(Allocation!BI115="","",Allocation!BI115)</f>
        <v/>
      </c>
      <c r="B115" s="0">
        <f>IF(Allocation!BJ115="","",Allocation!BJ115)</f>
        <v/>
      </c>
      <c r="C115" s="0">
        <f>IF(Allocation!BK115="","",Allocation!BK115)</f>
        <v/>
      </c>
      <c r="D115" s="0">
        <f>IF(Allocation!BL115="","",Allocation!BL115)</f>
        <v/>
      </c>
      <c r="E115" s="0">
        <f>IF(Allocation!BM115="","",Allocation!BM115)</f>
        <v/>
      </c>
      <c r="F115" s="0">
        <f>IF(Allocation!BN115="","",Allocation!BN115)</f>
        <v/>
      </c>
      <c r="G115" s="0">
        <f>IF(Allocation!BO115="","",Allocation!BO115)</f>
        <v/>
      </c>
      <c r="H115" s="0">
        <f>IF(Allocation!BP115="","",Allocation!BP115)</f>
        <v/>
      </c>
      <c r="I115" s="0">
        <f>IF(Allocation!BQ115="","",Allocation!BQ115)</f>
        <v/>
      </c>
      <c r="J115" s="0">
        <f>IF(Allocation!CC115="","",Allocation!CC115)</f>
        <v/>
      </c>
      <c r="K115" s="0">
        <f>IF($A115="","",$H115*IF(AND(LEFT($D115,3)="BAC",$F115="INIT"),600,IF(LEFT($D115,3)="BAC",480,IF(AND(LEFT($D115,3)="MAS",$F115="INIT"),520,IF(LEFT($D115,3)="MAS",420,IF($F115="INIT",1000,700))))))</f>
        <v/>
      </c>
      <c r="L115" s="0">
        <f>IF($A115="","",SUMIFS($G$1:$G$349,$AS$1:$AS$349,$AS115,$B$1:$B$349,$B115))</f>
        <v/>
      </c>
      <c r="M115" s="0">
        <f>IF($A115="","",SUMIFS($H$1:$H$349,$AS$1:$AS$349,$AS115,$B$1:$B$349,$B115))</f>
        <v/>
      </c>
      <c r="N115" s="0">
        <f>IF($A115="","",SUMIFS($I$1:$I$349,$AS$1:$AS$349,$AS115,$B$1:$B$349,$B115))</f>
        <v/>
      </c>
      <c r="O115" s="0">
        <f>IF($A115="","",SUMIFS($K$1:$K$349,$AS$1:$AS$349,$AS115,$B$1:$B$349,$B115))</f>
        <v/>
      </c>
      <c r="P115" s="0">
        <f>IF($A115="","",SUMIFS($J$1:$J$349,$AS$1:$AS$349,$AS115,$B$1:$B$349,$B115))</f>
        <v/>
      </c>
      <c r="Q115" s="0">
        <f>IF($A115="","",SUMIFS($G$1:$G$349,$AS$1:$AS$349,$AS115,$C$1:$C$349,$C115))</f>
        <v/>
      </c>
      <c r="R115" s="0">
        <f>IF($A115="","",SUMIFS($H$1:$H$349,$AS$1:$AS$349,$AS115,$C$1:$C$349,$C115))</f>
        <v/>
      </c>
      <c r="S115" s="0">
        <f>IF($A115="","",SUMIFS($I$1:$I$349,$AS$1:$AS$349,$AS115,$C$1:$C$349,$C115))</f>
        <v/>
      </c>
      <c r="T115" s="0">
        <f>IF($A115="","",SUMIFS($G$1:$G$349,$AS$1:$AS$349,$AS115))</f>
        <v/>
      </c>
      <c r="U115" s="0">
        <f>IF($A115="","",SUMIFS($H$1:$H$349,$AS$1:$AS$349,$AS115))</f>
        <v/>
      </c>
      <c r="V115" s="0">
        <f>IF($A115="","",SUMIFS($I$1:$I$349,$AS$1:$AS$349,$AS115))</f>
        <v/>
      </c>
      <c r="W115" s="0">
        <f>IF($A115="","",Allocation!CD115)</f>
        <v/>
      </c>
      <c r="X115" s="0">
        <f>IF($A115="","",Allocation!CE115)</f>
        <v/>
      </c>
      <c r="Y115" s="0">
        <f>IF($A115="","",Allocation!CF115)</f>
        <v/>
      </c>
      <c r="Z115" s="0">
        <f>IF($A115="","",Allocation!CG115)</f>
        <v/>
      </c>
      <c r="AA115" s="0">
        <f>IF($A115="","",Allocation!CH115)</f>
        <v/>
      </c>
      <c r="AB115" s="0">
        <f>IF($A115="","",Allocation!CI115)</f>
        <v/>
      </c>
      <c r="AC115" s="0">
        <f>IF($A115="","",IF(Allocation!$N$4="VOL_EFF",$G115,IF(Allocation!$N$4="VOL_CLASS",$H115,$I115)))</f>
        <v/>
      </c>
      <c r="AD115" s="0">
        <f>IF($A115="","",IF(Allocation!$N$4="VOL_EFF",$L115,IF(Allocation!$N$4="VOL_CLASS",$M115,$N115)))</f>
        <v/>
      </c>
      <c r="AE115" s="0">
        <f>IF($A115="","",IF(Allocation!$N$3="VOL_EFF",$L115,IF(Allocation!$N$3="VOL_CLASS",$M115,$N115)))</f>
        <v/>
      </c>
      <c r="AF115" s="0">
        <f>IF($A115="","",IF(Allocation!$N$3="VOL_EFF",$Q115,IF(Allocation!$N$3="VOL_CLASS",$R115,$S115)))</f>
        <v/>
      </c>
      <c r="AG115" s="0">
        <f>IF($A115="","",IF(Allocation!$N$1="VOL_EFF",$Q115,IF(Allocation!$N$1="VOL_CLASS",$R115,$S115)))</f>
        <v/>
      </c>
      <c r="AH115" s="0">
        <f>IF($A115="","",IF(Allocation!$N$1="VOL_EFF",$T115,IF(Allocation!$N$1="VOL_CLASS",$U115,$V115)))</f>
        <v/>
      </c>
      <c r="AI115" s="0">
        <f>IF($A115="","",$W115*IFERROR($K115/$O115,0))</f>
        <v/>
      </c>
      <c r="AJ115" s="0">
        <f>IF($A115="","",$X115*IFERROR($K115/$O115,0))</f>
        <v/>
      </c>
      <c r="AK115" s="0">
        <f>IF($A115="","",$Y115*IFERROR($G115/$L115,0)+$Z115*IFERROR($J115/$P115,0))</f>
        <v/>
      </c>
      <c r="AL115" s="0">
        <f>IF($A115="","",$AA115*IFERROR($AC115/$AD115,0))</f>
        <v/>
      </c>
      <c r="AM115" s="0">
        <f>IF($A115="","",$AB115*IFERROR($AG115/$AH115,0)*IFERROR($AE115/$AF115,0)*IFERROR($AC115/$AD115,0))</f>
        <v/>
      </c>
      <c r="AN115" s="0">
        <f>IF($A115="","",$I115-($AI115+$AJ115+$AK115+$AL115+$AM115+$AR115))</f>
        <v/>
      </c>
      <c r="AO115" s="0">
        <f>IF($A115="","",Allocation!CJ115)</f>
        <v/>
      </c>
      <c r="AP115" s="0">
        <f>IF($A115="","",IF(Allocation!$N$2="VOL_EFF",$Q115,IF(Allocation!$N$2="VOL_CLASS",$R115,$S115)))</f>
        <v/>
      </c>
      <c r="AQ115" s="0">
        <f>IF($A115="","",IF(Allocation!$N$2="VOL_EFF",$T115,IF(Allocation!$N$2="VOL_CLASS",$U115,$V115)))</f>
        <v/>
      </c>
      <c r="AR115" s="0">
        <f>IF($A115="","",$AO115*IFERROR($AP115/$AQ115,0)*IFERROR($AE115/$AF115,0)*IFERROR($AC115/$AD115,0))</f>
        <v/>
      </c>
      <c r="AS115" s="0">
        <f>IF($A115="","",$A115&amp;"|"&amp;Allocation!BG115)</f>
        <v/>
      </c>
    </row>
    <row r="116" ht="14.4975" customHeight="1" s="64">
      <c r="A116" s="0">
        <f>IF(Allocation!BI116="","",Allocation!BI116)</f>
        <v/>
      </c>
      <c r="B116" s="0">
        <f>IF(Allocation!BJ116="","",Allocation!BJ116)</f>
        <v/>
      </c>
      <c r="C116" s="0">
        <f>IF(Allocation!BK116="","",Allocation!BK116)</f>
        <v/>
      </c>
      <c r="D116" s="0">
        <f>IF(Allocation!BL116="","",Allocation!BL116)</f>
        <v/>
      </c>
      <c r="E116" s="0">
        <f>IF(Allocation!BM116="","",Allocation!BM116)</f>
        <v/>
      </c>
      <c r="F116" s="0">
        <f>IF(Allocation!BN116="","",Allocation!BN116)</f>
        <v/>
      </c>
      <c r="G116" s="0">
        <f>IF(Allocation!BO116="","",Allocation!BO116)</f>
        <v/>
      </c>
      <c r="H116" s="0">
        <f>IF(Allocation!BP116="","",Allocation!BP116)</f>
        <v/>
      </c>
      <c r="I116" s="0">
        <f>IF(Allocation!BQ116="","",Allocation!BQ116)</f>
        <v/>
      </c>
      <c r="J116" s="0">
        <f>IF(Allocation!CC116="","",Allocation!CC116)</f>
        <v/>
      </c>
      <c r="K116" s="0">
        <f>IF($A116="","",$H116*IF(AND(LEFT($D116,3)="BAC",$F116="INIT"),600,IF(LEFT($D116,3)="BAC",480,IF(AND(LEFT($D116,3)="MAS",$F116="INIT"),520,IF(LEFT($D116,3)="MAS",420,IF($F116="INIT",1000,700))))))</f>
        <v/>
      </c>
      <c r="L116" s="0">
        <f>IF($A116="","",SUMIFS($G$1:$G$349,$AS$1:$AS$349,$AS116,$B$1:$B$349,$B116))</f>
        <v/>
      </c>
      <c r="M116" s="0">
        <f>IF($A116="","",SUMIFS($H$1:$H$349,$AS$1:$AS$349,$AS116,$B$1:$B$349,$B116))</f>
        <v/>
      </c>
      <c r="N116" s="0">
        <f>IF($A116="","",SUMIFS($I$1:$I$349,$AS$1:$AS$349,$AS116,$B$1:$B$349,$B116))</f>
        <v/>
      </c>
      <c r="O116" s="0">
        <f>IF($A116="","",SUMIFS($K$1:$K$349,$AS$1:$AS$349,$AS116,$B$1:$B$349,$B116))</f>
        <v/>
      </c>
      <c r="P116" s="0">
        <f>IF($A116="","",SUMIFS($J$1:$J$349,$AS$1:$AS$349,$AS116,$B$1:$B$349,$B116))</f>
        <v/>
      </c>
      <c r="Q116" s="0">
        <f>IF($A116="","",SUMIFS($G$1:$G$349,$AS$1:$AS$349,$AS116,$C$1:$C$349,$C116))</f>
        <v/>
      </c>
      <c r="R116" s="0">
        <f>IF($A116="","",SUMIFS($H$1:$H$349,$AS$1:$AS$349,$AS116,$C$1:$C$349,$C116))</f>
        <v/>
      </c>
      <c r="S116" s="0">
        <f>IF($A116="","",SUMIFS($I$1:$I$349,$AS$1:$AS$349,$AS116,$C$1:$C$349,$C116))</f>
        <v/>
      </c>
      <c r="T116" s="0">
        <f>IF($A116="","",SUMIFS($G$1:$G$349,$AS$1:$AS$349,$AS116))</f>
        <v/>
      </c>
      <c r="U116" s="0">
        <f>IF($A116="","",SUMIFS($H$1:$H$349,$AS$1:$AS$349,$AS116))</f>
        <v/>
      </c>
      <c r="V116" s="0">
        <f>IF($A116="","",SUMIFS($I$1:$I$349,$AS$1:$AS$349,$AS116))</f>
        <v/>
      </c>
      <c r="W116" s="0">
        <f>IF($A116="","",Allocation!CD116)</f>
        <v/>
      </c>
      <c r="X116" s="0">
        <f>IF($A116="","",Allocation!CE116)</f>
        <v/>
      </c>
      <c r="Y116" s="0">
        <f>IF($A116="","",Allocation!CF116)</f>
        <v/>
      </c>
      <c r="Z116" s="0">
        <f>IF($A116="","",Allocation!CG116)</f>
        <v/>
      </c>
      <c r="AA116" s="0">
        <f>IF($A116="","",Allocation!CH116)</f>
        <v/>
      </c>
      <c r="AB116" s="0">
        <f>IF($A116="","",Allocation!CI116)</f>
        <v/>
      </c>
      <c r="AC116" s="0">
        <f>IF($A116="","",IF(Allocation!$N$4="VOL_EFF",$G116,IF(Allocation!$N$4="VOL_CLASS",$H116,$I116)))</f>
        <v/>
      </c>
      <c r="AD116" s="0">
        <f>IF($A116="","",IF(Allocation!$N$4="VOL_EFF",$L116,IF(Allocation!$N$4="VOL_CLASS",$M116,$N116)))</f>
        <v/>
      </c>
      <c r="AE116" s="0">
        <f>IF($A116="","",IF(Allocation!$N$3="VOL_EFF",$L116,IF(Allocation!$N$3="VOL_CLASS",$M116,$N116)))</f>
        <v/>
      </c>
      <c r="AF116" s="0">
        <f>IF($A116="","",IF(Allocation!$N$3="VOL_EFF",$Q116,IF(Allocation!$N$3="VOL_CLASS",$R116,$S116)))</f>
        <v/>
      </c>
      <c r="AG116" s="0">
        <f>IF($A116="","",IF(Allocation!$N$1="VOL_EFF",$Q116,IF(Allocation!$N$1="VOL_CLASS",$R116,$S116)))</f>
        <v/>
      </c>
      <c r="AH116" s="0">
        <f>IF($A116="","",IF(Allocation!$N$1="VOL_EFF",$T116,IF(Allocation!$N$1="VOL_CLASS",$U116,$V116)))</f>
        <v/>
      </c>
      <c r="AI116" s="0">
        <f>IF($A116="","",$W116*IFERROR($K116/$O116,0))</f>
        <v/>
      </c>
      <c r="AJ116" s="0">
        <f>IF($A116="","",$X116*IFERROR($K116/$O116,0))</f>
        <v/>
      </c>
      <c r="AK116" s="0">
        <f>IF($A116="","",$Y116*IFERROR($G116/$L116,0)+$Z116*IFERROR($J116/$P116,0))</f>
        <v/>
      </c>
      <c r="AL116" s="0">
        <f>IF($A116="","",$AA116*IFERROR($AC116/$AD116,0))</f>
        <v/>
      </c>
      <c r="AM116" s="0">
        <f>IF($A116="","",$AB116*IFERROR($AG116/$AH116,0)*IFERROR($AE116/$AF116,0)*IFERROR($AC116/$AD116,0))</f>
        <v/>
      </c>
      <c r="AN116" s="0">
        <f>IF($A116="","",$I116-($AI116+$AJ116+$AK116+$AL116+$AM116+$AR116))</f>
        <v/>
      </c>
      <c r="AO116" s="0">
        <f>IF($A116="","",Allocation!CJ116)</f>
        <v/>
      </c>
      <c r="AP116" s="0">
        <f>IF($A116="","",IF(Allocation!$N$2="VOL_EFF",$Q116,IF(Allocation!$N$2="VOL_CLASS",$R116,$S116)))</f>
        <v/>
      </c>
      <c r="AQ116" s="0">
        <f>IF($A116="","",IF(Allocation!$N$2="VOL_EFF",$T116,IF(Allocation!$N$2="VOL_CLASS",$U116,$V116)))</f>
        <v/>
      </c>
      <c r="AR116" s="0">
        <f>IF($A116="","",$AO116*IFERROR($AP116/$AQ116,0)*IFERROR($AE116/$AF116,0)*IFERROR($AC116/$AD116,0))</f>
        <v/>
      </c>
      <c r="AS116" s="0">
        <f>IF($A116="","",$A116&amp;"|"&amp;Allocation!BG116)</f>
        <v/>
      </c>
    </row>
    <row r="117" ht="14.4975" customHeight="1" s="64">
      <c r="A117" s="0">
        <f>IF(Allocation!BI117="","",Allocation!BI117)</f>
        <v/>
      </c>
      <c r="B117" s="0">
        <f>IF(Allocation!BJ117="","",Allocation!BJ117)</f>
        <v/>
      </c>
      <c r="C117" s="0">
        <f>IF(Allocation!BK117="","",Allocation!BK117)</f>
        <v/>
      </c>
      <c r="D117" s="0">
        <f>IF(Allocation!BL117="","",Allocation!BL117)</f>
        <v/>
      </c>
      <c r="E117" s="0">
        <f>IF(Allocation!BM117="","",Allocation!BM117)</f>
        <v/>
      </c>
      <c r="F117" s="0">
        <f>IF(Allocation!BN117="","",Allocation!BN117)</f>
        <v/>
      </c>
      <c r="G117" s="0">
        <f>IF(Allocation!BO117="","",Allocation!BO117)</f>
        <v/>
      </c>
      <c r="H117" s="0">
        <f>IF(Allocation!BP117="","",Allocation!BP117)</f>
        <v/>
      </c>
      <c r="I117" s="0">
        <f>IF(Allocation!BQ117="","",Allocation!BQ117)</f>
        <v/>
      </c>
      <c r="J117" s="0">
        <f>IF(Allocation!CC117="","",Allocation!CC117)</f>
        <v/>
      </c>
      <c r="K117" s="0">
        <f>IF($A117="","",$H117*IF(AND(LEFT($D117,3)="BAC",$F117="INIT"),600,IF(LEFT($D117,3)="BAC",480,IF(AND(LEFT($D117,3)="MAS",$F117="INIT"),520,IF(LEFT($D117,3)="MAS",420,IF($F117="INIT",1000,700))))))</f>
        <v/>
      </c>
      <c r="L117" s="0">
        <f>IF($A117="","",SUMIFS($G$1:$G$349,$AS$1:$AS$349,$AS117,$B$1:$B$349,$B117))</f>
        <v/>
      </c>
      <c r="M117" s="0">
        <f>IF($A117="","",SUMIFS($H$1:$H$349,$AS$1:$AS$349,$AS117,$B$1:$B$349,$B117))</f>
        <v/>
      </c>
      <c r="N117" s="0">
        <f>IF($A117="","",SUMIFS($I$1:$I$349,$AS$1:$AS$349,$AS117,$B$1:$B$349,$B117))</f>
        <v/>
      </c>
      <c r="O117" s="0">
        <f>IF($A117="","",SUMIFS($K$1:$K$349,$AS$1:$AS$349,$AS117,$B$1:$B$349,$B117))</f>
        <v/>
      </c>
      <c r="P117" s="0">
        <f>IF($A117="","",SUMIFS($J$1:$J$349,$AS$1:$AS$349,$AS117,$B$1:$B$349,$B117))</f>
        <v/>
      </c>
      <c r="Q117" s="0">
        <f>IF($A117="","",SUMIFS($G$1:$G$349,$AS$1:$AS$349,$AS117,$C$1:$C$349,$C117))</f>
        <v/>
      </c>
      <c r="R117" s="0">
        <f>IF($A117="","",SUMIFS($H$1:$H$349,$AS$1:$AS$349,$AS117,$C$1:$C$349,$C117))</f>
        <v/>
      </c>
      <c r="S117" s="0">
        <f>IF($A117="","",SUMIFS($I$1:$I$349,$AS$1:$AS$349,$AS117,$C$1:$C$349,$C117))</f>
        <v/>
      </c>
      <c r="T117" s="0">
        <f>IF($A117="","",SUMIFS($G$1:$G$349,$AS$1:$AS$349,$AS117))</f>
        <v/>
      </c>
      <c r="U117" s="0">
        <f>IF($A117="","",SUMIFS($H$1:$H$349,$AS$1:$AS$349,$AS117))</f>
        <v/>
      </c>
      <c r="V117" s="0">
        <f>IF($A117="","",SUMIFS($I$1:$I$349,$AS$1:$AS$349,$AS117))</f>
        <v/>
      </c>
      <c r="W117" s="0">
        <f>IF($A117="","",Allocation!CD117)</f>
        <v/>
      </c>
      <c r="X117" s="0">
        <f>IF($A117="","",Allocation!CE117)</f>
        <v/>
      </c>
      <c r="Y117" s="0">
        <f>IF($A117="","",Allocation!CF117)</f>
        <v/>
      </c>
      <c r="Z117" s="0">
        <f>IF($A117="","",Allocation!CG117)</f>
        <v/>
      </c>
      <c r="AA117" s="0">
        <f>IF($A117="","",Allocation!CH117)</f>
        <v/>
      </c>
      <c r="AB117" s="0">
        <f>IF($A117="","",Allocation!CI117)</f>
        <v/>
      </c>
      <c r="AC117" s="0">
        <f>IF($A117="","",IF(Allocation!$N$4="VOL_EFF",$G117,IF(Allocation!$N$4="VOL_CLASS",$H117,$I117)))</f>
        <v/>
      </c>
      <c r="AD117" s="0">
        <f>IF($A117="","",IF(Allocation!$N$4="VOL_EFF",$L117,IF(Allocation!$N$4="VOL_CLASS",$M117,$N117)))</f>
        <v/>
      </c>
      <c r="AE117" s="0">
        <f>IF($A117="","",IF(Allocation!$N$3="VOL_EFF",$L117,IF(Allocation!$N$3="VOL_CLASS",$M117,$N117)))</f>
        <v/>
      </c>
      <c r="AF117" s="0">
        <f>IF($A117="","",IF(Allocation!$N$3="VOL_EFF",$Q117,IF(Allocation!$N$3="VOL_CLASS",$R117,$S117)))</f>
        <v/>
      </c>
      <c r="AG117" s="0">
        <f>IF($A117="","",IF(Allocation!$N$1="VOL_EFF",$Q117,IF(Allocation!$N$1="VOL_CLASS",$R117,$S117)))</f>
        <v/>
      </c>
      <c r="AH117" s="0">
        <f>IF($A117="","",IF(Allocation!$N$1="VOL_EFF",$T117,IF(Allocation!$N$1="VOL_CLASS",$U117,$V117)))</f>
        <v/>
      </c>
      <c r="AI117" s="0">
        <f>IF($A117="","",$W117*IFERROR($K117/$O117,0))</f>
        <v/>
      </c>
      <c r="AJ117" s="0">
        <f>IF($A117="","",$X117*IFERROR($K117/$O117,0))</f>
        <v/>
      </c>
      <c r="AK117" s="0">
        <f>IF($A117="","",$Y117*IFERROR($G117/$L117,0)+$Z117*IFERROR($J117/$P117,0))</f>
        <v/>
      </c>
      <c r="AL117" s="0">
        <f>IF($A117="","",$AA117*IFERROR($AC117/$AD117,0))</f>
        <v/>
      </c>
      <c r="AM117" s="0">
        <f>IF($A117="","",$AB117*IFERROR($AG117/$AH117,0)*IFERROR($AE117/$AF117,0)*IFERROR($AC117/$AD117,0))</f>
        <v/>
      </c>
      <c r="AN117" s="0">
        <f>IF($A117="","",$I117-($AI117+$AJ117+$AK117+$AL117+$AM117+$AR117))</f>
        <v/>
      </c>
      <c r="AO117" s="0">
        <f>IF($A117="","",Allocation!CJ117)</f>
        <v/>
      </c>
      <c r="AP117" s="0">
        <f>IF($A117="","",IF(Allocation!$N$2="VOL_EFF",$Q117,IF(Allocation!$N$2="VOL_CLASS",$R117,$S117)))</f>
        <v/>
      </c>
      <c r="AQ117" s="0">
        <f>IF($A117="","",IF(Allocation!$N$2="VOL_EFF",$T117,IF(Allocation!$N$2="VOL_CLASS",$U117,$V117)))</f>
        <v/>
      </c>
      <c r="AR117" s="0">
        <f>IF($A117="","",$AO117*IFERROR($AP117/$AQ117,0)*IFERROR($AE117/$AF117,0)*IFERROR($AC117/$AD117,0))</f>
        <v/>
      </c>
      <c r="AS117" s="0">
        <f>IF($A117="","",$A117&amp;"|"&amp;Allocation!BG117)</f>
        <v/>
      </c>
    </row>
    <row r="118" ht="14.4975" customHeight="1" s="64">
      <c r="A118" s="0">
        <f>IF(Allocation!BI118="","",Allocation!BI118)</f>
        <v/>
      </c>
      <c r="B118" s="0">
        <f>IF(Allocation!BJ118="","",Allocation!BJ118)</f>
        <v/>
      </c>
      <c r="C118" s="0">
        <f>IF(Allocation!BK118="","",Allocation!BK118)</f>
        <v/>
      </c>
      <c r="D118" s="0">
        <f>IF(Allocation!BL118="","",Allocation!BL118)</f>
        <v/>
      </c>
      <c r="E118" s="0">
        <f>IF(Allocation!BM118="","",Allocation!BM118)</f>
        <v/>
      </c>
      <c r="F118" s="0">
        <f>IF(Allocation!BN118="","",Allocation!BN118)</f>
        <v/>
      </c>
      <c r="G118" s="0">
        <f>IF(Allocation!BO118="","",Allocation!BO118)</f>
        <v/>
      </c>
      <c r="H118" s="0">
        <f>IF(Allocation!BP118="","",Allocation!BP118)</f>
        <v/>
      </c>
      <c r="I118" s="0">
        <f>IF(Allocation!BQ118="","",Allocation!BQ118)</f>
        <v/>
      </c>
      <c r="J118" s="0">
        <f>IF(Allocation!CC118="","",Allocation!CC118)</f>
        <v/>
      </c>
      <c r="K118" s="0">
        <f>IF($A118="","",$H118*IF(AND(LEFT($D118,3)="BAC",$F118="INIT"),600,IF(LEFT($D118,3)="BAC",480,IF(AND(LEFT($D118,3)="MAS",$F118="INIT"),520,IF(LEFT($D118,3)="MAS",420,IF($F118="INIT",1000,700))))))</f>
        <v/>
      </c>
      <c r="L118" s="0">
        <f>IF($A118="","",SUMIFS($G$1:$G$349,$AS$1:$AS$349,$AS118,$B$1:$B$349,$B118))</f>
        <v/>
      </c>
      <c r="M118" s="0">
        <f>IF($A118="","",SUMIFS($H$1:$H$349,$AS$1:$AS$349,$AS118,$B$1:$B$349,$B118))</f>
        <v/>
      </c>
      <c r="N118" s="0">
        <f>IF($A118="","",SUMIFS($I$1:$I$349,$AS$1:$AS$349,$AS118,$B$1:$B$349,$B118))</f>
        <v/>
      </c>
      <c r="O118" s="0">
        <f>IF($A118="","",SUMIFS($K$1:$K$349,$AS$1:$AS$349,$AS118,$B$1:$B$349,$B118))</f>
        <v/>
      </c>
      <c r="P118" s="0">
        <f>IF($A118="","",SUMIFS($J$1:$J$349,$AS$1:$AS$349,$AS118,$B$1:$B$349,$B118))</f>
        <v/>
      </c>
      <c r="Q118" s="0">
        <f>IF($A118="","",SUMIFS($G$1:$G$349,$AS$1:$AS$349,$AS118,$C$1:$C$349,$C118))</f>
        <v/>
      </c>
      <c r="R118" s="0">
        <f>IF($A118="","",SUMIFS($H$1:$H$349,$AS$1:$AS$349,$AS118,$C$1:$C$349,$C118))</f>
        <v/>
      </c>
      <c r="S118" s="0">
        <f>IF($A118="","",SUMIFS($I$1:$I$349,$AS$1:$AS$349,$AS118,$C$1:$C$349,$C118))</f>
        <v/>
      </c>
      <c r="T118" s="0">
        <f>IF($A118="","",SUMIFS($G$1:$G$349,$AS$1:$AS$349,$AS118))</f>
        <v/>
      </c>
      <c r="U118" s="0">
        <f>IF($A118="","",SUMIFS($H$1:$H$349,$AS$1:$AS$349,$AS118))</f>
        <v/>
      </c>
      <c r="V118" s="0">
        <f>IF($A118="","",SUMIFS($I$1:$I$349,$AS$1:$AS$349,$AS118))</f>
        <v/>
      </c>
      <c r="W118" s="0">
        <f>IF($A118="","",Allocation!CD118)</f>
        <v/>
      </c>
      <c r="X118" s="0">
        <f>IF($A118="","",Allocation!CE118)</f>
        <v/>
      </c>
      <c r="Y118" s="0">
        <f>IF($A118="","",Allocation!CF118)</f>
        <v/>
      </c>
      <c r="Z118" s="0">
        <f>IF($A118="","",Allocation!CG118)</f>
        <v/>
      </c>
      <c r="AA118" s="0">
        <f>IF($A118="","",Allocation!CH118)</f>
        <v/>
      </c>
      <c r="AB118" s="0">
        <f>IF($A118="","",Allocation!CI118)</f>
        <v/>
      </c>
      <c r="AC118" s="0">
        <f>IF($A118="","",IF(Allocation!$N$4="VOL_EFF",$G118,IF(Allocation!$N$4="VOL_CLASS",$H118,$I118)))</f>
        <v/>
      </c>
      <c r="AD118" s="0">
        <f>IF($A118="","",IF(Allocation!$N$4="VOL_EFF",$L118,IF(Allocation!$N$4="VOL_CLASS",$M118,$N118)))</f>
        <v/>
      </c>
      <c r="AE118" s="0">
        <f>IF($A118="","",IF(Allocation!$N$3="VOL_EFF",$L118,IF(Allocation!$N$3="VOL_CLASS",$M118,$N118)))</f>
        <v/>
      </c>
      <c r="AF118" s="0">
        <f>IF($A118="","",IF(Allocation!$N$3="VOL_EFF",$Q118,IF(Allocation!$N$3="VOL_CLASS",$R118,$S118)))</f>
        <v/>
      </c>
      <c r="AG118" s="0">
        <f>IF($A118="","",IF(Allocation!$N$1="VOL_EFF",$Q118,IF(Allocation!$N$1="VOL_CLASS",$R118,$S118)))</f>
        <v/>
      </c>
      <c r="AH118" s="0">
        <f>IF($A118="","",IF(Allocation!$N$1="VOL_EFF",$T118,IF(Allocation!$N$1="VOL_CLASS",$U118,$V118)))</f>
        <v/>
      </c>
      <c r="AI118" s="0">
        <f>IF($A118="","",$W118*IFERROR($K118/$O118,0))</f>
        <v/>
      </c>
      <c r="AJ118" s="0">
        <f>IF($A118="","",$X118*IFERROR($K118/$O118,0))</f>
        <v/>
      </c>
      <c r="AK118" s="0">
        <f>IF($A118="","",$Y118*IFERROR($G118/$L118,0)+$Z118*IFERROR($J118/$P118,0))</f>
        <v/>
      </c>
      <c r="AL118" s="0">
        <f>IF($A118="","",$AA118*IFERROR($AC118/$AD118,0))</f>
        <v/>
      </c>
      <c r="AM118" s="0">
        <f>IF($A118="","",$AB118*IFERROR($AG118/$AH118,0)*IFERROR($AE118/$AF118,0)*IFERROR($AC118/$AD118,0))</f>
        <v/>
      </c>
      <c r="AN118" s="0">
        <f>IF($A118="","",$I118-($AI118+$AJ118+$AK118+$AL118+$AM118+$AR118))</f>
        <v/>
      </c>
      <c r="AO118" s="0">
        <f>IF($A118="","",Allocation!CJ118)</f>
        <v/>
      </c>
      <c r="AP118" s="0">
        <f>IF($A118="","",IF(Allocation!$N$2="VOL_EFF",$Q118,IF(Allocation!$N$2="VOL_CLASS",$R118,$S118)))</f>
        <v/>
      </c>
      <c r="AQ118" s="0">
        <f>IF($A118="","",IF(Allocation!$N$2="VOL_EFF",$T118,IF(Allocation!$N$2="VOL_CLASS",$U118,$V118)))</f>
        <v/>
      </c>
      <c r="AR118" s="0">
        <f>IF($A118="","",$AO118*IFERROR($AP118/$AQ118,0)*IFERROR($AE118/$AF118,0)*IFERROR($AC118/$AD118,0))</f>
        <v/>
      </c>
      <c r="AS118" s="0">
        <f>IF($A118="","",$A118&amp;"|"&amp;Allocation!BG118)</f>
        <v/>
      </c>
    </row>
    <row r="119" ht="14.4975" customHeight="1" s="64">
      <c r="A119" s="0">
        <f>IF(Allocation!BI119="","",Allocation!BI119)</f>
        <v/>
      </c>
      <c r="B119" s="0">
        <f>IF(Allocation!BJ119="","",Allocation!BJ119)</f>
        <v/>
      </c>
      <c r="C119" s="0">
        <f>IF(Allocation!BK119="","",Allocation!BK119)</f>
        <v/>
      </c>
      <c r="D119" s="0">
        <f>IF(Allocation!BL119="","",Allocation!BL119)</f>
        <v/>
      </c>
      <c r="E119" s="0">
        <f>IF(Allocation!BM119="","",Allocation!BM119)</f>
        <v/>
      </c>
      <c r="F119" s="0">
        <f>IF(Allocation!BN119="","",Allocation!BN119)</f>
        <v/>
      </c>
      <c r="G119" s="0">
        <f>IF(Allocation!BO119="","",Allocation!BO119)</f>
        <v/>
      </c>
      <c r="H119" s="0">
        <f>IF(Allocation!BP119="","",Allocation!BP119)</f>
        <v/>
      </c>
      <c r="I119" s="0">
        <f>IF(Allocation!BQ119="","",Allocation!BQ119)</f>
        <v/>
      </c>
      <c r="J119" s="0">
        <f>IF(Allocation!CC119="","",Allocation!CC119)</f>
        <v/>
      </c>
      <c r="K119" s="0">
        <f>IF($A119="","",$H119*IF(AND(LEFT($D119,3)="BAC",$F119="INIT"),600,IF(LEFT($D119,3)="BAC",480,IF(AND(LEFT($D119,3)="MAS",$F119="INIT"),520,IF(LEFT($D119,3)="MAS",420,IF($F119="INIT",1000,700))))))</f>
        <v/>
      </c>
      <c r="L119" s="0">
        <f>IF($A119="","",SUMIFS($G$1:$G$349,$AS$1:$AS$349,$AS119,$B$1:$B$349,$B119))</f>
        <v/>
      </c>
      <c r="M119" s="0">
        <f>IF($A119="","",SUMIFS($H$1:$H$349,$AS$1:$AS$349,$AS119,$B$1:$B$349,$B119))</f>
        <v/>
      </c>
      <c r="N119" s="0">
        <f>IF($A119="","",SUMIFS($I$1:$I$349,$AS$1:$AS$349,$AS119,$B$1:$B$349,$B119))</f>
        <v/>
      </c>
      <c r="O119" s="0">
        <f>IF($A119="","",SUMIFS($K$1:$K$349,$AS$1:$AS$349,$AS119,$B$1:$B$349,$B119))</f>
        <v/>
      </c>
      <c r="P119" s="0">
        <f>IF($A119="","",SUMIFS($J$1:$J$349,$AS$1:$AS$349,$AS119,$B$1:$B$349,$B119))</f>
        <v/>
      </c>
      <c r="Q119" s="0">
        <f>IF($A119="","",SUMIFS($G$1:$G$349,$AS$1:$AS$349,$AS119,$C$1:$C$349,$C119))</f>
        <v/>
      </c>
      <c r="R119" s="0">
        <f>IF($A119="","",SUMIFS($H$1:$H$349,$AS$1:$AS$349,$AS119,$C$1:$C$349,$C119))</f>
        <v/>
      </c>
      <c r="S119" s="0">
        <f>IF($A119="","",SUMIFS($I$1:$I$349,$AS$1:$AS$349,$AS119,$C$1:$C$349,$C119))</f>
        <v/>
      </c>
      <c r="T119" s="0">
        <f>IF($A119="","",SUMIFS($G$1:$G$349,$AS$1:$AS$349,$AS119))</f>
        <v/>
      </c>
      <c r="U119" s="0">
        <f>IF($A119="","",SUMIFS($H$1:$H$349,$AS$1:$AS$349,$AS119))</f>
        <v/>
      </c>
      <c r="V119" s="0">
        <f>IF($A119="","",SUMIFS($I$1:$I$349,$AS$1:$AS$349,$AS119))</f>
        <v/>
      </c>
      <c r="W119" s="0">
        <f>IF($A119="","",Allocation!CD119)</f>
        <v/>
      </c>
      <c r="X119" s="0">
        <f>IF($A119="","",Allocation!CE119)</f>
        <v/>
      </c>
      <c r="Y119" s="0">
        <f>IF($A119="","",Allocation!CF119)</f>
        <v/>
      </c>
      <c r="Z119" s="0">
        <f>IF($A119="","",Allocation!CG119)</f>
        <v/>
      </c>
      <c r="AA119" s="0">
        <f>IF($A119="","",Allocation!CH119)</f>
        <v/>
      </c>
      <c r="AB119" s="0">
        <f>IF($A119="","",Allocation!CI119)</f>
        <v/>
      </c>
      <c r="AC119" s="0">
        <f>IF($A119="","",IF(Allocation!$N$4="VOL_EFF",$G119,IF(Allocation!$N$4="VOL_CLASS",$H119,$I119)))</f>
        <v/>
      </c>
      <c r="AD119" s="0">
        <f>IF($A119="","",IF(Allocation!$N$4="VOL_EFF",$L119,IF(Allocation!$N$4="VOL_CLASS",$M119,$N119)))</f>
        <v/>
      </c>
      <c r="AE119" s="0">
        <f>IF($A119="","",IF(Allocation!$N$3="VOL_EFF",$L119,IF(Allocation!$N$3="VOL_CLASS",$M119,$N119)))</f>
        <v/>
      </c>
      <c r="AF119" s="0">
        <f>IF($A119="","",IF(Allocation!$N$3="VOL_EFF",$Q119,IF(Allocation!$N$3="VOL_CLASS",$R119,$S119)))</f>
        <v/>
      </c>
      <c r="AG119" s="0">
        <f>IF($A119="","",IF(Allocation!$N$1="VOL_EFF",$Q119,IF(Allocation!$N$1="VOL_CLASS",$R119,$S119)))</f>
        <v/>
      </c>
      <c r="AH119" s="0">
        <f>IF($A119="","",IF(Allocation!$N$1="VOL_EFF",$T119,IF(Allocation!$N$1="VOL_CLASS",$U119,$V119)))</f>
        <v/>
      </c>
      <c r="AI119" s="0">
        <f>IF($A119="","",$W119*IFERROR($K119/$O119,0))</f>
        <v/>
      </c>
      <c r="AJ119" s="0">
        <f>IF($A119="","",$X119*IFERROR($K119/$O119,0))</f>
        <v/>
      </c>
      <c r="AK119" s="0">
        <f>IF($A119="","",$Y119*IFERROR($G119/$L119,0)+$Z119*IFERROR($J119/$P119,0))</f>
        <v/>
      </c>
      <c r="AL119" s="0">
        <f>IF($A119="","",$AA119*IFERROR($AC119/$AD119,0))</f>
        <v/>
      </c>
      <c r="AM119" s="0">
        <f>IF($A119="","",$AB119*IFERROR($AG119/$AH119,0)*IFERROR($AE119/$AF119,0)*IFERROR($AC119/$AD119,0))</f>
        <v/>
      </c>
      <c r="AN119" s="0">
        <f>IF($A119="","",$I119-($AI119+$AJ119+$AK119+$AL119+$AM119+$AR119))</f>
        <v/>
      </c>
      <c r="AO119" s="0">
        <f>IF($A119="","",Allocation!CJ119)</f>
        <v/>
      </c>
      <c r="AP119" s="0">
        <f>IF($A119="","",IF(Allocation!$N$2="VOL_EFF",$Q119,IF(Allocation!$N$2="VOL_CLASS",$R119,$S119)))</f>
        <v/>
      </c>
      <c r="AQ119" s="0">
        <f>IF($A119="","",IF(Allocation!$N$2="VOL_EFF",$T119,IF(Allocation!$N$2="VOL_CLASS",$U119,$V119)))</f>
        <v/>
      </c>
      <c r="AR119" s="0">
        <f>IF($A119="","",$AO119*IFERROR($AP119/$AQ119,0)*IFERROR($AE119/$AF119,0)*IFERROR($AC119/$AD119,0))</f>
        <v/>
      </c>
      <c r="AS119" s="0">
        <f>IF($A119="","",$A119&amp;"|"&amp;Allocation!BG119)</f>
        <v/>
      </c>
    </row>
    <row r="120" ht="14.4975" customHeight="1" s="64">
      <c r="A120" s="0">
        <f>IF(Allocation!BI120="","",Allocation!BI120)</f>
        <v/>
      </c>
      <c r="B120" s="0">
        <f>IF(Allocation!BJ120="","",Allocation!BJ120)</f>
        <v/>
      </c>
      <c r="C120" s="0">
        <f>IF(Allocation!BK120="","",Allocation!BK120)</f>
        <v/>
      </c>
      <c r="D120" s="0">
        <f>IF(Allocation!BL120="","",Allocation!BL120)</f>
        <v/>
      </c>
      <c r="E120" s="0">
        <f>IF(Allocation!BM120="","",Allocation!BM120)</f>
        <v/>
      </c>
      <c r="F120" s="0">
        <f>IF(Allocation!BN120="","",Allocation!BN120)</f>
        <v/>
      </c>
      <c r="G120" s="0">
        <f>IF(Allocation!BO120="","",Allocation!BO120)</f>
        <v/>
      </c>
      <c r="H120" s="0">
        <f>IF(Allocation!BP120="","",Allocation!BP120)</f>
        <v/>
      </c>
      <c r="I120" s="0">
        <f>IF(Allocation!BQ120="","",Allocation!BQ120)</f>
        <v/>
      </c>
      <c r="J120" s="0">
        <f>IF(Allocation!CC120="","",Allocation!CC120)</f>
        <v/>
      </c>
      <c r="K120" s="0">
        <f>IF($A120="","",$H120*IF(AND(LEFT($D120,3)="BAC",$F120="INIT"),600,IF(LEFT($D120,3)="BAC",480,IF(AND(LEFT($D120,3)="MAS",$F120="INIT"),520,IF(LEFT($D120,3)="MAS",420,IF($F120="INIT",1000,700))))))</f>
        <v/>
      </c>
      <c r="L120" s="0">
        <f>IF($A120="","",SUMIFS($G$1:$G$349,$AS$1:$AS$349,$AS120,$B$1:$B$349,$B120))</f>
        <v/>
      </c>
      <c r="M120" s="0">
        <f>IF($A120="","",SUMIFS($H$1:$H$349,$AS$1:$AS$349,$AS120,$B$1:$B$349,$B120))</f>
        <v/>
      </c>
      <c r="N120" s="0">
        <f>IF($A120="","",SUMIFS($I$1:$I$349,$AS$1:$AS$349,$AS120,$B$1:$B$349,$B120))</f>
        <v/>
      </c>
      <c r="O120" s="0">
        <f>IF($A120="","",SUMIFS($K$1:$K$349,$AS$1:$AS$349,$AS120,$B$1:$B$349,$B120))</f>
        <v/>
      </c>
      <c r="P120" s="0">
        <f>IF($A120="","",SUMIFS($J$1:$J$349,$AS$1:$AS$349,$AS120,$B$1:$B$349,$B120))</f>
        <v/>
      </c>
      <c r="Q120" s="0">
        <f>IF($A120="","",SUMIFS($G$1:$G$349,$AS$1:$AS$349,$AS120,$C$1:$C$349,$C120))</f>
        <v/>
      </c>
      <c r="R120" s="0">
        <f>IF($A120="","",SUMIFS($H$1:$H$349,$AS$1:$AS$349,$AS120,$C$1:$C$349,$C120))</f>
        <v/>
      </c>
      <c r="S120" s="0">
        <f>IF($A120="","",SUMIFS($I$1:$I$349,$AS$1:$AS$349,$AS120,$C$1:$C$349,$C120))</f>
        <v/>
      </c>
      <c r="T120" s="0">
        <f>IF($A120="","",SUMIFS($G$1:$G$349,$AS$1:$AS$349,$AS120))</f>
        <v/>
      </c>
      <c r="U120" s="0">
        <f>IF($A120="","",SUMIFS($H$1:$H$349,$AS$1:$AS$349,$AS120))</f>
        <v/>
      </c>
      <c r="V120" s="0">
        <f>IF($A120="","",SUMIFS($I$1:$I$349,$AS$1:$AS$349,$AS120))</f>
        <v/>
      </c>
      <c r="W120" s="0">
        <f>IF($A120="","",Allocation!CD120)</f>
        <v/>
      </c>
      <c r="X120" s="0">
        <f>IF($A120="","",Allocation!CE120)</f>
        <v/>
      </c>
      <c r="Y120" s="0">
        <f>IF($A120="","",Allocation!CF120)</f>
        <v/>
      </c>
      <c r="Z120" s="0">
        <f>IF($A120="","",Allocation!CG120)</f>
        <v/>
      </c>
      <c r="AA120" s="0">
        <f>IF($A120="","",Allocation!CH120)</f>
        <v/>
      </c>
      <c r="AB120" s="0">
        <f>IF($A120="","",Allocation!CI120)</f>
        <v/>
      </c>
      <c r="AC120" s="0">
        <f>IF($A120="","",IF(Allocation!$N$4="VOL_EFF",$G120,IF(Allocation!$N$4="VOL_CLASS",$H120,$I120)))</f>
        <v/>
      </c>
      <c r="AD120" s="0">
        <f>IF($A120="","",IF(Allocation!$N$4="VOL_EFF",$L120,IF(Allocation!$N$4="VOL_CLASS",$M120,$N120)))</f>
        <v/>
      </c>
      <c r="AE120" s="0">
        <f>IF($A120="","",IF(Allocation!$N$3="VOL_EFF",$L120,IF(Allocation!$N$3="VOL_CLASS",$M120,$N120)))</f>
        <v/>
      </c>
      <c r="AF120" s="0">
        <f>IF($A120="","",IF(Allocation!$N$3="VOL_EFF",$Q120,IF(Allocation!$N$3="VOL_CLASS",$R120,$S120)))</f>
        <v/>
      </c>
      <c r="AG120" s="0">
        <f>IF($A120="","",IF(Allocation!$N$1="VOL_EFF",$Q120,IF(Allocation!$N$1="VOL_CLASS",$R120,$S120)))</f>
        <v/>
      </c>
      <c r="AH120" s="0">
        <f>IF($A120="","",IF(Allocation!$N$1="VOL_EFF",$T120,IF(Allocation!$N$1="VOL_CLASS",$U120,$V120)))</f>
        <v/>
      </c>
      <c r="AI120" s="0">
        <f>IF($A120="","",$W120*IFERROR($K120/$O120,0))</f>
        <v/>
      </c>
      <c r="AJ120" s="0">
        <f>IF($A120="","",$X120*IFERROR($K120/$O120,0))</f>
        <v/>
      </c>
      <c r="AK120" s="0">
        <f>IF($A120="","",$Y120*IFERROR($G120/$L120,0)+$Z120*IFERROR($J120/$P120,0))</f>
        <v/>
      </c>
      <c r="AL120" s="0">
        <f>IF($A120="","",$AA120*IFERROR($AC120/$AD120,0))</f>
        <v/>
      </c>
      <c r="AM120" s="0">
        <f>IF($A120="","",$AB120*IFERROR($AG120/$AH120,0)*IFERROR($AE120/$AF120,0)*IFERROR($AC120/$AD120,0))</f>
        <v/>
      </c>
      <c r="AN120" s="0">
        <f>IF($A120="","",$I120-($AI120+$AJ120+$AK120+$AL120+$AM120+$AR120))</f>
        <v/>
      </c>
      <c r="AO120" s="0">
        <f>IF($A120="","",Allocation!CJ120)</f>
        <v/>
      </c>
      <c r="AP120" s="0">
        <f>IF($A120="","",IF(Allocation!$N$2="VOL_EFF",$Q120,IF(Allocation!$N$2="VOL_CLASS",$R120,$S120)))</f>
        <v/>
      </c>
      <c r="AQ120" s="0">
        <f>IF($A120="","",IF(Allocation!$N$2="VOL_EFF",$T120,IF(Allocation!$N$2="VOL_CLASS",$U120,$V120)))</f>
        <v/>
      </c>
      <c r="AR120" s="0">
        <f>IF($A120="","",$AO120*IFERROR($AP120/$AQ120,0)*IFERROR($AE120/$AF120,0)*IFERROR($AC120/$AD120,0))</f>
        <v/>
      </c>
      <c r="AS120" s="0">
        <f>IF($A120="","",$A120&amp;"|"&amp;Allocation!BG120)</f>
        <v/>
      </c>
    </row>
    <row r="121" ht="14.4975" customHeight="1" s="64">
      <c r="A121" s="0">
        <f>IF(Allocation!BI121="","",Allocation!BI121)</f>
        <v/>
      </c>
      <c r="B121" s="0">
        <f>IF(Allocation!BJ121="","",Allocation!BJ121)</f>
        <v/>
      </c>
      <c r="C121" s="0">
        <f>IF(Allocation!BK121="","",Allocation!BK121)</f>
        <v/>
      </c>
      <c r="D121" s="0">
        <f>IF(Allocation!BL121="","",Allocation!BL121)</f>
        <v/>
      </c>
      <c r="E121" s="0">
        <f>IF(Allocation!BM121="","",Allocation!BM121)</f>
        <v/>
      </c>
      <c r="F121" s="0">
        <f>IF(Allocation!BN121="","",Allocation!BN121)</f>
        <v/>
      </c>
      <c r="G121" s="0">
        <f>IF(Allocation!BO121="","",Allocation!BO121)</f>
        <v/>
      </c>
      <c r="H121" s="0">
        <f>IF(Allocation!BP121="","",Allocation!BP121)</f>
        <v/>
      </c>
      <c r="I121" s="0">
        <f>IF(Allocation!BQ121="","",Allocation!BQ121)</f>
        <v/>
      </c>
      <c r="J121" s="0">
        <f>IF(Allocation!CC121="","",Allocation!CC121)</f>
        <v/>
      </c>
      <c r="K121" s="0">
        <f>IF($A121="","",$H121*IF(AND(LEFT($D121,3)="BAC",$F121="INIT"),600,IF(LEFT($D121,3)="BAC",480,IF(AND(LEFT($D121,3)="MAS",$F121="INIT"),520,IF(LEFT($D121,3)="MAS",420,IF($F121="INIT",1000,700))))))</f>
        <v/>
      </c>
      <c r="L121" s="0">
        <f>IF($A121="","",SUMIFS($G$1:$G$349,$AS$1:$AS$349,$AS121,$B$1:$B$349,$B121))</f>
        <v/>
      </c>
      <c r="M121" s="0">
        <f>IF($A121="","",SUMIFS($H$1:$H$349,$AS$1:$AS$349,$AS121,$B$1:$B$349,$B121))</f>
        <v/>
      </c>
      <c r="N121" s="0">
        <f>IF($A121="","",SUMIFS($I$1:$I$349,$AS$1:$AS$349,$AS121,$B$1:$B$349,$B121))</f>
        <v/>
      </c>
      <c r="O121" s="0">
        <f>IF($A121="","",SUMIFS($K$1:$K$349,$AS$1:$AS$349,$AS121,$B$1:$B$349,$B121))</f>
        <v/>
      </c>
      <c r="P121" s="0">
        <f>IF($A121="","",SUMIFS($J$1:$J$349,$AS$1:$AS$349,$AS121,$B$1:$B$349,$B121))</f>
        <v/>
      </c>
      <c r="Q121" s="0">
        <f>IF($A121="","",SUMIFS($G$1:$G$349,$AS$1:$AS$349,$AS121,$C$1:$C$349,$C121))</f>
        <v/>
      </c>
      <c r="R121" s="0">
        <f>IF($A121="","",SUMIFS($H$1:$H$349,$AS$1:$AS$349,$AS121,$C$1:$C$349,$C121))</f>
        <v/>
      </c>
      <c r="S121" s="0">
        <f>IF($A121="","",SUMIFS($I$1:$I$349,$AS$1:$AS$349,$AS121,$C$1:$C$349,$C121))</f>
        <v/>
      </c>
      <c r="T121" s="0">
        <f>IF($A121="","",SUMIFS($G$1:$G$349,$AS$1:$AS$349,$AS121))</f>
        <v/>
      </c>
      <c r="U121" s="0">
        <f>IF($A121="","",SUMIFS($H$1:$H$349,$AS$1:$AS$349,$AS121))</f>
        <v/>
      </c>
      <c r="V121" s="0">
        <f>IF($A121="","",SUMIFS($I$1:$I$349,$AS$1:$AS$349,$AS121))</f>
        <v/>
      </c>
      <c r="W121" s="0">
        <f>IF($A121="","",Allocation!CD121)</f>
        <v/>
      </c>
      <c r="X121" s="0">
        <f>IF($A121="","",Allocation!CE121)</f>
        <v/>
      </c>
      <c r="Y121" s="0">
        <f>IF($A121="","",Allocation!CF121)</f>
        <v/>
      </c>
      <c r="Z121" s="0">
        <f>IF($A121="","",Allocation!CG121)</f>
        <v/>
      </c>
      <c r="AA121" s="0">
        <f>IF($A121="","",Allocation!CH121)</f>
        <v/>
      </c>
      <c r="AB121" s="0">
        <f>IF($A121="","",Allocation!CI121)</f>
        <v/>
      </c>
      <c r="AC121" s="0">
        <f>IF($A121="","",IF(Allocation!$N$4="VOL_EFF",$G121,IF(Allocation!$N$4="VOL_CLASS",$H121,$I121)))</f>
        <v/>
      </c>
      <c r="AD121" s="0">
        <f>IF($A121="","",IF(Allocation!$N$4="VOL_EFF",$L121,IF(Allocation!$N$4="VOL_CLASS",$M121,$N121)))</f>
        <v/>
      </c>
      <c r="AE121" s="0">
        <f>IF($A121="","",IF(Allocation!$N$3="VOL_EFF",$L121,IF(Allocation!$N$3="VOL_CLASS",$M121,$N121)))</f>
        <v/>
      </c>
      <c r="AF121" s="0">
        <f>IF($A121="","",IF(Allocation!$N$3="VOL_EFF",$Q121,IF(Allocation!$N$3="VOL_CLASS",$R121,$S121)))</f>
        <v/>
      </c>
      <c r="AG121" s="0">
        <f>IF($A121="","",IF(Allocation!$N$1="VOL_EFF",$Q121,IF(Allocation!$N$1="VOL_CLASS",$R121,$S121)))</f>
        <v/>
      </c>
      <c r="AH121" s="0">
        <f>IF($A121="","",IF(Allocation!$N$1="VOL_EFF",$T121,IF(Allocation!$N$1="VOL_CLASS",$U121,$V121)))</f>
        <v/>
      </c>
      <c r="AI121" s="0">
        <f>IF($A121="","",$W121*IFERROR($K121/$O121,0))</f>
        <v/>
      </c>
      <c r="AJ121" s="0">
        <f>IF($A121="","",$X121*IFERROR($K121/$O121,0))</f>
        <v/>
      </c>
      <c r="AK121" s="0">
        <f>IF($A121="","",$Y121*IFERROR($G121/$L121,0)+$Z121*IFERROR($J121/$P121,0))</f>
        <v/>
      </c>
      <c r="AL121" s="0">
        <f>IF($A121="","",$AA121*IFERROR($AC121/$AD121,0))</f>
        <v/>
      </c>
      <c r="AM121" s="0">
        <f>IF($A121="","",$AB121*IFERROR($AG121/$AH121,0)*IFERROR($AE121/$AF121,0)*IFERROR($AC121/$AD121,0))</f>
        <v/>
      </c>
      <c r="AN121" s="0">
        <f>IF($A121="","",$I121-($AI121+$AJ121+$AK121+$AL121+$AM121+$AR121))</f>
        <v/>
      </c>
      <c r="AO121" s="0">
        <f>IF($A121="","",Allocation!CJ121)</f>
        <v/>
      </c>
      <c r="AP121" s="0">
        <f>IF($A121="","",IF(Allocation!$N$2="VOL_EFF",$Q121,IF(Allocation!$N$2="VOL_CLASS",$R121,$S121)))</f>
        <v/>
      </c>
      <c r="AQ121" s="0">
        <f>IF($A121="","",IF(Allocation!$N$2="VOL_EFF",$T121,IF(Allocation!$N$2="VOL_CLASS",$U121,$V121)))</f>
        <v/>
      </c>
      <c r="AR121" s="0">
        <f>IF($A121="","",$AO121*IFERROR($AP121/$AQ121,0)*IFERROR($AE121/$AF121,0)*IFERROR($AC121/$AD121,0))</f>
        <v/>
      </c>
      <c r="AS121" s="0">
        <f>IF($A121="","",$A121&amp;"|"&amp;Allocation!BG121)</f>
        <v/>
      </c>
    </row>
    <row r="122" ht="14.4975" customHeight="1" s="64">
      <c r="A122" s="0">
        <f>IF(Allocation!BI122="","",Allocation!BI122)</f>
        <v/>
      </c>
      <c r="B122" s="0">
        <f>IF(Allocation!BJ122="","",Allocation!BJ122)</f>
        <v/>
      </c>
      <c r="C122" s="0">
        <f>IF(Allocation!BK122="","",Allocation!BK122)</f>
        <v/>
      </c>
      <c r="D122" s="0">
        <f>IF(Allocation!BL122="","",Allocation!BL122)</f>
        <v/>
      </c>
      <c r="E122" s="0">
        <f>IF(Allocation!BM122="","",Allocation!BM122)</f>
        <v/>
      </c>
      <c r="F122" s="0">
        <f>IF(Allocation!BN122="","",Allocation!BN122)</f>
        <v/>
      </c>
      <c r="G122" s="0">
        <f>IF(Allocation!BO122="","",Allocation!BO122)</f>
        <v/>
      </c>
      <c r="H122" s="0">
        <f>IF(Allocation!BP122="","",Allocation!BP122)</f>
        <v/>
      </c>
      <c r="I122" s="0">
        <f>IF(Allocation!BQ122="","",Allocation!BQ122)</f>
        <v/>
      </c>
      <c r="J122" s="0">
        <f>IF(Allocation!CC122="","",Allocation!CC122)</f>
        <v/>
      </c>
      <c r="K122" s="0">
        <f>IF($A122="","",$H122*IF(AND(LEFT($D122,3)="BAC",$F122="INIT"),600,IF(LEFT($D122,3)="BAC",480,IF(AND(LEFT($D122,3)="MAS",$F122="INIT"),520,IF(LEFT($D122,3)="MAS",420,IF($F122="INIT",1000,700))))))</f>
        <v/>
      </c>
      <c r="L122" s="0">
        <f>IF($A122="","",SUMIFS($G$1:$G$349,$AS$1:$AS$349,$AS122,$B$1:$B$349,$B122))</f>
        <v/>
      </c>
      <c r="M122" s="0">
        <f>IF($A122="","",SUMIFS($H$1:$H$349,$AS$1:$AS$349,$AS122,$B$1:$B$349,$B122))</f>
        <v/>
      </c>
      <c r="N122" s="0">
        <f>IF($A122="","",SUMIFS($I$1:$I$349,$AS$1:$AS$349,$AS122,$B$1:$B$349,$B122))</f>
        <v/>
      </c>
      <c r="O122" s="0">
        <f>IF($A122="","",SUMIFS($K$1:$K$349,$AS$1:$AS$349,$AS122,$B$1:$B$349,$B122))</f>
        <v/>
      </c>
      <c r="P122" s="0">
        <f>IF($A122="","",SUMIFS($J$1:$J$349,$AS$1:$AS$349,$AS122,$B$1:$B$349,$B122))</f>
        <v/>
      </c>
      <c r="Q122" s="0">
        <f>IF($A122="","",SUMIFS($G$1:$G$349,$AS$1:$AS$349,$AS122,$C$1:$C$349,$C122))</f>
        <v/>
      </c>
      <c r="R122" s="0">
        <f>IF($A122="","",SUMIFS($H$1:$H$349,$AS$1:$AS$349,$AS122,$C$1:$C$349,$C122))</f>
        <v/>
      </c>
      <c r="S122" s="0">
        <f>IF($A122="","",SUMIFS($I$1:$I$349,$AS$1:$AS$349,$AS122,$C$1:$C$349,$C122))</f>
        <v/>
      </c>
      <c r="T122" s="0">
        <f>IF($A122="","",SUMIFS($G$1:$G$349,$AS$1:$AS$349,$AS122))</f>
        <v/>
      </c>
      <c r="U122" s="0">
        <f>IF($A122="","",SUMIFS($H$1:$H$349,$AS$1:$AS$349,$AS122))</f>
        <v/>
      </c>
      <c r="V122" s="0">
        <f>IF($A122="","",SUMIFS($I$1:$I$349,$AS$1:$AS$349,$AS122))</f>
        <v/>
      </c>
      <c r="W122" s="0">
        <f>IF($A122="","",Allocation!CD122)</f>
        <v/>
      </c>
      <c r="X122" s="0">
        <f>IF($A122="","",Allocation!CE122)</f>
        <v/>
      </c>
      <c r="Y122" s="0">
        <f>IF($A122="","",Allocation!CF122)</f>
        <v/>
      </c>
      <c r="Z122" s="0">
        <f>IF($A122="","",Allocation!CG122)</f>
        <v/>
      </c>
      <c r="AA122" s="0">
        <f>IF($A122="","",Allocation!CH122)</f>
        <v/>
      </c>
      <c r="AB122" s="0">
        <f>IF($A122="","",Allocation!CI122)</f>
        <v/>
      </c>
      <c r="AC122" s="0">
        <f>IF($A122="","",IF(Allocation!$N$4="VOL_EFF",$G122,IF(Allocation!$N$4="VOL_CLASS",$H122,$I122)))</f>
        <v/>
      </c>
      <c r="AD122" s="0">
        <f>IF($A122="","",IF(Allocation!$N$4="VOL_EFF",$L122,IF(Allocation!$N$4="VOL_CLASS",$M122,$N122)))</f>
        <v/>
      </c>
      <c r="AE122" s="0">
        <f>IF($A122="","",IF(Allocation!$N$3="VOL_EFF",$L122,IF(Allocation!$N$3="VOL_CLASS",$M122,$N122)))</f>
        <v/>
      </c>
      <c r="AF122" s="0">
        <f>IF($A122="","",IF(Allocation!$N$3="VOL_EFF",$Q122,IF(Allocation!$N$3="VOL_CLASS",$R122,$S122)))</f>
        <v/>
      </c>
      <c r="AG122" s="0">
        <f>IF($A122="","",IF(Allocation!$N$1="VOL_EFF",$Q122,IF(Allocation!$N$1="VOL_CLASS",$R122,$S122)))</f>
        <v/>
      </c>
      <c r="AH122" s="0">
        <f>IF($A122="","",IF(Allocation!$N$1="VOL_EFF",$T122,IF(Allocation!$N$1="VOL_CLASS",$U122,$V122)))</f>
        <v/>
      </c>
      <c r="AI122" s="0">
        <f>IF($A122="","",$W122*IFERROR($K122/$O122,0))</f>
        <v/>
      </c>
      <c r="AJ122" s="0">
        <f>IF($A122="","",$X122*IFERROR($K122/$O122,0))</f>
        <v/>
      </c>
      <c r="AK122" s="0">
        <f>IF($A122="","",$Y122*IFERROR($G122/$L122,0)+$Z122*IFERROR($J122/$P122,0))</f>
        <v/>
      </c>
      <c r="AL122" s="0">
        <f>IF($A122="","",$AA122*IFERROR($AC122/$AD122,0))</f>
        <v/>
      </c>
      <c r="AM122" s="0">
        <f>IF($A122="","",$AB122*IFERROR($AG122/$AH122,0)*IFERROR($AE122/$AF122,0)*IFERROR($AC122/$AD122,0))</f>
        <v/>
      </c>
      <c r="AN122" s="0">
        <f>IF($A122="","",$I122-($AI122+$AJ122+$AK122+$AL122+$AM122+$AR122))</f>
        <v/>
      </c>
      <c r="AO122" s="0">
        <f>IF($A122="","",Allocation!CJ122)</f>
        <v/>
      </c>
      <c r="AP122" s="0">
        <f>IF($A122="","",IF(Allocation!$N$2="VOL_EFF",$Q122,IF(Allocation!$N$2="VOL_CLASS",$R122,$S122)))</f>
        <v/>
      </c>
      <c r="AQ122" s="0">
        <f>IF($A122="","",IF(Allocation!$N$2="VOL_EFF",$T122,IF(Allocation!$N$2="VOL_CLASS",$U122,$V122)))</f>
        <v/>
      </c>
      <c r="AR122" s="0">
        <f>IF($A122="","",$AO122*IFERROR($AP122/$AQ122,0)*IFERROR($AE122/$AF122,0)*IFERROR($AC122/$AD122,0))</f>
        <v/>
      </c>
      <c r="AS122" s="0">
        <f>IF($A122="","",$A122&amp;"|"&amp;Allocation!BG122)</f>
        <v/>
      </c>
    </row>
    <row r="123" ht="14.4975" customHeight="1" s="64">
      <c r="A123" s="0">
        <f>IF(Allocation!BI123="","",Allocation!BI123)</f>
        <v/>
      </c>
      <c r="B123" s="0">
        <f>IF(Allocation!BJ123="","",Allocation!BJ123)</f>
        <v/>
      </c>
      <c r="C123" s="0">
        <f>IF(Allocation!BK123="","",Allocation!BK123)</f>
        <v/>
      </c>
      <c r="D123" s="0">
        <f>IF(Allocation!BL123="","",Allocation!BL123)</f>
        <v/>
      </c>
      <c r="E123" s="0">
        <f>IF(Allocation!BM123="","",Allocation!BM123)</f>
        <v/>
      </c>
      <c r="F123" s="0">
        <f>IF(Allocation!BN123="","",Allocation!BN123)</f>
        <v/>
      </c>
      <c r="G123" s="0">
        <f>IF(Allocation!BO123="","",Allocation!BO123)</f>
        <v/>
      </c>
      <c r="H123" s="0">
        <f>IF(Allocation!BP123="","",Allocation!BP123)</f>
        <v/>
      </c>
      <c r="I123" s="0">
        <f>IF(Allocation!BQ123="","",Allocation!BQ123)</f>
        <v/>
      </c>
      <c r="J123" s="0">
        <f>IF(Allocation!CC123="","",Allocation!CC123)</f>
        <v/>
      </c>
      <c r="K123" s="0">
        <f>IF($A123="","",$H123*IF(AND(LEFT($D123,3)="BAC",$F123="INIT"),600,IF(LEFT($D123,3)="BAC",480,IF(AND(LEFT($D123,3)="MAS",$F123="INIT"),520,IF(LEFT($D123,3)="MAS",420,IF($F123="INIT",1000,700))))))</f>
        <v/>
      </c>
      <c r="L123" s="0">
        <f>IF($A123="","",SUMIFS($G$1:$G$349,$AS$1:$AS$349,$AS123,$B$1:$B$349,$B123))</f>
        <v/>
      </c>
      <c r="M123" s="0">
        <f>IF($A123="","",SUMIFS($H$1:$H$349,$AS$1:$AS$349,$AS123,$B$1:$B$349,$B123))</f>
        <v/>
      </c>
      <c r="N123" s="0">
        <f>IF($A123="","",SUMIFS($I$1:$I$349,$AS$1:$AS$349,$AS123,$B$1:$B$349,$B123))</f>
        <v/>
      </c>
      <c r="O123" s="0">
        <f>IF($A123="","",SUMIFS($K$1:$K$349,$AS$1:$AS$349,$AS123,$B$1:$B$349,$B123))</f>
        <v/>
      </c>
      <c r="P123" s="0">
        <f>IF($A123="","",SUMIFS($J$1:$J$349,$AS$1:$AS$349,$AS123,$B$1:$B$349,$B123))</f>
        <v/>
      </c>
      <c r="Q123" s="0">
        <f>IF($A123="","",SUMIFS($G$1:$G$349,$AS$1:$AS$349,$AS123,$C$1:$C$349,$C123))</f>
        <v/>
      </c>
      <c r="R123" s="0">
        <f>IF($A123="","",SUMIFS($H$1:$H$349,$AS$1:$AS$349,$AS123,$C$1:$C$349,$C123))</f>
        <v/>
      </c>
      <c r="S123" s="0">
        <f>IF($A123="","",SUMIFS($I$1:$I$349,$AS$1:$AS$349,$AS123,$C$1:$C$349,$C123))</f>
        <v/>
      </c>
      <c r="T123" s="0">
        <f>IF($A123="","",SUMIFS($G$1:$G$349,$AS$1:$AS$349,$AS123))</f>
        <v/>
      </c>
      <c r="U123" s="0">
        <f>IF($A123="","",SUMIFS($H$1:$H$349,$AS$1:$AS$349,$AS123))</f>
        <v/>
      </c>
      <c r="V123" s="0">
        <f>IF($A123="","",SUMIFS($I$1:$I$349,$AS$1:$AS$349,$AS123))</f>
        <v/>
      </c>
      <c r="W123" s="0">
        <f>IF($A123="","",Allocation!CD123)</f>
        <v/>
      </c>
      <c r="X123" s="0">
        <f>IF($A123="","",Allocation!CE123)</f>
        <v/>
      </c>
      <c r="Y123" s="0">
        <f>IF($A123="","",Allocation!CF123)</f>
        <v/>
      </c>
      <c r="Z123" s="0">
        <f>IF($A123="","",Allocation!CG123)</f>
        <v/>
      </c>
      <c r="AA123" s="0">
        <f>IF($A123="","",Allocation!CH123)</f>
        <v/>
      </c>
      <c r="AB123" s="0">
        <f>IF($A123="","",Allocation!CI123)</f>
        <v/>
      </c>
      <c r="AC123" s="0">
        <f>IF($A123="","",IF(Allocation!$N$4="VOL_EFF",$G123,IF(Allocation!$N$4="VOL_CLASS",$H123,$I123)))</f>
        <v/>
      </c>
      <c r="AD123" s="0">
        <f>IF($A123="","",IF(Allocation!$N$4="VOL_EFF",$L123,IF(Allocation!$N$4="VOL_CLASS",$M123,$N123)))</f>
        <v/>
      </c>
      <c r="AE123" s="0">
        <f>IF($A123="","",IF(Allocation!$N$3="VOL_EFF",$L123,IF(Allocation!$N$3="VOL_CLASS",$M123,$N123)))</f>
        <v/>
      </c>
      <c r="AF123" s="0">
        <f>IF($A123="","",IF(Allocation!$N$3="VOL_EFF",$Q123,IF(Allocation!$N$3="VOL_CLASS",$R123,$S123)))</f>
        <v/>
      </c>
      <c r="AG123" s="0">
        <f>IF($A123="","",IF(Allocation!$N$1="VOL_EFF",$Q123,IF(Allocation!$N$1="VOL_CLASS",$R123,$S123)))</f>
        <v/>
      </c>
      <c r="AH123" s="0">
        <f>IF($A123="","",IF(Allocation!$N$1="VOL_EFF",$T123,IF(Allocation!$N$1="VOL_CLASS",$U123,$V123)))</f>
        <v/>
      </c>
      <c r="AI123" s="0">
        <f>IF($A123="","",$W123*IFERROR($K123/$O123,0))</f>
        <v/>
      </c>
      <c r="AJ123" s="0">
        <f>IF($A123="","",$X123*IFERROR($K123/$O123,0))</f>
        <v/>
      </c>
      <c r="AK123" s="0">
        <f>IF($A123="","",$Y123*IFERROR($G123/$L123,0)+$Z123*IFERROR($J123/$P123,0))</f>
        <v/>
      </c>
      <c r="AL123" s="0">
        <f>IF($A123="","",$AA123*IFERROR($AC123/$AD123,0))</f>
        <v/>
      </c>
      <c r="AM123" s="0">
        <f>IF($A123="","",$AB123*IFERROR($AG123/$AH123,0)*IFERROR($AE123/$AF123,0)*IFERROR($AC123/$AD123,0))</f>
        <v/>
      </c>
      <c r="AN123" s="0">
        <f>IF($A123="","",$I123-($AI123+$AJ123+$AK123+$AL123+$AM123+$AR123))</f>
        <v/>
      </c>
      <c r="AO123" s="0">
        <f>IF($A123="","",Allocation!CJ123)</f>
        <v/>
      </c>
      <c r="AP123" s="0">
        <f>IF($A123="","",IF(Allocation!$N$2="VOL_EFF",$Q123,IF(Allocation!$N$2="VOL_CLASS",$R123,$S123)))</f>
        <v/>
      </c>
      <c r="AQ123" s="0">
        <f>IF($A123="","",IF(Allocation!$N$2="VOL_EFF",$T123,IF(Allocation!$N$2="VOL_CLASS",$U123,$V123)))</f>
        <v/>
      </c>
      <c r="AR123" s="0">
        <f>IF($A123="","",$AO123*IFERROR($AP123/$AQ123,0)*IFERROR($AE123/$AF123,0)*IFERROR($AC123/$AD123,0))</f>
        <v/>
      </c>
      <c r="AS123" s="0">
        <f>IF($A123="","",$A123&amp;"|"&amp;Allocation!BG123)</f>
        <v/>
      </c>
    </row>
    <row r="124" ht="14.4975" customHeight="1" s="64">
      <c r="A124" s="0">
        <f>IF(Allocation!BI124="","",Allocation!BI124)</f>
        <v/>
      </c>
      <c r="B124" s="0">
        <f>IF(Allocation!BJ124="","",Allocation!BJ124)</f>
        <v/>
      </c>
      <c r="C124" s="0">
        <f>IF(Allocation!BK124="","",Allocation!BK124)</f>
        <v/>
      </c>
      <c r="D124" s="0">
        <f>IF(Allocation!BL124="","",Allocation!BL124)</f>
        <v/>
      </c>
      <c r="E124" s="0">
        <f>IF(Allocation!BM124="","",Allocation!BM124)</f>
        <v/>
      </c>
      <c r="F124" s="0">
        <f>IF(Allocation!BN124="","",Allocation!BN124)</f>
        <v/>
      </c>
      <c r="G124" s="0">
        <f>IF(Allocation!BO124="","",Allocation!BO124)</f>
        <v/>
      </c>
      <c r="H124" s="0">
        <f>IF(Allocation!BP124="","",Allocation!BP124)</f>
        <v/>
      </c>
      <c r="I124" s="0">
        <f>IF(Allocation!BQ124="","",Allocation!BQ124)</f>
        <v/>
      </c>
      <c r="J124" s="0">
        <f>IF(Allocation!CC124="","",Allocation!CC124)</f>
        <v/>
      </c>
      <c r="K124" s="0">
        <f>IF($A124="","",$H124*IF(AND(LEFT($D124,3)="BAC",$F124="INIT"),600,IF(LEFT($D124,3)="BAC",480,IF(AND(LEFT($D124,3)="MAS",$F124="INIT"),520,IF(LEFT($D124,3)="MAS",420,IF($F124="INIT",1000,700))))))</f>
        <v/>
      </c>
      <c r="L124" s="0">
        <f>IF($A124="","",SUMIFS($G$1:$G$349,$AS$1:$AS$349,$AS124,$B$1:$B$349,$B124))</f>
        <v/>
      </c>
      <c r="M124" s="0">
        <f>IF($A124="","",SUMIFS($H$1:$H$349,$AS$1:$AS$349,$AS124,$B$1:$B$349,$B124))</f>
        <v/>
      </c>
      <c r="N124" s="0">
        <f>IF($A124="","",SUMIFS($I$1:$I$349,$AS$1:$AS$349,$AS124,$B$1:$B$349,$B124))</f>
        <v/>
      </c>
      <c r="O124" s="0">
        <f>IF($A124="","",SUMIFS($K$1:$K$349,$AS$1:$AS$349,$AS124,$B$1:$B$349,$B124))</f>
        <v/>
      </c>
      <c r="P124" s="0">
        <f>IF($A124="","",SUMIFS($J$1:$J$349,$AS$1:$AS$349,$AS124,$B$1:$B$349,$B124))</f>
        <v/>
      </c>
      <c r="Q124" s="0">
        <f>IF($A124="","",SUMIFS($G$1:$G$349,$AS$1:$AS$349,$AS124,$C$1:$C$349,$C124))</f>
        <v/>
      </c>
      <c r="R124" s="0">
        <f>IF($A124="","",SUMIFS($H$1:$H$349,$AS$1:$AS$349,$AS124,$C$1:$C$349,$C124))</f>
        <v/>
      </c>
      <c r="S124" s="0">
        <f>IF($A124="","",SUMIFS($I$1:$I$349,$AS$1:$AS$349,$AS124,$C$1:$C$349,$C124))</f>
        <v/>
      </c>
      <c r="T124" s="0">
        <f>IF($A124="","",SUMIFS($G$1:$G$349,$AS$1:$AS$349,$AS124))</f>
        <v/>
      </c>
      <c r="U124" s="0">
        <f>IF($A124="","",SUMIFS($H$1:$H$349,$AS$1:$AS$349,$AS124))</f>
        <v/>
      </c>
      <c r="V124" s="0">
        <f>IF($A124="","",SUMIFS($I$1:$I$349,$AS$1:$AS$349,$AS124))</f>
        <v/>
      </c>
      <c r="W124" s="0">
        <f>IF($A124="","",Allocation!CD124)</f>
        <v/>
      </c>
      <c r="X124" s="0">
        <f>IF($A124="","",Allocation!CE124)</f>
        <v/>
      </c>
      <c r="Y124" s="0">
        <f>IF($A124="","",Allocation!CF124)</f>
        <v/>
      </c>
      <c r="Z124" s="0">
        <f>IF($A124="","",Allocation!CG124)</f>
        <v/>
      </c>
      <c r="AA124" s="0">
        <f>IF($A124="","",Allocation!CH124)</f>
        <v/>
      </c>
      <c r="AB124" s="0">
        <f>IF($A124="","",Allocation!CI124)</f>
        <v/>
      </c>
      <c r="AC124" s="0">
        <f>IF($A124="","",IF(Allocation!$N$4="VOL_EFF",$G124,IF(Allocation!$N$4="VOL_CLASS",$H124,$I124)))</f>
        <v/>
      </c>
      <c r="AD124" s="0">
        <f>IF($A124="","",IF(Allocation!$N$4="VOL_EFF",$L124,IF(Allocation!$N$4="VOL_CLASS",$M124,$N124)))</f>
        <v/>
      </c>
      <c r="AE124" s="0">
        <f>IF($A124="","",IF(Allocation!$N$3="VOL_EFF",$L124,IF(Allocation!$N$3="VOL_CLASS",$M124,$N124)))</f>
        <v/>
      </c>
      <c r="AF124" s="0">
        <f>IF($A124="","",IF(Allocation!$N$3="VOL_EFF",$Q124,IF(Allocation!$N$3="VOL_CLASS",$R124,$S124)))</f>
        <v/>
      </c>
      <c r="AG124" s="0">
        <f>IF($A124="","",IF(Allocation!$N$1="VOL_EFF",$Q124,IF(Allocation!$N$1="VOL_CLASS",$R124,$S124)))</f>
        <v/>
      </c>
      <c r="AH124" s="0">
        <f>IF($A124="","",IF(Allocation!$N$1="VOL_EFF",$T124,IF(Allocation!$N$1="VOL_CLASS",$U124,$V124)))</f>
        <v/>
      </c>
      <c r="AI124" s="0">
        <f>IF($A124="","",$W124*IFERROR($K124/$O124,0))</f>
        <v/>
      </c>
      <c r="AJ124" s="0">
        <f>IF($A124="","",$X124*IFERROR($K124/$O124,0))</f>
        <v/>
      </c>
      <c r="AK124" s="0">
        <f>IF($A124="","",$Y124*IFERROR($G124/$L124,0)+$Z124*IFERROR($J124/$P124,0))</f>
        <v/>
      </c>
      <c r="AL124" s="0">
        <f>IF($A124="","",$AA124*IFERROR($AC124/$AD124,0))</f>
        <v/>
      </c>
      <c r="AM124" s="0">
        <f>IF($A124="","",$AB124*IFERROR($AG124/$AH124,0)*IFERROR($AE124/$AF124,0)*IFERROR($AC124/$AD124,0))</f>
        <v/>
      </c>
      <c r="AN124" s="0">
        <f>IF($A124="","",$I124-($AI124+$AJ124+$AK124+$AL124+$AM124+$AR124))</f>
        <v/>
      </c>
      <c r="AO124" s="0">
        <f>IF($A124="","",Allocation!CJ124)</f>
        <v/>
      </c>
      <c r="AP124" s="0">
        <f>IF($A124="","",IF(Allocation!$N$2="VOL_EFF",$Q124,IF(Allocation!$N$2="VOL_CLASS",$R124,$S124)))</f>
        <v/>
      </c>
      <c r="AQ124" s="0">
        <f>IF($A124="","",IF(Allocation!$N$2="VOL_EFF",$T124,IF(Allocation!$N$2="VOL_CLASS",$U124,$V124)))</f>
        <v/>
      </c>
      <c r="AR124" s="0">
        <f>IF($A124="","",$AO124*IFERROR($AP124/$AQ124,0)*IFERROR($AE124/$AF124,0)*IFERROR($AC124/$AD124,0))</f>
        <v/>
      </c>
      <c r="AS124" s="0">
        <f>IF($A124="","",$A124&amp;"|"&amp;Allocation!BG124)</f>
        <v/>
      </c>
    </row>
    <row r="125" ht="14.4975" customHeight="1" s="64">
      <c r="A125" s="0">
        <f>IF(Allocation!BI125="","",Allocation!BI125)</f>
        <v/>
      </c>
      <c r="B125" s="0">
        <f>IF(Allocation!BJ125="","",Allocation!BJ125)</f>
        <v/>
      </c>
      <c r="C125" s="0">
        <f>IF(Allocation!BK125="","",Allocation!BK125)</f>
        <v/>
      </c>
      <c r="D125" s="0">
        <f>IF(Allocation!BL125="","",Allocation!BL125)</f>
        <v/>
      </c>
      <c r="E125" s="0">
        <f>IF(Allocation!BM125="","",Allocation!BM125)</f>
        <v/>
      </c>
      <c r="F125" s="0">
        <f>IF(Allocation!BN125="","",Allocation!BN125)</f>
        <v/>
      </c>
      <c r="G125" s="0">
        <f>IF(Allocation!BO125="","",Allocation!BO125)</f>
        <v/>
      </c>
      <c r="H125" s="0">
        <f>IF(Allocation!BP125="","",Allocation!BP125)</f>
        <v/>
      </c>
      <c r="I125" s="0">
        <f>IF(Allocation!BQ125="","",Allocation!BQ125)</f>
        <v/>
      </c>
      <c r="J125" s="0">
        <f>IF(Allocation!CC125="","",Allocation!CC125)</f>
        <v/>
      </c>
      <c r="K125" s="0">
        <f>IF($A125="","",$H125*IF(AND(LEFT($D125,3)="BAC",$F125="INIT"),600,IF(LEFT($D125,3)="BAC",480,IF(AND(LEFT($D125,3)="MAS",$F125="INIT"),520,IF(LEFT($D125,3)="MAS",420,IF($F125="INIT",1000,700))))))</f>
        <v/>
      </c>
      <c r="L125" s="0">
        <f>IF($A125="","",SUMIFS($G$1:$G$349,$AS$1:$AS$349,$AS125,$B$1:$B$349,$B125))</f>
        <v/>
      </c>
      <c r="M125" s="0">
        <f>IF($A125="","",SUMIFS($H$1:$H$349,$AS$1:$AS$349,$AS125,$B$1:$B$349,$B125))</f>
        <v/>
      </c>
      <c r="N125" s="0">
        <f>IF($A125="","",SUMIFS($I$1:$I$349,$AS$1:$AS$349,$AS125,$B$1:$B$349,$B125))</f>
        <v/>
      </c>
      <c r="O125" s="0">
        <f>IF($A125="","",SUMIFS($K$1:$K$349,$AS$1:$AS$349,$AS125,$B$1:$B$349,$B125))</f>
        <v/>
      </c>
      <c r="P125" s="0">
        <f>IF($A125="","",SUMIFS($J$1:$J$349,$AS$1:$AS$349,$AS125,$B$1:$B$349,$B125))</f>
        <v/>
      </c>
      <c r="Q125" s="0">
        <f>IF($A125="","",SUMIFS($G$1:$G$349,$AS$1:$AS$349,$AS125,$C$1:$C$349,$C125))</f>
        <v/>
      </c>
      <c r="R125" s="0">
        <f>IF($A125="","",SUMIFS($H$1:$H$349,$AS$1:$AS$349,$AS125,$C$1:$C$349,$C125))</f>
        <v/>
      </c>
      <c r="S125" s="0">
        <f>IF($A125="","",SUMIFS($I$1:$I$349,$AS$1:$AS$349,$AS125,$C$1:$C$349,$C125))</f>
        <v/>
      </c>
      <c r="T125" s="0">
        <f>IF($A125="","",SUMIFS($G$1:$G$349,$AS$1:$AS$349,$AS125))</f>
        <v/>
      </c>
      <c r="U125" s="0">
        <f>IF($A125="","",SUMIFS($H$1:$H$349,$AS$1:$AS$349,$AS125))</f>
        <v/>
      </c>
      <c r="V125" s="0">
        <f>IF($A125="","",SUMIFS($I$1:$I$349,$AS$1:$AS$349,$AS125))</f>
        <v/>
      </c>
      <c r="W125" s="0">
        <f>IF($A125="","",Allocation!CD125)</f>
        <v/>
      </c>
      <c r="X125" s="0">
        <f>IF($A125="","",Allocation!CE125)</f>
        <v/>
      </c>
      <c r="Y125" s="0">
        <f>IF($A125="","",Allocation!CF125)</f>
        <v/>
      </c>
      <c r="Z125" s="0">
        <f>IF($A125="","",Allocation!CG125)</f>
        <v/>
      </c>
      <c r="AA125" s="0">
        <f>IF($A125="","",Allocation!CH125)</f>
        <v/>
      </c>
      <c r="AB125" s="0">
        <f>IF($A125="","",Allocation!CI125)</f>
        <v/>
      </c>
      <c r="AC125" s="0">
        <f>IF($A125="","",IF(Allocation!$N$4="VOL_EFF",$G125,IF(Allocation!$N$4="VOL_CLASS",$H125,$I125)))</f>
        <v/>
      </c>
      <c r="AD125" s="0">
        <f>IF($A125="","",IF(Allocation!$N$4="VOL_EFF",$L125,IF(Allocation!$N$4="VOL_CLASS",$M125,$N125)))</f>
        <v/>
      </c>
      <c r="AE125" s="0">
        <f>IF($A125="","",IF(Allocation!$N$3="VOL_EFF",$L125,IF(Allocation!$N$3="VOL_CLASS",$M125,$N125)))</f>
        <v/>
      </c>
      <c r="AF125" s="0">
        <f>IF($A125="","",IF(Allocation!$N$3="VOL_EFF",$Q125,IF(Allocation!$N$3="VOL_CLASS",$R125,$S125)))</f>
        <v/>
      </c>
      <c r="AG125" s="0">
        <f>IF($A125="","",IF(Allocation!$N$1="VOL_EFF",$Q125,IF(Allocation!$N$1="VOL_CLASS",$R125,$S125)))</f>
        <v/>
      </c>
      <c r="AH125" s="0">
        <f>IF($A125="","",IF(Allocation!$N$1="VOL_EFF",$T125,IF(Allocation!$N$1="VOL_CLASS",$U125,$V125)))</f>
        <v/>
      </c>
      <c r="AI125" s="0">
        <f>IF($A125="","",$W125*IFERROR($K125/$O125,0))</f>
        <v/>
      </c>
      <c r="AJ125" s="0">
        <f>IF($A125="","",$X125*IFERROR($K125/$O125,0))</f>
        <v/>
      </c>
      <c r="AK125" s="0">
        <f>IF($A125="","",$Y125*IFERROR($G125/$L125,0)+$Z125*IFERROR($J125/$P125,0))</f>
        <v/>
      </c>
      <c r="AL125" s="0">
        <f>IF($A125="","",$AA125*IFERROR($AC125/$AD125,0))</f>
        <v/>
      </c>
      <c r="AM125" s="0">
        <f>IF($A125="","",$AB125*IFERROR($AG125/$AH125,0)*IFERROR($AE125/$AF125,0)*IFERROR($AC125/$AD125,0))</f>
        <v/>
      </c>
      <c r="AN125" s="0">
        <f>IF($A125="","",$I125-($AI125+$AJ125+$AK125+$AL125+$AM125+$AR125))</f>
        <v/>
      </c>
      <c r="AO125" s="0">
        <f>IF($A125="","",Allocation!CJ125)</f>
        <v/>
      </c>
      <c r="AP125" s="0">
        <f>IF($A125="","",IF(Allocation!$N$2="VOL_EFF",$Q125,IF(Allocation!$N$2="VOL_CLASS",$R125,$S125)))</f>
        <v/>
      </c>
      <c r="AQ125" s="0">
        <f>IF($A125="","",IF(Allocation!$N$2="VOL_EFF",$T125,IF(Allocation!$N$2="VOL_CLASS",$U125,$V125)))</f>
        <v/>
      </c>
      <c r="AR125" s="0">
        <f>IF($A125="","",$AO125*IFERROR($AP125/$AQ125,0)*IFERROR($AE125/$AF125,0)*IFERROR($AC125/$AD125,0))</f>
        <v/>
      </c>
      <c r="AS125" s="0">
        <f>IF($A125="","",$A125&amp;"|"&amp;Allocation!BG125)</f>
        <v/>
      </c>
    </row>
    <row r="126" ht="14.4975" customHeight="1" s="64">
      <c r="A126" s="0">
        <f>IF(Allocation!BI126="","",Allocation!BI126)</f>
        <v/>
      </c>
      <c r="B126" s="0">
        <f>IF(Allocation!BJ126="","",Allocation!BJ126)</f>
        <v/>
      </c>
      <c r="C126" s="0">
        <f>IF(Allocation!BK126="","",Allocation!BK126)</f>
        <v/>
      </c>
      <c r="D126" s="0">
        <f>IF(Allocation!BL126="","",Allocation!BL126)</f>
        <v/>
      </c>
      <c r="E126" s="0">
        <f>IF(Allocation!BM126="","",Allocation!BM126)</f>
        <v/>
      </c>
      <c r="F126" s="0">
        <f>IF(Allocation!BN126="","",Allocation!BN126)</f>
        <v/>
      </c>
      <c r="G126" s="0">
        <f>IF(Allocation!BO126="","",Allocation!BO126)</f>
        <v/>
      </c>
      <c r="H126" s="0">
        <f>IF(Allocation!BP126="","",Allocation!BP126)</f>
        <v/>
      </c>
      <c r="I126" s="0">
        <f>IF(Allocation!BQ126="","",Allocation!BQ126)</f>
        <v/>
      </c>
      <c r="J126" s="0">
        <f>IF(Allocation!CC126="","",Allocation!CC126)</f>
        <v/>
      </c>
      <c r="K126" s="0">
        <f>IF($A126="","",$H126*IF(AND(LEFT($D126,3)="BAC",$F126="INIT"),600,IF(LEFT($D126,3)="BAC",480,IF(AND(LEFT($D126,3)="MAS",$F126="INIT"),520,IF(LEFT($D126,3)="MAS",420,IF($F126="INIT",1000,700))))))</f>
        <v/>
      </c>
      <c r="L126" s="0">
        <f>IF($A126="","",SUMIFS($G$1:$G$349,$AS$1:$AS$349,$AS126,$B$1:$B$349,$B126))</f>
        <v/>
      </c>
      <c r="M126" s="0">
        <f>IF($A126="","",SUMIFS($H$1:$H$349,$AS$1:$AS$349,$AS126,$B$1:$B$349,$B126))</f>
        <v/>
      </c>
      <c r="N126" s="0">
        <f>IF($A126="","",SUMIFS($I$1:$I$349,$AS$1:$AS$349,$AS126,$B$1:$B$349,$B126))</f>
        <v/>
      </c>
      <c r="O126" s="0">
        <f>IF($A126="","",SUMIFS($K$1:$K$349,$AS$1:$AS$349,$AS126,$B$1:$B$349,$B126))</f>
        <v/>
      </c>
      <c r="P126" s="0">
        <f>IF($A126="","",SUMIFS($J$1:$J$349,$AS$1:$AS$349,$AS126,$B$1:$B$349,$B126))</f>
        <v/>
      </c>
      <c r="Q126" s="0">
        <f>IF($A126="","",SUMIFS($G$1:$G$349,$AS$1:$AS$349,$AS126,$C$1:$C$349,$C126))</f>
        <v/>
      </c>
      <c r="R126" s="0">
        <f>IF($A126="","",SUMIFS($H$1:$H$349,$AS$1:$AS$349,$AS126,$C$1:$C$349,$C126))</f>
        <v/>
      </c>
      <c r="S126" s="0">
        <f>IF($A126="","",SUMIFS($I$1:$I$349,$AS$1:$AS$349,$AS126,$C$1:$C$349,$C126))</f>
        <v/>
      </c>
      <c r="T126" s="0">
        <f>IF($A126="","",SUMIFS($G$1:$G$349,$AS$1:$AS$349,$AS126))</f>
        <v/>
      </c>
      <c r="U126" s="0">
        <f>IF($A126="","",SUMIFS($H$1:$H$349,$AS$1:$AS$349,$AS126))</f>
        <v/>
      </c>
      <c r="V126" s="0">
        <f>IF($A126="","",SUMIFS($I$1:$I$349,$AS$1:$AS$349,$AS126))</f>
        <v/>
      </c>
      <c r="W126" s="0">
        <f>IF($A126="","",Allocation!CD126)</f>
        <v/>
      </c>
      <c r="X126" s="0">
        <f>IF($A126="","",Allocation!CE126)</f>
        <v/>
      </c>
      <c r="Y126" s="0">
        <f>IF($A126="","",Allocation!CF126)</f>
        <v/>
      </c>
      <c r="Z126" s="0">
        <f>IF($A126="","",Allocation!CG126)</f>
        <v/>
      </c>
      <c r="AA126" s="0">
        <f>IF($A126="","",Allocation!CH126)</f>
        <v/>
      </c>
      <c r="AB126" s="0">
        <f>IF($A126="","",Allocation!CI126)</f>
        <v/>
      </c>
      <c r="AC126" s="0">
        <f>IF($A126="","",IF(Allocation!$N$4="VOL_EFF",$G126,IF(Allocation!$N$4="VOL_CLASS",$H126,$I126)))</f>
        <v/>
      </c>
      <c r="AD126" s="0">
        <f>IF($A126="","",IF(Allocation!$N$4="VOL_EFF",$L126,IF(Allocation!$N$4="VOL_CLASS",$M126,$N126)))</f>
        <v/>
      </c>
      <c r="AE126" s="0">
        <f>IF($A126="","",IF(Allocation!$N$3="VOL_EFF",$L126,IF(Allocation!$N$3="VOL_CLASS",$M126,$N126)))</f>
        <v/>
      </c>
      <c r="AF126" s="0">
        <f>IF($A126="","",IF(Allocation!$N$3="VOL_EFF",$Q126,IF(Allocation!$N$3="VOL_CLASS",$R126,$S126)))</f>
        <v/>
      </c>
      <c r="AG126" s="0">
        <f>IF($A126="","",IF(Allocation!$N$1="VOL_EFF",$Q126,IF(Allocation!$N$1="VOL_CLASS",$R126,$S126)))</f>
        <v/>
      </c>
      <c r="AH126" s="0">
        <f>IF($A126="","",IF(Allocation!$N$1="VOL_EFF",$T126,IF(Allocation!$N$1="VOL_CLASS",$U126,$V126)))</f>
        <v/>
      </c>
      <c r="AI126" s="0">
        <f>IF($A126="","",$W126*IFERROR($K126/$O126,0))</f>
        <v/>
      </c>
      <c r="AJ126" s="0">
        <f>IF($A126="","",$X126*IFERROR($K126/$O126,0))</f>
        <v/>
      </c>
      <c r="AK126" s="0">
        <f>IF($A126="","",$Y126*IFERROR($G126/$L126,0)+$Z126*IFERROR($J126/$P126,0))</f>
        <v/>
      </c>
      <c r="AL126" s="0">
        <f>IF($A126="","",$AA126*IFERROR($AC126/$AD126,0))</f>
        <v/>
      </c>
      <c r="AM126" s="0">
        <f>IF($A126="","",$AB126*IFERROR($AG126/$AH126,0)*IFERROR($AE126/$AF126,0)*IFERROR($AC126/$AD126,0))</f>
        <v/>
      </c>
      <c r="AN126" s="0">
        <f>IF($A126="","",$I126-($AI126+$AJ126+$AK126+$AL126+$AM126+$AR126))</f>
        <v/>
      </c>
      <c r="AO126" s="0">
        <f>IF($A126="","",Allocation!CJ126)</f>
        <v/>
      </c>
      <c r="AP126" s="0">
        <f>IF($A126="","",IF(Allocation!$N$2="VOL_EFF",$Q126,IF(Allocation!$N$2="VOL_CLASS",$R126,$S126)))</f>
        <v/>
      </c>
      <c r="AQ126" s="0">
        <f>IF($A126="","",IF(Allocation!$N$2="VOL_EFF",$T126,IF(Allocation!$N$2="VOL_CLASS",$U126,$V126)))</f>
        <v/>
      </c>
      <c r="AR126" s="0">
        <f>IF($A126="","",$AO126*IFERROR($AP126/$AQ126,0)*IFERROR($AE126/$AF126,0)*IFERROR($AC126/$AD126,0))</f>
        <v/>
      </c>
      <c r="AS126" s="0">
        <f>IF($A126="","",$A126&amp;"|"&amp;Allocation!BG126)</f>
        <v/>
      </c>
    </row>
    <row r="127" ht="14.4975" customHeight="1" s="64">
      <c r="A127" s="0">
        <f>IF(Allocation!BI127="","",Allocation!BI127)</f>
        <v/>
      </c>
      <c r="B127" s="0">
        <f>IF(Allocation!BJ127="","",Allocation!BJ127)</f>
        <v/>
      </c>
      <c r="C127" s="0">
        <f>IF(Allocation!BK127="","",Allocation!BK127)</f>
        <v/>
      </c>
      <c r="D127" s="0">
        <f>IF(Allocation!BL127="","",Allocation!BL127)</f>
        <v/>
      </c>
      <c r="E127" s="0">
        <f>IF(Allocation!BM127="","",Allocation!BM127)</f>
        <v/>
      </c>
      <c r="F127" s="0">
        <f>IF(Allocation!BN127="","",Allocation!BN127)</f>
        <v/>
      </c>
      <c r="G127" s="0">
        <f>IF(Allocation!BO127="","",Allocation!BO127)</f>
        <v/>
      </c>
      <c r="H127" s="0">
        <f>IF(Allocation!BP127="","",Allocation!BP127)</f>
        <v/>
      </c>
      <c r="I127" s="0">
        <f>IF(Allocation!BQ127="","",Allocation!BQ127)</f>
        <v/>
      </c>
      <c r="J127" s="0">
        <f>IF(Allocation!CC127="","",Allocation!CC127)</f>
        <v/>
      </c>
      <c r="K127" s="0">
        <f>IF($A127="","",$H127*IF(AND(LEFT($D127,3)="BAC",$F127="INIT"),600,IF(LEFT($D127,3)="BAC",480,IF(AND(LEFT($D127,3)="MAS",$F127="INIT"),520,IF(LEFT($D127,3)="MAS",420,IF($F127="INIT",1000,700))))))</f>
        <v/>
      </c>
      <c r="L127" s="0">
        <f>IF($A127="","",SUMIFS($G$1:$G$349,$AS$1:$AS$349,$AS127,$B$1:$B$349,$B127))</f>
        <v/>
      </c>
      <c r="M127" s="0">
        <f>IF($A127="","",SUMIFS($H$1:$H$349,$AS$1:$AS$349,$AS127,$B$1:$B$349,$B127))</f>
        <v/>
      </c>
      <c r="N127" s="0">
        <f>IF($A127="","",SUMIFS($I$1:$I$349,$AS$1:$AS$349,$AS127,$B$1:$B$349,$B127))</f>
        <v/>
      </c>
      <c r="O127" s="0">
        <f>IF($A127="","",SUMIFS($K$1:$K$349,$AS$1:$AS$349,$AS127,$B$1:$B$349,$B127))</f>
        <v/>
      </c>
      <c r="P127" s="0">
        <f>IF($A127="","",SUMIFS($J$1:$J$349,$AS$1:$AS$349,$AS127,$B$1:$B$349,$B127))</f>
        <v/>
      </c>
      <c r="Q127" s="0">
        <f>IF($A127="","",SUMIFS($G$1:$G$349,$AS$1:$AS$349,$AS127,$C$1:$C$349,$C127))</f>
        <v/>
      </c>
      <c r="R127" s="0">
        <f>IF($A127="","",SUMIFS($H$1:$H$349,$AS$1:$AS$349,$AS127,$C$1:$C$349,$C127))</f>
        <v/>
      </c>
      <c r="S127" s="0">
        <f>IF($A127="","",SUMIFS($I$1:$I$349,$AS$1:$AS$349,$AS127,$C$1:$C$349,$C127))</f>
        <v/>
      </c>
      <c r="T127" s="0">
        <f>IF($A127="","",SUMIFS($G$1:$G$349,$AS$1:$AS$349,$AS127))</f>
        <v/>
      </c>
      <c r="U127" s="0">
        <f>IF($A127="","",SUMIFS($H$1:$H$349,$AS$1:$AS$349,$AS127))</f>
        <v/>
      </c>
      <c r="V127" s="0">
        <f>IF($A127="","",SUMIFS($I$1:$I$349,$AS$1:$AS$349,$AS127))</f>
        <v/>
      </c>
      <c r="W127" s="0">
        <f>IF($A127="","",Allocation!CD127)</f>
        <v/>
      </c>
      <c r="X127" s="0">
        <f>IF($A127="","",Allocation!CE127)</f>
        <v/>
      </c>
      <c r="Y127" s="0">
        <f>IF($A127="","",Allocation!CF127)</f>
        <v/>
      </c>
      <c r="Z127" s="0">
        <f>IF($A127="","",Allocation!CG127)</f>
        <v/>
      </c>
      <c r="AA127" s="0">
        <f>IF($A127="","",Allocation!CH127)</f>
        <v/>
      </c>
      <c r="AB127" s="0">
        <f>IF($A127="","",Allocation!CI127)</f>
        <v/>
      </c>
      <c r="AC127" s="0">
        <f>IF($A127="","",IF(Allocation!$N$4="VOL_EFF",$G127,IF(Allocation!$N$4="VOL_CLASS",$H127,$I127)))</f>
        <v/>
      </c>
      <c r="AD127" s="0">
        <f>IF($A127="","",IF(Allocation!$N$4="VOL_EFF",$L127,IF(Allocation!$N$4="VOL_CLASS",$M127,$N127)))</f>
        <v/>
      </c>
      <c r="AE127" s="0">
        <f>IF($A127="","",IF(Allocation!$N$3="VOL_EFF",$L127,IF(Allocation!$N$3="VOL_CLASS",$M127,$N127)))</f>
        <v/>
      </c>
      <c r="AF127" s="0">
        <f>IF($A127="","",IF(Allocation!$N$3="VOL_EFF",$Q127,IF(Allocation!$N$3="VOL_CLASS",$R127,$S127)))</f>
        <v/>
      </c>
      <c r="AG127" s="0">
        <f>IF($A127="","",IF(Allocation!$N$1="VOL_EFF",$Q127,IF(Allocation!$N$1="VOL_CLASS",$R127,$S127)))</f>
        <v/>
      </c>
      <c r="AH127" s="0">
        <f>IF($A127="","",IF(Allocation!$N$1="VOL_EFF",$T127,IF(Allocation!$N$1="VOL_CLASS",$U127,$V127)))</f>
        <v/>
      </c>
      <c r="AI127" s="0">
        <f>IF($A127="","",$W127*IFERROR($K127/$O127,0))</f>
        <v/>
      </c>
      <c r="AJ127" s="0">
        <f>IF($A127="","",$X127*IFERROR($K127/$O127,0))</f>
        <v/>
      </c>
      <c r="AK127" s="0">
        <f>IF($A127="","",$Y127*IFERROR($G127/$L127,0)+$Z127*IFERROR($J127/$P127,0))</f>
        <v/>
      </c>
      <c r="AL127" s="0">
        <f>IF($A127="","",$AA127*IFERROR($AC127/$AD127,0))</f>
        <v/>
      </c>
      <c r="AM127" s="0">
        <f>IF($A127="","",$AB127*IFERROR($AG127/$AH127,0)*IFERROR($AE127/$AF127,0)*IFERROR($AC127/$AD127,0))</f>
        <v/>
      </c>
      <c r="AN127" s="0">
        <f>IF($A127="","",$I127-($AI127+$AJ127+$AK127+$AL127+$AM127+$AR127))</f>
        <v/>
      </c>
      <c r="AO127" s="0">
        <f>IF($A127="","",Allocation!CJ127)</f>
        <v/>
      </c>
      <c r="AP127" s="0">
        <f>IF($A127="","",IF(Allocation!$N$2="VOL_EFF",$Q127,IF(Allocation!$N$2="VOL_CLASS",$R127,$S127)))</f>
        <v/>
      </c>
      <c r="AQ127" s="0">
        <f>IF($A127="","",IF(Allocation!$N$2="VOL_EFF",$T127,IF(Allocation!$N$2="VOL_CLASS",$U127,$V127)))</f>
        <v/>
      </c>
      <c r="AR127" s="0">
        <f>IF($A127="","",$AO127*IFERROR($AP127/$AQ127,0)*IFERROR($AE127/$AF127,0)*IFERROR($AC127/$AD127,0))</f>
        <v/>
      </c>
      <c r="AS127" s="0">
        <f>IF($A127="","",$A127&amp;"|"&amp;Allocation!BG127)</f>
        <v/>
      </c>
    </row>
    <row r="128" ht="14.4975" customHeight="1" s="64">
      <c r="A128" s="0">
        <f>IF(Allocation!BI128="","",Allocation!BI128)</f>
        <v/>
      </c>
      <c r="B128" s="0">
        <f>IF(Allocation!BJ128="","",Allocation!BJ128)</f>
        <v/>
      </c>
      <c r="C128" s="0">
        <f>IF(Allocation!BK128="","",Allocation!BK128)</f>
        <v/>
      </c>
      <c r="D128" s="0">
        <f>IF(Allocation!BL128="","",Allocation!BL128)</f>
        <v/>
      </c>
      <c r="E128" s="0">
        <f>IF(Allocation!BM128="","",Allocation!BM128)</f>
        <v/>
      </c>
      <c r="F128" s="0">
        <f>IF(Allocation!BN128="","",Allocation!BN128)</f>
        <v/>
      </c>
      <c r="G128" s="0">
        <f>IF(Allocation!BO128="","",Allocation!BO128)</f>
        <v/>
      </c>
      <c r="H128" s="0">
        <f>IF(Allocation!BP128="","",Allocation!BP128)</f>
        <v/>
      </c>
      <c r="I128" s="0">
        <f>IF(Allocation!BQ128="","",Allocation!BQ128)</f>
        <v/>
      </c>
      <c r="J128" s="0">
        <f>IF(Allocation!CC128="","",Allocation!CC128)</f>
        <v/>
      </c>
      <c r="K128" s="0">
        <f>IF($A128="","",$H128*IF(AND(LEFT($D128,3)="BAC",$F128="INIT"),600,IF(LEFT($D128,3)="BAC",480,IF(AND(LEFT($D128,3)="MAS",$F128="INIT"),520,IF(LEFT($D128,3)="MAS",420,IF($F128="INIT",1000,700))))))</f>
        <v/>
      </c>
      <c r="L128" s="0">
        <f>IF($A128="","",SUMIFS($G$1:$G$349,$AS$1:$AS$349,$AS128,$B$1:$B$349,$B128))</f>
        <v/>
      </c>
      <c r="M128" s="0">
        <f>IF($A128="","",SUMIFS($H$1:$H$349,$AS$1:$AS$349,$AS128,$B$1:$B$349,$B128))</f>
        <v/>
      </c>
      <c r="N128" s="0">
        <f>IF($A128="","",SUMIFS($I$1:$I$349,$AS$1:$AS$349,$AS128,$B$1:$B$349,$B128))</f>
        <v/>
      </c>
      <c r="O128" s="0">
        <f>IF($A128="","",SUMIFS($K$1:$K$349,$AS$1:$AS$349,$AS128,$B$1:$B$349,$B128))</f>
        <v/>
      </c>
      <c r="P128" s="0">
        <f>IF($A128="","",SUMIFS($J$1:$J$349,$AS$1:$AS$349,$AS128,$B$1:$B$349,$B128))</f>
        <v/>
      </c>
      <c r="Q128" s="0">
        <f>IF($A128="","",SUMIFS($G$1:$G$349,$AS$1:$AS$349,$AS128,$C$1:$C$349,$C128))</f>
        <v/>
      </c>
      <c r="R128" s="0">
        <f>IF($A128="","",SUMIFS($H$1:$H$349,$AS$1:$AS$349,$AS128,$C$1:$C$349,$C128))</f>
        <v/>
      </c>
      <c r="S128" s="0">
        <f>IF($A128="","",SUMIFS($I$1:$I$349,$AS$1:$AS$349,$AS128,$C$1:$C$349,$C128))</f>
        <v/>
      </c>
      <c r="T128" s="0">
        <f>IF($A128="","",SUMIFS($G$1:$G$349,$AS$1:$AS$349,$AS128))</f>
        <v/>
      </c>
      <c r="U128" s="0">
        <f>IF($A128="","",SUMIFS($H$1:$H$349,$AS$1:$AS$349,$AS128))</f>
        <v/>
      </c>
      <c r="V128" s="0">
        <f>IF($A128="","",SUMIFS($I$1:$I$349,$AS$1:$AS$349,$AS128))</f>
        <v/>
      </c>
      <c r="W128" s="0">
        <f>IF($A128="","",Allocation!CD128)</f>
        <v/>
      </c>
      <c r="X128" s="0">
        <f>IF($A128="","",Allocation!CE128)</f>
        <v/>
      </c>
      <c r="Y128" s="0">
        <f>IF($A128="","",Allocation!CF128)</f>
        <v/>
      </c>
      <c r="Z128" s="0">
        <f>IF($A128="","",Allocation!CG128)</f>
        <v/>
      </c>
      <c r="AA128" s="0">
        <f>IF($A128="","",Allocation!CH128)</f>
        <v/>
      </c>
      <c r="AB128" s="0">
        <f>IF($A128="","",Allocation!CI128)</f>
        <v/>
      </c>
      <c r="AC128" s="0">
        <f>IF($A128="","",IF(Allocation!$N$4="VOL_EFF",$G128,IF(Allocation!$N$4="VOL_CLASS",$H128,$I128)))</f>
        <v/>
      </c>
      <c r="AD128" s="0">
        <f>IF($A128="","",IF(Allocation!$N$4="VOL_EFF",$L128,IF(Allocation!$N$4="VOL_CLASS",$M128,$N128)))</f>
        <v/>
      </c>
      <c r="AE128" s="0">
        <f>IF($A128="","",IF(Allocation!$N$3="VOL_EFF",$L128,IF(Allocation!$N$3="VOL_CLASS",$M128,$N128)))</f>
        <v/>
      </c>
      <c r="AF128" s="0">
        <f>IF($A128="","",IF(Allocation!$N$3="VOL_EFF",$Q128,IF(Allocation!$N$3="VOL_CLASS",$R128,$S128)))</f>
        <v/>
      </c>
      <c r="AG128" s="0">
        <f>IF($A128="","",IF(Allocation!$N$1="VOL_EFF",$Q128,IF(Allocation!$N$1="VOL_CLASS",$R128,$S128)))</f>
        <v/>
      </c>
      <c r="AH128" s="0">
        <f>IF($A128="","",IF(Allocation!$N$1="VOL_EFF",$T128,IF(Allocation!$N$1="VOL_CLASS",$U128,$V128)))</f>
        <v/>
      </c>
      <c r="AI128" s="0">
        <f>IF($A128="","",$W128*IFERROR($K128/$O128,0))</f>
        <v/>
      </c>
      <c r="AJ128" s="0">
        <f>IF($A128="","",$X128*IFERROR($K128/$O128,0))</f>
        <v/>
      </c>
      <c r="AK128" s="0">
        <f>IF($A128="","",$Y128*IFERROR($G128/$L128,0)+$Z128*IFERROR($J128/$P128,0))</f>
        <v/>
      </c>
      <c r="AL128" s="0">
        <f>IF($A128="","",$AA128*IFERROR($AC128/$AD128,0))</f>
        <v/>
      </c>
      <c r="AM128" s="0">
        <f>IF($A128="","",$AB128*IFERROR($AG128/$AH128,0)*IFERROR($AE128/$AF128,0)*IFERROR($AC128/$AD128,0))</f>
        <v/>
      </c>
      <c r="AN128" s="0">
        <f>IF($A128="","",$I128-($AI128+$AJ128+$AK128+$AL128+$AM128+$AR128))</f>
        <v/>
      </c>
      <c r="AO128" s="0">
        <f>IF($A128="","",Allocation!CJ128)</f>
        <v/>
      </c>
      <c r="AP128" s="0">
        <f>IF($A128="","",IF(Allocation!$N$2="VOL_EFF",$Q128,IF(Allocation!$N$2="VOL_CLASS",$R128,$S128)))</f>
        <v/>
      </c>
      <c r="AQ128" s="0">
        <f>IF($A128="","",IF(Allocation!$N$2="VOL_EFF",$T128,IF(Allocation!$N$2="VOL_CLASS",$U128,$V128)))</f>
        <v/>
      </c>
      <c r="AR128" s="0">
        <f>IF($A128="","",$AO128*IFERROR($AP128/$AQ128,0)*IFERROR($AE128/$AF128,0)*IFERROR($AC128/$AD128,0))</f>
        <v/>
      </c>
      <c r="AS128" s="0">
        <f>IF($A128="","",$A128&amp;"|"&amp;Allocation!BG128)</f>
        <v/>
      </c>
    </row>
    <row r="129" ht="14.4975" customHeight="1" s="64">
      <c r="A129" s="0">
        <f>IF(Allocation!BI129="","",Allocation!BI129)</f>
        <v/>
      </c>
      <c r="B129" s="0">
        <f>IF(Allocation!BJ129="","",Allocation!BJ129)</f>
        <v/>
      </c>
      <c r="C129" s="0">
        <f>IF(Allocation!BK129="","",Allocation!BK129)</f>
        <v/>
      </c>
      <c r="D129" s="0">
        <f>IF(Allocation!BL129="","",Allocation!BL129)</f>
        <v/>
      </c>
      <c r="E129" s="0">
        <f>IF(Allocation!BM129="","",Allocation!BM129)</f>
        <v/>
      </c>
      <c r="F129" s="0">
        <f>IF(Allocation!BN129="","",Allocation!BN129)</f>
        <v/>
      </c>
      <c r="G129" s="0">
        <f>IF(Allocation!BO129="","",Allocation!BO129)</f>
        <v/>
      </c>
      <c r="H129" s="0">
        <f>IF(Allocation!BP129="","",Allocation!BP129)</f>
        <v/>
      </c>
      <c r="I129" s="0">
        <f>IF(Allocation!BQ129="","",Allocation!BQ129)</f>
        <v/>
      </c>
      <c r="J129" s="0">
        <f>IF(Allocation!CC129="","",Allocation!CC129)</f>
        <v/>
      </c>
      <c r="K129" s="0">
        <f>IF($A129="","",$H129*IF(AND(LEFT($D129,3)="BAC",$F129="INIT"),600,IF(LEFT($D129,3)="BAC",480,IF(AND(LEFT($D129,3)="MAS",$F129="INIT"),520,IF(LEFT($D129,3)="MAS",420,IF($F129="INIT",1000,700))))))</f>
        <v/>
      </c>
      <c r="L129" s="0">
        <f>IF($A129="","",SUMIFS($G$1:$G$349,$AS$1:$AS$349,$AS129,$B$1:$B$349,$B129))</f>
        <v/>
      </c>
      <c r="M129" s="0">
        <f>IF($A129="","",SUMIFS($H$1:$H$349,$AS$1:$AS$349,$AS129,$B$1:$B$349,$B129))</f>
        <v/>
      </c>
      <c r="N129" s="0">
        <f>IF($A129="","",SUMIFS($I$1:$I$349,$AS$1:$AS$349,$AS129,$B$1:$B$349,$B129))</f>
        <v/>
      </c>
      <c r="O129" s="0">
        <f>IF($A129="","",SUMIFS($K$1:$K$349,$AS$1:$AS$349,$AS129,$B$1:$B$349,$B129))</f>
        <v/>
      </c>
      <c r="P129" s="0">
        <f>IF($A129="","",SUMIFS($J$1:$J$349,$AS$1:$AS$349,$AS129,$B$1:$B$349,$B129))</f>
        <v/>
      </c>
      <c r="Q129" s="0">
        <f>IF($A129="","",SUMIFS($G$1:$G$349,$AS$1:$AS$349,$AS129,$C$1:$C$349,$C129))</f>
        <v/>
      </c>
      <c r="R129" s="0">
        <f>IF($A129="","",SUMIFS($H$1:$H$349,$AS$1:$AS$349,$AS129,$C$1:$C$349,$C129))</f>
        <v/>
      </c>
      <c r="S129" s="0">
        <f>IF($A129="","",SUMIFS($I$1:$I$349,$AS$1:$AS$349,$AS129,$C$1:$C$349,$C129))</f>
        <v/>
      </c>
      <c r="T129" s="0">
        <f>IF($A129="","",SUMIFS($G$1:$G$349,$AS$1:$AS$349,$AS129))</f>
        <v/>
      </c>
      <c r="U129" s="0">
        <f>IF($A129="","",SUMIFS($H$1:$H$349,$AS$1:$AS$349,$AS129))</f>
        <v/>
      </c>
      <c r="V129" s="0">
        <f>IF($A129="","",SUMIFS($I$1:$I$349,$AS$1:$AS$349,$AS129))</f>
        <v/>
      </c>
      <c r="W129" s="0">
        <f>IF($A129="","",Allocation!CD129)</f>
        <v/>
      </c>
      <c r="X129" s="0">
        <f>IF($A129="","",Allocation!CE129)</f>
        <v/>
      </c>
      <c r="Y129" s="0">
        <f>IF($A129="","",Allocation!CF129)</f>
        <v/>
      </c>
      <c r="Z129" s="0">
        <f>IF($A129="","",Allocation!CG129)</f>
        <v/>
      </c>
      <c r="AA129" s="0">
        <f>IF($A129="","",Allocation!CH129)</f>
        <v/>
      </c>
      <c r="AB129" s="0">
        <f>IF($A129="","",Allocation!CI129)</f>
        <v/>
      </c>
      <c r="AC129" s="0">
        <f>IF($A129="","",IF(Allocation!$N$4="VOL_EFF",$G129,IF(Allocation!$N$4="VOL_CLASS",$H129,$I129)))</f>
        <v/>
      </c>
      <c r="AD129" s="0">
        <f>IF($A129="","",IF(Allocation!$N$4="VOL_EFF",$L129,IF(Allocation!$N$4="VOL_CLASS",$M129,$N129)))</f>
        <v/>
      </c>
      <c r="AE129" s="0">
        <f>IF($A129="","",IF(Allocation!$N$3="VOL_EFF",$L129,IF(Allocation!$N$3="VOL_CLASS",$M129,$N129)))</f>
        <v/>
      </c>
      <c r="AF129" s="0">
        <f>IF($A129="","",IF(Allocation!$N$3="VOL_EFF",$Q129,IF(Allocation!$N$3="VOL_CLASS",$R129,$S129)))</f>
        <v/>
      </c>
      <c r="AG129" s="0">
        <f>IF($A129="","",IF(Allocation!$N$1="VOL_EFF",$Q129,IF(Allocation!$N$1="VOL_CLASS",$R129,$S129)))</f>
        <v/>
      </c>
      <c r="AH129" s="0">
        <f>IF($A129="","",IF(Allocation!$N$1="VOL_EFF",$T129,IF(Allocation!$N$1="VOL_CLASS",$U129,$V129)))</f>
        <v/>
      </c>
      <c r="AI129" s="0">
        <f>IF($A129="","",$W129*IFERROR($K129/$O129,0))</f>
        <v/>
      </c>
      <c r="AJ129" s="0">
        <f>IF($A129="","",$X129*IFERROR($K129/$O129,0))</f>
        <v/>
      </c>
      <c r="AK129" s="0">
        <f>IF($A129="","",$Y129*IFERROR($G129/$L129,0)+$Z129*IFERROR($J129/$P129,0))</f>
        <v/>
      </c>
      <c r="AL129" s="0">
        <f>IF($A129="","",$AA129*IFERROR($AC129/$AD129,0))</f>
        <v/>
      </c>
      <c r="AM129" s="0">
        <f>IF($A129="","",$AB129*IFERROR($AG129/$AH129,0)*IFERROR($AE129/$AF129,0)*IFERROR($AC129/$AD129,0))</f>
        <v/>
      </c>
      <c r="AN129" s="0">
        <f>IF($A129="","",$I129-($AI129+$AJ129+$AK129+$AL129+$AM129+$AR129))</f>
        <v/>
      </c>
      <c r="AO129" s="0">
        <f>IF($A129="","",Allocation!CJ129)</f>
        <v/>
      </c>
      <c r="AP129" s="0">
        <f>IF($A129="","",IF(Allocation!$N$2="VOL_EFF",$Q129,IF(Allocation!$N$2="VOL_CLASS",$R129,$S129)))</f>
        <v/>
      </c>
      <c r="AQ129" s="0">
        <f>IF($A129="","",IF(Allocation!$N$2="VOL_EFF",$T129,IF(Allocation!$N$2="VOL_CLASS",$U129,$V129)))</f>
        <v/>
      </c>
      <c r="AR129" s="0">
        <f>IF($A129="","",$AO129*IFERROR($AP129/$AQ129,0)*IFERROR($AE129/$AF129,0)*IFERROR($AC129/$AD129,0))</f>
        <v/>
      </c>
      <c r="AS129" s="0">
        <f>IF($A129="","",$A129&amp;"|"&amp;Allocation!BG129)</f>
        <v/>
      </c>
    </row>
    <row r="130" ht="14.4975" customHeight="1" s="64">
      <c r="A130" s="0">
        <f>IF(Allocation!BI130="","",Allocation!BI130)</f>
        <v/>
      </c>
      <c r="B130" s="0">
        <f>IF(Allocation!BJ130="","",Allocation!BJ130)</f>
        <v/>
      </c>
      <c r="C130" s="0">
        <f>IF(Allocation!BK130="","",Allocation!BK130)</f>
        <v/>
      </c>
      <c r="D130" s="0">
        <f>IF(Allocation!BL130="","",Allocation!BL130)</f>
        <v/>
      </c>
      <c r="E130" s="0">
        <f>IF(Allocation!BM130="","",Allocation!BM130)</f>
        <v/>
      </c>
      <c r="F130" s="0">
        <f>IF(Allocation!BN130="","",Allocation!BN130)</f>
        <v/>
      </c>
      <c r="G130" s="0">
        <f>IF(Allocation!BO130="","",Allocation!BO130)</f>
        <v/>
      </c>
      <c r="H130" s="0">
        <f>IF(Allocation!BP130="","",Allocation!BP130)</f>
        <v/>
      </c>
      <c r="I130" s="0">
        <f>IF(Allocation!BQ130="","",Allocation!BQ130)</f>
        <v/>
      </c>
      <c r="J130" s="0">
        <f>IF(Allocation!CC130="","",Allocation!CC130)</f>
        <v/>
      </c>
      <c r="K130" s="0">
        <f>IF($A130="","",$H130*IF(AND(LEFT($D130,3)="BAC",$F130="INIT"),600,IF(LEFT($D130,3)="BAC",480,IF(AND(LEFT($D130,3)="MAS",$F130="INIT"),520,IF(LEFT($D130,3)="MAS",420,IF($F130="INIT",1000,700))))))</f>
        <v/>
      </c>
      <c r="L130" s="0">
        <f>IF($A130="","",SUMIFS($G$1:$G$349,$AS$1:$AS$349,$AS130,$B$1:$B$349,$B130))</f>
        <v/>
      </c>
      <c r="M130" s="0">
        <f>IF($A130="","",SUMIFS($H$1:$H$349,$AS$1:$AS$349,$AS130,$B$1:$B$349,$B130))</f>
        <v/>
      </c>
      <c r="N130" s="0">
        <f>IF($A130="","",SUMIFS($I$1:$I$349,$AS$1:$AS$349,$AS130,$B$1:$B$349,$B130))</f>
        <v/>
      </c>
      <c r="O130" s="0">
        <f>IF($A130="","",SUMIFS($K$1:$K$349,$AS$1:$AS$349,$AS130,$B$1:$B$349,$B130))</f>
        <v/>
      </c>
      <c r="P130" s="0">
        <f>IF($A130="","",SUMIFS($J$1:$J$349,$AS$1:$AS$349,$AS130,$B$1:$B$349,$B130))</f>
        <v/>
      </c>
      <c r="Q130" s="0">
        <f>IF($A130="","",SUMIFS($G$1:$G$349,$AS$1:$AS$349,$AS130,$C$1:$C$349,$C130))</f>
        <v/>
      </c>
      <c r="R130" s="0">
        <f>IF($A130="","",SUMIFS($H$1:$H$349,$AS$1:$AS$349,$AS130,$C$1:$C$349,$C130))</f>
        <v/>
      </c>
      <c r="S130" s="0">
        <f>IF($A130="","",SUMIFS($I$1:$I$349,$AS$1:$AS$349,$AS130,$C$1:$C$349,$C130))</f>
        <v/>
      </c>
      <c r="T130" s="0">
        <f>IF($A130="","",SUMIFS($G$1:$G$349,$AS$1:$AS$349,$AS130))</f>
        <v/>
      </c>
      <c r="U130" s="0">
        <f>IF($A130="","",SUMIFS($H$1:$H$349,$AS$1:$AS$349,$AS130))</f>
        <v/>
      </c>
      <c r="V130" s="0">
        <f>IF($A130="","",SUMIFS($I$1:$I$349,$AS$1:$AS$349,$AS130))</f>
        <v/>
      </c>
      <c r="W130" s="0">
        <f>IF($A130="","",Allocation!CD130)</f>
        <v/>
      </c>
      <c r="X130" s="0">
        <f>IF($A130="","",Allocation!CE130)</f>
        <v/>
      </c>
      <c r="Y130" s="0">
        <f>IF($A130="","",Allocation!CF130)</f>
        <v/>
      </c>
      <c r="Z130" s="0">
        <f>IF($A130="","",Allocation!CG130)</f>
        <v/>
      </c>
      <c r="AA130" s="0">
        <f>IF($A130="","",Allocation!CH130)</f>
        <v/>
      </c>
      <c r="AB130" s="0">
        <f>IF($A130="","",Allocation!CI130)</f>
        <v/>
      </c>
      <c r="AC130" s="0">
        <f>IF($A130="","",IF(Allocation!$N$4="VOL_EFF",$G130,IF(Allocation!$N$4="VOL_CLASS",$H130,$I130)))</f>
        <v/>
      </c>
      <c r="AD130" s="0">
        <f>IF($A130="","",IF(Allocation!$N$4="VOL_EFF",$L130,IF(Allocation!$N$4="VOL_CLASS",$M130,$N130)))</f>
        <v/>
      </c>
      <c r="AE130" s="0">
        <f>IF($A130="","",IF(Allocation!$N$3="VOL_EFF",$L130,IF(Allocation!$N$3="VOL_CLASS",$M130,$N130)))</f>
        <v/>
      </c>
      <c r="AF130" s="0">
        <f>IF($A130="","",IF(Allocation!$N$3="VOL_EFF",$Q130,IF(Allocation!$N$3="VOL_CLASS",$R130,$S130)))</f>
        <v/>
      </c>
      <c r="AG130" s="0">
        <f>IF($A130="","",IF(Allocation!$N$1="VOL_EFF",$Q130,IF(Allocation!$N$1="VOL_CLASS",$R130,$S130)))</f>
        <v/>
      </c>
      <c r="AH130" s="0">
        <f>IF($A130="","",IF(Allocation!$N$1="VOL_EFF",$T130,IF(Allocation!$N$1="VOL_CLASS",$U130,$V130)))</f>
        <v/>
      </c>
      <c r="AI130" s="0">
        <f>IF($A130="","",$W130*IFERROR($K130/$O130,0))</f>
        <v/>
      </c>
      <c r="AJ130" s="0">
        <f>IF($A130="","",$X130*IFERROR($K130/$O130,0))</f>
        <v/>
      </c>
      <c r="AK130" s="0">
        <f>IF($A130="","",$Y130*IFERROR($G130/$L130,0)+$Z130*IFERROR($J130/$P130,0))</f>
        <v/>
      </c>
      <c r="AL130" s="0">
        <f>IF($A130="","",$AA130*IFERROR($AC130/$AD130,0))</f>
        <v/>
      </c>
      <c r="AM130" s="0">
        <f>IF($A130="","",$AB130*IFERROR($AG130/$AH130,0)*IFERROR($AE130/$AF130,0)*IFERROR($AC130/$AD130,0))</f>
        <v/>
      </c>
      <c r="AN130" s="0">
        <f>IF($A130="","",$I130-($AI130+$AJ130+$AK130+$AL130+$AM130+$AR130))</f>
        <v/>
      </c>
      <c r="AO130" s="0">
        <f>IF($A130="","",Allocation!CJ130)</f>
        <v/>
      </c>
      <c r="AP130" s="0">
        <f>IF($A130="","",IF(Allocation!$N$2="VOL_EFF",$Q130,IF(Allocation!$N$2="VOL_CLASS",$R130,$S130)))</f>
        <v/>
      </c>
      <c r="AQ130" s="0">
        <f>IF($A130="","",IF(Allocation!$N$2="VOL_EFF",$T130,IF(Allocation!$N$2="VOL_CLASS",$U130,$V130)))</f>
        <v/>
      </c>
      <c r="AR130" s="0">
        <f>IF($A130="","",$AO130*IFERROR($AP130/$AQ130,0)*IFERROR($AE130/$AF130,0)*IFERROR($AC130/$AD130,0))</f>
        <v/>
      </c>
      <c r="AS130" s="0">
        <f>IF($A130="","",$A130&amp;"|"&amp;Allocation!BG130)</f>
        <v/>
      </c>
    </row>
    <row r="131" ht="14.4975" customHeight="1" s="64">
      <c r="A131" s="0">
        <f>IF(Allocation!BI131="","",Allocation!BI131)</f>
        <v/>
      </c>
      <c r="B131" s="0">
        <f>IF(Allocation!BJ131="","",Allocation!BJ131)</f>
        <v/>
      </c>
      <c r="C131" s="0">
        <f>IF(Allocation!BK131="","",Allocation!BK131)</f>
        <v/>
      </c>
      <c r="D131" s="0">
        <f>IF(Allocation!BL131="","",Allocation!BL131)</f>
        <v/>
      </c>
      <c r="E131" s="0">
        <f>IF(Allocation!BM131="","",Allocation!BM131)</f>
        <v/>
      </c>
      <c r="F131" s="0">
        <f>IF(Allocation!BN131="","",Allocation!BN131)</f>
        <v/>
      </c>
      <c r="G131" s="0">
        <f>IF(Allocation!BO131="","",Allocation!BO131)</f>
        <v/>
      </c>
      <c r="H131" s="0">
        <f>IF(Allocation!BP131="","",Allocation!BP131)</f>
        <v/>
      </c>
      <c r="I131" s="0">
        <f>IF(Allocation!BQ131="","",Allocation!BQ131)</f>
        <v/>
      </c>
      <c r="J131" s="0">
        <f>IF(Allocation!CC131="","",Allocation!CC131)</f>
        <v/>
      </c>
      <c r="K131" s="0">
        <f>IF($A131="","",$H131*IF(AND(LEFT($D131,3)="BAC",$F131="INIT"),600,IF(LEFT($D131,3)="BAC",480,IF(AND(LEFT($D131,3)="MAS",$F131="INIT"),520,IF(LEFT($D131,3)="MAS",420,IF($F131="INIT",1000,700))))))</f>
        <v/>
      </c>
      <c r="L131" s="0">
        <f>IF($A131="","",SUMIFS($G$1:$G$349,$AS$1:$AS$349,$AS131,$B$1:$B$349,$B131))</f>
        <v/>
      </c>
      <c r="M131" s="0">
        <f>IF($A131="","",SUMIFS($H$1:$H$349,$AS$1:$AS$349,$AS131,$B$1:$B$349,$B131))</f>
        <v/>
      </c>
      <c r="N131" s="0">
        <f>IF($A131="","",SUMIFS($I$1:$I$349,$AS$1:$AS$349,$AS131,$B$1:$B$349,$B131))</f>
        <v/>
      </c>
      <c r="O131" s="0">
        <f>IF($A131="","",SUMIFS($K$1:$K$349,$AS$1:$AS$349,$AS131,$B$1:$B$349,$B131))</f>
        <v/>
      </c>
      <c r="P131" s="0">
        <f>IF($A131="","",SUMIFS($J$1:$J$349,$AS$1:$AS$349,$AS131,$B$1:$B$349,$B131))</f>
        <v/>
      </c>
      <c r="Q131" s="0">
        <f>IF($A131="","",SUMIFS($G$1:$G$349,$AS$1:$AS$349,$AS131,$C$1:$C$349,$C131))</f>
        <v/>
      </c>
      <c r="R131" s="0">
        <f>IF($A131="","",SUMIFS($H$1:$H$349,$AS$1:$AS$349,$AS131,$C$1:$C$349,$C131))</f>
        <v/>
      </c>
      <c r="S131" s="0">
        <f>IF($A131="","",SUMIFS($I$1:$I$349,$AS$1:$AS$349,$AS131,$C$1:$C$349,$C131))</f>
        <v/>
      </c>
      <c r="T131" s="0">
        <f>IF($A131="","",SUMIFS($G$1:$G$349,$AS$1:$AS$349,$AS131))</f>
        <v/>
      </c>
      <c r="U131" s="0">
        <f>IF($A131="","",SUMIFS($H$1:$H$349,$AS$1:$AS$349,$AS131))</f>
        <v/>
      </c>
      <c r="V131" s="0">
        <f>IF($A131="","",SUMIFS($I$1:$I$349,$AS$1:$AS$349,$AS131))</f>
        <v/>
      </c>
      <c r="W131" s="0">
        <f>IF($A131="","",Allocation!CD131)</f>
        <v/>
      </c>
      <c r="X131" s="0">
        <f>IF($A131="","",Allocation!CE131)</f>
        <v/>
      </c>
      <c r="Y131" s="0">
        <f>IF($A131="","",Allocation!CF131)</f>
        <v/>
      </c>
      <c r="Z131" s="0">
        <f>IF($A131="","",Allocation!CG131)</f>
        <v/>
      </c>
      <c r="AA131" s="0">
        <f>IF($A131="","",Allocation!CH131)</f>
        <v/>
      </c>
      <c r="AB131" s="0">
        <f>IF($A131="","",Allocation!CI131)</f>
        <v/>
      </c>
      <c r="AC131" s="0">
        <f>IF($A131="","",IF(Allocation!$N$4="VOL_EFF",$G131,IF(Allocation!$N$4="VOL_CLASS",$H131,$I131)))</f>
        <v/>
      </c>
      <c r="AD131" s="0">
        <f>IF($A131="","",IF(Allocation!$N$4="VOL_EFF",$L131,IF(Allocation!$N$4="VOL_CLASS",$M131,$N131)))</f>
        <v/>
      </c>
      <c r="AE131" s="0">
        <f>IF($A131="","",IF(Allocation!$N$3="VOL_EFF",$L131,IF(Allocation!$N$3="VOL_CLASS",$M131,$N131)))</f>
        <v/>
      </c>
      <c r="AF131" s="0">
        <f>IF($A131="","",IF(Allocation!$N$3="VOL_EFF",$Q131,IF(Allocation!$N$3="VOL_CLASS",$R131,$S131)))</f>
        <v/>
      </c>
      <c r="AG131" s="0">
        <f>IF($A131="","",IF(Allocation!$N$1="VOL_EFF",$Q131,IF(Allocation!$N$1="VOL_CLASS",$R131,$S131)))</f>
        <v/>
      </c>
      <c r="AH131" s="0">
        <f>IF($A131="","",IF(Allocation!$N$1="VOL_EFF",$T131,IF(Allocation!$N$1="VOL_CLASS",$U131,$V131)))</f>
        <v/>
      </c>
      <c r="AI131" s="0">
        <f>IF($A131="","",$W131*IFERROR($K131/$O131,0))</f>
        <v/>
      </c>
      <c r="AJ131" s="0">
        <f>IF($A131="","",$X131*IFERROR($K131/$O131,0))</f>
        <v/>
      </c>
      <c r="AK131" s="0">
        <f>IF($A131="","",$Y131*IFERROR($G131/$L131,0)+$Z131*IFERROR($J131/$P131,0))</f>
        <v/>
      </c>
      <c r="AL131" s="0">
        <f>IF($A131="","",$AA131*IFERROR($AC131/$AD131,0))</f>
        <v/>
      </c>
      <c r="AM131" s="0">
        <f>IF($A131="","",$AB131*IFERROR($AG131/$AH131,0)*IFERROR($AE131/$AF131,0)*IFERROR($AC131/$AD131,0))</f>
        <v/>
      </c>
      <c r="AN131" s="0">
        <f>IF($A131="","",$I131-($AI131+$AJ131+$AK131+$AL131+$AM131+$AR131))</f>
        <v/>
      </c>
      <c r="AO131" s="0">
        <f>IF($A131="","",Allocation!CJ131)</f>
        <v/>
      </c>
      <c r="AP131" s="0">
        <f>IF($A131="","",IF(Allocation!$N$2="VOL_EFF",$Q131,IF(Allocation!$N$2="VOL_CLASS",$R131,$S131)))</f>
        <v/>
      </c>
      <c r="AQ131" s="0">
        <f>IF($A131="","",IF(Allocation!$N$2="VOL_EFF",$T131,IF(Allocation!$N$2="VOL_CLASS",$U131,$V131)))</f>
        <v/>
      </c>
      <c r="AR131" s="0">
        <f>IF($A131="","",$AO131*IFERROR($AP131/$AQ131,0)*IFERROR($AE131/$AF131,0)*IFERROR($AC131/$AD131,0))</f>
        <v/>
      </c>
      <c r="AS131" s="0">
        <f>IF($A131="","",$A131&amp;"|"&amp;Allocation!BG131)</f>
        <v/>
      </c>
    </row>
    <row r="132" ht="14.4975" customHeight="1" s="64">
      <c r="A132" s="0">
        <f>IF(Allocation!BI132="","",Allocation!BI132)</f>
        <v/>
      </c>
      <c r="B132" s="0">
        <f>IF(Allocation!BJ132="","",Allocation!BJ132)</f>
        <v/>
      </c>
      <c r="C132" s="0">
        <f>IF(Allocation!BK132="","",Allocation!BK132)</f>
        <v/>
      </c>
      <c r="D132" s="0">
        <f>IF(Allocation!BL132="","",Allocation!BL132)</f>
        <v/>
      </c>
      <c r="E132" s="0">
        <f>IF(Allocation!BM132="","",Allocation!BM132)</f>
        <v/>
      </c>
      <c r="F132" s="0">
        <f>IF(Allocation!BN132="","",Allocation!BN132)</f>
        <v/>
      </c>
      <c r="G132" s="0">
        <f>IF(Allocation!BO132="","",Allocation!BO132)</f>
        <v/>
      </c>
      <c r="H132" s="0">
        <f>IF(Allocation!BP132="","",Allocation!BP132)</f>
        <v/>
      </c>
      <c r="I132" s="0">
        <f>IF(Allocation!BQ132="","",Allocation!BQ132)</f>
        <v/>
      </c>
      <c r="J132" s="0">
        <f>IF(Allocation!CC132="","",Allocation!CC132)</f>
        <v/>
      </c>
      <c r="K132" s="0">
        <f>IF($A132="","",$H132*IF(AND(LEFT($D132,3)="BAC",$F132="INIT"),600,IF(LEFT($D132,3)="BAC",480,IF(AND(LEFT($D132,3)="MAS",$F132="INIT"),520,IF(LEFT($D132,3)="MAS",420,IF($F132="INIT",1000,700))))))</f>
        <v/>
      </c>
      <c r="L132" s="0">
        <f>IF($A132="","",SUMIFS($G$1:$G$349,$AS$1:$AS$349,$AS132,$B$1:$B$349,$B132))</f>
        <v/>
      </c>
      <c r="M132" s="0">
        <f>IF($A132="","",SUMIFS($H$1:$H$349,$AS$1:$AS$349,$AS132,$B$1:$B$349,$B132))</f>
        <v/>
      </c>
      <c r="N132" s="0">
        <f>IF($A132="","",SUMIFS($I$1:$I$349,$AS$1:$AS$349,$AS132,$B$1:$B$349,$B132))</f>
        <v/>
      </c>
      <c r="O132" s="0">
        <f>IF($A132="","",SUMIFS($K$1:$K$349,$AS$1:$AS$349,$AS132,$B$1:$B$349,$B132))</f>
        <v/>
      </c>
      <c r="P132" s="0">
        <f>IF($A132="","",SUMIFS($J$1:$J$349,$AS$1:$AS$349,$AS132,$B$1:$B$349,$B132))</f>
        <v/>
      </c>
      <c r="Q132" s="0">
        <f>IF($A132="","",SUMIFS($G$1:$G$349,$AS$1:$AS$349,$AS132,$C$1:$C$349,$C132))</f>
        <v/>
      </c>
      <c r="R132" s="0">
        <f>IF($A132="","",SUMIFS($H$1:$H$349,$AS$1:$AS$349,$AS132,$C$1:$C$349,$C132))</f>
        <v/>
      </c>
      <c r="S132" s="0">
        <f>IF($A132="","",SUMIFS($I$1:$I$349,$AS$1:$AS$349,$AS132,$C$1:$C$349,$C132))</f>
        <v/>
      </c>
      <c r="T132" s="0">
        <f>IF($A132="","",SUMIFS($G$1:$G$349,$AS$1:$AS$349,$AS132))</f>
        <v/>
      </c>
      <c r="U132" s="0">
        <f>IF($A132="","",SUMIFS($H$1:$H$349,$AS$1:$AS$349,$AS132))</f>
        <v/>
      </c>
      <c r="V132" s="0">
        <f>IF($A132="","",SUMIFS($I$1:$I$349,$AS$1:$AS$349,$AS132))</f>
        <v/>
      </c>
      <c r="W132" s="0">
        <f>IF($A132="","",Allocation!CD132)</f>
        <v/>
      </c>
      <c r="X132" s="0">
        <f>IF($A132="","",Allocation!CE132)</f>
        <v/>
      </c>
      <c r="Y132" s="0">
        <f>IF($A132="","",Allocation!CF132)</f>
        <v/>
      </c>
      <c r="Z132" s="0">
        <f>IF($A132="","",Allocation!CG132)</f>
        <v/>
      </c>
      <c r="AA132" s="0">
        <f>IF($A132="","",Allocation!CH132)</f>
        <v/>
      </c>
      <c r="AB132" s="0">
        <f>IF($A132="","",Allocation!CI132)</f>
        <v/>
      </c>
      <c r="AC132" s="0">
        <f>IF($A132="","",IF(Allocation!$N$4="VOL_EFF",$G132,IF(Allocation!$N$4="VOL_CLASS",$H132,$I132)))</f>
        <v/>
      </c>
      <c r="AD132" s="0">
        <f>IF($A132="","",IF(Allocation!$N$4="VOL_EFF",$L132,IF(Allocation!$N$4="VOL_CLASS",$M132,$N132)))</f>
        <v/>
      </c>
      <c r="AE132" s="0">
        <f>IF($A132="","",IF(Allocation!$N$3="VOL_EFF",$L132,IF(Allocation!$N$3="VOL_CLASS",$M132,$N132)))</f>
        <v/>
      </c>
      <c r="AF132" s="0">
        <f>IF($A132="","",IF(Allocation!$N$3="VOL_EFF",$Q132,IF(Allocation!$N$3="VOL_CLASS",$R132,$S132)))</f>
        <v/>
      </c>
      <c r="AG132" s="0">
        <f>IF($A132="","",IF(Allocation!$N$1="VOL_EFF",$Q132,IF(Allocation!$N$1="VOL_CLASS",$R132,$S132)))</f>
        <v/>
      </c>
      <c r="AH132" s="0">
        <f>IF($A132="","",IF(Allocation!$N$1="VOL_EFF",$T132,IF(Allocation!$N$1="VOL_CLASS",$U132,$V132)))</f>
        <v/>
      </c>
      <c r="AI132" s="0">
        <f>IF($A132="","",$W132*IFERROR($K132/$O132,0))</f>
        <v/>
      </c>
      <c r="AJ132" s="0">
        <f>IF($A132="","",$X132*IFERROR($K132/$O132,0))</f>
        <v/>
      </c>
      <c r="AK132" s="0">
        <f>IF($A132="","",$Y132*IFERROR($G132/$L132,0)+$Z132*IFERROR($J132/$P132,0))</f>
        <v/>
      </c>
      <c r="AL132" s="0">
        <f>IF($A132="","",$AA132*IFERROR($AC132/$AD132,0))</f>
        <v/>
      </c>
      <c r="AM132" s="0">
        <f>IF($A132="","",$AB132*IFERROR($AG132/$AH132,0)*IFERROR($AE132/$AF132,0)*IFERROR($AC132/$AD132,0))</f>
        <v/>
      </c>
      <c r="AN132" s="0">
        <f>IF($A132="","",$I132-($AI132+$AJ132+$AK132+$AL132+$AM132+$AR132))</f>
        <v/>
      </c>
      <c r="AO132" s="0">
        <f>IF($A132="","",Allocation!CJ132)</f>
        <v/>
      </c>
      <c r="AP132" s="0">
        <f>IF($A132="","",IF(Allocation!$N$2="VOL_EFF",$Q132,IF(Allocation!$N$2="VOL_CLASS",$R132,$S132)))</f>
        <v/>
      </c>
      <c r="AQ132" s="0">
        <f>IF($A132="","",IF(Allocation!$N$2="VOL_EFF",$T132,IF(Allocation!$N$2="VOL_CLASS",$U132,$V132)))</f>
        <v/>
      </c>
      <c r="AR132" s="0">
        <f>IF($A132="","",$AO132*IFERROR($AP132/$AQ132,0)*IFERROR($AE132/$AF132,0)*IFERROR($AC132/$AD132,0))</f>
        <v/>
      </c>
      <c r="AS132" s="0">
        <f>IF($A132="","",$A132&amp;"|"&amp;Allocation!BG132)</f>
        <v/>
      </c>
    </row>
    <row r="133" ht="14.4975" customHeight="1" s="64">
      <c r="A133" s="0">
        <f>IF(Allocation!BI133="","",Allocation!BI133)</f>
        <v/>
      </c>
      <c r="B133" s="0">
        <f>IF(Allocation!BJ133="","",Allocation!BJ133)</f>
        <v/>
      </c>
      <c r="C133" s="0">
        <f>IF(Allocation!BK133="","",Allocation!BK133)</f>
        <v/>
      </c>
      <c r="D133" s="0">
        <f>IF(Allocation!BL133="","",Allocation!BL133)</f>
        <v/>
      </c>
      <c r="E133" s="0">
        <f>IF(Allocation!BM133="","",Allocation!BM133)</f>
        <v/>
      </c>
      <c r="F133" s="0">
        <f>IF(Allocation!BN133="","",Allocation!BN133)</f>
        <v/>
      </c>
      <c r="G133" s="0">
        <f>IF(Allocation!BO133="","",Allocation!BO133)</f>
        <v/>
      </c>
      <c r="H133" s="0">
        <f>IF(Allocation!BP133="","",Allocation!BP133)</f>
        <v/>
      </c>
      <c r="I133" s="0">
        <f>IF(Allocation!BQ133="","",Allocation!BQ133)</f>
        <v/>
      </c>
      <c r="J133" s="0">
        <f>IF(Allocation!CC133="","",Allocation!CC133)</f>
        <v/>
      </c>
      <c r="K133" s="0">
        <f>IF($A133="","",$H133*IF(AND(LEFT($D133,3)="BAC",$F133="INIT"),600,IF(LEFT($D133,3)="BAC",480,IF(AND(LEFT($D133,3)="MAS",$F133="INIT"),520,IF(LEFT($D133,3)="MAS",420,IF($F133="INIT",1000,700))))))</f>
        <v/>
      </c>
      <c r="L133" s="0">
        <f>IF($A133="","",SUMIFS($G$1:$G$349,$AS$1:$AS$349,$AS133,$B$1:$B$349,$B133))</f>
        <v/>
      </c>
      <c r="M133" s="0">
        <f>IF($A133="","",SUMIFS($H$1:$H$349,$AS$1:$AS$349,$AS133,$B$1:$B$349,$B133))</f>
        <v/>
      </c>
      <c r="N133" s="0">
        <f>IF($A133="","",SUMIFS($I$1:$I$349,$AS$1:$AS$349,$AS133,$B$1:$B$349,$B133))</f>
        <v/>
      </c>
      <c r="O133" s="0">
        <f>IF($A133="","",SUMIFS($K$1:$K$349,$AS$1:$AS$349,$AS133,$B$1:$B$349,$B133))</f>
        <v/>
      </c>
      <c r="P133" s="0">
        <f>IF($A133="","",SUMIFS($J$1:$J$349,$AS$1:$AS$349,$AS133,$B$1:$B$349,$B133))</f>
        <v/>
      </c>
      <c r="Q133" s="0">
        <f>IF($A133="","",SUMIFS($G$1:$G$349,$AS$1:$AS$349,$AS133,$C$1:$C$349,$C133))</f>
        <v/>
      </c>
      <c r="R133" s="0">
        <f>IF($A133="","",SUMIFS($H$1:$H$349,$AS$1:$AS$349,$AS133,$C$1:$C$349,$C133))</f>
        <v/>
      </c>
      <c r="S133" s="0">
        <f>IF($A133="","",SUMIFS($I$1:$I$349,$AS$1:$AS$349,$AS133,$C$1:$C$349,$C133))</f>
        <v/>
      </c>
      <c r="T133" s="0">
        <f>IF($A133="","",SUMIFS($G$1:$G$349,$AS$1:$AS$349,$AS133))</f>
        <v/>
      </c>
      <c r="U133" s="0">
        <f>IF($A133="","",SUMIFS($H$1:$H$349,$AS$1:$AS$349,$AS133))</f>
        <v/>
      </c>
      <c r="V133" s="0">
        <f>IF($A133="","",SUMIFS($I$1:$I$349,$AS$1:$AS$349,$AS133))</f>
        <v/>
      </c>
      <c r="W133" s="0">
        <f>IF($A133="","",Allocation!CD133)</f>
        <v/>
      </c>
      <c r="X133" s="0">
        <f>IF($A133="","",Allocation!CE133)</f>
        <v/>
      </c>
      <c r="Y133" s="0">
        <f>IF($A133="","",Allocation!CF133)</f>
        <v/>
      </c>
      <c r="Z133" s="0">
        <f>IF($A133="","",Allocation!CG133)</f>
        <v/>
      </c>
      <c r="AA133" s="0">
        <f>IF($A133="","",Allocation!CH133)</f>
        <v/>
      </c>
      <c r="AB133" s="0">
        <f>IF($A133="","",Allocation!CI133)</f>
        <v/>
      </c>
      <c r="AC133" s="0">
        <f>IF($A133="","",IF(Allocation!$N$4="VOL_EFF",$G133,IF(Allocation!$N$4="VOL_CLASS",$H133,$I133)))</f>
        <v/>
      </c>
      <c r="AD133" s="0">
        <f>IF($A133="","",IF(Allocation!$N$4="VOL_EFF",$L133,IF(Allocation!$N$4="VOL_CLASS",$M133,$N133)))</f>
        <v/>
      </c>
      <c r="AE133" s="0">
        <f>IF($A133="","",IF(Allocation!$N$3="VOL_EFF",$L133,IF(Allocation!$N$3="VOL_CLASS",$M133,$N133)))</f>
        <v/>
      </c>
      <c r="AF133" s="0">
        <f>IF($A133="","",IF(Allocation!$N$3="VOL_EFF",$Q133,IF(Allocation!$N$3="VOL_CLASS",$R133,$S133)))</f>
        <v/>
      </c>
      <c r="AG133" s="0">
        <f>IF($A133="","",IF(Allocation!$N$1="VOL_EFF",$Q133,IF(Allocation!$N$1="VOL_CLASS",$R133,$S133)))</f>
        <v/>
      </c>
      <c r="AH133" s="0">
        <f>IF($A133="","",IF(Allocation!$N$1="VOL_EFF",$T133,IF(Allocation!$N$1="VOL_CLASS",$U133,$V133)))</f>
        <v/>
      </c>
      <c r="AI133" s="0">
        <f>IF($A133="","",$W133*IFERROR($K133/$O133,0))</f>
        <v/>
      </c>
      <c r="AJ133" s="0">
        <f>IF($A133="","",$X133*IFERROR($K133/$O133,0))</f>
        <v/>
      </c>
      <c r="AK133" s="0">
        <f>IF($A133="","",$Y133*IFERROR($G133/$L133,0)+$Z133*IFERROR($J133/$P133,0))</f>
        <v/>
      </c>
      <c r="AL133" s="0">
        <f>IF($A133="","",$AA133*IFERROR($AC133/$AD133,0))</f>
        <v/>
      </c>
      <c r="AM133" s="0">
        <f>IF($A133="","",$AB133*IFERROR($AG133/$AH133,0)*IFERROR($AE133/$AF133,0)*IFERROR($AC133/$AD133,0))</f>
        <v/>
      </c>
      <c r="AN133" s="0">
        <f>IF($A133="","",$I133-($AI133+$AJ133+$AK133+$AL133+$AM133+$AR133))</f>
        <v/>
      </c>
      <c r="AO133" s="0">
        <f>IF($A133="","",Allocation!CJ133)</f>
        <v/>
      </c>
      <c r="AP133" s="0">
        <f>IF($A133="","",IF(Allocation!$N$2="VOL_EFF",$Q133,IF(Allocation!$N$2="VOL_CLASS",$R133,$S133)))</f>
        <v/>
      </c>
      <c r="AQ133" s="0">
        <f>IF($A133="","",IF(Allocation!$N$2="VOL_EFF",$T133,IF(Allocation!$N$2="VOL_CLASS",$U133,$V133)))</f>
        <v/>
      </c>
      <c r="AR133" s="0">
        <f>IF($A133="","",$AO133*IFERROR($AP133/$AQ133,0)*IFERROR($AE133/$AF133,0)*IFERROR($AC133/$AD133,0))</f>
        <v/>
      </c>
      <c r="AS133" s="0">
        <f>IF($A133="","",$A133&amp;"|"&amp;Allocation!BG133)</f>
        <v/>
      </c>
    </row>
    <row r="134" ht="14.4975" customHeight="1" s="64">
      <c r="A134" s="0">
        <f>IF(Allocation!BI134="","",Allocation!BI134)</f>
        <v/>
      </c>
      <c r="B134" s="0">
        <f>IF(Allocation!BJ134="","",Allocation!BJ134)</f>
        <v/>
      </c>
      <c r="C134" s="0">
        <f>IF(Allocation!BK134="","",Allocation!BK134)</f>
        <v/>
      </c>
      <c r="D134" s="0">
        <f>IF(Allocation!BL134="","",Allocation!BL134)</f>
        <v/>
      </c>
      <c r="E134" s="0">
        <f>IF(Allocation!BM134="","",Allocation!BM134)</f>
        <v/>
      </c>
      <c r="F134" s="0">
        <f>IF(Allocation!BN134="","",Allocation!BN134)</f>
        <v/>
      </c>
      <c r="G134" s="0">
        <f>IF(Allocation!BO134="","",Allocation!BO134)</f>
        <v/>
      </c>
      <c r="H134" s="0">
        <f>IF(Allocation!BP134="","",Allocation!BP134)</f>
        <v/>
      </c>
      <c r="I134" s="0">
        <f>IF(Allocation!BQ134="","",Allocation!BQ134)</f>
        <v/>
      </c>
      <c r="J134" s="0">
        <f>IF(Allocation!CC134="","",Allocation!CC134)</f>
        <v/>
      </c>
      <c r="K134" s="0">
        <f>IF($A134="","",$H134*IF(AND(LEFT($D134,3)="BAC",$F134="INIT"),600,IF(LEFT($D134,3)="BAC",480,IF(AND(LEFT($D134,3)="MAS",$F134="INIT"),520,IF(LEFT($D134,3)="MAS",420,IF($F134="INIT",1000,700))))))</f>
        <v/>
      </c>
      <c r="L134" s="0">
        <f>IF($A134="","",SUMIFS($G$1:$G$349,$AS$1:$AS$349,$AS134,$B$1:$B$349,$B134))</f>
        <v/>
      </c>
      <c r="M134" s="0">
        <f>IF($A134="","",SUMIFS($H$1:$H$349,$AS$1:$AS$349,$AS134,$B$1:$B$349,$B134))</f>
        <v/>
      </c>
      <c r="N134" s="0">
        <f>IF($A134="","",SUMIFS($I$1:$I$349,$AS$1:$AS$349,$AS134,$B$1:$B$349,$B134))</f>
        <v/>
      </c>
      <c r="O134" s="0">
        <f>IF($A134="","",SUMIFS($K$1:$K$349,$AS$1:$AS$349,$AS134,$B$1:$B$349,$B134))</f>
        <v/>
      </c>
      <c r="P134" s="0">
        <f>IF($A134="","",SUMIFS($J$1:$J$349,$AS$1:$AS$349,$AS134,$B$1:$B$349,$B134))</f>
        <v/>
      </c>
      <c r="Q134" s="0">
        <f>IF($A134="","",SUMIFS($G$1:$G$349,$AS$1:$AS$349,$AS134,$C$1:$C$349,$C134))</f>
        <v/>
      </c>
      <c r="R134" s="0">
        <f>IF($A134="","",SUMIFS($H$1:$H$349,$AS$1:$AS$349,$AS134,$C$1:$C$349,$C134))</f>
        <v/>
      </c>
      <c r="S134" s="0">
        <f>IF($A134="","",SUMIFS($I$1:$I$349,$AS$1:$AS$349,$AS134,$C$1:$C$349,$C134))</f>
        <v/>
      </c>
      <c r="T134" s="0">
        <f>IF($A134="","",SUMIFS($G$1:$G$349,$AS$1:$AS$349,$AS134))</f>
        <v/>
      </c>
      <c r="U134" s="0">
        <f>IF($A134="","",SUMIFS($H$1:$H$349,$AS$1:$AS$349,$AS134))</f>
        <v/>
      </c>
      <c r="V134" s="0">
        <f>IF($A134="","",SUMIFS($I$1:$I$349,$AS$1:$AS$349,$AS134))</f>
        <v/>
      </c>
      <c r="W134" s="0">
        <f>IF($A134="","",Allocation!CD134)</f>
        <v/>
      </c>
      <c r="X134" s="0">
        <f>IF($A134="","",Allocation!CE134)</f>
        <v/>
      </c>
      <c r="Y134" s="0">
        <f>IF($A134="","",Allocation!CF134)</f>
        <v/>
      </c>
      <c r="Z134" s="0">
        <f>IF($A134="","",Allocation!CG134)</f>
        <v/>
      </c>
      <c r="AA134" s="0">
        <f>IF($A134="","",Allocation!CH134)</f>
        <v/>
      </c>
      <c r="AB134" s="0">
        <f>IF($A134="","",Allocation!CI134)</f>
        <v/>
      </c>
      <c r="AC134" s="0">
        <f>IF($A134="","",IF(Allocation!$N$4="VOL_EFF",$G134,IF(Allocation!$N$4="VOL_CLASS",$H134,$I134)))</f>
        <v/>
      </c>
      <c r="AD134" s="0">
        <f>IF($A134="","",IF(Allocation!$N$4="VOL_EFF",$L134,IF(Allocation!$N$4="VOL_CLASS",$M134,$N134)))</f>
        <v/>
      </c>
      <c r="AE134" s="0">
        <f>IF($A134="","",IF(Allocation!$N$3="VOL_EFF",$L134,IF(Allocation!$N$3="VOL_CLASS",$M134,$N134)))</f>
        <v/>
      </c>
      <c r="AF134" s="0">
        <f>IF($A134="","",IF(Allocation!$N$3="VOL_EFF",$Q134,IF(Allocation!$N$3="VOL_CLASS",$R134,$S134)))</f>
        <v/>
      </c>
      <c r="AG134" s="0">
        <f>IF($A134="","",IF(Allocation!$N$1="VOL_EFF",$Q134,IF(Allocation!$N$1="VOL_CLASS",$R134,$S134)))</f>
        <v/>
      </c>
      <c r="AH134" s="0">
        <f>IF($A134="","",IF(Allocation!$N$1="VOL_EFF",$T134,IF(Allocation!$N$1="VOL_CLASS",$U134,$V134)))</f>
        <v/>
      </c>
      <c r="AI134" s="0">
        <f>IF($A134="","",$W134*IFERROR($K134/$O134,0))</f>
        <v/>
      </c>
      <c r="AJ134" s="0">
        <f>IF($A134="","",$X134*IFERROR($K134/$O134,0))</f>
        <v/>
      </c>
      <c r="AK134" s="0">
        <f>IF($A134="","",$Y134*IFERROR($G134/$L134,0)+$Z134*IFERROR($J134/$P134,0))</f>
        <v/>
      </c>
      <c r="AL134" s="0">
        <f>IF($A134="","",$AA134*IFERROR($AC134/$AD134,0))</f>
        <v/>
      </c>
      <c r="AM134" s="0">
        <f>IF($A134="","",$AB134*IFERROR($AG134/$AH134,0)*IFERROR($AE134/$AF134,0)*IFERROR($AC134/$AD134,0))</f>
        <v/>
      </c>
      <c r="AN134" s="0">
        <f>IF($A134="","",$I134-($AI134+$AJ134+$AK134+$AL134+$AM134+$AR134))</f>
        <v/>
      </c>
      <c r="AO134" s="0">
        <f>IF($A134="","",Allocation!CJ134)</f>
        <v/>
      </c>
      <c r="AP134" s="0">
        <f>IF($A134="","",IF(Allocation!$N$2="VOL_EFF",$Q134,IF(Allocation!$N$2="VOL_CLASS",$R134,$S134)))</f>
        <v/>
      </c>
      <c r="AQ134" s="0">
        <f>IF($A134="","",IF(Allocation!$N$2="VOL_EFF",$T134,IF(Allocation!$N$2="VOL_CLASS",$U134,$V134)))</f>
        <v/>
      </c>
      <c r="AR134" s="0">
        <f>IF($A134="","",$AO134*IFERROR($AP134/$AQ134,0)*IFERROR($AE134/$AF134,0)*IFERROR($AC134/$AD134,0))</f>
        <v/>
      </c>
      <c r="AS134" s="0">
        <f>IF($A134="","",$A134&amp;"|"&amp;Allocation!BG134)</f>
        <v/>
      </c>
    </row>
    <row r="135" ht="14.4975" customHeight="1" s="64">
      <c r="A135" s="0">
        <f>IF(Allocation!BI135="","",Allocation!BI135)</f>
        <v/>
      </c>
      <c r="B135" s="0">
        <f>IF(Allocation!BJ135="","",Allocation!BJ135)</f>
        <v/>
      </c>
      <c r="C135" s="0">
        <f>IF(Allocation!BK135="","",Allocation!BK135)</f>
        <v/>
      </c>
      <c r="D135" s="0">
        <f>IF(Allocation!BL135="","",Allocation!BL135)</f>
        <v/>
      </c>
      <c r="E135" s="0">
        <f>IF(Allocation!BM135="","",Allocation!BM135)</f>
        <v/>
      </c>
      <c r="F135" s="0">
        <f>IF(Allocation!BN135="","",Allocation!BN135)</f>
        <v/>
      </c>
      <c r="G135" s="0">
        <f>IF(Allocation!BO135="","",Allocation!BO135)</f>
        <v/>
      </c>
      <c r="H135" s="0">
        <f>IF(Allocation!BP135="","",Allocation!BP135)</f>
        <v/>
      </c>
      <c r="I135" s="0">
        <f>IF(Allocation!BQ135="","",Allocation!BQ135)</f>
        <v/>
      </c>
      <c r="J135" s="0">
        <f>IF(Allocation!CC135="","",Allocation!CC135)</f>
        <v/>
      </c>
      <c r="K135" s="0">
        <f>IF($A135="","",$H135*IF(AND(LEFT($D135,3)="BAC",$F135="INIT"),600,IF(LEFT($D135,3)="BAC",480,IF(AND(LEFT($D135,3)="MAS",$F135="INIT"),520,IF(LEFT($D135,3)="MAS",420,IF($F135="INIT",1000,700))))))</f>
        <v/>
      </c>
      <c r="L135" s="0">
        <f>IF($A135="","",SUMIFS($G$1:$G$349,$AS$1:$AS$349,$AS135,$B$1:$B$349,$B135))</f>
        <v/>
      </c>
      <c r="M135" s="0">
        <f>IF($A135="","",SUMIFS($H$1:$H$349,$AS$1:$AS$349,$AS135,$B$1:$B$349,$B135))</f>
        <v/>
      </c>
      <c r="N135" s="0">
        <f>IF($A135="","",SUMIFS($I$1:$I$349,$AS$1:$AS$349,$AS135,$B$1:$B$349,$B135))</f>
        <v/>
      </c>
      <c r="O135" s="0">
        <f>IF($A135="","",SUMIFS($K$1:$K$349,$AS$1:$AS$349,$AS135,$B$1:$B$349,$B135))</f>
        <v/>
      </c>
      <c r="P135" s="0">
        <f>IF($A135="","",SUMIFS($J$1:$J$349,$AS$1:$AS$349,$AS135,$B$1:$B$349,$B135))</f>
        <v/>
      </c>
      <c r="Q135" s="0">
        <f>IF($A135="","",SUMIFS($G$1:$G$349,$AS$1:$AS$349,$AS135,$C$1:$C$349,$C135))</f>
        <v/>
      </c>
      <c r="R135" s="0">
        <f>IF($A135="","",SUMIFS($H$1:$H$349,$AS$1:$AS$349,$AS135,$C$1:$C$349,$C135))</f>
        <v/>
      </c>
      <c r="S135" s="0">
        <f>IF($A135="","",SUMIFS($I$1:$I$349,$AS$1:$AS$349,$AS135,$C$1:$C$349,$C135))</f>
        <v/>
      </c>
      <c r="T135" s="0">
        <f>IF($A135="","",SUMIFS($G$1:$G$349,$AS$1:$AS$349,$AS135))</f>
        <v/>
      </c>
      <c r="U135" s="0">
        <f>IF($A135="","",SUMIFS($H$1:$H$349,$AS$1:$AS$349,$AS135))</f>
        <v/>
      </c>
      <c r="V135" s="0">
        <f>IF($A135="","",SUMIFS($I$1:$I$349,$AS$1:$AS$349,$AS135))</f>
        <v/>
      </c>
      <c r="W135" s="0">
        <f>IF($A135="","",Allocation!CD135)</f>
        <v/>
      </c>
      <c r="X135" s="0">
        <f>IF($A135="","",Allocation!CE135)</f>
        <v/>
      </c>
      <c r="Y135" s="0">
        <f>IF($A135="","",Allocation!CF135)</f>
        <v/>
      </c>
      <c r="Z135" s="0">
        <f>IF($A135="","",Allocation!CG135)</f>
        <v/>
      </c>
      <c r="AA135" s="0">
        <f>IF($A135="","",Allocation!CH135)</f>
        <v/>
      </c>
      <c r="AB135" s="0">
        <f>IF($A135="","",Allocation!CI135)</f>
        <v/>
      </c>
      <c r="AC135" s="0">
        <f>IF($A135="","",IF(Allocation!$N$4="VOL_EFF",$G135,IF(Allocation!$N$4="VOL_CLASS",$H135,$I135)))</f>
        <v/>
      </c>
      <c r="AD135" s="0">
        <f>IF($A135="","",IF(Allocation!$N$4="VOL_EFF",$L135,IF(Allocation!$N$4="VOL_CLASS",$M135,$N135)))</f>
        <v/>
      </c>
      <c r="AE135" s="0">
        <f>IF($A135="","",IF(Allocation!$N$3="VOL_EFF",$L135,IF(Allocation!$N$3="VOL_CLASS",$M135,$N135)))</f>
        <v/>
      </c>
      <c r="AF135" s="0">
        <f>IF($A135="","",IF(Allocation!$N$3="VOL_EFF",$Q135,IF(Allocation!$N$3="VOL_CLASS",$R135,$S135)))</f>
        <v/>
      </c>
      <c r="AG135" s="0">
        <f>IF($A135="","",IF(Allocation!$N$1="VOL_EFF",$Q135,IF(Allocation!$N$1="VOL_CLASS",$R135,$S135)))</f>
        <v/>
      </c>
      <c r="AH135" s="0">
        <f>IF($A135="","",IF(Allocation!$N$1="VOL_EFF",$T135,IF(Allocation!$N$1="VOL_CLASS",$U135,$V135)))</f>
        <v/>
      </c>
      <c r="AI135" s="0">
        <f>IF($A135="","",$W135*IFERROR($K135/$O135,0))</f>
        <v/>
      </c>
      <c r="AJ135" s="0">
        <f>IF($A135="","",$X135*IFERROR($K135/$O135,0))</f>
        <v/>
      </c>
      <c r="AK135" s="0">
        <f>IF($A135="","",$Y135*IFERROR($G135/$L135,0)+$Z135*IFERROR($J135/$P135,0))</f>
        <v/>
      </c>
      <c r="AL135" s="0">
        <f>IF($A135="","",$AA135*IFERROR($AC135/$AD135,0))</f>
        <v/>
      </c>
      <c r="AM135" s="0">
        <f>IF($A135="","",$AB135*IFERROR($AG135/$AH135,0)*IFERROR($AE135/$AF135,0)*IFERROR($AC135/$AD135,0))</f>
        <v/>
      </c>
      <c r="AN135" s="0">
        <f>IF($A135="","",$I135-($AI135+$AJ135+$AK135+$AL135+$AM135+$AR135))</f>
        <v/>
      </c>
      <c r="AO135" s="0">
        <f>IF($A135="","",Allocation!CJ135)</f>
        <v/>
      </c>
      <c r="AP135" s="0">
        <f>IF($A135="","",IF(Allocation!$N$2="VOL_EFF",$Q135,IF(Allocation!$N$2="VOL_CLASS",$R135,$S135)))</f>
        <v/>
      </c>
      <c r="AQ135" s="0">
        <f>IF($A135="","",IF(Allocation!$N$2="VOL_EFF",$T135,IF(Allocation!$N$2="VOL_CLASS",$U135,$V135)))</f>
        <v/>
      </c>
      <c r="AR135" s="0">
        <f>IF($A135="","",$AO135*IFERROR($AP135/$AQ135,0)*IFERROR($AE135/$AF135,0)*IFERROR($AC135/$AD135,0))</f>
        <v/>
      </c>
      <c r="AS135" s="0">
        <f>IF($A135="","",$A135&amp;"|"&amp;Allocation!BG135)</f>
        <v/>
      </c>
    </row>
    <row r="136" ht="14.4975" customHeight="1" s="64">
      <c r="A136" s="0">
        <f>IF(Allocation!BI136="","",Allocation!BI136)</f>
        <v/>
      </c>
      <c r="B136" s="0">
        <f>IF(Allocation!BJ136="","",Allocation!BJ136)</f>
        <v/>
      </c>
      <c r="C136" s="0">
        <f>IF(Allocation!BK136="","",Allocation!BK136)</f>
        <v/>
      </c>
      <c r="D136" s="0">
        <f>IF(Allocation!BL136="","",Allocation!BL136)</f>
        <v/>
      </c>
      <c r="E136" s="0">
        <f>IF(Allocation!BM136="","",Allocation!BM136)</f>
        <v/>
      </c>
      <c r="F136" s="0">
        <f>IF(Allocation!BN136="","",Allocation!BN136)</f>
        <v/>
      </c>
      <c r="G136" s="0">
        <f>IF(Allocation!BO136="","",Allocation!BO136)</f>
        <v/>
      </c>
      <c r="H136" s="0">
        <f>IF(Allocation!BP136="","",Allocation!BP136)</f>
        <v/>
      </c>
      <c r="I136" s="0">
        <f>IF(Allocation!BQ136="","",Allocation!BQ136)</f>
        <v/>
      </c>
      <c r="J136" s="0">
        <f>IF(Allocation!CC136="","",Allocation!CC136)</f>
        <v/>
      </c>
      <c r="K136" s="0">
        <f>IF($A136="","",$H136*IF(AND(LEFT($D136,3)="BAC",$F136="INIT"),600,IF(LEFT($D136,3)="BAC",480,IF(AND(LEFT($D136,3)="MAS",$F136="INIT"),520,IF(LEFT($D136,3)="MAS",420,IF($F136="INIT",1000,700))))))</f>
        <v/>
      </c>
      <c r="L136" s="0">
        <f>IF($A136="","",SUMIFS($G$1:$G$349,$AS$1:$AS$349,$AS136,$B$1:$B$349,$B136))</f>
        <v/>
      </c>
      <c r="M136" s="0">
        <f>IF($A136="","",SUMIFS($H$1:$H$349,$AS$1:$AS$349,$AS136,$B$1:$B$349,$B136))</f>
        <v/>
      </c>
      <c r="N136" s="0">
        <f>IF($A136="","",SUMIFS($I$1:$I$349,$AS$1:$AS$349,$AS136,$B$1:$B$349,$B136))</f>
        <v/>
      </c>
      <c r="O136" s="0">
        <f>IF($A136="","",SUMIFS($K$1:$K$349,$AS$1:$AS$349,$AS136,$B$1:$B$349,$B136))</f>
        <v/>
      </c>
      <c r="P136" s="0">
        <f>IF($A136="","",SUMIFS($J$1:$J$349,$AS$1:$AS$349,$AS136,$B$1:$B$349,$B136))</f>
        <v/>
      </c>
      <c r="Q136" s="0">
        <f>IF($A136="","",SUMIFS($G$1:$G$349,$AS$1:$AS$349,$AS136,$C$1:$C$349,$C136))</f>
        <v/>
      </c>
      <c r="R136" s="0">
        <f>IF($A136="","",SUMIFS($H$1:$H$349,$AS$1:$AS$349,$AS136,$C$1:$C$349,$C136))</f>
        <v/>
      </c>
      <c r="S136" s="0">
        <f>IF($A136="","",SUMIFS($I$1:$I$349,$AS$1:$AS$349,$AS136,$C$1:$C$349,$C136))</f>
        <v/>
      </c>
      <c r="T136" s="0">
        <f>IF($A136="","",SUMIFS($G$1:$G$349,$AS$1:$AS$349,$AS136))</f>
        <v/>
      </c>
      <c r="U136" s="0">
        <f>IF($A136="","",SUMIFS($H$1:$H$349,$AS$1:$AS$349,$AS136))</f>
        <v/>
      </c>
      <c r="V136" s="0">
        <f>IF($A136="","",SUMIFS($I$1:$I$349,$AS$1:$AS$349,$AS136))</f>
        <v/>
      </c>
      <c r="W136" s="0">
        <f>IF($A136="","",Allocation!CD136)</f>
        <v/>
      </c>
      <c r="X136" s="0">
        <f>IF($A136="","",Allocation!CE136)</f>
        <v/>
      </c>
      <c r="Y136" s="0">
        <f>IF($A136="","",Allocation!CF136)</f>
        <v/>
      </c>
      <c r="Z136" s="0">
        <f>IF($A136="","",Allocation!CG136)</f>
        <v/>
      </c>
      <c r="AA136" s="0">
        <f>IF($A136="","",Allocation!CH136)</f>
        <v/>
      </c>
      <c r="AB136" s="0">
        <f>IF($A136="","",Allocation!CI136)</f>
        <v/>
      </c>
      <c r="AC136" s="0">
        <f>IF($A136="","",IF(Allocation!$N$4="VOL_EFF",$G136,IF(Allocation!$N$4="VOL_CLASS",$H136,$I136)))</f>
        <v/>
      </c>
      <c r="AD136" s="0">
        <f>IF($A136="","",IF(Allocation!$N$4="VOL_EFF",$L136,IF(Allocation!$N$4="VOL_CLASS",$M136,$N136)))</f>
        <v/>
      </c>
      <c r="AE136" s="0">
        <f>IF($A136="","",IF(Allocation!$N$3="VOL_EFF",$L136,IF(Allocation!$N$3="VOL_CLASS",$M136,$N136)))</f>
        <v/>
      </c>
      <c r="AF136" s="0">
        <f>IF($A136="","",IF(Allocation!$N$3="VOL_EFF",$Q136,IF(Allocation!$N$3="VOL_CLASS",$R136,$S136)))</f>
        <v/>
      </c>
      <c r="AG136" s="0">
        <f>IF($A136="","",IF(Allocation!$N$1="VOL_EFF",$Q136,IF(Allocation!$N$1="VOL_CLASS",$R136,$S136)))</f>
        <v/>
      </c>
      <c r="AH136" s="0">
        <f>IF($A136="","",IF(Allocation!$N$1="VOL_EFF",$T136,IF(Allocation!$N$1="VOL_CLASS",$U136,$V136)))</f>
        <v/>
      </c>
      <c r="AI136" s="0">
        <f>IF($A136="","",$W136*IFERROR($K136/$O136,0))</f>
        <v/>
      </c>
      <c r="AJ136" s="0">
        <f>IF($A136="","",$X136*IFERROR($K136/$O136,0))</f>
        <v/>
      </c>
      <c r="AK136" s="0">
        <f>IF($A136="","",$Y136*IFERROR($G136/$L136,0)+$Z136*IFERROR($J136/$P136,0))</f>
        <v/>
      </c>
      <c r="AL136" s="0">
        <f>IF($A136="","",$AA136*IFERROR($AC136/$AD136,0))</f>
        <v/>
      </c>
      <c r="AM136" s="0">
        <f>IF($A136="","",$AB136*IFERROR($AG136/$AH136,0)*IFERROR($AE136/$AF136,0)*IFERROR($AC136/$AD136,0))</f>
        <v/>
      </c>
      <c r="AN136" s="0">
        <f>IF($A136="","",$I136-($AI136+$AJ136+$AK136+$AL136+$AM136+$AR136))</f>
        <v/>
      </c>
      <c r="AO136" s="0">
        <f>IF($A136="","",Allocation!CJ136)</f>
        <v/>
      </c>
      <c r="AP136" s="0">
        <f>IF($A136="","",IF(Allocation!$N$2="VOL_EFF",$Q136,IF(Allocation!$N$2="VOL_CLASS",$R136,$S136)))</f>
        <v/>
      </c>
      <c r="AQ136" s="0">
        <f>IF($A136="","",IF(Allocation!$N$2="VOL_EFF",$T136,IF(Allocation!$N$2="VOL_CLASS",$U136,$V136)))</f>
        <v/>
      </c>
      <c r="AR136" s="0">
        <f>IF($A136="","",$AO136*IFERROR($AP136/$AQ136,0)*IFERROR($AE136/$AF136,0)*IFERROR($AC136/$AD136,0))</f>
        <v/>
      </c>
      <c r="AS136" s="0">
        <f>IF($A136="","",$A136&amp;"|"&amp;Allocation!BG136)</f>
        <v/>
      </c>
    </row>
    <row r="137" ht="14.4975" customHeight="1" s="64">
      <c r="A137" s="0">
        <f>IF(Allocation!BI137="","",Allocation!BI137)</f>
        <v/>
      </c>
      <c r="B137" s="0">
        <f>IF(Allocation!BJ137="","",Allocation!BJ137)</f>
        <v/>
      </c>
      <c r="C137" s="0">
        <f>IF(Allocation!BK137="","",Allocation!BK137)</f>
        <v/>
      </c>
      <c r="D137" s="0">
        <f>IF(Allocation!BL137="","",Allocation!BL137)</f>
        <v/>
      </c>
      <c r="E137" s="0">
        <f>IF(Allocation!BM137="","",Allocation!BM137)</f>
        <v/>
      </c>
      <c r="F137" s="0">
        <f>IF(Allocation!BN137="","",Allocation!BN137)</f>
        <v/>
      </c>
      <c r="G137" s="0">
        <f>IF(Allocation!BO137="","",Allocation!BO137)</f>
        <v/>
      </c>
      <c r="H137" s="0">
        <f>IF(Allocation!BP137="","",Allocation!BP137)</f>
        <v/>
      </c>
      <c r="I137" s="0">
        <f>IF(Allocation!BQ137="","",Allocation!BQ137)</f>
        <v/>
      </c>
      <c r="J137" s="0">
        <f>IF(Allocation!CC137="","",Allocation!CC137)</f>
        <v/>
      </c>
      <c r="K137" s="0">
        <f>IF($A137="","",$H137*IF(AND(LEFT($D137,3)="BAC",$F137="INIT"),600,IF(LEFT($D137,3)="BAC",480,IF(AND(LEFT($D137,3)="MAS",$F137="INIT"),520,IF(LEFT($D137,3)="MAS",420,IF($F137="INIT",1000,700))))))</f>
        <v/>
      </c>
      <c r="L137" s="0">
        <f>IF($A137="","",SUMIFS($G$1:$G$349,$AS$1:$AS$349,$AS137,$B$1:$B$349,$B137))</f>
        <v/>
      </c>
      <c r="M137" s="0">
        <f>IF($A137="","",SUMIFS($H$1:$H$349,$AS$1:$AS$349,$AS137,$B$1:$B$349,$B137))</f>
        <v/>
      </c>
      <c r="N137" s="0">
        <f>IF($A137="","",SUMIFS($I$1:$I$349,$AS$1:$AS$349,$AS137,$B$1:$B$349,$B137))</f>
        <v/>
      </c>
      <c r="O137" s="0">
        <f>IF($A137="","",SUMIFS($K$1:$K$349,$AS$1:$AS$349,$AS137,$B$1:$B$349,$B137))</f>
        <v/>
      </c>
      <c r="P137" s="0">
        <f>IF($A137="","",SUMIFS($J$1:$J$349,$AS$1:$AS$349,$AS137,$B$1:$B$349,$B137))</f>
        <v/>
      </c>
      <c r="Q137" s="0">
        <f>IF($A137="","",SUMIFS($G$1:$G$349,$AS$1:$AS$349,$AS137,$C$1:$C$349,$C137))</f>
        <v/>
      </c>
      <c r="R137" s="0">
        <f>IF($A137="","",SUMIFS($H$1:$H$349,$AS$1:$AS$349,$AS137,$C$1:$C$349,$C137))</f>
        <v/>
      </c>
      <c r="S137" s="0">
        <f>IF($A137="","",SUMIFS($I$1:$I$349,$AS$1:$AS$349,$AS137,$C$1:$C$349,$C137))</f>
        <v/>
      </c>
      <c r="T137" s="0">
        <f>IF($A137="","",SUMIFS($G$1:$G$349,$AS$1:$AS$349,$AS137))</f>
        <v/>
      </c>
      <c r="U137" s="0">
        <f>IF($A137="","",SUMIFS($H$1:$H$349,$AS$1:$AS$349,$AS137))</f>
        <v/>
      </c>
      <c r="V137" s="0">
        <f>IF($A137="","",SUMIFS($I$1:$I$349,$AS$1:$AS$349,$AS137))</f>
        <v/>
      </c>
      <c r="W137" s="0">
        <f>IF($A137="","",Allocation!CD137)</f>
        <v/>
      </c>
      <c r="X137" s="0">
        <f>IF($A137="","",Allocation!CE137)</f>
        <v/>
      </c>
      <c r="Y137" s="0">
        <f>IF($A137="","",Allocation!CF137)</f>
        <v/>
      </c>
      <c r="Z137" s="0">
        <f>IF($A137="","",Allocation!CG137)</f>
        <v/>
      </c>
      <c r="AA137" s="0">
        <f>IF($A137="","",Allocation!CH137)</f>
        <v/>
      </c>
      <c r="AB137" s="0">
        <f>IF($A137="","",Allocation!CI137)</f>
        <v/>
      </c>
      <c r="AC137" s="0">
        <f>IF($A137="","",IF(Allocation!$N$4="VOL_EFF",$G137,IF(Allocation!$N$4="VOL_CLASS",$H137,$I137)))</f>
        <v/>
      </c>
      <c r="AD137" s="0">
        <f>IF($A137="","",IF(Allocation!$N$4="VOL_EFF",$L137,IF(Allocation!$N$4="VOL_CLASS",$M137,$N137)))</f>
        <v/>
      </c>
      <c r="AE137" s="0">
        <f>IF($A137="","",IF(Allocation!$N$3="VOL_EFF",$L137,IF(Allocation!$N$3="VOL_CLASS",$M137,$N137)))</f>
        <v/>
      </c>
      <c r="AF137" s="0">
        <f>IF($A137="","",IF(Allocation!$N$3="VOL_EFF",$Q137,IF(Allocation!$N$3="VOL_CLASS",$R137,$S137)))</f>
        <v/>
      </c>
      <c r="AG137" s="0">
        <f>IF($A137="","",IF(Allocation!$N$1="VOL_EFF",$Q137,IF(Allocation!$N$1="VOL_CLASS",$R137,$S137)))</f>
        <v/>
      </c>
      <c r="AH137" s="0">
        <f>IF($A137="","",IF(Allocation!$N$1="VOL_EFF",$T137,IF(Allocation!$N$1="VOL_CLASS",$U137,$V137)))</f>
        <v/>
      </c>
      <c r="AI137" s="0">
        <f>IF($A137="","",$W137*IFERROR($K137/$O137,0))</f>
        <v/>
      </c>
      <c r="AJ137" s="0">
        <f>IF($A137="","",$X137*IFERROR($K137/$O137,0))</f>
        <v/>
      </c>
      <c r="AK137" s="0">
        <f>IF($A137="","",$Y137*IFERROR($G137/$L137,0)+$Z137*IFERROR($J137/$P137,0))</f>
        <v/>
      </c>
      <c r="AL137" s="0">
        <f>IF($A137="","",$AA137*IFERROR($AC137/$AD137,0))</f>
        <v/>
      </c>
      <c r="AM137" s="0">
        <f>IF($A137="","",$AB137*IFERROR($AG137/$AH137,0)*IFERROR($AE137/$AF137,0)*IFERROR($AC137/$AD137,0))</f>
        <v/>
      </c>
      <c r="AN137" s="0">
        <f>IF($A137="","",$I137-($AI137+$AJ137+$AK137+$AL137+$AM137+$AR137))</f>
        <v/>
      </c>
      <c r="AO137" s="0">
        <f>IF($A137="","",Allocation!CJ137)</f>
        <v/>
      </c>
      <c r="AP137" s="0">
        <f>IF($A137="","",IF(Allocation!$N$2="VOL_EFF",$Q137,IF(Allocation!$N$2="VOL_CLASS",$R137,$S137)))</f>
        <v/>
      </c>
      <c r="AQ137" s="0">
        <f>IF($A137="","",IF(Allocation!$N$2="VOL_EFF",$T137,IF(Allocation!$N$2="VOL_CLASS",$U137,$V137)))</f>
        <v/>
      </c>
      <c r="AR137" s="0">
        <f>IF($A137="","",$AO137*IFERROR($AP137/$AQ137,0)*IFERROR($AE137/$AF137,0)*IFERROR($AC137/$AD137,0))</f>
        <v/>
      </c>
      <c r="AS137" s="0">
        <f>IF($A137="","",$A137&amp;"|"&amp;Allocation!BG137)</f>
        <v/>
      </c>
    </row>
    <row r="138" ht="14.4975" customHeight="1" s="64">
      <c r="A138" s="0">
        <f>IF(Allocation!BI138="","",Allocation!BI138)</f>
        <v/>
      </c>
      <c r="B138" s="0">
        <f>IF(Allocation!BJ138="","",Allocation!BJ138)</f>
        <v/>
      </c>
      <c r="C138" s="0">
        <f>IF(Allocation!BK138="","",Allocation!BK138)</f>
        <v/>
      </c>
      <c r="D138" s="0">
        <f>IF(Allocation!BL138="","",Allocation!BL138)</f>
        <v/>
      </c>
      <c r="E138" s="0">
        <f>IF(Allocation!BM138="","",Allocation!BM138)</f>
        <v/>
      </c>
      <c r="F138" s="0">
        <f>IF(Allocation!BN138="","",Allocation!BN138)</f>
        <v/>
      </c>
      <c r="G138" s="0">
        <f>IF(Allocation!BO138="","",Allocation!BO138)</f>
        <v/>
      </c>
      <c r="H138" s="0">
        <f>IF(Allocation!BP138="","",Allocation!BP138)</f>
        <v/>
      </c>
      <c r="I138" s="0">
        <f>IF(Allocation!BQ138="","",Allocation!BQ138)</f>
        <v/>
      </c>
      <c r="J138" s="0">
        <f>IF(Allocation!CC138="","",Allocation!CC138)</f>
        <v/>
      </c>
      <c r="K138" s="0">
        <f>IF($A138="","",$H138*IF(AND(LEFT($D138,3)="BAC",$F138="INIT"),600,IF(LEFT($D138,3)="BAC",480,IF(AND(LEFT($D138,3)="MAS",$F138="INIT"),520,IF(LEFT($D138,3)="MAS",420,IF($F138="INIT",1000,700))))))</f>
        <v/>
      </c>
      <c r="L138" s="0">
        <f>IF($A138="","",SUMIFS($G$1:$G$349,$AS$1:$AS$349,$AS138,$B$1:$B$349,$B138))</f>
        <v/>
      </c>
      <c r="M138" s="0">
        <f>IF($A138="","",SUMIFS($H$1:$H$349,$AS$1:$AS$349,$AS138,$B$1:$B$349,$B138))</f>
        <v/>
      </c>
      <c r="N138" s="0">
        <f>IF($A138="","",SUMIFS($I$1:$I$349,$AS$1:$AS$349,$AS138,$B$1:$B$349,$B138))</f>
        <v/>
      </c>
      <c r="O138" s="0">
        <f>IF($A138="","",SUMIFS($K$1:$K$349,$AS$1:$AS$349,$AS138,$B$1:$B$349,$B138))</f>
        <v/>
      </c>
      <c r="P138" s="0">
        <f>IF($A138="","",SUMIFS($J$1:$J$349,$AS$1:$AS$349,$AS138,$B$1:$B$349,$B138))</f>
        <v/>
      </c>
      <c r="Q138" s="0">
        <f>IF($A138="","",SUMIFS($G$1:$G$349,$AS$1:$AS$349,$AS138,$C$1:$C$349,$C138))</f>
        <v/>
      </c>
      <c r="R138" s="0">
        <f>IF($A138="","",SUMIFS($H$1:$H$349,$AS$1:$AS$349,$AS138,$C$1:$C$349,$C138))</f>
        <v/>
      </c>
      <c r="S138" s="0">
        <f>IF($A138="","",SUMIFS($I$1:$I$349,$AS$1:$AS$349,$AS138,$C$1:$C$349,$C138))</f>
        <v/>
      </c>
      <c r="T138" s="0">
        <f>IF($A138="","",SUMIFS($G$1:$G$349,$AS$1:$AS$349,$AS138))</f>
        <v/>
      </c>
      <c r="U138" s="0">
        <f>IF($A138="","",SUMIFS($H$1:$H$349,$AS$1:$AS$349,$AS138))</f>
        <v/>
      </c>
      <c r="V138" s="0">
        <f>IF($A138="","",SUMIFS($I$1:$I$349,$AS$1:$AS$349,$AS138))</f>
        <v/>
      </c>
      <c r="W138" s="0">
        <f>IF($A138="","",Allocation!CD138)</f>
        <v/>
      </c>
      <c r="X138" s="0">
        <f>IF($A138="","",Allocation!CE138)</f>
        <v/>
      </c>
      <c r="Y138" s="0">
        <f>IF($A138="","",Allocation!CF138)</f>
        <v/>
      </c>
      <c r="Z138" s="0">
        <f>IF($A138="","",Allocation!CG138)</f>
        <v/>
      </c>
      <c r="AA138" s="0">
        <f>IF($A138="","",Allocation!CH138)</f>
        <v/>
      </c>
      <c r="AB138" s="0">
        <f>IF($A138="","",Allocation!CI138)</f>
        <v/>
      </c>
      <c r="AC138" s="0">
        <f>IF($A138="","",IF(Allocation!$N$4="VOL_EFF",$G138,IF(Allocation!$N$4="VOL_CLASS",$H138,$I138)))</f>
        <v/>
      </c>
      <c r="AD138" s="0">
        <f>IF($A138="","",IF(Allocation!$N$4="VOL_EFF",$L138,IF(Allocation!$N$4="VOL_CLASS",$M138,$N138)))</f>
        <v/>
      </c>
      <c r="AE138" s="0">
        <f>IF($A138="","",IF(Allocation!$N$3="VOL_EFF",$L138,IF(Allocation!$N$3="VOL_CLASS",$M138,$N138)))</f>
        <v/>
      </c>
      <c r="AF138" s="0">
        <f>IF($A138="","",IF(Allocation!$N$3="VOL_EFF",$Q138,IF(Allocation!$N$3="VOL_CLASS",$R138,$S138)))</f>
        <v/>
      </c>
      <c r="AG138" s="0">
        <f>IF($A138="","",IF(Allocation!$N$1="VOL_EFF",$Q138,IF(Allocation!$N$1="VOL_CLASS",$R138,$S138)))</f>
        <v/>
      </c>
      <c r="AH138" s="0">
        <f>IF($A138="","",IF(Allocation!$N$1="VOL_EFF",$T138,IF(Allocation!$N$1="VOL_CLASS",$U138,$V138)))</f>
        <v/>
      </c>
      <c r="AI138" s="0">
        <f>IF($A138="","",$W138*IFERROR($K138/$O138,0))</f>
        <v/>
      </c>
      <c r="AJ138" s="0">
        <f>IF($A138="","",$X138*IFERROR($K138/$O138,0))</f>
        <v/>
      </c>
      <c r="AK138" s="0">
        <f>IF($A138="","",$Y138*IFERROR($G138/$L138,0)+$Z138*IFERROR($J138/$P138,0))</f>
        <v/>
      </c>
      <c r="AL138" s="0">
        <f>IF($A138="","",$AA138*IFERROR($AC138/$AD138,0))</f>
        <v/>
      </c>
      <c r="AM138" s="0">
        <f>IF($A138="","",$AB138*IFERROR($AG138/$AH138,0)*IFERROR($AE138/$AF138,0)*IFERROR($AC138/$AD138,0))</f>
        <v/>
      </c>
      <c r="AN138" s="0">
        <f>IF($A138="","",$I138-($AI138+$AJ138+$AK138+$AL138+$AM138+$AR138))</f>
        <v/>
      </c>
      <c r="AO138" s="0">
        <f>IF($A138="","",Allocation!CJ138)</f>
        <v/>
      </c>
      <c r="AP138" s="0">
        <f>IF($A138="","",IF(Allocation!$N$2="VOL_EFF",$Q138,IF(Allocation!$N$2="VOL_CLASS",$R138,$S138)))</f>
        <v/>
      </c>
      <c r="AQ138" s="0">
        <f>IF($A138="","",IF(Allocation!$N$2="VOL_EFF",$T138,IF(Allocation!$N$2="VOL_CLASS",$U138,$V138)))</f>
        <v/>
      </c>
      <c r="AR138" s="0">
        <f>IF($A138="","",$AO138*IFERROR($AP138/$AQ138,0)*IFERROR($AE138/$AF138,0)*IFERROR($AC138/$AD138,0))</f>
        <v/>
      </c>
      <c r="AS138" s="0">
        <f>IF($A138="","",$A138&amp;"|"&amp;Allocation!BG138)</f>
        <v/>
      </c>
    </row>
    <row r="139" ht="14.4975" customHeight="1" s="64">
      <c r="A139" s="0">
        <f>IF(Allocation!BI139="","",Allocation!BI139)</f>
        <v/>
      </c>
      <c r="B139" s="0">
        <f>IF(Allocation!BJ139="","",Allocation!BJ139)</f>
        <v/>
      </c>
      <c r="C139" s="0">
        <f>IF(Allocation!BK139="","",Allocation!BK139)</f>
        <v/>
      </c>
      <c r="D139" s="0">
        <f>IF(Allocation!BL139="","",Allocation!BL139)</f>
        <v/>
      </c>
      <c r="E139" s="0">
        <f>IF(Allocation!BM139="","",Allocation!BM139)</f>
        <v/>
      </c>
      <c r="F139" s="0">
        <f>IF(Allocation!BN139="","",Allocation!BN139)</f>
        <v/>
      </c>
      <c r="G139" s="0">
        <f>IF(Allocation!BO139="","",Allocation!BO139)</f>
        <v/>
      </c>
      <c r="H139" s="0">
        <f>IF(Allocation!BP139="","",Allocation!BP139)</f>
        <v/>
      </c>
      <c r="I139" s="0">
        <f>IF(Allocation!BQ139="","",Allocation!BQ139)</f>
        <v/>
      </c>
      <c r="J139" s="0">
        <f>IF(Allocation!CC139="","",Allocation!CC139)</f>
        <v/>
      </c>
      <c r="K139" s="0">
        <f>IF($A139="","",$H139*IF(AND(LEFT($D139,3)="BAC",$F139="INIT"),600,IF(LEFT($D139,3)="BAC",480,IF(AND(LEFT($D139,3)="MAS",$F139="INIT"),520,IF(LEFT($D139,3)="MAS",420,IF($F139="INIT",1000,700))))))</f>
        <v/>
      </c>
      <c r="L139" s="0">
        <f>IF($A139="","",SUMIFS($G$1:$G$349,$AS$1:$AS$349,$AS139,$B$1:$B$349,$B139))</f>
        <v/>
      </c>
      <c r="M139" s="0">
        <f>IF($A139="","",SUMIFS($H$1:$H$349,$AS$1:$AS$349,$AS139,$B$1:$B$349,$B139))</f>
        <v/>
      </c>
      <c r="N139" s="0">
        <f>IF($A139="","",SUMIFS($I$1:$I$349,$AS$1:$AS$349,$AS139,$B$1:$B$349,$B139))</f>
        <v/>
      </c>
      <c r="O139" s="0">
        <f>IF($A139="","",SUMIFS($K$1:$K$349,$AS$1:$AS$349,$AS139,$B$1:$B$349,$B139))</f>
        <v/>
      </c>
      <c r="P139" s="0">
        <f>IF($A139="","",SUMIFS($J$1:$J$349,$AS$1:$AS$349,$AS139,$B$1:$B$349,$B139))</f>
        <v/>
      </c>
      <c r="Q139" s="0">
        <f>IF($A139="","",SUMIFS($G$1:$G$349,$AS$1:$AS$349,$AS139,$C$1:$C$349,$C139))</f>
        <v/>
      </c>
      <c r="R139" s="0">
        <f>IF($A139="","",SUMIFS($H$1:$H$349,$AS$1:$AS$349,$AS139,$C$1:$C$349,$C139))</f>
        <v/>
      </c>
      <c r="S139" s="0">
        <f>IF($A139="","",SUMIFS($I$1:$I$349,$AS$1:$AS$349,$AS139,$C$1:$C$349,$C139))</f>
        <v/>
      </c>
      <c r="T139" s="0">
        <f>IF($A139="","",SUMIFS($G$1:$G$349,$AS$1:$AS$349,$AS139))</f>
        <v/>
      </c>
      <c r="U139" s="0">
        <f>IF($A139="","",SUMIFS($H$1:$H$349,$AS$1:$AS$349,$AS139))</f>
        <v/>
      </c>
      <c r="V139" s="0">
        <f>IF($A139="","",SUMIFS($I$1:$I$349,$AS$1:$AS$349,$AS139))</f>
        <v/>
      </c>
      <c r="W139" s="0">
        <f>IF($A139="","",Allocation!CD139)</f>
        <v/>
      </c>
      <c r="X139" s="0">
        <f>IF($A139="","",Allocation!CE139)</f>
        <v/>
      </c>
      <c r="Y139" s="0">
        <f>IF($A139="","",Allocation!CF139)</f>
        <v/>
      </c>
      <c r="Z139" s="0">
        <f>IF($A139="","",Allocation!CG139)</f>
        <v/>
      </c>
      <c r="AA139" s="0">
        <f>IF($A139="","",Allocation!CH139)</f>
        <v/>
      </c>
      <c r="AB139" s="0">
        <f>IF($A139="","",Allocation!CI139)</f>
        <v/>
      </c>
      <c r="AC139" s="0">
        <f>IF($A139="","",IF(Allocation!$N$4="VOL_EFF",$G139,IF(Allocation!$N$4="VOL_CLASS",$H139,$I139)))</f>
        <v/>
      </c>
      <c r="AD139" s="0">
        <f>IF($A139="","",IF(Allocation!$N$4="VOL_EFF",$L139,IF(Allocation!$N$4="VOL_CLASS",$M139,$N139)))</f>
        <v/>
      </c>
      <c r="AE139" s="0">
        <f>IF($A139="","",IF(Allocation!$N$3="VOL_EFF",$L139,IF(Allocation!$N$3="VOL_CLASS",$M139,$N139)))</f>
        <v/>
      </c>
      <c r="AF139" s="0">
        <f>IF($A139="","",IF(Allocation!$N$3="VOL_EFF",$Q139,IF(Allocation!$N$3="VOL_CLASS",$R139,$S139)))</f>
        <v/>
      </c>
      <c r="AG139" s="0">
        <f>IF($A139="","",IF(Allocation!$N$1="VOL_EFF",$Q139,IF(Allocation!$N$1="VOL_CLASS",$R139,$S139)))</f>
        <v/>
      </c>
      <c r="AH139" s="0">
        <f>IF($A139="","",IF(Allocation!$N$1="VOL_EFF",$T139,IF(Allocation!$N$1="VOL_CLASS",$U139,$V139)))</f>
        <v/>
      </c>
      <c r="AI139" s="0">
        <f>IF($A139="","",$W139*IFERROR($K139/$O139,0))</f>
        <v/>
      </c>
      <c r="AJ139" s="0">
        <f>IF($A139="","",$X139*IFERROR($K139/$O139,0))</f>
        <v/>
      </c>
      <c r="AK139" s="0">
        <f>IF($A139="","",$Y139*IFERROR($G139/$L139,0)+$Z139*IFERROR($J139/$P139,0))</f>
        <v/>
      </c>
      <c r="AL139" s="0">
        <f>IF($A139="","",$AA139*IFERROR($AC139/$AD139,0))</f>
        <v/>
      </c>
      <c r="AM139" s="0">
        <f>IF($A139="","",$AB139*IFERROR($AG139/$AH139,0)*IFERROR($AE139/$AF139,0)*IFERROR($AC139/$AD139,0))</f>
        <v/>
      </c>
      <c r="AN139" s="0">
        <f>IF($A139="","",$I139-($AI139+$AJ139+$AK139+$AL139+$AM139+$AR139))</f>
        <v/>
      </c>
      <c r="AO139" s="0">
        <f>IF($A139="","",Allocation!CJ139)</f>
        <v/>
      </c>
      <c r="AP139" s="0">
        <f>IF($A139="","",IF(Allocation!$N$2="VOL_EFF",$Q139,IF(Allocation!$N$2="VOL_CLASS",$R139,$S139)))</f>
        <v/>
      </c>
      <c r="AQ139" s="0">
        <f>IF($A139="","",IF(Allocation!$N$2="VOL_EFF",$T139,IF(Allocation!$N$2="VOL_CLASS",$U139,$V139)))</f>
        <v/>
      </c>
      <c r="AR139" s="0">
        <f>IF($A139="","",$AO139*IFERROR($AP139/$AQ139,0)*IFERROR($AE139/$AF139,0)*IFERROR($AC139/$AD139,0))</f>
        <v/>
      </c>
      <c r="AS139" s="0">
        <f>IF($A139="","",$A139&amp;"|"&amp;Allocation!BG139)</f>
        <v/>
      </c>
    </row>
    <row r="140" ht="14.4975" customHeight="1" s="64">
      <c r="A140" s="0">
        <f>IF(Allocation!BI140="","",Allocation!BI140)</f>
        <v/>
      </c>
      <c r="B140" s="0">
        <f>IF(Allocation!BJ140="","",Allocation!BJ140)</f>
        <v/>
      </c>
      <c r="C140" s="0">
        <f>IF(Allocation!BK140="","",Allocation!BK140)</f>
        <v/>
      </c>
      <c r="D140" s="0">
        <f>IF(Allocation!BL140="","",Allocation!BL140)</f>
        <v/>
      </c>
      <c r="E140" s="0">
        <f>IF(Allocation!BM140="","",Allocation!BM140)</f>
        <v/>
      </c>
      <c r="F140" s="0">
        <f>IF(Allocation!BN140="","",Allocation!BN140)</f>
        <v/>
      </c>
      <c r="G140" s="0">
        <f>IF(Allocation!BO140="","",Allocation!BO140)</f>
        <v/>
      </c>
      <c r="H140" s="0">
        <f>IF(Allocation!BP140="","",Allocation!BP140)</f>
        <v/>
      </c>
      <c r="I140" s="0">
        <f>IF(Allocation!BQ140="","",Allocation!BQ140)</f>
        <v/>
      </c>
      <c r="J140" s="0">
        <f>IF(Allocation!CC140="","",Allocation!CC140)</f>
        <v/>
      </c>
      <c r="K140" s="0">
        <f>IF($A140="","",$H140*IF(AND(LEFT($D140,3)="BAC",$F140="INIT"),600,IF(LEFT($D140,3)="BAC",480,IF(AND(LEFT($D140,3)="MAS",$F140="INIT"),520,IF(LEFT($D140,3)="MAS",420,IF($F140="INIT",1000,700))))))</f>
        <v/>
      </c>
      <c r="L140" s="0">
        <f>IF($A140="","",SUMIFS($G$1:$G$349,$AS$1:$AS$349,$AS140,$B$1:$B$349,$B140))</f>
        <v/>
      </c>
      <c r="M140" s="0">
        <f>IF($A140="","",SUMIFS($H$1:$H$349,$AS$1:$AS$349,$AS140,$B$1:$B$349,$B140))</f>
        <v/>
      </c>
      <c r="N140" s="0">
        <f>IF($A140="","",SUMIFS($I$1:$I$349,$AS$1:$AS$349,$AS140,$B$1:$B$349,$B140))</f>
        <v/>
      </c>
      <c r="O140" s="0">
        <f>IF($A140="","",SUMIFS($K$1:$K$349,$AS$1:$AS$349,$AS140,$B$1:$B$349,$B140))</f>
        <v/>
      </c>
      <c r="P140" s="0">
        <f>IF($A140="","",SUMIFS($J$1:$J$349,$AS$1:$AS$349,$AS140,$B$1:$B$349,$B140))</f>
        <v/>
      </c>
      <c r="Q140" s="0">
        <f>IF($A140="","",SUMIFS($G$1:$G$349,$AS$1:$AS$349,$AS140,$C$1:$C$349,$C140))</f>
        <v/>
      </c>
      <c r="R140" s="0">
        <f>IF($A140="","",SUMIFS($H$1:$H$349,$AS$1:$AS$349,$AS140,$C$1:$C$349,$C140))</f>
        <v/>
      </c>
      <c r="S140" s="0">
        <f>IF($A140="","",SUMIFS($I$1:$I$349,$AS$1:$AS$349,$AS140,$C$1:$C$349,$C140))</f>
        <v/>
      </c>
      <c r="T140" s="0">
        <f>IF($A140="","",SUMIFS($G$1:$G$349,$AS$1:$AS$349,$AS140))</f>
        <v/>
      </c>
      <c r="U140" s="0">
        <f>IF($A140="","",SUMIFS($H$1:$H$349,$AS$1:$AS$349,$AS140))</f>
        <v/>
      </c>
      <c r="V140" s="0">
        <f>IF($A140="","",SUMIFS($I$1:$I$349,$AS$1:$AS$349,$AS140))</f>
        <v/>
      </c>
      <c r="W140" s="0">
        <f>IF($A140="","",Allocation!CD140)</f>
        <v/>
      </c>
      <c r="X140" s="0">
        <f>IF($A140="","",Allocation!CE140)</f>
        <v/>
      </c>
      <c r="Y140" s="0">
        <f>IF($A140="","",Allocation!CF140)</f>
        <v/>
      </c>
      <c r="Z140" s="0">
        <f>IF($A140="","",Allocation!CG140)</f>
        <v/>
      </c>
      <c r="AA140" s="0">
        <f>IF($A140="","",Allocation!CH140)</f>
        <v/>
      </c>
      <c r="AB140" s="0">
        <f>IF($A140="","",Allocation!CI140)</f>
        <v/>
      </c>
      <c r="AC140" s="0">
        <f>IF($A140="","",IF(Allocation!$N$4="VOL_EFF",$G140,IF(Allocation!$N$4="VOL_CLASS",$H140,$I140)))</f>
        <v/>
      </c>
      <c r="AD140" s="0">
        <f>IF($A140="","",IF(Allocation!$N$4="VOL_EFF",$L140,IF(Allocation!$N$4="VOL_CLASS",$M140,$N140)))</f>
        <v/>
      </c>
      <c r="AE140" s="0">
        <f>IF($A140="","",IF(Allocation!$N$3="VOL_EFF",$L140,IF(Allocation!$N$3="VOL_CLASS",$M140,$N140)))</f>
        <v/>
      </c>
      <c r="AF140" s="0">
        <f>IF($A140="","",IF(Allocation!$N$3="VOL_EFF",$Q140,IF(Allocation!$N$3="VOL_CLASS",$R140,$S140)))</f>
        <v/>
      </c>
      <c r="AG140" s="0">
        <f>IF($A140="","",IF(Allocation!$N$1="VOL_EFF",$Q140,IF(Allocation!$N$1="VOL_CLASS",$R140,$S140)))</f>
        <v/>
      </c>
      <c r="AH140" s="0">
        <f>IF($A140="","",IF(Allocation!$N$1="VOL_EFF",$T140,IF(Allocation!$N$1="VOL_CLASS",$U140,$V140)))</f>
        <v/>
      </c>
      <c r="AI140" s="0">
        <f>IF($A140="","",$W140*IFERROR($K140/$O140,0))</f>
        <v/>
      </c>
      <c r="AJ140" s="0">
        <f>IF($A140="","",$X140*IFERROR($K140/$O140,0))</f>
        <v/>
      </c>
      <c r="AK140" s="0">
        <f>IF($A140="","",$Y140*IFERROR($G140/$L140,0)+$Z140*IFERROR($J140/$P140,0))</f>
        <v/>
      </c>
      <c r="AL140" s="0">
        <f>IF($A140="","",$AA140*IFERROR($AC140/$AD140,0))</f>
        <v/>
      </c>
      <c r="AM140" s="0">
        <f>IF($A140="","",$AB140*IFERROR($AG140/$AH140,0)*IFERROR($AE140/$AF140,0)*IFERROR($AC140/$AD140,0))</f>
        <v/>
      </c>
      <c r="AN140" s="0">
        <f>IF($A140="","",$I140-($AI140+$AJ140+$AK140+$AL140+$AM140+$AR140))</f>
        <v/>
      </c>
      <c r="AO140" s="0">
        <f>IF($A140="","",Allocation!CJ140)</f>
        <v/>
      </c>
      <c r="AP140" s="0">
        <f>IF($A140="","",IF(Allocation!$N$2="VOL_EFF",$Q140,IF(Allocation!$N$2="VOL_CLASS",$R140,$S140)))</f>
        <v/>
      </c>
      <c r="AQ140" s="0">
        <f>IF($A140="","",IF(Allocation!$N$2="VOL_EFF",$T140,IF(Allocation!$N$2="VOL_CLASS",$U140,$V140)))</f>
        <v/>
      </c>
      <c r="AR140" s="0">
        <f>IF($A140="","",$AO140*IFERROR($AP140/$AQ140,0)*IFERROR($AE140/$AF140,0)*IFERROR($AC140/$AD140,0))</f>
        <v/>
      </c>
      <c r="AS140" s="0">
        <f>IF($A140="","",$A140&amp;"|"&amp;Allocation!BG140)</f>
        <v/>
      </c>
    </row>
    <row r="141" ht="14.4975" customHeight="1" s="64">
      <c r="A141" s="0">
        <f>IF(Allocation!BI141="","",Allocation!BI141)</f>
        <v/>
      </c>
      <c r="B141" s="0">
        <f>IF(Allocation!BJ141="","",Allocation!BJ141)</f>
        <v/>
      </c>
      <c r="C141" s="0">
        <f>IF(Allocation!BK141="","",Allocation!BK141)</f>
        <v/>
      </c>
      <c r="D141" s="0">
        <f>IF(Allocation!BL141="","",Allocation!BL141)</f>
        <v/>
      </c>
      <c r="E141" s="0">
        <f>IF(Allocation!BM141="","",Allocation!BM141)</f>
        <v/>
      </c>
      <c r="F141" s="0">
        <f>IF(Allocation!BN141="","",Allocation!BN141)</f>
        <v/>
      </c>
      <c r="G141" s="0">
        <f>IF(Allocation!BO141="","",Allocation!BO141)</f>
        <v/>
      </c>
      <c r="H141" s="0">
        <f>IF(Allocation!BP141="","",Allocation!BP141)</f>
        <v/>
      </c>
      <c r="I141" s="0">
        <f>IF(Allocation!BQ141="","",Allocation!BQ141)</f>
        <v/>
      </c>
      <c r="J141" s="0">
        <f>IF(Allocation!CC141="","",Allocation!CC141)</f>
        <v/>
      </c>
      <c r="K141" s="0">
        <f>IF($A141="","",$H141*IF(AND(LEFT($D141,3)="BAC",$F141="INIT"),600,IF(LEFT($D141,3)="BAC",480,IF(AND(LEFT($D141,3)="MAS",$F141="INIT"),520,IF(LEFT($D141,3)="MAS",420,IF($F141="INIT",1000,700))))))</f>
        <v/>
      </c>
      <c r="L141" s="0">
        <f>IF($A141="","",SUMIFS($G$1:$G$349,$AS$1:$AS$349,$AS141,$B$1:$B$349,$B141))</f>
        <v/>
      </c>
      <c r="M141" s="0">
        <f>IF($A141="","",SUMIFS($H$1:$H$349,$AS$1:$AS$349,$AS141,$B$1:$B$349,$B141))</f>
        <v/>
      </c>
      <c r="N141" s="0">
        <f>IF($A141="","",SUMIFS($I$1:$I$349,$AS$1:$AS$349,$AS141,$B$1:$B$349,$B141))</f>
        <v/>
      </c>
      <c r="O141" s="0">
        <f>IF($A141="","",SUMIFS($K$1:$K$349,$AS$1:$AS$349,$AS141,$B$1:$B$349,$B141))</f>
        <v/>
      </c>
      <c r="P141" s="0">
        <f>IF($A141="","",SUMIFS($J$1:$J$349,$AS$1:$AS$349,$AS141,$B$1:$B$349,$B141))</f>
        <v/>
      </c>
      <c r="Q141" s="0">
        <f>IF($A141="","",SUMIFS($G$1:$G$349,$AS$1:$AS$349,$AS141,$C$1:$C$349,$C141))</f>
        <v/>
      </c>
      <c r="R141" s="0">
        <f>IF($A141="","",SUMIFS($H$1:$H$349,$AS$1:$AS$349,$AS141,$C$1:$C$349,$C141))</f>
        <v/>
      </c>
      <c r="S141" s="0">
        <f>IF($A141="","",SUMIFS($I$1:$I$349,$AS$1:$AS$349,$AS141,$C$1:$C$349,$C141))</f>
        <v/>
      </c>
      <c r="T141" s="0">
        <f>IF($A141="","",SUMIFS($G$1:$G$349,$AS$1:$AS$349,$AS141))</f>
        <v/>
      </c>
      <c r="U141" s="0">
        <f>IF($A141="","",SUMIFS($H$1:$H$349,$AS$1:$AS$349,$AS141))</f>
        <v/>
      </c>
      <c r="V141" s="0">
        <f>IF($A141="","",SUMIFS($I$1:$I$349,$AS$1:$AS$349,$AS141))</f>
        <v/>
      </c>
      <c r="W141" s="0">
        <f>IF($A141="","",Allocation!CD141)</f>
        <v/>
      </c>
      <c r="X141" s="0">
        <f>IF($A141="","",Allocation!CE141)</f>
        <v/>
      </c>
      <c r="Y141" s="0">
        <f>IF($A141="","",Allocation!CF141)</f>
        <v/>
      </c>
      <c r="Z141" s="0">
        <f>IF($A141="","",Allocation!CG141)</f>
        <v/>
      </c>
      <c r="AA141" s="0">
        <f>IF($A141="","",Allocation!CH141)</f>
        <v/>
      </c>
      <c r="AB141" s="0">
        <f>IF($A141="","",Allocation!CI141)</f>
        <v/>
      </c>
      <c r="AC141" s="0">
        <f>IF($A141="","",IF(Allocation!$N$4="VOL_EFF",$G141,IF(Allocation!$N$4="VOL_CLASS",$H141,$I141)))</f>
        <v/>
      </c>
      <c r="AD141" s="0">
        <f>IF($A141="","",IF(Allocation!$N$4="VOL_EFF",$L141,IF(Allocation!$N$4="VOL_CLASS",$M141,$N141)))</f>
        <v/>
      </c>
      <c r="AE141" s="0">
        <f>IF($A141="","",IF(Allocation!$N$3="VOL_EFF",$L141,IF(Allocation!$N$3="VOL_CLASS",$M141,$N141)))</f>
        <v/>
      </c>
      <c r="AF141" s="0">
        <f>IF($A141="","",IF(Allocation!$N$3="VOL_EFF",$Q141,IF(Allocation!$N$3="VOL_CLASS",$R141,$S141)))</f>
        <v/>
      </c>
      <c r="AG141" s="0">
        <f>IF($A141="","",IF(Allocation!$N$1="VOL_EFF",$Q141,IF(Allocation!$N$1="VOL_CLASS",$R141,$S141)))</f>
        <v/>
      </c>
      <c r="AH141" s="0">
        <f>IF($A141="","",IF(Allocation!$N$1="VOL_EFF",$T141,IF(Allocation!$N$1="VOL_CLASS",$U141,$V141)))</f>
        <v/>
      </c>
      <c r="AI141" s="0">
        <f>IF($A141="","",$W141*IFERROR($K141/$O141,0))</f>
        <v/>
      </c>
      <c r="AJ141" s="0">
        <f>IF($A141="","",$X141*IFERROR($K141/$O141,0))</f>
        <v/>
      </c>
      <c r="AK141" s="0">
        <f>IF($A141="","",$Y141*IFERROR($G141/$L141,0)+$Z141*IFERROR($J141/$P141,0))</f>
        <v/>
      </c>
      <c r="AL141" s="0">
        <f>IF($A141="","",$AA141*IFERROR($AC141/$AD141,0))</f>
        <v/>
      </c>
      <c r="AM141" s="0">
        <f>IF($A141="","",$AB141*IFERROR($AG141/$AH141,0)*IFERROR($AE141/$AF141,0)*IFERROR($AC141/$AD141,0))</f>
        <v/>
      </c>
      <c r="AN141" s="0">
        <f>IF($A141="","",$I141-($AI141+$AJ141+$AK141+$AL141+$AM141+$AR141))</f>
        <v/>
      </c>
      <c r="AO141" s="0">
        <f>IF($A141="","",Allocation!CJ141)</f>
        <v/>
      </c>
      <c r="AP141" s="0">
        <f>IF($A141="","",IF(Allocation!$N$2="VOL_EFF",$Q141,IF(Allocation!$N$2="VOL_CLASS",$R141,$S141)))</f>
        <v/>
      </c>
      <c r="AQ141" s="0">
        <f>IF($A141="","",IF(Allocation!$N$2="VOL_EFF",$T141,IF(Allocation!$N$2="VOL_CLASS",$U141,$V141)))</f>
        <v/>
      </c>
      <c r="AR141" s="0">
        <f>IF($A141="","",$AO141*IFERROR($AP141/$AQ141,0)*IFERROR($AE141/$AF141,0)*IFERROR($AC141/$AD141,0))</f>
        <v/>
      </c>
      <c r="AS141" s="0">
        <f>IF($A141="","",$A141&amp;"|"&amp;Allocation!BG141)</f>
        <v/>
      </c>
    </row>
    <row r="142" ht="14.4975" customHeight="1" s="64">
      <c r="A142" s="0">
        <f>IF(Allocation!BI142="","",Allocation!BI142)</f>
        <v/>
      </c>
      <c r="B142" s="0">
        <f>IF(Allocation!BJ142="","",Allocation!BJ142)</f>
        <v/>
      </c>
      <c r="C142" s="0">
        <f>IF(Allocation!BK142="","",Allocation!BK142)</f>
        <v/>
      </c>
      <c r="D142" s="0">
        <f>IF(Allocation!BL142="","",Allocation!BL142)</f>
        <v/>
      </c>
      <c r="E142" s="0">
        <f>IF(Allocation!BM142="","",Allocation!BM142)</f>
        <v/>
      </c>
      <c r="F142" s="0">
        <f>IF(Allocation!BN142="","",Allocation!BN142)</f>
        <v/>
      </c>
      <c r="G142" s="0">
        <f>IF(Allocation!BO142="","",Allocation!BO142)</f>
        <v/>
      </c>
      <c r="H142" s="0">
        <f>IF(Allocation!BP142="","",Allocation!BP142)</f>
        <v/>
      </c>
      <c r="I142" s="0">
        <f>IF(Allocation!BQ142="","",Allocation!BQ142)</f>
        <v/>
      </c>
      <c r="J142" s="0">
        <f>IF(Allocation!CC142="","",Allocation!CC142)</f>
        <v/>
      </c>
      <c r="K142" s="0">
        <f>IF($A142="","",$H142*IF(AND(LEFT($D142,3)="BAC",$F142="INIT"),600,IF(LEFT($D142,3)="BAC",480,IF(AND(LEFT($D142,3)="MAS",$F142="INIT"),520,IF(LEFT($D142,3)="MAS",420,IF($F142="INIT",1000,700))))))</f>
        <v/>
      </c>
      <c r="L142" s="0">
        <f>IF($A142="","",SUMIFS($G$1:$G$349,$AS$1:$AS$349,$AS142,$B$1:$B$349,$B142))</f>
        <v/>
      </c>
      <c r="M142" s="0">
        <f>IF($A142="","",SUMIFS($H$1:$H$349,$AS$1:$AS$349,$AS142,$B$1:$B$349,$B142))</f>
        <v/>
      </c>
      <c r="N142" s="0">
        <f>IF($A142="","",SUMIFS($I$1:$I$349,$AS$1:$AS$349,$AS142,$B$1:$B$349,$B142))</f>
        <v/>
      </c>
      <c r="O142" s="0">
        <f>IF($A142="","",SUMIFS($K$1:$K$349,$AS$1:$AS$349,$AS142,$B$1:$B$349,$B142))</f>
        <v/>
      </c>
      <c r="P142" s="0">
        <f>IF($A142="","",SUMIFS($J$1:$J$349,$AS$1:$AS$349,$AS142,$B$1:$B$349,$B142))</f>
        <v/>
      </c>
      <c r="Q142" s="0">
        <f>IF($A142="","",SUMIFS($G$1:$G$349,$AS$1:$AS$349,$AS142,$C$1:$C$349,$C142))</f>
        <v/>
      </c>
      <c r="R142" s="0">
        <f>IF($A142="","",SUMIFS($H$1:$H$349,$AS$1:$AS$349,$AS142,$C$1:$C$349,$C142))</f>
        <v/>
      </c>
      <c r="S142" s="0">
        <f>IF($A142="","",SUMIFS($I$1:$I$349,$AS$1:$AS$349,$AS142,$C$1:$C$349,$C142))</f>
        <v/>
      </c>
      <c r="T142" s="0">
        <f>IF($A142="","",SUMIFS($G$1:$G$349,$AS$1:$AS$349,$AS142))</f>
        <v/>
      </c>
      <c r="U142" s="0">
        <f>IF($A142="","",SUMIFS($H$1:$H$349,$AS$1:$AS$349,$AS142))</f>
        <v/>
      </c>
      <c r="V142" s="0">
        <f>IF($A142="","",SUMIFS($I$1:$I$349,$AS$1:$AS$349,$AS142))</f>
        <v/>
      </c>
      <c r="W142" s="0">
        <f>IF($A142="","",Allocation!CD142)</f>
        <v/>
      </c>
      <c r="X142" s="0">
        <f>IF($A142="","",Allocation!CE142)</f>
        <v/>
      </c>
      <c r="Y142" s="0">
        <f>IF($A142="","",Allocation!CF142)</f>
        <v/>
      </c>
      <c r="Z142" s="0">
        <f>IF($A142="","",Allocation!CG142)</f>
        <v/>
      </c>
      <c r="AA142" s="0">
        <f>IF($A142="","",Allocation!CH142)</f>
        <v/>
      </c>
      <c r="AB142" s="0">
        <f>IF($A142="","",Allocation!CI142)</f>
        <v/>
      </c>
      <c r="AC142" s="0">
        <f>IF($A142="","",IF(Allocation!$N$4="VOL_EFF",$G142,IF(Allocation!$N$4="VOL_CLASS",$H142,$I142)))</f>
        <v/>
      </c>
      <c r="AD142" s="0">
        <f>IF($A142="","",IF(Allocation!$N$4="VOL_EFF",$L142,IF(Allocation!$N$4="VOL_CLASS",$M142,$N142)))</f>
        <v/>
      </c>
      <c r="AE142" s="0">
        <f>IF($A142="","",IF(Allocation!$N$3="VOL_EFF",$L142,IF(Allocation!$N$3="VOL_CLASS",$M142,$N142)))</f>
        <v/>
      </c>
      <c r="AF142" s="0">
        <f>IF($A142="","",IF(Allocation!$N$3="VOL_EFF",$Q142,IF(Allocation!$N$3="VOL_CLASS",$R142,$S142)))</f>
        <v/>
      </c>
      <c r="AG142" s="0">
        <f>IF($A142="","",IF(Allocation!$N$1="VOL_EFF",$Q142,IF(Allocation!$N$1="VOL_CLASS",$R142,$S142)))</f>
        <v/>
      </c>
      <c r="AH142" s="0">
        <f>IF($A142="","",IF(Allocation!$N$1="VOL_EFF",$T142,IF(Allocation!$N$1="VOL_CLASS",$U142,$V142)))</f>
        <v/>
      </c>
      <c r="AI142" s="0">
        <f>IF($A142="","",$W142*IFERROR($K142/$O142,0))</f>
        <v/>
      </c>
      <c r="AJ142" s="0">
        <f>IF($A142="","",$X142*IFERROR($K142/$O142,0))</f>
        <v/>
      </c>
      <c r="AK142" s="0">
        <f>IF($A142="","",$Y142*IFERROR($G142/$L142,0)+$Z142*IFERROR($J142/$P142,0))</f>
        <v/>
      </c>
      <c r="AL142" s="0">
        <f>IF($A142="","",$AA142*IFERROR($AC142/$AD142,0))</f>
        <v/>
      </c>
      <c r="AM142" s="0">
        <f>IF($A142="","",$AB142*IFERROR($AG142/$AH142,0)*IFERROR($AE142/$AF142,0)*IFERROR($AC142/$AD142,0))</f>
        <v/>
      </c>
      <c r="AN142" s="0">
        <f>IF($A142="","",$I142-($AI142+$AJ142+$AK142+$AL142+$AM142+$AR142))</f>
        <v/>
      </c>
      <c r="AO142" s="0">
        <f>IF($A142="","",Allocation!CJ142)</f>
        <v/>
      </c>
      <c r="AP142" s="0">
        <f>IF($A142="","",IF(Allocation!$N$2="VOL_EFF",$Q142,IF(Allocation!$N$2="VOL_CLASS",$R142,$S142)))</f>
        <v/>
      </c>
      <c r="AQ142" s="0">
        <f>IF($A142="","",IF(Allocation!$N$2="VOL_EFF",$T142,IF(Allocation!$N$2="VOL_CLASS",$U142,$V142)))</f>
        <v/>
      </c>
      <c r="AR142" s="0">
        <f>IF($A142="","",$AO142*IFERROR($AP142/$AQ142,0)*IFERROR($AE142/$AF142,0)*IFERROR($AC142/$AD142,0))</f>
        <v/>
      </c>
      <c r="AS142" s="0">
        <f>IF($A142="","",$A142&amp;"|"&amp;Allocation!BG142)</f>
        <v/>
      </c>
    </row>
    <row r="143" ht="14.4975" customHeight="1" s="64">
      <c r="A143" s="0">
        <f>IF(Allocation!BI143="","",Allocation!BI143)</f>
        <v/>
      </c>
      <c r="B143" s="0">
        <f>IF(Allocation!BJ143="","",Allocation!BJ143)</f>
        <v/>
      </c>
      <c r="C143" s="0">
        <f>IF(Allocation!BK143="","",Allocation!BK143)</f>
        <v/>
      </c>
      <c r="D143" s="0">
        <f>IF(Allocation!BL143="","",Allocation!BL143)</f>
        <v/>
      </c>
      <c r="E143" s="0">
        <f>IF(Allocation!BM143="","",Allocation!BM143)</f>
        <v/>
      </c>
      <c r="F143" s="0">
        <f>IF(Allocation!BN143="","",Allocation!BN143)</f>
        <v/>
      </c>
      <c r="G143" s="0">
        <f>IF(Allocation!BO143="","",Allocation!BO143)</f>
        <v/>
      </c>
      <c r="H143" s="0">
        <f>IF(Allocation!BP143="","",Allocation!BP143)</f>
        <v/>
      </c>
      <c r="I143" s="0">
        <f>IF(Allocation!BQ143="","",Allocation!BQ143)</f>
        <v/>
      </c>
      <c r="J143" s="0">
        <f>IF(Allocation!CC143="","",Allocation!CC143)</f>
        <v/>
      </c>
      <c r="K143" s="0">
        <f>IF($A143="","",$H143*IF(AND(LEFT($D143,3)="BAC",$F143="INIT"),600,IF(LEFT($D143,3)="BAC",480,IF(AND(LEFT($D143,3)="MAS",$F143="INIT"),520,IF(LEFT($D143,3)="MAS",420,IF($F143="INIT",1000,700))))))</f>
        <v/>
      </c>
      <c r="L143" s="0">
        <f>IF($A143="","",SUMIFS($G$1:$G$349,$AS$1:$AS$349,$AS143,$B$1:$B$349,$B143))</f>
        <v/>
      </c>
      <c r="M143" s="0">
        <f>IF($A143="","",SUMIFS($H$1:$H$349,$AS$1:$AS$349,$AS143,$B$1:$B$349,$B143))</f>
        <v/>
      </c>
      <c r="N143" s="0">
        <f>IF($A143="","",SUMIFS($I$1:$I$349,$AS$1:$AS$349,$AS143,$B$1:$B$349,$B143))</f>
        <v/>
      </c>
      <c r="O143" s="0">
        <f>IF($A143="","",SUMIFS($K$1:$K$349,$AS$1:$AS$349,$AS143,$B$1:$B$349,$B143))</f>
        <v/>
      </c>
      <c r="P143" s="0">
        <f>IF($A143="","",SUMIFS($J$1:$J$349,$AS$1:$AS$349,$AS143,$B$1:$B$349,$B143))</f>
        <v/>
      </c>
      <c r="Q143" s="0">
        <f>IF($A143="","",SUMIFS($G$1:$G$349,$AS$1:$AS$349,$AS143,$C$1:$C$349,$C143))</f>
        <v/>
      </c>
      <c r="R143" s="0">
        <f>IF($A143="","",SUMIFS($H$1:$H$349,$AS$1:$AS$349,$AS143,$C$1:$C$349,$C143))</f>
        <v/>
      </c>
      <c r="S143" s="0">
        <f>IF($A143="","",SUMIFS($I$1:$I$349,$AS$1:$AS$349,$AS143,$C$1:$C$349,$C143))</f>
        <v/>
      </c>
      <c r="T143" s="0">
        <f>IF($A143="","",SUMIFS($G$1:$G$349,$AS$1:$AS$349,$AS143))</f>
        <v/>
      </c>
      <c r="U143" s="0">
        <f>IF($A143="","",SUMIFS($H$1:$H$349,$AS$1:$AS$349,$AS143))</f>
        <v/>
      </c>
      <c r="V143" s="0">
        <f>IF($A143="","",SUMIFS($I$1:$I$349,$AS$1:$AS$349,$AS143))</f>
        <v/>
      </c>
      <c r="W143" s="0">
        <f>IF($A143="","",Allocation!CD143)</f>
        <v/>
      </c>
      <c r="X143" s="0">
        <f>IF($A143="","",Allocation!CE143)</f>
        <v/>
      </c>
      <c r="Y143" s="0">
        <f>IF($A143="","",Allocation!CF143)</f>
        <v/>
      </c>
      <c r="Z143" s="0">
        <f>IF($A143="","",Allocation!CG143)</f>
        <v/>
      </c>
      <c r="AA143" s="0">
        <f>IF($A143="","",Allocation!CH143)</f>
        <v/>
      </c>
      <c r="AB143" s="0">
        <f>IF($A143="","",Allocation!CI143)</f>
        <v/>
      </c>
      <c r="AC143" s="0">
        <f>IF($A143="","",IF(Allocation!$N$4="VOL_EFF",$G143,IF(Allocation!$N$4="VOL_CLASS",$H143,$I143)))</f>
        <v/>
      </c>
      <c r="AD143" s="0">
        <f>IF($A143="","",IF(Allocation!$N$4="VOL_EFF",$L143,IF(Allocation!$N$4="VOL_CLASS",$M143,$N143)))</f>
        <v/>
      </c>
      <c r="AE143" s="0">
        <f>IF($A143="","",IF(Allocation!$N$3="VOL_EFF",$L143,IF(Allocation!$N$3="VOL_CLASS",$M143,$N143)))</f>
        <v/>
      </c>
      <c r="AF143" s="0">
        <f>IF($A143="","",IF(Allocation!$N$3="VOL_EFF",$Q143,IF(Allocation!$N$3="VOL_CLASS",$R143,$S143)))</f>
        <v/>
      </c>
      <c r="AG143" s="0">
        <f>IF($A143="","",IF(Allocation!$N$1="VOL_EFF",$Q143,IF(Allocation!$N$1="VOL_CLASS",$R143,$S143)))</f>
        <v/>
      </c>
      <c r="AH143" s="0">
        <f>IF($A143="","",IF(Allocation!$N$1="VOL_EFF",$T143,IF(Allocation!$N$1="VOL_CLASS",$U143,$V143)))</f>
        <v/>
      </c>
      <c r="AI143" s="0">
        <f>IF($A143="","",$W143*IFERROR($K143/$O143,0))</f>
        <v/>
      </c>
      <c r="AJ143" s="0">
        <f>IF($A143="","",$X143*IFERROR($K143/$O143,0))</f>
        <v/>
      </c>
      <c r="AK143" s="0">
        <f>IF($A143="","",$Y143*IFERROR($G143/$L143,0)+$Z143*IFERROR($J143/$P143,0))</f>
        <v/>
      </c>
      <c r="AL143" s="0">
        <f>IF($A143="","",$AA143*IFERROR($AC143/$AD143,0))</f>
        <v/>
      </c>
      <c r="AM143" s="0">
        <f>IF($A143="","",$AB143*IFERROR($AG143/$AH143,0)*IFERROR($AE143/$AF143,0)*IFERROR($AC143/$AD143,0))</f>
        <v/>
      </c>
      <c r="AN143" s="0">
        <f>IF($A143="","",$I143-($AI143+$AJ143+$AK143+$AL143+$AM143+$AR143))</f>
        <v/>
      </c>
      <c r="AO143" s="0">
        <f>IF($A143="","",Allocation!CJ143)</f>
        <v/>
      </c>
      <c r="AP143" s="0">
        <f>IF($A143="","",IF(Allocation!$N$2="VOL_EFF",$Q143,IF(Allocation!$N$2="VOL_CLASS",$R143,$S143)))</f>
        <v/>
      </c>
      <c r="AQ143" s="0">
        <f>IF($A143="","",IF(Allocation!$N$2="VOL_EFF",$T143,IF(Allocation!$N$2="VOL_CLASS",$U143,$V143)))</f>
        <v/>
      </c>
      <c r="AR143" s="0">
        <f>IF($A143="","",$AO143*IFERROR($AP143/$AQ143,0)*IFERROR($AE143/$AF143,0)*IFERROR($AC143/$AD143,0))</f>
        <v/>
      </c>
      <c r="AS143" s="0">
        <f>IF($A143="","",$A143&amp;"|"&amp;Allocation!BG143)</f>
        <v/>
      </c>
    </row>
    <row r="144" ht="14.4975" customHeight="1" s="64">
      <c r="A144" s="0">
        <f>IF(Allocation!BI144="","",Allocation!BI144)</f>
        <v/>
      </c>
      <c r="B144" s="0">
        <f>IF(Allocation!BJ144="","",Allocation!BJ144)</f>
        <v/>
      </c>
      <c r="C144" s="0">
        <f>IF(Allocation!BK144="","",Allocation!BK144)</f>
        <v/>
      </c>
      <c r="D144" s="0">
        <f>IF(Allocation!BL144="","",Allocation!BL144)</f>
        <v/>
      </c>
      <c r="E144" s="0">
        <f>IF(Allocation!BM144="","",Allocation!BM144)</f>
        <v/>
      </c>
      <c r="F144" s="0">
        <f>IF(Allocation!BN144="","",Allocation!BN144)</f>
        <v/>
      </c>
      <c r="G144" s="0">
        <f>IF(Allocation!BO144="","",Allocation!BO144)</f>
        <v/>
      </c>
      <c r="H144" s="0">
        <f>IF(Allocation!BP144="","",Allocation!BP144)</f>
        <v/>
      </c>
      <c r="I144" s="0">
        <f>IF(Allocation!BQ144="","",Allocation!BQ144)</f>
        <v/>
      </c>
      <c r="J144" s="0">
        <f>IF(Allocation!CC144="","",Allocation!CC144)</f>
        <v/>
      </c>
      <c r="K144" s="0">
        <f>IF($A144="","",$H144*IF(AND(LEFT($D144,3)="BAC",$F144="INIT"),600,IF(LEFT($D144,3)="BAC",480,IF(AND(LEFT($D144,3)="MAS",$F144="INIT"),520,IF(LEFT($D144,3)="MAS",420,IF($F144="INIT",1000,700))))))</f>
        <v/>
      </c>
      <c r="L144" s="0">
        <f>IF($A144="","",SUMIFS($G$1:$G$349,$AS$1:$AS$349,$AS144,$B$1:$B$349,$B144))</f>
        <v/>
      </c>
      <c r="M144" s="0">
        <f>IF($A144="","",SUMIFS($H$1:$H$349,$AS$1:$AS$349,$AS144,$B$1:$B$349,$B144))</f>
        <v/>
      </c>
      <c r="N144" s="0">
        <f>IF($A144="","",SUMIFS($I$1:$I$349,$AS$1:$AS$349,$AS144,$B$1:$B$349,$B144))</f>
        <v/>
      </c>
      <c r="O144" s="0">
        <f>IF($A144="","",SUMIFS($K$1:$K$349,$AS$1:$AS$349,$AS144,$B$1:$B$349,$B144))</f>
        <v/>
      </c>
      <c r="P144" s="0">
        <f>IF($A144="","",SUMIFS($J$1:$J$349,$AS$1:$AS$349,$AS144,$B$1:$B$349,$B144))</f>
        <v/>
      </c>
      <c r="Q144" s="0">
        <f>IF($A144="","",SUMIFS($G$1:$G$349,$AS$1:$AS$349,$AS144,$C$1:$C$349,$C144))</f>
        <v/>
      </c>
      <c r="R144" s="0">
        <f>IF($A144="","",SUMIFS($H$1:$H$349,$AS$1:$AS$349,$AS144,$C$1:$C$349,$C144))</f>
        <v/>
      </c>
      <c r="S144" s="0">
        <f>IF($A144="","",SUMIFS($I$1:$I$349,$AS$1:$AS$349,$AS144,$C$1:$C$349,$C144))</f>
        <v/>
      </c>
      <c r="T144" s="0">
        <f>IF($A144="","",SUMIFS($G$1:$G$349,$AS$1:$AS$349,$AS144))</f>
        <v/>
      </c>
      <c r="U144" s="0">
        <f>IF($A144="","",SUMIFS($H$1:$H$349,$AS$1:$AS$349,$AS144))</f>
        <v/>
      </c>
      <c r="V144" s="0">
        <f>IF($A144="","",SUMIFS($I$1:$I$349,$AS$1:$AS$349,$AS144))</f>
        <v/>
      </c>
      <c r="W144" s="0">
        <f>IF($A144="","",Allocation!CD144)</f>
        <v/>
      </c>
      <c r="X144" s="0">
        <f>IF($A144="","",Allocation!CE144)</f>
        <v/>
      </c>
      <c r="Y144" s="0">
        <f>IF($A144="","",Allocation!CF144)</f>
        <v/>
      </c>
      <c r="Z144" s="0">
        <f>IF($A144="","",Allocation!CG144)</f>
        <v/>
      </c>
      <c r="AA144" s="0">
        <f>IF($A144="","",Allocation!CH144)</f>
        <v/>
      </c>
      <c r="AB144" s="0">
        <f>IF($A144="","",Allocation!CI144)</f>
        <v/>
      </c>
      <c r="AC144" s="0">
        <f>IF($A144="","",IF(Allocation!$N$4="VOL_EFF",$G144,IF(Allocation!$N$4="VOL_CLASS",$H144,$I144)))</f>
        <v/>
      </c>
      <c r="AD144" s="0">
        <f>IF($A144="","",IF(Allocation!$N$4="VOL_EFF",$L144,IF(Allocation!$N$4="VOL_CLASS",$M144,$N144)))</f>
        <v/>
      </c>
      <c r="AE144" s="0">
        <f>IF($A144="","",IF(Allocation!$N$3="VOL_EFF",$L144,IF(Allocation!$N$3="VOL_CLASS",$M144,$N144)))</f>
        <v/>
      </c>
      <c r="AF144" s="0">
        <f>IF($A144="","",IF(Allocation!$N$3="VOL_EFF",$Q144,IF(Allocation!$N$3="VOL_CLASS",$R144,$S144)))</f>
        <v/>
      </c>
      <c r="AG144" s="0">
        <f>IF($A144="","",IF(Allocation!$N$1="VOL_EFF",$Q144,IF(Allocation!$N$1="VOL_CLASS",$R144,$S144)))</f>
        <v/>
      </c>
      <c r="AH144" s="0">
        <f>IF($A144="","",IF(Allocation!$N$1="VOL_EFF",$T144,IF(Allocation!$N$1="VOL_CLASS",$U144,$V144)))</f>
        <v/>
      </c>
      <c r="AI144" s="0">
        <f>IF($A144="","",$W144*IFERROR($K144/$O144,0))</f>
        <v/>
      </c>
      <c r="AJ144" s="0">
        <f>IF($A144="","",$X144*IFERROR($K144/$O144,0))</f>
        <v/>
      </c>
      <c r="AK144" s="0">
        <f>IF($A144="","",$Y144*IFERROR($G144/$L144,0)+$Z144*IFERROR($J144/$P144,0))</f>
        <v/>
      </c>
      <c r="AL144" s="0">
        <f>IF($A144="","",$AA144*IFERROR($AC144/$AD144,0))</f>
        <v/>
      </c>
      <c r="AM144" s="0">
        <f>IF($A144="","",$AB144*IFERROR($AG144/$AH144,0)*IFERROR($AE144/$AF144,0)*IFERROR($AC144/$AD144,0))</f>
        <v/>
      </c>
      <c r="AN144" s="0">
        <f>IF($A144="","",$I144-($AI144+$AJ144+$AK144+$AL144+$AM144+$AR144))</f>
        <v/>
      </c>
      <c r="AO144" s="0">
        <f>IF($A144="","",Allocation!CJ144)</f>
        <v/>
      </c>
      <c r="AP144" s="0">
        <f>IF($A144="","",IF(Allocation!$N$2="VOL_EFF",$Q144,IF(Allocation!$N$2="VOL_CLASS",$R144,$S144)))</f>
        <v/>
      </c>
      <c r="AQ144" s="0">
        <f>IF($A144="","",IF(Allocation!$N$2="VOL_EFF",$T144,IF(Allocation!$N$2="VOL_CLASS",$U144,$V144)))</f>
        <v/>
      </c>
      <c r="AR144" s="0">
        <f>IF($A144="","",$AO144*IFERROR($AP144/$AQ144,0)*IFERROR($AE144/$AF144,0)*IFERROR($AC144/$AD144,0))</f>
        <v/>
      </c>
      <c r="AS144" s="0">
        <f>IF($A144="","",$A144&amp;"|"&amp;Allocation!BG144)</f>
        <v/>
      </c>
    </row>
    <row r="145" ht="14.4975" customHeight="1" s="64">
      <c r="A145" s="0">
        <f>IF(Allocation!BI145="","",Allocation!BI145)</f>
        <v/>
      </c>
      <c r="B145" s="0">
        <f>IF(Allocation!BJ145="","",Allocation!BJ145)</f>
        <v/>
      </c>
      <c r="C145" s="0">
        <f>IF(Allocation!BK145="","",Allocation!BK145)</f>
        <v/>
      </c>
      <c r="D145" s="0">
        <f>IF(Allocation!BL145="","",Allocation!BL145)</f>
        <v/>
      </c>
      <c r="E145" s="0">
        <f>IF(Allocation!BM145="","",Allocation!BM145)</f>
        <v/>
      </c>
      <c r="F145" s="0">
        <f>IF(Allocation!BN145="","",Allocation!BN145)</f>
        <v/>
      </c>
      <c r="G145" s="0">
        <f>IF(Allocation!BO145="","",Allocation!BO145)</f>
        <v/>
      </c>
      <c r="H145" s="0">
        <f>IF(Allocation!BP145="","",Allocation!BP145)</f>
        <v/>
      </c>
      <c r="I145" s="0">
        <f>IF(Allocation!BQ145="","",Allocation!BQ145)</f>
        <v/>
      </c>
      <c r="J145" s="0">
        <f>IF(Allocation!CC145="","",Allocation!CC145)</f>
        <v/>
      </c>
      <c r="K145" s="0">
        <f>IF($A145="","",$H145*IF(AND(LEFT($D145,3)="BAC",$F145="INIT"),600,IF(LEFT($D145,3)="BAC",480,IF(AND(LEFT($D145,3)="MAS",$F145="INIT"),520,IF(LEFT($D145,3)="MAS",420,IF($F145="INIT",1000,700))))))</f>
        <v/>
      </c>
      <c r="L145" s="0">
        <f>IF($A145="","",SUMIFS($G$1:$G$349,$AS$1:$AS$349,$AS145,$B$1:$B$349,$B145))</f>
        <v/>
      </c>
      <c r="M145" s="0">
        <f>IF($A145="","",SUMIFS($H$1:$H$349,$AS$1:$AS$349,$AS145,$B$1:$B$349,$B145))</f>
        <v/>
      </c>
      <c r="N145" s="0">
        <f>IF($A145="","",SUMIFS($I$1:$I$349,$AS$1:$AS$349,$AS145,$B$1:$B$349,$B145))</f>
        <v/>
      </c>
      <c r="O145" s="0">
        <f>IF($A145="","",SUMIFS($K$1:$K$349,$AS$1:$AS$349,$AS145,$B$1:$B$349,$B145))</f>
        <v/>
      </c>
      <c r="P145" s="0">
        <f>IF($A145="","",SUMIFS($J$1:$J$349,$AS$1:$AS$349,$AS145,$B$1:$B$349,$B145))</f>
        <v/>
      </c>
      <c r="Q145" s="0">
        <f>IF($A145="","",SUMIFS($G$1:$G$349,$AS$1:$AS$349,$AS145,$C$1:$C$349,$C145))</f>
        <v/>
      </c>
      <c r="R145" s="0">
        <f>IF($A145="","",SUMIFS($H$1:$H$349,$AS$1:$AS$349,$AS145,$C$1:$C$349,$C145))</f>
        <v/>
      </c>
      <c r="S145" s="0">
        <f>IF($A145="","",SUMIFS($I$1:$I$349,$AS$1:$AS$349,$AS145,$C$1:$C$349,$C145))</f>
        <v/>
      </c>
      <c r="T145" s="0">
        <f>IF($A145="","",SUMIFS($G$1:$G$349,$AS$1:$AS$349,$AS145))</f>
        <v/>
      </c>
      <c r="U145" s="0">
        <f>IF($A145="","",SUMIFS($H$1:$H$349,$AS$1:$AS$349,$AS145))</f>
        <v/>
      </c>
      <c r="V145" s="0">
        <f>IF($A145="","",SUMIFS($I$1:$I$349,$AS$1:$AS$349,$AS145))</f>
        <v/>
      </c>
      <c r="W145" s="0">
        <f>IF($A145="","",Allocation!CD145)</f>
        <v/>
      </c>
      <c r="X145" s="0">
        <f>IF($A145="","",Allocation!CE145)</f>
        <v/>
      </c>
      <c r="Y145" s="0">
        <f>IF($A145="","",Allocation!CF145)</f>
        <v/>
      </c>
      <c r="Z145" s="0">
        <f>IF($A145="","",Allocation!CG145)</f>
        <v/>
      </c>
      <c r="AA145" s="0">
        <f>IF($A145="","",Allocation!CH145)</f>
        <v/>
      </c>
      <c r="AB145" s="0">
        <f>IF($A145="","",Allocation!CI145)</f>
        <v/>
      </c>
      <c r="AC145" s="0">
        <f>IF($A145="","",IF(Allocation!$N$4="VOL_EFF",$G145,IF(Allocation!$N$4="VOL_CLASS",$H145,$I145)))</f>
        <v/>
      </c>
      <c r="AD145" s="0">
        <f>IF($A145="","",IF(Allocation!$N$4="VOL_EFF",$L145,IF(Allocation!$N$4="VOL_CLASS",$M145,$N145)))</f>
        <v/>
      </c>
      <c r="AE145" s="0">
        <f>IF($A145="","",IF(Allocation!$N$3="VOL_EFF",$L145,IF(Allocation!$N$3="VOL_CLASS",$M145,$N145)))</f>
        <v/>
      </c>
      <c r="AF145" s="0">
        <f>IF($A145="","",IF(Allocation!$N$3="VOL_EFF",$Q145,IF(Allocation!$N$3="VOL_CLASS",$R145,$S145)))</f>
        <v/>
      </c>
      <c r="AG145" s="0">
        <f>IF($A145="","",IF(Allocation!$N$1="VOL_EFF",$Q145,IF(Allocation!$N$1="VOL_CLASS",$R145,$S145)))</f>
        <v/>
      </c>
      <c r="AH145" s="0">
        <f>IF($A145="","",IF(Allocation!$N$1="VOL_EFF",$T145,IF(Allocation!$N$1="VOL_CLASS",$U145,$V145)))</f>
        <v/>
      </c>
      <c r="AI145" s="0">
        <f>IF($A145="","",$W145*IFERROR($K145/$O145,0))</f>
        <v/>
      </c>
      <c r="AJ145" s="0">
        <f>IF($A145="","",$X145*IFERROR($K145/$O145,0))</f>
        <v/>
      </c>
      <c r="AK145" s="0">
        <f>IF($A145="","",$Y145*IFERROR($G145/$L145,0)+$Z145*IFERROR($J145/$P145,0))</f>
        <v/>
      </c>
      <c r="AL145" s="0">
        <f>IF($A145="","",$AA145*IFERROR($AC145/$AD145,0))</f>
        <v/>
      </c>
      <c r="AM145" s="0">
        <f>IF($A145="","",$AB145*IFERROR($AG145/$AH145,0)*IFERROR($AE145/$AF145,0)*IFERROR($AC145/$AD145,0))</f>
        <v/>
      </c>
      <c r="AN145" s="0">
        <f>IF($A145="","",$I145-($AI145+$AJ145+$AK145+$AL145+$AM145+$AR145))</f>
        <v/>
      </c>
      <c r="AO145" s="0">
        <f>IF($A145="","",Allocation!CJ145)</f>
        <v/>
      </c>
      <c r="AP145" s="0">
        <f>IF($A145="","",IF(Allocation!$N$2="VOL_EFF",$Q145,IF(Allocation!$N$2="VOL_CLASS",$R145,$S145)))</f>
        <v/>
      </c>
      <c r="AQ145" s="0">
        <f>IF($A145="","",IF(Allocation!$N$2="VOL_EFF",$T145,IF(Allocation!$N$2="VOL_CLASS",$U145,$V145)))</f>
        <v/>
      </c>
      <c r="AR145" s="0">
        <f>IF($A145="","",$AO145*IFERROR($AP145/$AQ145,0)*IFERROR($AE145/$AF145,0)*IFERROR($AC145/$AD145,0))</f>
        <v/>
      </c>
      <c r="AS145" s="0">
        <f>IF($A145="","",$A145&amp;"|"&amp;Allocation!BG145)</f>
        <v/>
      </c>
    </row>
    <row r="146" ht="14.4975" customHeight="1" s="64">
      <c r="A146" s="0">
        <f>IF(Allocation!BI146="","",Allocation!BI146)</f>
        <v/>
      </c>
      <c r="B146" s="0">
        <f>IF(Allocation!BJ146="","",Allocation!BJ146)</f>
        <v/>
      </c>
      <c r="C146" s="0">
        <f>IF(Allocation!BK146="","",Allocation!BK146)</f>
        <v/>
      </c>
      <c r="D146" s="0">
        <f>IF(Allocation!BL146="","",Allocation!BL146)</f>
        <v/>
      </c>
      <c r="E146" s="0">
        <f>IF(Allocation!BM146="","",Allocation!BM146)</f>
        <v/>
      </c>
      <c r="F146" s="0">
        <f>IF(Allocation!BN146="","",Allocation!BN146)</f>
        <v/>
      </c>
      <c r="G146" s="0">
        <f>IF(Allocation!BO146="","",Allocation!BO146)</f>
        <v/>
      </c>
      <c r="H146" s="0">
        <f>IF(Allocation!BP146="","",Allocation!BP146)</f>
        <v/>
      </c>
      <c r="I146" s="0">
        <f>IF(Allocation!BQ146="","",Allocation!BQ146)</f>
        <v/>
      </c>
      <c r="J146" s="0">
        <f>IF(Allocation!CC146="","",Allocation!CC146)</f>
        <v/>
      </c>
      <c r="K146" s="0">
        <f>IF($A146="","",$H146*IF(AND(LEFT($D146,3)="BAC",$F146="INIT"),600,IF(LEFT($D146,3)="BAC",480,IF(AND(LEFT($D146,3)="MAS",$F146="INIT"),520,IF(LEFT($D146,3)="MAS",420,IF($F146="INIT",1000,700))))))</f>
        <v/>
      </c>
      <c r="L146" s="0">
        <f>IF($A146="","",SUMIFS($G$1:$G$349,$AS$1:$AS$349,$AS146,$B$1:$B$349,$B146))</f>
        <v/>
      </c>
      <c r="M146" s="0">
        <f>IF($A146="","",SUMIFS($H$1:$H$349,$AS$1:$AS$349,$AS146,$B$1:$B$349,$B146))</f>
        <v/>
      </c>
      <c r="N146" s="0">
        <f>IF($A146="","",SUMIFS($I$1:$I$349,$AS$1:$AS$349,$AS146,$B$1:$B$349,$B146))</f>
        <v/>
      </c>
      <c r="O146" s="0">
        <f>IF($A146="","",SUMIFS($K$1:$K$349,$AS$1:$AS$349,$AS146,$B$1:$B$349,$B146))</f>
        <v/>
      </c>
      <c r="P146" s="0">
        <f>IF($A146="","",SUMIFS($J$1:$J$349,$AS$1:$AS$349,$AS146,$B$1:$B$349,$B146))</f>
        <v/>
      </c>
      <c r="Q146" s="0">
        <f>IF($A146="","",SUMIFS($G$1:$G$349,$AS$1:$AS$349,$AS146,$C$1:$C$349,$C146))</f>
        <v/>
      </c>
      <c r="R146" s="0">
        <f>IF($A146="","",SUMIFS($H$1:$H$349,$AS$1:$AS$349,$AS146,$C$1:$C$349,$C146))</f>
        <v/>
      </c>
      <c r="S146" s="0">
        <f>IF($A146="","",SUMIFS($I$1:$I$349,$AS$1:$AS$349,$AS146,$C$1:$C$349,$C146))</f>
        <v/>
      </c>
      <c r="T146" s="0">
        <f>IF($A146="","",SUMIFS($G$1:$G$349,$AS$1:$AS$349,$AS146))</f>
        <v/>
      </c>
      <c r="U146" s="0">
        <f>IF($A146="","",SUMIFS($H$1:$H$349,$AS$1:$AS$349,$AS146))</f>
        <v/>
      </c>
      <c r="V146" s="0">
        <f>IF($A146="","",SUMIFS($I$1:$I$349,$AS$1:$AS$349,$AS146))</f>
        <v/>
      </c>
      <c r="W146" s="0">
        <f>IF($A146="","",Allocation!CD146)</f>
        <v/>
      </c>
      <c r="X146" s="0">
        <f>IF($A146="","",Allocation!CE146)</f>
        <v/>
      </c>
      <c r="Y146" s="0">
        <f>IF($A146="","",Allocation!CF146)</f>
        <v/>
      </c>
      <c r="Z146" s="0">
        <f>IF($A146="","",Allocation!CG146)</f>
        <v/>
      </c>
      <c r="AA146" s="0">
        <f>IF($A146="","",Allocation!CH146)</f>
        <v/>
      </c>
      <c r="AB146" s="0">
        <f>IF($A146="","",Allocation!CI146)</f>
        <v/>
      </c>
      <c r="AC146" s="0">
        <f>IF($A146="","",IF(Allocation!$N$4="VOL_EFF",$G146,IF(Allocation!$N$4="VOL_CLASS",$H146,$I146)))</f>
        <v/>
      </c>
      <c r="AD146" s="0">
        <f>IF($A146="","",IF(Allocation!$N$4="VOL_EFF",$L146,IF(Allocation!$N$4="VOL_CLASS",$M146,$N146)))</f>
        <v/>
      </c>
      <c r="AE146" s="0">
        <f>IF($A146="","",IF(Allocation!$N$3="VOL_EFF",$L146,IF(Allocation!$N$3="VOL_CLASS",$M146,$N146)))</f>
        <v/>
      </c>
      <c r="AF146" s="0">
        <f>IF($A146="","",IF(Allocation!$N$3="VOL_EFF",$Q146,IF(Allocation!$N$3="VOL_CLASS",$R146,$S146)))</f>
        <v/>
      </c>
      <c r="AG146" s="0">
        <f>IF($A146="","",IF(Allocation!$N$1="VOL_EFF",$Q146,IF(Allocation!$N$1="VOL_CLASS",$R146,$S146)))</f>
        <v/>
      </c>
      <c r="AH146" s="0">
        <f>IF($A146="","",IF(Allocation!$N$1="VOL_EFF",$T146,IF(Allocation!$N$1="VOL_CLASS",$U146,$V146)))</f>
        <v/>
      </c>
      <c r="AI146" s="0">
        <f>IF($A146="","",$W146*IFERROR($K146/$O146,0))</f>
        <v/>
      </c>
      <c r="AJ146" s="0">
        <f>IF($A146="","",$X146*IFERROR($K146/$O146,0))</f>
        <v/>
      </c>
      <c r="AK146" s="0">
        <f>IF($A146="","",$Y146*IFERROR($G146/$L146,0)+$Z146*IFERROR($J146/$P146,0))</f>
        <v/>
      </c>
      <c r="AL146" s="0">
        <f>IF($A146="","",$AA146*IFERROR($AC146/$AD146,0))</f>
        <v/>
      </c>
      <c r="AM146" s="0">
        <f>IF($A146="","",$AB146*IFERROR($AG146/$AH146,0)*IFERROR($AE146/$AF146,0)*IFERROR($AC146/$AD146,0))</f>
        <v/>
      </c>
      <c r="AN146" s="0">
        <f>IF($A146="","",$I146-($AI146+$AJ146+$AK146+$AL146+$AM146+$AR146))</f>
        <v/>
      </c>
      <c r="AO146" s="0">
        <f>IF($A146="","",Allocation!CJ146)</f>
        <v/>
      </c>
      <c r="AP146" s="0">
        <f>IF($A146="","",IF(Allocation!$N$2="VOL_EFF",$Q146,IF(Allocation!$N$2="VOL_CLASS",$R146,$S146)))</f>
        <v/>
      </c>
      <c r="AQ146" s="0">
        <f>IF($A146="","",IF(Allocation!$N$2="VOL_EFF",$T146,IF(Allocation!$N$2="VOL_CLASS",$U146,$V146)))</f>
        <v/>
      </c>
      <c r="AR146" s="0">
        <f>IF($A146="","",$AO146*IFERROR($AP146/$AQ146,0)*IFERROR($AE146/$AF146,0)*IFERROR($AC146/$AD146,0))</f>
        <v/>
      </c>
      <c r="AS146" s="0">
        <f>IF($A146="","",$A146&amp;"|"&amp;Allocation!BG146)</f>
        <v/>
      </c>
    </row>
    <row r="147" ht="14.4975" customHeight="1" s="64">
      <c r="A147" s="0">
        <f>IF(Allocation!BI147="","",Allocation!BI147)</f>
        <v/>
      </c>
      <c r="B147" s="0">
        <f>IF(Allocation!BJ147="","",Allocation!BJ147)</f>
        <v/>
      </c>
      <c r="C147" s="0">
        <f>IF(Allocation!BK147="","",Allocation!BK147)</f>
        <v/>
      </c>
      <c r="D147" s="0">
        <f>IF(Allocation!BL147="","",Allocation!BL147)</f>
        <v/>
      </c>
      <c r="E147" s="0">
        <f>IF(Allocation!BM147="","",Allocation!BM147)</f>
        <v/>
      </c>
      <c r="F147" s="0">
        <f>IF(Allocation!BN147="","",Allocation!BN147)</f>
        <v/>
      </c>
      <c r="G147" s="0">
        <f>IF(Allocation!BO147="","",Allocation!BO147)</f>
        <v/>
      </c>
      <c r="H147" s="0">
        <f>IF(Allocation!BP147="","",Allocation!BP147)</f>
        <v/>
      </c>
      <c r="I147" s="0">
        <f>IF(Allocation!BQ147="","",Allocation!BQ147)</f>
        <v/>
      </c>
      <c r="J147" s="0">
        <f>IF(Allocation!CC147="","",Allocation!CC147)</f>
        <v/>
      </c>
      <c r="K147" s="0">
        <f>IF($A147="","",$H147*IF(AND(LEFT($D147,3)="BAC",$F147="INIT"),600,IF(LEFT($D147,3)="BAC",480,IF(AND(LEFT($D147,3)="MAS",$F147="INIT"),520,IF(LEFT($D147,3)="MAS",420,IF($F147="INIT",1000,700))))))</f>
        <v/>
      </c>
      <c r="L147" s="0">
        <f>IF($A147="","",SUMIFS($G$1:$G$349,$AS$1:$AS$349,$AS147,$B$1:$B$349,$B147))</f>
        <v/>
      </c>
      <c r="M147" s="0">
        <f>IF($A147="","",SUMIFS($H$1:$H$349,$AS$1:$AS$349,$AS147,$B$1:$B$349,$B147))</f>
        <v/>
      </c>
      <c r="N147" s="0">
        <f>IF($A147="","",SUMIFS($I$1:$I$349,$AS$1:$AS$349,$AS147,$B$1:$B$349,$B147))</f>
        <v/>
      </c>
      <c r="O147" s="0">
        <f>IF($A147="","",SUMIFS($K$1:$K$349,$AS$1:$AS$349,$AS147,$B$1:$B$349,$B147))</f>
        <v/>
      </c>
      <c r="P147" s="0">
        <f>IF($A147="","",SUMIFS($J$1:$J$349,$AS$1:$AS$349,$AS147,$B$1:$B$349,$B147))</f>
        <v/>
      </c>
      <c r="Q147" s="0">
        <f>IF($A147="","",SUMIFS($G$1:$G$349,$AS$1:$AS$349,$AS147,$C$1:$C$349,$C147))</f>
        <v/>
      </c>
      <c r="R147" s="0">
        <f>IF($A147="","",SUMIFS($H$1:$H$349,$AS$1:$AS$349,$AS147,$C$1:$C$349,$C147))</f>
        <v/>
      </c>
      <c r="S147" s="0">
        <f>IF($A147="","",SUMIFS($I$1:$I$349,$AS$1:$AS$349,$AS147,$C$1:$C$349,$C147))</f>
        <v/>
      </c>
      <c r="T147" s="0">
        <f>IF($A147="","",SUMIFS($G$1:$G$349,$AS$1:$AS$349,$AS147))</f>
        <v/>
      </c>
      <c r="U147" s="0">
        <f>IF($A147="","",SUMIFS($H$1:$H$349,$AS$1:$AS$349,$AS147))</f>
        <v/>
      </c>
      <c r="V147" s="0">
        <f>IF($A147="","",SUMIFS($I$1:$I$349,$AS$1:$AS$349,$AS147))</f>
        <v/>
      </c>
      <c r="W147" s="0">
        <f>IF($A147="","",Allocation!CD147)</f>
        <v/>
      </c>
      <c r="X147" s="0">
        <f>IF($A147="","",Allocation!CE147)</f>
        <v/>
      </c>
      <c r="Y147" s="0">
        <f>IF($A147="","",Allocation!CF147)</f>
        <v/>
      </c>
      <c r="Z147" s="0">
        <f>IF($A147="","",Allocation!CG147)</f>
        <v/>
      </c>
      <c r="AA147" s="0">
        <f>IF($A147="","",Allocation!CH147)</f>
        <v/>
      </c>
      <c r="AB147" s="0">
        <f>IF($A147="","",Allocation!CI147)</f>
        <v/>
      </c>
      <c r="AC147" s="0">
        <f>IF($A147="","",IF(Allocation!$N$4="VOL_EFF",$G147,IF(Allocation!$N$4="VOL_CLASS",$H147,$I147)))</f>
        <v/>
      </c>
      <c r="AD147" s="0">
        <f>IF($A147="","",IF(Allocation!$N$4="VOL_EFF",$L147,IF(Allocation!$N$4="VOL_CLASS",$M147,$N147)))</f>
        <v/>
      </c>
      <c r="AE147" s="0">
        <f>IF($A147="","",IF(Allocation!$N$3="VOL_EFF",$L147,IF(Allocation!$N$3="VOL_CLASS",$M147,$N147)))</f>
        <v/>
      </c>
      <c r="AF147" s="0">
        <f>IF($A147="","",IF(Allocation!$N$3="VOL_EFF",$Q147,IF(Allocation!$N$3="VOL_CLASS",$R147,$S147)))</f>
        <v/>
      </c>
      <c r="AG147" s="0">
        <f>IF($A147="","",IF(Allocation!$N$1="VOL_EFF",$Q147,IF(Allocation!$N$1="VOL_CLASS",$R147,$S147)))</f>
        <v/>
      </c>
      <c r="AH147" s="0">
        <f>IF($A147="","",IF(Allocation!$N$1="VOL_EFF",$T147,IF(Allocation!$N$1="VOL_CLASS",$U147,$V147)))</f>
        <v/>
      </c>
      <c r="AI147" s="0">
        <f>IF($A147="","",$W147*IFERROR($K147/$O147,0))</f>
        <v/>
      </c>
      <c r="AJ147" s="0">
        <f>IF($A147="","",$X147*IFERROR($K147/$O147,0))</f>
        <v/>
      </c>
      <c r="AK147" s="0">
        <f>IF($A147="","",$Y147*IFERROR($G147/$L147,0)+$Z147*IFERROR($J147/$P147,0))</f>
        <v/>
      </c>
      <c r="AL147" s="0">
        <f>IF($A147="","",$AA147*IFERROR($AC147/$AD147,0))</f>
        <v/>
      </c>
      <c r="AM147" s="0">
        <f>IF($A147="","",$AB147*IFERROR($AG147/$AH147,0)*IFERROR($AE147/$AF147,0)*IFERROR($AC147/$AD147,0))</f>
        <v/>
      </c>
      <c r="AN147" s="0">
        <f>IF($A147="","",$I147-($AI147+$AJ147+$AK147+$AL147+$AM147+$AR147))</f>
        <v/>
      </c>
      <c r="AO147" s="0">
        <f>IF($A147="","",Allocation!CJ147)</f>
        <v/>
      </c>
      <c r="AP147" s="0">
        <f>IF($A147="","",IF(Allocation!$N$2="VOL_EFF",$Q147,IF(Allocation!$N$2="VOL_CLASS",$R147,$S147)))</f>
        <v/>
      </c>
      <c r="AQ147" s="0">
        <f>IF($A147="","",IF(Allocation!$N$2="VOL_EFF",$T147,IF(Allocation!$N$2="VOL_CLASS",$U147,$V147)))</f>
        <v/>
      </c>
      <c r="AR147" s="0">
        <f>IF($A147="","",$AO147*IFERROR($AP147/$AQ147,0)*IFERROR($AE147/$AF147,0)*IFERROR($AC147/$AD147,0))</f>
        <v/>
      </c>
      <c r="AS147" s="0">
        <f>IF($A147="","",$A147&amp;"|"&amp;Allocation!BG147)</f>
        <v/>
      </c>
    </row>
    <row r="148" ht="14.4975" customHeight="1" s="64">
      <c r="A148" s="0">
        <f>IF(Allocation!BI148="","",Allocation!BI148)</f>
        <v/>
      </c>
      <c r="B148" s="0">
        <f>IF(Allocation!BJ148="","",Allocation!BJ148)</f>
        <v/>
      </c>
      <c r="C148" s="0">
        <f>IF(Allocation!BK148="","",Allocation!BK148)</f>
        <v/>
      </c>
      <c r="D148" s="0">
        <f>IF(Allocation!BL148="","",Allocation!BL148)</f>
        <v/>
      </c>
      <c r="E148" s="0">
        <f>IF(Allocation!BM148="","",Allocation!BM148)</f>
        <v/>
      </c>
      <c r="F148" s="0">
        <f>IF(Allocation!BN148="","",Allocation!BN148)</f>
        <v/>
      </c>
      <c r="G148" s="0">
        <f>IF(Allocation!BO148="","",Allocation!BO148)</f>
        <v/>
      </c>
      <c r="H148" s="0">
        <f>IF(Allocation!BP148="","",Allocation!BP148)</f>
        <v/>
      </c>
      <c r="I148" s="0">
        <f>IF(Allocation!BQ148="","",Allocation!BQ148)</f>
        <v/>
      </c>
      <c r="J148" s="0">
        <f>IF(Allocation!CC148="","",Allocation!CC148)</f>
        <v/>
      </c>
      <c r="K148" s="0">
        <f>IF($A148="","",$H148*IF(AND(LEFT($D148,3)="BAC",$F148="INIT"),600,IF(LEFT($D148,3)="BAC",480,IF(AND(LEFT($D148,3)="MAS",$F148="INIT"),520,IF(LEFT($D148,3)="MAS",420,IF($F148="INIT",1000,700))))))</f>
        <v/>
      </c>
      <c r="L148" s="0">
        <f>IF($A148="","",SUMIFS($G$1:$G$349,$AS$1:$AS$349,$AS148,$B$1:$B$349,$B148))</f>
        <v/>
      </c>
      <c r="M148" s="0">
        <f>IF($A148="","",SUMIFS($H$1:$H$349,$AS$1:$AS$349,$AS148,$B$1:$B$349,$B148))</f>
        <v/>
      </c>
      <c r="N148" s="0">
        <f>IF($A148="","",SUMIFS($I$1:$I$349,$AS$1:$AS$349,$AS148,$B$1:$B$349,$B148))</f>
        <v/>
      </c>
      <c r="O148" s="0">
        <f>IF($A148="","",SUMIFS($K$1:$K$349,$AS$1:$AS$349,$AS148,$B$1:$B$349,$B148))</f>
        <v/>
      </c>
      <c r="P148" s="0">
        <f>IF($A148="","",SUMIFS($J$1:$J$349,$AS$1:$AS$349,$AS148,$B$1:$B$349,$B148))</f>
        <v/>
      </c>
      <c r="Q148" s="0">
        <f>IF($A148="","",SUMIFS($G$1:$G$349,$AS$1:$AS$349,$AS148,$C$1:$C$349,$C148))</f>
        <v/>
      </c>
      <c r="R148" s="0">
        <f>IF($A148="","",SUMIFS($H$1:$H$349,$AS$1:$AS$349,$AS148,$C$1:$C$349,$C148))</f>
        <v/>
      </c>
      <c r="S148" s="0">
        <f>IF($A148="","",SUMIFS($I$1:$I$349,$AS$1:$AS$349,$AS148,$C$1:$C$349,$C148))</f>
        <v/>
      </c>
      <c r="T148" s="0">
        <f>IF($A148="","",SUMIFS($G$1:$G$349,$AS$1:$AS$349,$AS148))</f>
        <v/>
      </c>
      <c r="U148" s="0">
        <f>IF($A148="","",SUMIFS($H$1:$H$349,$AS$1:$AS$349,$AS148))</f>
        <v/>
      </c>
      <c r="V148" s="0">
        <f>IF($A148="","",SUMIFS($I$1:$I$349,$AS$1:$AS$349,$AS148))</f>
        <v/>
      </c>
      <c r="W148" s="0">
        <f>IF($A148="","",Allocation!CD148)</f>
        <v/>
      </c>
      <c r="X148" s="0">
        <f>IF($A148="","",Allocation!CE148)</f>
        <v/>
      </c>
      <c r="Y148" s="0">
        <f>IF($A148="","",Allocation!CF148)</f>
        <v/>
      </c>
      <c r="Z148" s="0">
        <f>IF($A148="","",Allocation!CG148)</f>
        <v/>
      </c>
      <c r="AA148" s="0">
        <f>IF($A148="","",Allocation!CH148)</f>
        <v/>
      </c>
      <c r="AB148" s="0">
        <f>IF($A148="","",Allocation!CI148)</f>
        <v/>
      </c>
      <c r="AC148" s="0">
        <f>IF($A148="","",IF(Allocation!$N$4="VOL_EFF",$G148,IF(Allocation!$N$4="VOL_CLASS",$H148,$I148)))</f>
        <v/>
      </c>
      <c r="AD148" s="0">
        <f>IF($A148="","",IF(Allocation!$N$4="VOL_EFF",$L148,IF(Allocation!$N$4="VOL_CLASS",$M148,$N148)))</f>
        <v/>
      </c>
      <c r="AE148" s="0">
        <f>IF($A148="","",IF(Allocation!$N$3="VOL_EFF",$L148,IF(Allocation!$N$3="VOL_CLASS",$M148,$N148)))</f>
        <v/>
      </c>
      <c r="AF148" s="0">
        <f>IF($A148="","",IF(Allocation!$N$3="VOL_EFF",$Q148,IF(Allocation!$N$3="VOL_CLASS",$R148,$S148)))</f>
        <v/>
      </c>
      <c r="AG148" s="0">
        <f>IF($A148="","",IF(Allocation!$N$1="VOL_EFF",$Q148,IF(Allocation!$N$1="VOL_CLASS",$R148,$S148)))</f>
        <v/>
      </c>
      <c r="AH148" s="0">
        <f>IF($A148="","",IF(Allocation!$N$1="VOL_EFF",$T148,IF(Allocation!$N$1="VOL_CLASS",$U148,$V148)))</f>
        <v/>
      </c>
      <c r="AI148" s="0">
        <f>IF($A148="","",$W148*IFERROR($K148/$O148,0))</f>
        <v/>
      </c>
      <c r="AJ148" s="0">
        <f>IF($A148="","",$X148*IFERROR($K148/$O148,0))</f>
        <v/>
      </c>
      <c r="AK148" s="0">
        <f>IF($A148="","",$Y148*IFERROR($G148/$L148,0)+$Z148*IFERROR($J148/$P148,0))</f>
        <v/>
      </c>
      <c r="AL148" s="0">
        <f>IF($A148="","",$AA148*IFERROR($AC148/$AD148,0))</f>
        <v/>
      </c>
      <c r="AM148" s="0">
        <f>IF($A148="","",$AB148*IFERROR($AG148/$AH148,0)*IFERROR($AE148/$AF148,0)*IFERROR($AC148/$AD148,0))</f>
        <v/>
      </c>
      <c r="AN148" s="0">
        <f>IF($A148="","",$I148-($AI148+$AJ148+$AK148+$AL148+$AM148+$AR148))</f>
        <v/>
      </c>
      <c r="AO148" s="0">
        <f>IF($A148="","",Allocation!CJ148)</f>
        <v/>
      </c>
      <c r="AP148" s="0">
        <f>IF($A148="","",IF(Allocation!$N$2="VOL_EFF",$Q148,IF(Allocation!$N$2="VOL_CLASS",$R148,$S148)))</f>
        <v/>
      </c>
      <c r="AQ148" s="0">
        <f>IF($A148="","",IF(Allocation!$N$2="VOL_EFF",$T148,IF(Allocation!$N$2="VOL_CLASS",$U148,$V148)))</f>
        <v/>
      </c>
      <c r="AR148" s="0">
        <f>IF($A148="","",$AO148*IFERROR($AP148/$AQ148,0)*IFERROR($AE148/$AF148,0)*IFERROR($AC148/$AD148,0))</f>
        <v/>
      </c>
      <c r="AS148" s="0">
        <f>IF($A148="","",$A148&amp;"|"&amp;Allocation!BG148)</f>
        <v/>
      </c>
    </row>
    <row r="149" ht="14.4975" customHeight="1" s="64">
      <c r="A149" s="0">
        <f>IF(Allocation!BI149="","",Allocation!BI149)</f>
        <v/>
      </c>
      <c r="B149" s="0">
        <f>IF(Allocation!BJ149="","",Allocation!BJ149)</f>
        <v/>
      </c>
      <c r="C149" s="0">
        <f>IF(Allocation!BK149="","",Allocation!BK149)</f>
        <v/>
      </c>
      <c r="D149" s="0">
        <f>IF(Allocation!BL149="","",Allocation!BL149)</f>
        <v/>
      </c>
      <c r="E149" s="0">
        <f>IF(Allocation!BM149="","",Allocation!BM149)</f>
        <v/>
      </c>
      <c r="F149" s="0">
        <f>IF(Allocation!BN149="","",Allocation!BN149)</f>
        <v/>
      </c>
      <c r="G149" s="0">
        <f>IF(Allocation!BO149="","",Allocation!BO149)</f>
        <v/>
      </c>
      <c r="H149" s="0">
        <f>IF(Allocation!BP149="","",Allocation!BP149)</f>
        <v/>
      </c>
      <c r="I149" s="0">
        <f>IF(Allocation!BQ149="","",Allocation!BQ149)</f>
        <v/>
      </c>
      <c r="J149" s="0">
        <f>IF(Allocation!CC149="","",Allocation!CC149)</f>
        <v/>
      </c>
      <c r="K149" s="0">
        <f>IF($A149="","",$H149*IF(AND(LEFT($D149,3)="BAC",$F149="INIT"),600,IF(LEFT($D149,3)="BAC",480,IF(AND(LEFT($D149,3)="MAS",$F149="INIT"),520,IF(LEFT($D149,3)="MAS",420,IF($F149="INIT",1000,700))))))</f>
        <v/>
      </c>
      <c r="L149" s="0">
        <f>IF($A149="","",SUMIFS($G$1:$G$349,$AS$1:$AS$349,$AS149,$B$1:$B$349,$B149))</f>
        <v/>
      </c>
      <c r="M149" s="0">
        <f>IF($A149="","",SUMIFS($H$1:$H$349,$AS$1:$AS$349,$AS149,$B$1:$B$349,$B149))</f>
        <v/>
      </c>
      <c r="N149" s="0">
        <f>IF($A149="","",SUMIFS($I$1:$I$349,$AS$1:$AS$349,$AS149,$B$1:$B$349,$B149))</f>
        <v/>
      </c>
      <c r="O149" s="0">
        <f>IF($A149="","",SUMIFS($K$1:$K$349,$AS$1:$AS$349,$AS149,$B$1:$B$349,$B149))</f>
        <v/>
      </c>
      <c r="P149" s="0">
        <f>IF($A149="","",SUMIFS($J$1:$J$349,$AS$1:$AS$349,$AS149,$B$1:$B$349,$B149))</f>
        <v/>
      </c>
      <c r="Q149" s="0">
        <f>IF($A149="","",SUMIFS($G$1:$G$349,$AS$1:$AS$349,$AS149,$C$1:$C$349,$C149))</f>
        <v/>
      </c>
      <c r="R149" s="0">
        <f>IF($A149="","",SUMIFS($H$1:$H$349,$AS$1:$AS$349,$AS149,$C$1:$C$349,$C149))</f>
        <v/>
      </c>
      <c r="S149" s="0">
        <f>IF($A149="","",SUMIFS($I$1:$I$349,$AS$1:$AS$349,$AS149,$C$1:$C$349,$C149))</f>
        <v/>
      </c>
      <c r="T149" s="0">
        <f>IF($A149="","",SUMIFS($G$1:$G$349,$AS$1:$AS$349,$AS149))</f>
        <v/>
      </c>
      <c r="U149" s="0">
        <f>IF($A149="","",SUMIFS($H$1:$H$349,$AS$1:$AS$349,$AS149))</f>
        <v/>
      </c>
      <c r="V149" s="0">
        <f>IF($A149="","",SUMIFS($I$1:$I$349,$AS$1:$AS$349,$AS149))</f>
        <v/>
      </c>
      <c r="W149" s="0">
        <f>IF($A149="","",Allocation!CD149)</f>
        <v/>
      </c>
      <c r="X149" s="0">
        <f>IF($A149="","",Allocation!CE149)</f>
        <v/>
      </c>
      <c r="Y149" s="0">
        <f>IF($A149="","",Allocation!CF149)</f>
        <v/>
      </c>
      <c r="Z149" s="0">
        <f>IF($A149="","",Allocation!CG149)</f>
        <v/>
      </c>
      <c r="AA149" s="0">
        <f>IF($A149="","",Allocation!CH149)</f>
        <v/>
      </c>
      <c r="AB149" s="0">
        <f>IF($A149="","",Allocation!CI149)</f>
        <v/>
      </c>
      <c r="AC149" s="0">
        <f>IF($A149="","",IF(Allocation!$N$4="VOL_EFF",$G149,IF(Allocation!$N$4="VOL_CLASS",$H149,$I149)))</f>
        <v/>
      </c>
      <c r="AD149" s="0">
        <f>IF($A149="","",IF(Allocation!$N$4="VOL_EFF",$L149,IF(Allocation!$N$4="VOL_CLASS",$M149,$N149)))</f>
        <v/>
      </c>
      <c r="AE149" s="0">
        <f>IF($A149="","",IF(Allocation!$N$3="VOL_EFF",$L149,IF(Allocation!$N$3="VOL_CLASS",$M149,$N149)))</f>
        <v/>
      </c>
      <c r="AF149" s="0">
        <f>IF($A149="","",IF(Allocation!$N$3="VOL_EFF",$Q149,IF(Allocation!$N$3="VOL_CLASS",$R149,$S149)))</f>
        <v/>
      </c>
      <c r="AG149" s="0">
        <f>IF($A149="","",IF(Allocation!$N$1="VOL_EFF",$Q149,IF(Allocation!$N$1="VOL_CLASS",$R149,$S149)))</f>
        <v/>
      </c>
      <c r="AH149" s="0">
        <f>IF($A149="","",IF(Allocation!$N$1="VOL_EFF",$T149,IF(Allocation!$N$1="VOL_CLASS",$U149,$V149)))</f>
        <v/>
      </c>
      <c r="AI149" s="0">
        <f>IF($A149="","",$W149*IFERROR($K149/$O149,0))</f>
        <v/>
      </c>
      <c r="AJ149" s="0">
        <f>IF($A149="","",$X149*IFERROR($K149/$O149,0))</f>
        <v/>
      </c>
      <c r="AK149" s="0">
        <f>IF($A149="","",$Y149*IFERROR($G149/$L149,0)+$Z149*IFERROR($J149/$P149,0))</f>
        <v/>
      </c>
      <c r="AL149" s="0">
        <f>IF($A149="","",$AA149*IFERROR($AC149/$AD149,0))</f>
        <v/>
      </c>
      <c r="AM149" s="0">
        <f>IF($A149="","",$AB149*IFERROR($AG149/$AH149,0)*IFERROR($AE149/$AF149,0)*IFERROR($AC149/$AD149,0))</f>
        <v/>
      </c>
      <c r="AN149" s="0">
        <f>IF($A149="","",$I149-($AI149+$AJ149+$AK149+$AL149+$AM149+$AR149))</f>
        <v/>
      </c>
      <c r="AO149" s="0">
        <f>IF($A149="","",Allocation!CJ149)</f>
        <v/>
      </c>
      <c r="AP149" s="0">
        <f>IF($A149="","",IF(Allocation!$N$2="VOL_EFF",$Q149,IF(Allocation!$N$2="VOL_CLASS",$R149,$S149)))</f>
        <v/>
      </c>
      <c r="AQ149" s="0">
        <f>IF($A149="","",IF(Allocation!$N$2="VOL_EFF",$T149,IF(Allocation!$N$2="VOL_CLASS",$U149,$V149)))</f>
        <v/>
      </c>
      <c r="AR149" s="0">
        <f>IF($A149="","",$AO149*IFERROR($AP149/$AQ149,0)*IFERROR($AE149/$AF149,0)*IFERROR($AC149/$AD149,0))</f>
        <v/>
      </c>
      <c r="AS149" s="0">
        <f>IF($A149="","",$A149&amp;"|"&amp;Allocation!BG149)</f>
        <v/>
      </c>
    </row>
    <row r="150" ht="14.4975" customHeight="1" s="64">
      <c r="A150" s="0">
        <f>IF(Allocation!BI150="","",Allocation!BI150)</f>
        <v/>
      </c>
      <c r="B150" s="0">
        <f>IF(Allocation!BJ150="","",Allocation!BJ150)</f>
        <v/>
      </c>
      <c r="C150" s="0">
        <f>IF(Allocation!BK150="","",Allocation!BK150)</f>
        <v/>
      </c>
      <c r="D150" s="0">
        <f>IF(Allocation!BL150="","",Allocation!BL150)</f>
        <v/>
      </c>
      <c r="E150" s="0">
        <f>IF(Allocation!BM150="","",Allocation!BM150)</f>
        <v/>
      </c>
      <c r="F150" s="0">
        <f>IF(Allocation!BN150="","",Allocation!BN150)</f>
        <v/>
      </c>
      <c r="G150" s="0">
        <f>IF(Allocation!BO150="","",Allocation!BO150)</f>
        <v/>
      </c>
      <c r="H150" s="0">
        <f>IF(Allocation!BP150="","",Allocation!BP150)</f>
        <v/>
      </c>
      <c r="I150" s="0">
        <f>IF(Allocation!BQ150="","",Allocation!BQ150)</f>
        <v/>
      </c>
      <c r="J150" s="0">
        <f>IF(Allocation!CC150="","",Allocation!CC150)</f>
        <v/>
      </c>
      <c r="K150" s="0">
        <f>IF($A150="","",$H150*IF(AND(LEFT($D150,3)="BAC",$F150="INIT"),600,IF(LEFT($D150,3)="BAC",480,IF(AND(LEFT($D150,3)="MAS",$F150="INIT"),520,IF(LEFT($D150,3)="MAS",420,IF($F150="INIT",1000,700))))))</f>
        <v/>
      </c>
      <c r="L150" s="0">
        <f>IF($A150="","",SUMIFS($G$1:$G$349,$AS$1:$AS$349,$AS150,$B$1:$B$349,$B150))</f>
        <v/>
      </c>
      <c r="M150" s="0">
        <f>IF($A150="","",SUMIFS($H$1:$H$349,$AS$1:$AS$349,$AS150,$B$1:$B$349,$B150))</f>
        <v/>
      </c>
      <c r="N150" s="0">
        <f>IF($A150="","",SUMIFS($I$1:$I$349,$AS$1:$AS$349,$AS150,$B$1:$B$349,$B150))</f>
        <v/>
      </c>
      <c r="O150" s="0">
        <f>IF($A150="","",SUMIFS($K$1:$K$349,$AS$1:$AS$349,$AS150,$B$1:$B$349,$B150))</f>
        <v/>
      </c>
      <c r="P150" s="0">
        <f>IF($A150="","",SUMIFS($J$1:$J$349,$AS$1:$AS$349,$AS150,$B$1:$B$349,$B150))</f>
        <v/>
      </c>
      <c r="Q150" s="0">
        <f>IF($A150="","",SUMIFS($G$1:$G$349,$AS$1:$AS$349,$AS150,$C$1:$C$349,$C150))</f>
        <v/>
      </c>
      <c r="R150" s="0">
        <f>IF($A150="","",SUMIFS($H$1:$H$349,$AS$1:$AS$349,$AS150,$C$1:$C$349,$C150))</f>
        <v/>
      </c>
      <c r="S150" s="0">
        <f>IF($A150="","",SUMIFS($I$1:$I$349,$AS$1:$AS$349,$AS150,$C$1:$C$349,$C150))</f>
        <v/>
      </c>
      <c r="T150" s="0">
        <f>IF($A150="","",SUMIFS($G$1:$G$349,$AS$1:$AS$349,$AS150))</f>
        <v/>
      </c>
      <c r="U150" s="0">
        <f>IF($A150="","",SUMIFS($H$1:$H$349,$AS$1:$AS$349,$AS150))</f>
        <v/>
      </c>
      <c r="V150" s="0">
        <f>IF($A150="","",SUMIFS($I$1:$I$349,$AS$1:$AS$349,$AS150))</f>
        <v/>
      </c>
      <c r="W150" s="0">
        <f>IF($A150="","",Allocation!CD150)</f>
        <v/>
      </c>
      <c r="X150" s="0">
        <f>IF($A150="","",Allocation!CE150)</f>
        <v/>
      </c>
      <c r="Y150" s="0">
        <f>IF($A150="","",Allocation!CF150)</f>
        <v/>
      </c>
      <c r="Z150" s="0">
        <f>IF($A150="","",Allocation!CG150)</f>
        <v/>
      </c>
      <c r="AA150" s="0">
        <f>IF($A150="","",Allocation!CH150)</f>
        <v/>
      </c>
      <c r="AB150" s="0">
        <f>IF($A150="","",Allocation!CI150)</f>
        <v/>
      </c>
      <c r="AC150" s="0">
        <f>IF($A150="","",IF(Allocation!$N$4="VOL_EFF",$G150,IF(Allocation!$N$4="VOL_CLASS",$H150,$I150)))</f>
        <v/>
      </c>
      <c r="AD150" s="0">
        <f>IF($A150="","",IF(Allocation!$N$4="VOL_EFF",$L150,IF(Allocation!$N$4="VOL_CLASS",$M150,$N150)))</f>
        <v/>
      </c>
      <c r="AE150" s="0">
        <f>IF($A150="","",IF(Allocation!$N$3="VOL_EFF",$L150,IF(Allocation!$N$3="VOL_CLASS",$M150,$N150)))</f>
        <v/>
      </c>
      <c r="AF150" s="0">
        <f>IF($A150="","",IF(Allocation!$N$3="VOL_EFF",$Q150,IF(Allocation!$N$3="VOL_CLASS",$R150,$S150)))</f>
        <v/>
      </c>
      <c r="AG150" s="0">
        <f>IF($A150="","",IF(Allocation!$N$1="VOL_EFF",$Q150,IF(Allocation!$N$1="VOL_CLASS",$R150,$S150)))</f>
        <v/>
      </c>
      <c r="AH150" s="0">
        <f>IF($A150="","",IF(Allocation!$N$1="VOL_EFF",$T150,IF(Allocation!$N$1="VOL_CLASS",$U150,$V150)))</f>
        <v/>
      </c>
      <c r="AI150" s="0">
        <f>IF($A150="","",$W150*IFERROR($K150/$O150,0))</f>
        <v/>
      </c>
      <c r="AJ150" s="0">
        <f>IF($A150="","",$X150*IFERROR($K150/$O150,0))</f>
        <v/>
      </c>
      <c r="AK150" s="0">
        <f>IF($A150="","",$Y150*IFERROR($G150/$L150,0)+$Z150*IFERROR($J150/$P150,0))</f>
        <v/>
      </c>
      <c r="AL150" s="0">
        <f>IF($A150="","",$AA150*IFERROR($AC150/$AD150,0))</f>
        <v/>
      </c>
      <c r="AM150" s="0">
        <f>IF($A150="","",$AB150*IFERROR($AG150/$AH150,0)*IFERROR($AE150/$AF150,0)*IFERROR($AC150/$AD150,0))</f>
        <v/>
      </c>
      <c r="AN150" s="0">
        <f>IF($A150="","",$I150-($AI150+$AJ150+$AK150+$AL150+$AM150+$AR150))</f>
        <v/>
      </c>
      <c r="AO150" s="0">
        <f>IF($A150="","",Allocation!CJ150)</f>
        <v/>
      </c>
      <c r="AP150" s="0">
        <f>IF($A150="","",IF(Allocation!$N$2="VOL_EFF",$Q150,IF(Allocation!$N$2="VOL_CLASS",$R150,$S150)))</f>
        <v/>
      </c>
      <c r="AQ150" s="0">
        <f>IF($A150="","",IF(Allocation!$N$2="VOL_EFF",$T150,IF(Allocation!$N$2="VOL_CLASS",$U150,$V150)))</f>
        <v/>
      </c>
      <c r="AR150" s="0">
        <f>IF($A150="","",$AO150*IFERROR($AP150/$AQ150,0)*IFERROR($AE150/$AF150,0)*IFERROR($AC150/$AD150,0))</f>
        <v/>
      </c>
      <c r="AS150" s="0">
        <f>IF($A150="","",$A150&amp;"|"&amp;Allocation!BG150)</f>
        <v/>
      </c>
    </row>
    <row r="151" ht="14.4975" customHeight="1" s="64">
      <c r="A151" s="0">
        <f>IF(Allocation!BI151="","",Allocation!BI151)</f>
        <v/>
      </c>
      <c r="B151" s="0">
        <f>IF(Allocation!BJ151="","",Allocation!BJ151)</f>
        <v/>
      </c>
      <c r="C151" s="0">
        <f>IF(Allocation!BK151="","",Allocation!BK151)</f>
        <v/>
      </c>
      <c r="D151" s="0">
        <f>IF(Allocation!BL151="","",Allocation!BL151)</f>
        <v/>
      </c>
      <c r="E151" s="0">
        <f>IF(Allocation!BM151="","",Allocation!BM151)</f>
        <v/>
      </c>
      <c r="F151" s="0">
        <f>IF(Allocation!BN151="","",Allocation!BN151)</f>
        <v/>
      </c>
      <c r="G151" s="0">
        <f>IF(Allocation!BO151="","",Allocation!BO151)</f>
        <v/>
      </c>
      <c r="H151" s="0">
        <f>IF(Allocation!BP151="","",Allocation!BP151)</f>
        <v/>
      </c>
      <c r="I151" s="0">
        <f>IF(Allocation!BQ151="","",Allocation!BQ151)</f>
        <v/>
      </c>
      <c r="J151" s="0">
        <f>IF(Allocation!CC151="","",Allocation!CC151)</f>
        <v/>
      </c>
      <c r="K151" s="0">
        <f>IF($A151="","",$H151*IF(AND(LEFT($D151,3)="BAC",$F151="INIT"),600,IF(LEFT($D151,3)="BAC",480,IF(AND(LEFT($D151,3)="MAS",$F151="INIT"),520,IF(LEFT($D151,3)="MAS",420,IF($F151="INIT",1000,700))))))</f>
        <v/>
      </c>
      <c r="L151" s="0">
        <f>IF($A151="","",SUMIFS($G$1:$G$349,$AS$1:$AS$349,$AS151,$B$1:$B$349,$B151))</f>
        <v/>
      </c>
      <c r="M151" s="0">
        <f>IF($A151="","",SUMIFS($H$1:$H$349,$AS$1:$AS$349,$AS151,$B$1:$B$349,$B151))</f>
        <v/>
      </c>
      <c r="N151" s="0">
        <f>IF($A151="","",SUMIFS($I$1:$I$349,$AS$1:$AS$349,$AS151,$B$1:$B$349,$B151))</f>
        <v/>
      </c>
      <c r="O151" s="0">
        <f>IF($A151="","",SUMIFS($K$1:$K$349,$AS$1:$AS$349,$AS151,$B$1:$B$349,$B151))</f>
        <v/>
      </c>
      <c r="P151" s="0">
        <f>IF($A151="","",SUMIFS($J$1:$J$349,$AS$1:$AS$349,$AS151,$B$1:$B$349,$B151))</f>
        <v/>
      </c>
      <c r="Q151" s="0">
        <f>IF($A151="","",SUMIFS($G$1:$G$349,$AS$1:$AS$349,$AS151,$C$1:$C$349,$C151))</f>
        <v/>
      </c>
      <c r="R151" s="0">
        <f>IF($A151="","",SUMIFS($H$1:$H$349,$AS$1:$AS$349,$AS151,$C$1:$C$349,$C151))</f>
        <v/>
      </c>
      <c r="S151" s="0">
        <f>IF($A151="","",SUMIFS($I$1:$I$349,$AS$1:$AS$349,$AS151,$C$1:$C$349,$C151))</f>
        <v/>
      </c>
      <c r="T151" s="0">
        <f>IF($A151="","",SUMIFS($G$1:$G$349,$AS$1:$AS$349,$AS151))</f>
        <v/>
      </c>
      <c r="U151" s="0">
        <f>IF($A151="","",SUMIFS($H$1:$H$349,$AS$1:$AS$349,$AS151))</f>
        <v/>
      </c>
      <c r="V151" s="0">
        <f>IF($A151="","",SUMIFS($I$1:$I$349,$AS$1:$AS$349,$AS151))</f>
        <v/>
      </c>
      <c r="W151" s="0">
        <f>IF($A151="","",Allocation!CD151)</f>
        <v/>
      </c>
      <c r="X151" s="0">
        <f>IF($A151="","",Allocation!CE151)</f>
        <v/>
      </c>
      <c r="Y151" s="0">
        <f>IF($A151="","",Allocation!CF151)</f>
        <v/>
      </c>
      <c r="Z151" s="0">
        <f>IF($A151="","",Allocation!CG151)</f>
        <v/>
      </c>
      <c r="AA151" s="0">
        <f>IF($A151="","",Allocation!CH151)</f>
        <v/>
      </c>
      <c r="AB151" s="0">
        <f>IF($A151="","",Allocation!CI151)</f>
        <v/>
      </c>
      <c r="AC151" s="0">
        <f>IF($A151="","",IF(Allocation!$N$4="VOL_EFF",$G151,IF(Allocation!$N$4="VOL_CLASS",$H151,$I151)))</f>
        <v/>
      </c>
      <c r="AD151" s="0">
        <f>IF($A151="","",IF(Allocation!$N$4="VOL_EFF",$L151,IF(Allocation!$N$4="VOL_CLASS",$M151,$N151)))</f>
        <v/>
      </c>
      <c r="AE151" s="0">
        <f>IF($A151="","",IF(Allocation!$N$3="VOL_EFF",$L151,IF(Allocation!$N$3="VOL_CLASS",$M151,$N151)))</f>
        <v/>
      </c>
      <c r="AF151" s="0">
        <f>IF($A151="","",IF(Allocation!$N$3="VOL_EFF",$Q151,IF(Allocation!$N$3="VOL_CLASS",$R151,$S151)))</f>
        <v/>
      </c>
      <c r="AG151" s="0">
        <f>IF($A151="","",IF(Allocation!$N$1="VOL_EFF",$Q151,IF(Allocation!$N$1="VOL_CLASS",$R151,$S151)))</f>
        <v/>
      </c>
      <c r="AH151" s="0">
        <f>IF($A151="","",IF(Allocation!$N$1="VOL_EFF",$T151,IF(Allocation!$N$1="VOL_CLASS",$U151,$V151)))</f>
        <v/>
      </c>
      <c r="AI151" s="0">
        <f>IF($A151="","",$W151*IFERROR($K151/$O151,0))</f>
        <v/>
      </c>
      <c r="AJ151" s="0">
        <f>IF($A151="","",$X151*IFERROR($K151/$O151,0))</f>
        <v/>
      </c>
      <c r="AK151" s="0">
        <f>IF($A151="","",$Y151*IFERROR($G151/$L151,0)+$Z151*IFERROR($J151/$P151,0))</f>
        <v/>
      </c>
      <c r="AL151" s="0">
        <f>IF($A151="","",$AA151*IFERROR($AC151/$AD151,0))</f>
        <v/>
      </c>
      <c r="AM151" s="0">
        <f>IF($A151="","",$AB151*IFERROR($AG151/$AH151,0)*IFERROR($AE151/$AF151,0)*IFERROR($AC151/$AD151,0))</f>
        <v/>
      </c>
      <c r="AN151" s="0">
        <f>IF($A151="","",$I151-($AI151+$AJ151+$AK151+$AL151+$AM151+$AR151))</f>
        <v/>
      </c>
      <c r="AO151" s="0">
        <f>IF($A151="","",Allocation!CJ151)</f>
        <v/>
      </c>
      <c r="AP151" s="0">
        <f>IF($A151="","",IF(Allocation!$N$2="VOL_EFF",$Q151,IF(Allocation!$N$2="VOL_CLASS",$R151,$S151)))</f>
        <v/>
      </c>
      <c r="AQ151" s="0">
        <f>IF($A151="","",IF(Allocation!$N$2="VOL_EFF",$T151,IF(Allocation!$N$2="VOL_CLASS",$U151,$V151)))</f>
        <v/>
      </c>
      <c r="AR151" s="0">
        <f>IF($A151="","",$AO151*IFERROR($AP151/$AQ151,0)*IFERROR($AE151/$AF151,0)*IFERROR($AC151/$AD151,0))</f>
        <v/>
      </c>
      <c r="AS151" s="0">
        <f>IF($A151="","",$A151&amp;"|"&amp;Allocation!BG151)</f>
        <v/>
      </c>
    </row>
    <row r="152" ht="14.4975" customHeight="1" s="64">
      <c r="A152" s="0">
        <f>IF(Allocation!BI152="","",Allocation!BI152)</f>
        <v/>
      </c>
      <c r="B152" s="0">
        <f>IF(Allocation!BJ152="","",Allocation!BJ152)</f>
        <v/>
      </c>
      <c r="C152" s="0">
        <f>IF(Allocation!BK152="","",Allocation!BK152)</f>
        <v/>
      </c>
      <c r="D152" s="0">
        <f>IF(Allocation!BL152="","",Allocation!BL152)</f>
        <v/>
      </c>
      <c r="E152" s="0">
        <f>IF(Allocation!BM152="","",Allocation!BM152)</f>
        <v/>
      </c>
      <c r="F152" s="0">
        <f>IF(Allocation!BN152="","",Allocation!BN152)</f>
        <v/>
      </c>
      <c r="G152" s="0">
        <f>IF(Allocation!BO152="","",Allocation!BO152)</f>
        <v/>
      </c>
      <c r="H152" s="0">
        <f>IF(Allocation!BP152="","",Allocation!BP152)</f>
        <v/>
      </c>
      <c r="I152" s="0">
        <f>IF(Allocation!BQ152="","",Allocation!BQ152)</f>
        <v/>
      </c>
      <c r="J152" s="0">
        <f>IF(Allocation!CC152="","",Allocation!CC152)</f>
        <v/>
      </c>
      <c r="K152" s="0">
        <f>IF($A152="","",$H152*IF(AND(LEFT($D152,3)="BAC",$F152="INIT"),600,IF(LEFT($D152,3)="BAC",480,IF(AND(LEFT($D152,3)="MAS",$F152="INIT"),520,IF(LEFT($D152,3)="MAS",420,IF($F152="INIT",1000,700))))))</f>
        <v/>
      </c>
      <c r="L152" s="0">
        <f>IF($A152="","",SUMIFS($G$1:$G$349,$AS$1:$AS$349,$AS152,$B$1:$B$349,$B152))</f>
        <v/>
      </c>
      <c r="M152" s="0">
        <f>IF($A152="","",SUMIFS($H$1:$H$349,$AS$1:$AS$349,$AS152,$B$1:$B$349,$B152))</f>
        <v/>
      </c>
      <c r="N152" s="0">
        <f>IF($A152="","",SUMIFS($I$1:$I$349,$AS$1:$AS$349,$AS152,$B$1:$B$349,$B152))</f>
        <v/>
      </c>
      <c r="O152" s="0">
        <f>IF($A152="","",SUMIFS($K$1:$K$349,$AS$1:$AS$349,$AS152,$B$1:$B$349,$B152))</f>
        <v/>
      </c>
      <c r="P152" s="0">
        <f>IF($A152="","",SUMIFS($J$1:$J$349,$AS$1:$AS$349,$AS152,$B$1:$B$349,$B152))</f>
        <v/>
      </c>
      <c r="Q152" s="0">
        <f>IF($A152="","",SUMIFS($G$1:$G$349,$AS$1:$AS$349,$AS152,$C$1:$C$349,$C152))</f>
        <v/>
      </c>
      <c r="R152" s="0">
        <f>IF($A152="","",SUMIFS($H$1:$H$349,$AS$1:$AS$349,$AS152,$C$1:$C$349,$C152))</f>
        <v/>
      </c>
      <c r="S152" s="0">
        <f>IF($A152="","",SUMIFS($I$1:$I$349,$AS$1:$AS$349,$AS152,$C$1:$C$349,$C152))</f>
        <v/>
      </c>
      <c r="T152" s="0">
        <f>IF($A152="","",SUMIFS($G$1:$G$349,$AS$1:$AS$349,$AS152))</f>
        <v/>
      </c>
      <c r="U152" s="0">
        <f>IF($A152="","",SUMIFS($H$1:$H$349,$AS$1:$AS$349,$AS152))</f>
        <v/>
      </c>
      <c r="V152" s="0">
        <f>IF($A152="","",SUMIFS($I$1:$I$349,$AS$1:$AS$349,$AS152))</f>
        <v/>
      </c>
      <c r="W152" s="0">
        <f>IF($A152="","",Allocation!CD152)</f>
        <v/>
      </c>
      <c r="X152" s="0">
        <f>IF($A152="","",Allocation!CE152)</f>
        <v/>
      </c>
      <c r="Y152" s="0">
        <f>IF($A152="","",Allocation!CF152)</f>
        <v/>
      </c>
      <c r="Z152" s="0">
        <f>IF($A152="","",Allocation!CG152)</f>
        <v/>
      </c>
      <c r="AA152" s="0">
        <f>IF($A152="","",Allocation!CH152)</f>
        <v/>
      </c>
      <c r="AB152" s="0">
        <f>IF($A152="","",Allocation!CI152)</f>
        <v/>
      </c>
      <c r="AC152" s="0">
        <f>IF($A152="","",IF(Allocation!$N$4="VOL_EFF",$G152,IF(Allocation!$N$4="VOL_CLASS",$H152,$I152)))</f>
        <v/>
      </c>
      <c r="AD152" s="0">
        <f>IF($A152="","",IF(Allocation!$N$4="VOL_EFF",$L152,IF(Allocation!$N$4="VOL_CLASS",$M152,$N152)))</f>
        <v/>
      </c>
      <c r="AE152" s="0">
        <f>IF($A152="","",IF(Allocation!$N$3="VOL_EFF",$L152,IF(Allocation!$N$3="VOL_CLASS",$M152,$N152)))</f>
        <v/>
      </c>
      <c r="AF152" s="0">
        <f>IF($A152="","",IF(Allocation!$N$3="VOL_EFF",$Q152,IF(Allocation!$N$3="VOL_CLASS",$R152,$S152)))</f>
        <v/>
      </c>
      <c r="AG152" s="0">
        <f>IF($A152="","",IF(Allocation!$N$1="VOL_EFF",$Q152,IF(Allocation!$N$1="VOL_CLASS",$R152,$S152)))</f>
        <v/>
      </c>
      <c r="AH152" s="0">
        <f>IF($A152="","",IF(Allocation!$N$1="VOL_EFF",$T152,IF(Allocation!$N$1="VOL_CLASS",$U152,$V152)))</f>
        <v/>
      </c>
      <c r="AI152" s="0">
        <f>IF($A152="","",$W152*IFERROR($K152/$O152,0))</f>
        <v/>
      </c>
      <c r="AJ152" s="0">
        <f>IF($A152="","",$X152*IFERROR($K152/$O152,0))</f>
        <v/>
      </c>
      <c r="AK152" s="0">
        <f>IF($A152="","",$Y152*IFERROR($G152/$L152,0)+$Z152*IFERROR($J152/$P152,0))</f>
        <v/>
      </c>
      <c r="AL152" s="0">
        <f>IF($A152="","",$AA152*IFERROR($AC152/$AD152,0))</f>
        <v/>
      </c>
      <c r="AM152" s="0">
        <f>IF($A152="","",$AB152*IFERROR($AG152/$AH152,0)*IFERROR($AE152/$AF152,0)*IFERROR($AC152/$AD152,0))</f>
        <v/>
      </c>
      <c r="AN152" s="0">
        <f>IF($A152="","",$I152-($AI152+$AJ152+$AK152+$AL152+$AM152+$AR152))</f>
        <v/>
      </c>
      <c r="AO152" s="0">
        <f>IF($A152="","",Allocation!CJ152)</f>
        <v/>
      </c>
      <c r="AP152" s="0">
        <f>IF($A152="","",IF(Allocation!$N$2="VOL_EFF",$Q152,IF(Allocation!$N$2="VOL_CLASS",$R152,$S152)))</f>
        <v/>
      </c>
      <c r="AQ152" s="0">
        <f>IF($A152="","",IF(Allocation!$N$2="VOL_EFF",$T152,IF(Allocation!$N$2="VOL_CLASS",$U152,$V152)))</f>
        <v/>
      </c>
      <c r="AR152" s="0">
        <f>IF($A152="","",$AO152*IFERROR($AP152/$AQ152,0)*IFERROR($AE152/$AF152,0)*IFERROR($AC152/$AD152,0))</f>
        <v/>
      </c>
      <c r="AS152" s="0">
        <f>IF($A152="","",$A152&amp;"|"&amp;Allocation!BG152)</f>
        <v/>
      </c>
    </row>
    <row r="153" ht="14.4975" customHeight="1" s="64">
      <c r="A153" s="0">
        <f>IF(Allocation!BI153="","",Allocation!BI153)</f>
        <v/>
      </c>
      <c r="B153" s="0">
        <f>IF(Allocation!BJ153="","",Allocation!BJ153)</f>
        <v/>
      </c>
      <c r="C153" s="0">
        <f>IF(Allocation!BK153="","",Allocation!BK153)</f>
        <v/>
      </c>
      <c r="D153" s="0">
        <f>IF(Allocation!BL153="","",Allocation!BL153)</f>
        <v/>
      </c>
      <c r="E153" s="0">
        <f>IF(Allocation!BM153="","",Allocation!BM153)</f>
        <v/>
      </c>
      <c r="F153" s="0">
        <f>IF(Allocation!BN153="","",Allocation!BN153)</f>
        <v/>
      </c>
      <c r="G153" s="0">
        <f>IF(Allocation!BO153="","",Allocation!BO153)</f>
        <v/>
      </c>
      <c r="H153" s="0">
        <f>IF(Allocation!BP153="","",Allocation!BP153)</f>
        <v/>
      </c>
      <c r="I153" s="0">
        <f>IF(Allocation!BQ153="","",Allocation!BQ153)</f>
        <v/>
      </c>
      <c r="J153" s="0">
        <f>IF(Allocation!CC153="","",Allocation!CC153)</f>
        <v/>
      </c>
      <c r="K153" s="0">
        <f>IF($A153="","",$H153*IF(AND(LEFT($D153,3)="BAC",$F153="INIT"),600,IF(LEFT($D153,3)="BAC",480,IF(AND(LEFT($D153,3)="MAS",$F153="INIT"),520,IF(LEFT($D153,3)="MAS",420,IF($F153="INIT",1000,700))))))</f>
        <v/>
      </c>
      <c r="L153" s="0">
        <f>IF($A153="","",SUMIFS($G$1:$G$349,$AS$1:$AS$349,$AS153,$B$1:$B$349,$B153))</f>
        <v/>
      </c>
      <c r="M153" s="0">
        <f>IF($A153="","",SUMIFS($H$1:$H$349,$AS$1:$AS$349,$AS153,$B$1:$B$349,$B153))</f>
        <v/>
      </c>
      <c r="N153" s="0">
        <f>IF($A153="","",SUMIFS($I$1:$I$349,$AS$1:$AS$349,$AS153,$B$1:$B$349,$B153))</f>
        <v/>
      </c>
      <c r="O153" s="0">
        <f>IF($A153="","",SUMIFS($K$1:$K$349,$AS$1:$AS$349,$AS153,$B$1:$B$349,$B153))</f>
        <v/>
      </c>
      <c r="P153" s="0">
        <f>IF($A153="","",SUMIFS($J$1:$J$349,$AS$1:$AS$349,$AS153,$B$1:$B$349,$B153))</f>
        <v/>
      </c>
      <c r="Q153" s="0">
        <f>IF($A153="","",SUMIFS($G$1:$G$349,$AS$1:$AS$349,$AS153,$C$1:$C$349,$C153))</f>
        <v/>
      </c>
      <c r="R153" s="0">
        <f>IF($A153="","",SUMIFS($H$1:$H$349,$AS$1:$AS$349,$AS153,$C$1:$C$349,$C153))</f>
        <v/>
      </c>
      <c r="S153" s="0">
        <f>IF($A153="","",SUMIFS($I$1:$I$349,$AS$1:$AS$349,$AS153,$C$1:$C$349,$C153))</f>
        <v/>
      </c>
      <c r="T153" s="0">
        <f>IF($A153="","",SUMIFS($G$1:$G$349,$AS$1:$AS$349,$AS153))</f>
        <v/>
      </c>
      <c r="U153" s="0">
        <f>IF($A153="","",SUMIFS($H$1:$H$349,$AS$1:$AS$349,$AS153))</f>
        <v/>
      </c>
      <c r="V153" s="0">
        <f>IF($A153="","",SUMIFS($I$1:$I$349,$AS$1:$AS$349,$AS153))</f>
        <v/>
      </c>
      <c r="W153" s="0">
        <f>IF($A153="","",Allocation!CD153)</f>
        <v/>
      </c>
      <c r="X153" s="0">
        <f>IF($A153="","",Allocation!CE153)</f>
        <v/>
      </c>
      <c r="Y153" s="0">
        <f>IF($A153="","",Allocation!CF153)</f>
        <v/>
      </c>
      <c r="Z153" s="0">
        <f>IF($A153="","",Allocation!CG153)</f>
        <v/>
      </c>
      <c r="AA153" s="0">
        <f>IF($A153="","",Allocation!CH153)</f>
        <v/>
      </c>
      <c r="AB153" s="0">
        <f>IF($A153="","",Allocation!CI153)</f>
        <v/>
      </c>
      <c r="AC153" s="0">
        <f>IF($A153="","",IF(Allocation!$N$4="VOL_EFF",$G153,IF(Allocation!$N$4="VOL_CLASS",$H153,$I153)))</f>
        <v/>
      </c>
      <c r="AD153" s="0">
        <f>IF($A153="","",IF(Allocation!$N$4="VOL_EFF",$L153,IF(Allocation!$N$4="VOL_CLASS",$M153,$N153)))</f>
        <v/>
      </c>
      <c r="AE153" s="0">
        <f>IF($A153="","",IF(Allocation!$N$3="VOL_EFF",$L153,IF(Allocation!$N$3="VOL_CLASS",$M153,$N153)))</f>
        <v/>
      </c>
      <c r="AF153" s="0">
        <f>IF($A153="","",IF(Allocation!$N$3="VOL_EFF",$Q153,IF(Allocation!$N$3="VOL_CLASS",$R153,$S153)))</f>
        <v/>
      </c>
      <c r="AG153" s="0">
        <f>IF($A153="","",IF(Allocation!$N$1="VOL_EFF",$Q153,IF(Allocation!$N$1="VOL_CLASS",$R153,$S153)))</f>
        <v/>
      </c>
      <c r="AH153" s="0">
        <f>IF($A153="","",IF(Allocation!$N$1="VOL_EFF",$T153,IF(Allocation!$N$1="VOL_CLASS",$U153,$V153)))</f>
        <v/>
      </c>
      <c r="AI153" s="0">
        <f>IF($A153="","",$W153*IFERROR($K153/$O153,0))</f>
        <v/>
      </c>
      <c r="AJ153" s="0">
        <f>IF($A153="","",$X153*IFERROR($K153/$O153,0))</f>
        <v/>
      </c>
      <c r="AK153" s="0">
        <f>IF($A153="","",$Y153*IFERROR($G153/$L153,0)+$Z153*IFERROR($J153/$P153,0))</f>
        <v/>
      </c>
      <c r="AL153" s="0">
        <f>IF($A153="","",$AA153*IFERROR($AC153/$AD153,0))</f>
        <v/>
      </c>
      <c r="AM153" s="0">
        <f>IF($A153="","",$AB153*IFERROR($AG153/$AH153,0)*IFERROR($AE153/$AF153,0)*IFERROR($AC153/$AD153,0))</f>
        <v/>
      </c>
      <c r="AN153" s="0">
        <f>IF($A153="","",$I153-($AI153+$AJ153+$AK153+$AL153+$AM153+$AR153))</f>
        <v/>
      </c>
      <c r="AO153" s="0">
        <f>IF($A153="","",Allocation!CJ153)</f>
        <v/>
      </c>
      <c r="AP153" s="0">
        <f>IF($A153="","",IF(Allocation!$N$2="VOL_EFF",$Q153,IF(Allocation!$N$2="VOL_CLASS",$R153,$S153)))</f>
        <v/>
      </c>
      <c r="AQ153" s="0">
        <f>IF($A153="","",IF(Allocation!$N$2="VOL_EFF",$T153,IF(Allocation!$N$2="VOL_CLASS",$U153,$V153)))</f>
        <v/>
      </c>
      <c r="AR153" s="0">
        <f>IF($A153="","",$AO153*IFERROR($AP153/$AQ153,0)*IFERROR($AE153/$AF153,0)*IFERROR($AC153/$AD153,0))</f>
        <v/>
      </c>
      <c r="AS153" s="0">
        <f>IF($A153="","",$A153&amp;"|"&amp;Allocation!BG153)</f>
        <v/>
      </c>
    </row>
    <row r="154" ht="14.4975" customHeight="1" s="64">
      <c r="A154" s="0">
        <f>IF(Allocation!BI154="","",Allocation!BI154)</f>
        <v/>
      </c>
      <c r="B154" s="0">
        <f>IF(Allocation!BJ154="","",Allocation!BJ154)</f>
        <v/>
      </c>
      <c r="C154" s="0">
        <f>IF(Allocation!BK154="","",Allocation!BK154)</f>
        <v/>
      </c>
      <c r="D154" s="0">
        <f>IF(Allocation!BL154="","",Allocation!BL154)</f>
        <v/>
      </c>
      <c r="E154" s="0">
        <f>IF(Allocation!BM154="","",Allocation!BM154)</f>
        <v/>
      </c>
      <c r="F154" s="0">
        <f>IF(Allocation!BN154="","",Allocation!BN154)</f>
        <v/>
      </c>
      <c r="G154" s="0">
        <f>IF(Allocation!BO154="","",Allocation!BO154)</f>
        <v/>
      </c>
      <c r="H154" s="0">
        <f>IF(Allocation!BP154="","",Allocation!BP154)</f>
        <v/>
      </c>
      <c r="I154" s="0">
        <f>IF(Allocation!BQ154="","",Allocation!BQ154)</f>
        <v/>
      </c>
      <c r="J154" s="0">
        <f>IF(Allocation!CC154="","",Allocation!CC154)</f>
        <v/>
      </c>
      <c r="K154" s="0">
        <f>IF($A154="","",$H154*IF(AND(LEFT($D154,3)="BAC",$F154="INIT"),600,IF(LEFT($D154,3)="BAC",480,IF(AND(LEFT($D154,3)="MAS",$F154="INIT"),520,IF(LEFT($D154,3)="MAS",420,IF($F154="INIT",1000,700))))))</f>
        <v/>
      </c>
      <c r="L154" s="0">
        <f>IF($A154="","",SUMIFS($G$1:$G$349,$AS$1:$AS$349,$AS154,$B$1:$B$349,$B154))</f>
        <v/>
      </c>
      <c r="M154" s="0">
        <f>IF($A154="","",SUMIFS($H$1:$H$349,$AS$1:$AS$349,$AS154,$B$1:$B$349,$B154))</f>
        <v/>
      </c>
      <c r="N154" s="0">
        <f>IF($A154="","",SUMIFS($I$1:$I$349,$AS$1:$AS$349,$AS154,$B$1:$B$349,$B154))</f>
        <v/>
      </c>
      <c r="O154" s="0">
        <f>IF($A154="","",SUMIFS($K$1:$K$349,$AS$1:$AS$349,$AS154,$B$1:$B$349,$B154))</f>
        <v/>
      </c>
      <c r="P154" s="0">
        <f>IF($A154="","",SUMIFS($J$1:$J$349,$AS$1:$AS$349,$AS154,$B$1:$B$349,$B154))</f>
        <v/>
      </c>
      <c r="Q154" s="0">
        <f>IF($A154="","",SUMIFS($G$1:$G$349,$AS$1:$AS$349,$AS154,$C$1:$C$349,$C154))</f>
        <v/>
      </c>
      <c r="R154" s="0">
        <f>IF($A154="","",SUMIFS($H$1:$H$349,$AS$1:$AS$349,$AS154,$C$1:$C$349,$C154))</f>
        <v/>
      </c>
      <c r="S154" s="0">
        <f>IF($A154="","",SUMIFS($I$1:$I$349,$AS$1:$AS$349,$AS154,$C$1:$C$349,$C154))</f>
        <v/>
      </c>
      <c r="T154" s="0">
        <f>IF($A154="","",SUMIFS($G$1:$G$349,$AS$1:$AS$349,$AS154))</f>
        <v/>
      </c>
      <c r="U154" s="0">
        <f>IF($A154="","",SUMIFS($H$1:$H$349,$AS$1:$AS$349,$AS154))</f>
        <v/>
      </c>
      <c r="V154" s="0">
        <f>IF($A154="","",SUMIFS($I$1:$I$349,$AS$1:$AS$349,$AS154))</f>
        <v/>
      </c>
      <c r="W154" s="0">
        <f>IF($A154="","",Allocation!CD154)</f>
        <v/>
      </c>
      <c r="X154" s="0">
        <f>IF($A154="","",Allocation!CE154)</f>
        <v/>
      </c>
      <c r="Y154" s="0">
        <f>IF($A154="","",Allocation!CF154)</f>
        <v/>
      </c>
      <c r="Z154" s="0">
        <f>IF($A154="","",Allocation!CG154)</f>
        <v/>
      </c>
      <c r="AA154" s="0">
        <f>IF($A154="","",Allocation!CH154)</f>
        <v/>
      </c>
      <c r="AB154" s="0">
        <f>IF($A154="","",Allocation!CI154)</f>
        <v/>
      </c>
      <c r="AC154" s="0">
        <f>IF($A154="","",IF(Allocation!$N$4="VOL_EFF",$G154,IF(Allocation!$N$4="VOL_CLASS",$H154,$I154)))</f>
        <v/>
      </c>
      <c r="AD154" s="0">
        <f>IF($A154="","",IF(Allocation!$N$4="VOL_EFF",$L154,IF(Allocation!$N$4="VOL_CLASS",$M154,$N154)))</f>
        <v/>
      </c>
      <c r="AE154" s="0">
        <f>IF($A154="","",IF(Allocation!$N$3="VOL_EFF",$L154,IF(Allocation!$N$3="VOL_CLASS",$M154,$N154)))</f>
        <v/>
      </c>
      <c r="AF154" s="0">
        <f>IF($A154="","",IF(Allocation!$N$3="VOL_EFF",$Q154,IF(Allocation!$N$3="VOL_CLASS",$R154,$S154)))</f>
        <v/>
      </c>
      <c r="AG154" s="0">
        <f>IF($A154="","",IF(Allocation!$N$1="VOL_EFF",$Q154,IF(Allocation!$N$1="VOL_CLASS",$R154,$S154)))</f>
        <v/>
      </c>
      <c r="AH154" s="0">
        <f>IF($A154="","",IF(Allocation!$N$1="VOL_EFF",$T154,IF(Allocation!$N$1="VOL_CLASS",$U154,$V154)))</f>
        <v/>
      </c>
      <c r="AI154" s="0">
        <f>IF($A154="","",$W154*IFERROR($K154/$O154,0))</f>
        <v/>
      </c>
      <c r="AJ154" s="0">
        <f>IF($A154="","",$X154*IFERROR($K154/$O154,0))</f>
        <v/>
      </c>
      <c r="AK154" s="0">
        <f>IF($A154="","",$Y154*IFERROR($G154/$L154,0)+$Z154*IFERROR($J154/$P154,0))</f>
        <v/>
      </c>
      <c r="AL154" s="0">
        <f>IF($A154="","",$AA154*IFERROR($AC154/$AD154,0))</f>
        <v/>
      </c>
      <c r="AM154" s="0">
        <f>IF($A154="","",$AB154*IFERROR($AG154/$AH154,0)*IFERROR($AE154/$AF154,0)*IFERROR($AC154/$AD154,0))</f>
        <v/>
      </c>
      <c r="AN154" s="0">
        <f>IF($A154="","",$I154-($AI154+$AJ154+$AK154+$AL154+$AM154+$AR154))</f>
        <v/>
      </c>
      <c r="AO154" s="0">
        <f>IF($A154="","",Allocation!CJ154)</f>
        <v/>
      </c>
      <c r="AP154" s="0">
        <f>IF($A154="","",IF(Allocation!$N$2="VOL_EFF",$Q154,IF(Allocation!$N$2="VOL_CLASS",$R154,$S154)))</f>
        <v/>
      </c>
      <c r="AQ154" s="0">
        <f>IF($A154="","",IF(Allocation!$N$2="VOL_EFF",$T154,IF(Allocation!$N$2="VOL_CLASS",$U154,$V154)))</f>
        <v/>
      </c>
      <c r="AR154" s="0">
        <f>IF($A154="","",$AO154*IFERROR($AP154/$AQ154,0)*IFERROR($AE154/$AF154,0)*IFERROR($AC154/$AD154,0))</f>
        <v/>
      </c>
      <c r="AS154" s="0">
        <f>IF($A154="","",$A154&amp;"|"&amp;Allocation!BG154)</f>
        <v/>
      </c>
    </row>
    <row r="155" ht="14.4975" customHeight="1" s="64">
      <c r="A155" s="0">
        <f>IF(Allocation!BI155="","",Allocation!BI155)</f>
        <v/>
      </c>
      <c r="B155" s="0">
        <f>IF(Allocation!BJ155="","",Allocation!BJ155)</f>
        <v/>
      </c>
      <c r="C155" s="0">
        <f>IF(Allocation!BK155="","",Allocation!BK155)</f>
        <v/>
      </c>
      <c r="D155" s="0">
        <f>IF(Allocation!BL155="","",Allocation!BL155)</f>
        <v/>
      </c>
      <c r="E155" s="0">
        <f>IF(Allocation!BM155="","",Allocation!BM155)</f>
        <v/>
      </c>
      <c r="F155" s="0">
        <f>IF(Allocation!BN155="","",Allocation!BN155)</f>
        <v/>
      </c>
      <c r="G155" s="0">
        <f>IF(Allocation!BO155="","",Allocation!BO155)</f>
        <v/>
      </c>
      <c r="H155" s="0">
        <f>IF(Allocation!BP155="","",Allocation!BP155)</f>
        <v/>
      </c>
      <c r="I155" s="0">
        <f>IF(Allocation!BQ155="","",Allocation!BQ155)</f>
        <v/>
      </c>
      <c r="J155" s="0">
        <f>IF(Allocation!CC155="","",Allocation!CC155)</f>
        <v/>
      </c>
      <c r="K155" s="0">
        <f>IF($A155="","",$H155*IF(AND(LEFT($D155,3)="BAC",$F155="INIT"),600,IF(LEFT($D155,3)="BAC",480,IF(AND(LEFT($D155,3)="MAS",$F155="INIT"),520,IF(LEFT($D155,3)="MAS",420,IF($F155="INIT",1000,700))))))</f>
        <v/>
      </c>
      <c r="L155" s="0">
        <f>IF($A155="","",SUMIFS($G$1:$G$349,$AS$1:$AS$349,$AS155,$B$1:$B$349,$B155))</f>
        <v/>
      </c>
      <c r="M155" s="0">
        <f>IF($A155="","",SUMIFS($H$1:$H$349,$AS$1:$AS$349,$AS155,$B$1:$B$349,$B155))</f>
        <v/>
      </c>
      <c r="N155" s="0">
        <f>IF($A155="","",SUMIFS($I$1:$I$349,$AS$1:$AS$349,$AS155,$B$1:$B$349,$B155))</f>
        <v/>
      </c>
      <c r="O155" s="0">
        <f>IF($A155="","",SUMIFS($K$1:$K$349,$AS$1:$AS$349,$AS155,$B$1:$B$349,$B155))</f>
        <v/>
      </c>
      <c r="P155" s="0">
        <f>IF($A155="","",SUMIFS($J$1:$J$349,$AS$1:$AS$349,$AS155,$B$1:$B$349,$B155))</f>
        <v/>
      </c>
      <c r="Q155" s="0">
        <f>IF($A155="","",SUMIFS($G$1:$G$349,$AS$1:$AS$349,$AS155,$C$1:$C$349,$C155))</f>
        <v/>
      </c>
      <c r="R155" s="0">
        <f>IF($A155="","",SUMIFS($H$1:$H$349,$AS$1:$AS$349,$AS155,$C$1:$C$349,$C155))</f>
        <v/>
      </c>
      <c r="S155" s="0">
        <f>IF($A155="","",SUMIFS($I$1:$I$349,$AS$1:$AS$349,$AS155,$C$1:$C$349,$C155))</f>
        <v/>
      </c>
      <c r="T155" s="0">
        <f>IF($A155="","",SUMIFS($G$1:$G$349,$AS$1:$AS$349,$AS155))</f>
        <v/>
      </c>
      <c r="U155" s="0">
        <f>IF($A155="","",SUMIFS($H$1:$H$349,$AS$1:$AS$349,$AS155))</f>
        <v/>
      </c>
      <c r="V155" s="0">
        <f>IF($A155="","",SUMIFS($I$1:$I$349,$AS$1:$AS$349,$AS155))</f>
        <v/>
      </c>
      <c r="W155" s="0">
        <f>IF($A155="","",Allocation!CD155)</f>
        <v/>
      </c>
      <c r="X155" s="0">
        <f>IF($A155="","",Allocation!CE155)</f>
        <v/>
      </c>
      <c r="Y155" s="0">
        <f>IF($A155="","",Allocation!CF155)</f>
        <v/>
      </c>
      <c r="Z155" s="0">
        <f>IF($A155="","",Allocation!CG155)</f>
        <v/>
      </c>
      <c r="AA155" s="0">
        <f>IF($A155="","",Allocation!CH155)</f>
        <v/>
      </c>
      <c r="AB155" s="0">
        <f>IF($A155="","",Allocation!CI155)</f>
        <v/>
      </c>
      <c r="AC155" s="0">
        <f>IF($A155="","",IF(Allocation!$N$4="VOL_EFF",$G155,IF(Allocation!$N$4="VOL_CLASS",$H155,$I155)))</f>
        <v/>
      </c>
      <c r="AD155" s="0">
        <f>IF($A155="","",IF(Allocation!$N$4="VOL_EFF",$L155,IF(Allocation!$N$4="VOL_CLASS",$M155,$N155)))</f>
        <v/>
      </c>
      <c r="AE155" s="0">
        <f>IF($A155="","",IF(Allocation!$N$3="VOL_EFF",$L155,IF(Allocation!$N$3="VOL_CLASS",$M155,$N155)))</f>
        <v/>
      </c>
      <c r="AF155" s="0">
        <f>IF($A155="","",IF(Allocation!$N$3="VOL_EFF",$Q155,IF(Allocation!$N$3="VOL_CLASS",$R155,$S155)))</f>
        <v/>
      </c>
      <c r="AG155" s="0">
        <f>IF($A155="","",IF(Allocation!$N$1="VOL_EFF",$Q155,IF(Allocation!$N$1="VOL_CLASS",$R155,$S155)))</f>
        <v/>
      </c>
      <c r="AH155" s="0">
        <f>IF($A155="","",IF(Allocation!$N$1="VOL_EFF",$T155,IF(Allocation!$N$1="VOL_CLASS",$U155,$V155)))</f>
        <v/>
      </c>
      <c r="AI155" s="0">
        <f>IF($A155="","",$W155*IFERROR($K155/$O155,0))</f>
        <v/>
      </c>
      <c r="AJ155" s="0">
        <f>IF($A155="","",$X155*IFERROR($K155/$O155,0))</f>
        <v/>
      </c>
      <c r="AK155" s="0">
        <f>IF($A155="","",$Y155*IFERROR($G155/$L155,0)+$Z155*IFERROR($J155/$P155,0))</f>
        <v/>
      </c>
      <c r="AL155" s="0">
        <f>IF($A155="","",$AA155*IFERROR($AC155/$AD155,0))</f>
        <v/>
      </c>
      <c r="AM155" s="0">
        <f>IF($A155="","",$AB155*IFERROR($AG155/$AH155,0)*IFERROR($AE155/$AF155,0)*IFERROR($AC155/$AD155,0))</f>
        <v/>
      </c>
      <c r="AN155" s="0">
        <f>IF($A155="","",$I155-($AI155+$AJ155+$AK155+$AL155+$AM155+$AR155))</f>
        <v/>
      </c>
      <c r="AO155" s="0">
        <f>IF($A155="","",Allocation!CJ155)</f>
        <v/>
      </c>
      <c r="AP155" s="0">
        <f>IF($A155="","",IF(Allocation!$N$2="VOL_EFF",$Q155,IF(Allocation!$N$2="VOL_CLASS",$R155,$S155)))</f>
        <v/>
      </c>
      <c r="AQ155" s="0">
        <f>IF($A155="","",IF(Allocation!$N$2="VOL_EFF",$T155,IF(Allocation!$N$2="VOL_CLASS",$U155,$V155)))</f>
        <v/>
      </c>
      <c r="AR155" s="0">
        <f>IF($A155="","",$AO155*IFERROR($AP155/$AQ155,0)*IFERROR($AE155/$AF155,0)*IFERROR($AC155/$AD155,0))</f>
        <v/>
      </c>
      <c r="AS155" s="0">
        <f>IF($A155="","",$A155&amp;"|"&amp;Allocation!BG155)</f>
        <v/>
      </c>
    </row>
    <row r="156" ht="14.4975" customHeight="1" s="64">
      <c r="A156" s="0">
        <f>IF(Allocation!BI156="","",Allocation!BI156)</f>
        <v/>
      </c>
      <c r="B156" s="0">
        <f>IF(Allocation!BJ156="","",Allocation!BJ156)</f>
        <v/>
      </c>
      <c r="C156" s="0">
        <f>IF(Allocation!BK156="","",Allocation!BK156)</f>
        <v/>
      </c>
      <c r="D156" s="0">
        <f>IF(Allocation!BL156="","",Allocation!BL156)</f>
        <v/>
      </c>
      <c r="E156" s="0">
        <f>IF(Allocation!BM156="","",Allocation!BM156)</f>
        <v/>
      </c>
      <c r="F156" s="0">
        <f>IF(Allocation!BN156="","",Allocation!BN156)</f>
        <v/>
      </c>
      <c r="G156" s="0">
        <f>IF(Allocation!BO156="","",Allocation!BO156)</f>
        <v/>
      </c>
      <c r="H156" s="0">
        <f>IF(Allocation!BP156="","",Allocation!BP156)</f>
        <v/>
      </c>
      <c r="I156" s="0">
        <f>IF(Allocation!BQ156="","",Allocation!BQ156)</f>
        <v/>
      </c>
      <c r="J156" s="0">
        <f>IF(Allocation!CC156="","",Allocation!CC156)</f>
        <v/>
      </c>
      <c r="K156" s="0">
        <f>IF($A156="","",$H156*IF(AND(LEFT($D156,3)="BAC",$F156="INIT"),600,IF(LEFT($D156,3)="BAC",480,IF(AND(LEFT($D156,3)="MAS",$F156="INIT"),520,IF(LEFT($D156,3)="MAS",420,IF($F156="INIT",1000,700))))))</f>
        <v/>
      </c>
      <c r="L156" s="0">
        <f>IF($A156="","",SUMIFS($G$1:$G$349,$AS$1:$AS$349,$AS156,$B$1:$B$349,$B156))</f>
        <v/>
      </c>
      <c r="M156" s="0">
        <f>IF($A156="","",SUMIFS($H$1:$H$349,$AS$1:$AS$349,$AS156,$B$1:$B$349,$B156))</f>
        <v/>
      </c>
      <c r="N156" s="0">
        <f>IF($A156="","",SUMIFS($I$1:$I$349,$AS$1:$AS$349,$AS156,$B$1:$B$349,$B156))</f>
        <v/>
      </c>
      <c r="O156" s="0">
        <f>IF($A156="","",SUMIFS($K$1:$K$349,$AS$1:$AS$349,$AS156,$B$1:$B$349,$B156))</f>
        <v/>
      </c>
      <c r="P156" s="0">
        <f>IF($A156="","",SUMIFS($J$1:$J$349,$AS$1:$AS$349,$AS156,$B$1:$B$349,$B156))</f>
        <v/>
      </c>
      <c r="Q156" s="0">
        <f>IF($A156="","",SUMIFS($G$1:$G$349,$AS$1:$AS$349,$AS156,$C$1:$C$349,$C156))</f>
        <v/>
      </c>
      <c r="R156" s="0">
        <f>IF($A156="","",SUMIFS($H$1:$H$349,$AS$1:$AS$349,$AS156,$C$1:$C$349,$C156))</f>
        <v/>
      </c>
      <c r="S156" s="0">
        <f>IF($A156="","",SUMIFS($I$1:$I$349,$AS$1:$AS$349,$AS156,$C$1:$C$349,$C156))</f>
        <v/>
      </c>
      <c r="T156" s="0">
        <f>IF($A156="","",SUMIFS($G$1:$G$349,$AS$1:$AS$349,$AS156))</f>
        <v/>
      </c>
      <c r="U156" s="0">
        <f>IF($A156="","",SUMIFS($H$1:$H$349,$AS$1:$AS$349,$AS156))</f>
        <v/>
      </c>
      <c r="V156" s="0">
        <f>IF($A156="","",SUMIFS($I$1:$I$349,$AS$1:$AS$349,$AS156))</f>
        <v/>
      </c>
      <c r="W156" s="0">
        <f>IF($A156="","",Allocation!CD156)</f>
        <v/>
      </c>
      <c r="X156" s="0">
        <f>IF($A156="","",Allocation!CE156)</f>
        <v/>
      </c>
      <c r="Y156" s="0">
        <f>IF($A156="","",Allocation!CF156)</f>
        <v/>
      </c>
      <c r="Z156" s="0">
        <f>IF($A156="","",Allocation!CG156)</f>
        <v/>
      </c>
      <c r="AA156" s="0">
        <f>IF($A156="","",Allocation!CH156)</f>
        <v/>
      </c>
      <c r="AB156" s="0">
        <f>IF($A156="","",Allocation!CI156)</f>
        <v/>
      </c>
      <c r="AC156" s="0">
        <f>IF($A156="","",IF(Allocation!$N$4="VOL_EFF",$G156,IF(Allocation!$N$4="VOL_CLASS",$H156,$I156)))</f>
        <v/>
      </c>
      <c r="AD156" s="0">
        <f>IF($A156="","",IF(Allocation!$N$4="VOL_EFF",$L156,IF(Allocation!$N$4="VOL_CLASS",$M156,$N156)))</f>
        <v/>
      </c>
      <c r="AE156" s="0">
        <f>IF($A156="","",IF(Allocation!$N$3="VOL_EFF",$L156,IF(Allocation!$N$3="VOL_CLASS",$M156,$N156)))</f>
        <v/>
      </c>
      <c r="AF156" s="0">
        <f>IF($A156="","",IF(Allocation!$N$3="VOL_EFF",$Q156,IF(Allocation!$N$3="VOL_CLASS",$R156,$S156)))</f>
        <v/>
      </c>
      <c r="AG156" s="0">
        <f>IF($A156="","",IF(Allocation!$N$1="VOL_EFF",$Q156,IF(Allocation!$N$1="VOL_CLASS",$R156,$S156)))</f>
        <v/>
      </c>
      <c r="AH156" s="0">
        <f>IF($A156="","",IF(Allocation!$N$1="VOL_EFF",$T156,IF(Allocation!$N$1="VOL_CLASS",$U156,$V156)))</f>
        <v/>
      </c>
      <c r="AI156" s="0">
        <f>IF($A156="","",$W156*IFERROR($K156/$O156,0))</f>
        <v/>
      </c>
      <c r="AJ156" s="0">
        <f>IF($A156="","",$X156*IFERROR($K156/$O156,0))</f>
        <v/>
      </c>
      <c r="AK156" s="0">
        <f>IF($A156="","",$Y156*IFERROR($G156/$L156,0)+$Z156*IFERROR($J156/$P156,0))</f>
        <v/>
      </c>
      <c r="AL156" s="0">
        <f>IF($A156="","",$AA156*IFERROR($AC156/$AD156,0))</f>
        <v/>
      </c>
      <c r="AM156" s="0">
        <f>IF($A156="","",$AB156*IFERROR($AG156/$AH156,0)*IFERROR($AE156/$AF156,0)*IFERROR($AC156/$AD156,0))</f>
        <v/>
      </c>
      <c r="AN156" s="0">
        <f>IF($A156="","",$I156-($AI156+$AJ156+$AK156+$AL156+$AM156+$AR156))</f>
        <v/>
      </c>
      <c r="AO156" s="0">
        <f>IF($A156="","",Allocation!CJ156)</f>
        <v/>
      </c>
      <c r="AP156" s="0">
        <f>IF($A156="","",IF(Allocation!$N$2="VOL_EFF",$Q156,IF(Allocation!$N$2="VOL_CLASS",$R156,$S156)))</f>
        <v/>
      </c>
      <c r="AQ156" s="0">
        <f>IF($A156="","",IF(Allocation!$N$2="VOL_EFF",$T156,IF(Allocation!$N$2="VOL_CLASS",$U156,$V156)))</f>
        <v/>
      </c>
      <c r="AR156" s="0">
        <f>IF($A156="","",$AO156*IFERROR($AP156/$AQ156,0)*IFERROR($AE156/$AF156,0)*IFERROR($AC156/$AD156,0))</f>
        <v/>
      </c>
      <c r="AS156" s="0">
        <f>IF($A156="","",$A156&amp;"|"&amp;Allocation!BG156)</f>
        <v/>
      </c>
    </row>
    <row r="157" ht="14.4975" customHeight="1" s="64">
      <c r="A157" s="0">
        <f>IF(Allocation!BI157="","",Allocation!BI157)</f>
        <v/>
      </c>
      <c r="B157" s="0">
        <f>IF(Allocation!BJ157="","",Allocation!BJ157)</f>
        <v/>
      </c>
      <c r="C157" s="0">
        <f>IF(Allocation!BK157="","",Allocation!BK157)</f>
        <v/>
      </c>
      <c r="D157" s="0">
        <f>IF(Allocation!BL157="","",Allocation!BL157)</f>
        <v/>
      </c>
      <c r="E157" s="0">
        <f>IF(Allocation!BM157="","",Allocation!BM157)</f>
        <v/>
      </c>
      <c r="F157" s="0">
        <f>IF(Allocation!BN157="","",Allocation!BN157)</f>
        <v/>
      </c>
      <c r="G157" s="0">
        <f>IF(Allocation!BO157="","",Allocation!BO157)</f>
        <v/>
      </c>
      <c r="H157" s="0">
        <f>IF(Allocation!BP157="","",Allocation!BP157)</f>
        <v/>
      </c>
      <c r="I157" s="0">
        <f>IF(Allocation!BQ157="","",Allocation!BQ157)</f>
        <v/>
      </c>
      <c r="J157" s="0">
        <f>IF(Allocation!CC157="","",Allocation!CC157)</f>
        <v/>
      </c>
      <c r="K157" s="0">
        <f>IF($A157="","",$H157*IF(AND(LEFT($D157,3)="BAC",$F157="INIT"),600,IF(LEFT($D157,3)="BAC",480,IF(AND(LEFT($D157,3)="MAS",$F157="INIT"),520,IF(LEFT($D157,3)="MAS",420,IF($F157="INIT",1000,700))))))</f>
        <v/>
      </c>
      <c r="L157" s="0">
        <f>IF($A157="","",SUMIFS($G$1:$G$349,$AS$1:$AS$349,$AS157,$B$1:$B$349,$B157))</f>
        <v/>
      </c>
      <c r="M157" s="0">
        <f>IF($A157="","",SUMIFS($H$1:$H$349,$AS$1:$AS$349,$AS157,$B$1:$B$349,$B157))</f>
        <v/>
      </c>
      <c r="N157" s="0">
        <f>IF($A157="","",SUMIFS($I$1:$I$349,$AS$1:$AS$349,$AS157,$B$1:$B$349,$B157))</f>
        <v/>
      </c>
      <c r="O157" s="0">
        <f>IF($A157="","",SUMIFS($K$1:$K$349,$AS$1:$AS$349,$AS157,$B$1:$B$349,$B157))</f>
        <v/>
      </c>
      <c r="P157" s="0">
        <f>IF($A157="","",SUMIFS($J$1:$J$349,$AS$1:$AS$349,$AS157,$B$1:$B$349,$B157))</f>
        <v/>
      </c>
      <c r="Q157" s="0">
        <f>IF($A157="","",SUMIFS($G$1:$G$349,$AS$1:$AS$349,$AS157,$C$1:$C$349,$C157))</f>
        <v/>
      </c>
      <c r="R157" s="0">
        <f>IF($A157="","",SUMIFS($H$1:$H$349,$AS$1:$AS$349,$AS157,$C$1:$C$349,$C157))</f>
        <v/>
      </c>
      <c r="S157" s="0">
        <f>IF($A157="","",SUMIFS($I$1:$I$349,$AS$1:$AS$349,$AS157,$C$1:$C$349,$C157))</f>
        <v/>
      </c>
      <c r="T157" s="0">
        <f>IF($A157="","",SUMIFS($G$1:$G$349,$AS$1:$AS$349,$AS157))</f>
        <v/>
      </c>
      <c r="U157" s="0">
        <f>IF($A157="","",SUMIFS($H$1:$H$349,$AS$1:$AS$349,$AS157))</f>
        <v/>
      </c>
      <c r="V157" s="0">
        <f>IF($A157="","",SUMIFS($I$1:$I$349,$AS$1:$AS$349,$AS157))</f>
        <v/>
      </c>
      <c r="W157" s="0">
        <f>IF($A157="","",Allocation!CD157)</f>
        <v/>
      </c>
      <c r="X157" s="0">
        <f>IF($A157="","",Allocation!CE157)</f>
        <v/>
      </c>
      <c r="Y157" s="0">
        <f>IF($A157="","",Allocation!CF157)</f>
        <v/>
      </c>
      <c r="Z157" s="0">
        <f>IF($A157="","",Allocation!CG157)</f>
        <v/>
      </c>
      <c r="AA157" s="0">
        <f>IF($A157="","",Allocation!CH157)</f>
        <v/>
      </c>
      <c r="AB157" s="0">
        <f>IF($A157="","",Allocation!CI157)</f>
        <v/>
      </c>
      <c r="AC157" s="0">
        <f>IF($A157="","",IF(Allocation!$N$4="VOL_EFF",$G157,IF(Allocation!$N$4="VOL_CLASS",$H157,$I157)))</f>
        <v/>
      </c>
      <c r="AD157" s="0">
        <f>IF($A157="","",IF(Allocation!$N$4="VOL_EFF",$L157,IF(Allocation!$N$4="VOL_CLASS",$M157,$N157)))</f>
        <v/>
      </c>
      <c r="AE157" s="0">
        <f>IF($A157="","",IF(Allocation!$N$3="VOL_EFF",$L157,IF(Allocation!$N$3="VOL_CLASS",$M157,$N157)))</f>
        <v/>
      </c>
      <c r="AF157" s="0">
        <f>IF($A157="","",IF(Allocation!$N$3="VOL_EFF",$Q157,IF(Allocation!$N$3="VOL_CLASS",$R157,$S157)))</f>
        <v/>
      </c>
      <c r="AG157" s="0">
        <f>IF($A157="","",IF(Allocation!$N$1="VOL_EFF",$Q157,IF(Allocation!$N$1="VOL_CLASS",$R157,$S157)))</f>
        <v/>
      </c>
      <c r="AH157" s="0">
        <f>IF($A157="","",IF(Allocation!$N$1="VOL_EFF",$T157,IF(Allocation!$N$1="VOL_CLASS",$U157,$V157)))</f>
        <v/>
      </c>
      <c r="AI157" s="0">
        <f>IF($A157="","",$W157*IFERROR($K157/$O157,0))</f>
        <v/>
      </c>
      <c r="AJ157" s="0">
        <f>IF($A157="","",$X157*IFERROR($K157/$O157,0))</f>
        <v/>
      </c>
      <c r="AK157" s="0">
        <f>IF($A157="","",$Y157*IFERROR($G157/$L157,0)+$Z157*IFERROR($J157/$P157,0))</f>
        <v/>
      </c>
      <c r="AL157" s="0">
        <f>IF($A157="","",$AA157*IFERROR($AC157/$AD157,0))</f>
        <v/>
      </c>
      <c r="AM157" s="0">
        <f>IF($A157="","",$AB157*IFERROR($AG157/$AH157,0)*IFERROR($AE157/$AF157,0)*IFERROR($AC157/$AD157,0))</f>
        <v/>
      </c>
      <c r="AN157" s="0">
        <f>IF($A157="","",$I157-($AI157+$AJ157+$AK157+$AL157+$AM157+$AR157))</f>
        <v/>
      </c>
      <c r="AO157" s="0">
        <f>IF($A157="","",Allocation!CJ157)</f>
        <v/>
      </c>
      <c r="AP157" s="0">
        <f>IF($A157="","",IF(Allocation!$N$2="VOL_EFF",$Q157,IF(Allocation!$N$2="VOL_CLASS",$R157,$S157)))</f>
        <v/>
      </c>
      <c r="AQ157" s="0">
        <f>IF($A157="","",IF(Allocation!$N$2="VOL_EFF",$T157,IF(Allocation!$N$2="VOL_CLASS",$U157,$V157)))</f>
        <v/>
      </c>
      <c r="AR157" s="0">
        <f>IF($A157="","",$AO157*IFERROR($AP157/$AQ157,0)*IFERROR($AE157/$AF157,0)*IFERROR($AC157/$AD157,0))</f>
        <v/>
      </c>
      <c r="AS157" s="0">
        <f>IF($A157="","",$A157&amp;"|"&amp;Allocation!BG157)</f>
        <v/>
      </c>
    </row>
    <row r="158" ht="14.4975" customHeight="1" s="64">
      <c r="A158" s="0">
        <f>IF(Allocation!BI158="","",Allocation!BI158)</f>
        <v/>
      </c>
      <c r="B158" s="0">
        <f>IF(Allocation!BJ158="","",Allocation!BJ158)</f>
        <v/>
      </c>
      <c r="C158" s="0">
        <f>IF(Allocation!BK158="","",Allocation!BK158)</f>
        <v/>
      </c>
      <c r="D158" s="0">
        <f>IF(Allocation!BL158="","",Allocation!BL158)</f>
        <v/>
      </c>
      <c r="E158" s="0">
        <f>IF(Allocation!BM158="","",Allocation!BM158)</f>
        <v/>
      </c>
      <c r="F158" s="0">
        <f>IF(Allocation!BN158="","",Allocation!BN158)</f>
        <v/>
      </c>
      <c r="G158" s="0">
        <f>IF(Allocation!BO158="","",Allocation!BO158)</f>
        <v/>
      </c>
      <c r="H158" s="0">
        <f>IF(Allocation!BP158="","",Allocation!BP158)</f>
        <v/>
      </c>
      <c r="I158" s="0">
        <f>IF(Allocation!BQ158="","",Allocation!BQ158)</f>
        <v/>
      </c>
      <c r="J158" s="0">
        <f>IF(Allocation!CC158="","",Allocation!CC158)</f>
        <v/>
      </c>
      <c r="K158" s="0">
        <f>IF($A158="","",$H158*IF(AND(LEFT($D158,3)="BAC",$F158="INIT"),600,IF(LEFT($D158,3)="BAC",480,IF(AND(LEFT($D158,3)="MAS",$F158="INIT"),520,IF(LEFT($D158,3)="MAS",420,IF($F158="INIT",1000,700))))))</f>
        <v/>
      </c>
      <c r="L158" s="0">
        <f>IF($A158="","",SUMIFS($G$1:$G$349,$AS$1:$AS$349,$AS158,$B$1:$B$349,$B158))</f>
        <v/>
      </c>
      <c r="M158" s="0">
        <f>IF($A158="","",SUMIFS($H$1:$H$349,$AS$1:$AS$349,$AS158,$B$1:$B$349,$B158))</f>
        <v/>
      </c>
      <c r="N158" s="0">
        <f>IF($A158="","",SUMIFS($I$1:$I$349,$AS$1:$AS$349,$AS158,$B$1:$B$349,$B158))</f>
        <v/>
      </c>
      <c r="O158" s="0">
        <f>IF($A158="","",SUMIFS($K$1:$K$349,$AS$1:$AS$349,$AS158,$B$1:$B$349,$B158))</f>
        <v/>
      </c>
      <c r="P158" s="0">
        <f>IF($A158="","",SUMIFS($J$1:$J$349,$AS$1:$AS$349,$AS158,$B$1:$B$349,$B158))</f>
        <v/>
      </c>
      <c r="Q158" s="0">
        <f>IF($A158="","",SUMIFS($G$1:$G$349,$AS$1:$AS$349,$AS158,$C$1:$C$349,$C158))</f>
        <v/>
      </c>
      <c r="R158" s="0">
        <f>IF($A158="","",SUMIFS($H$1:$H$349,$AS$1:$AS$349,$AS158,$C$1:$C$349,$C158))</f>
        <v/>
      </c>
      <c r="S158" s="0">
        <f>IF($A158="","",SUMIFS($I$1:$I$349,$AS$1:$AS$349,$AS158,$C$1:$C$349,$C158))</f>
        <v/>
      </c>
      <c r="T158" s="0">
        <f>IF($A158="","",SUMIFS($G$1:$G$349,$AS$1:$AS$349,$AS158))</f>
        <v/>
      </c>
      <c r="U158" s="0">
        <f>IF($A158="","",SUMIFS($H$1:$H$349,$AS$1:$AS$349,$AS158))</f>
        <v/>
      </c>
      <c r="V158" s="0">
        <f>IF($A158="","",SUMIFS($I$1:$I$349,$AS$1:$AS$349,$AS158))</f>
        <v/>
      </c>
      <c r="W158" s="0">
        <f>IF($A158="","",Allocation!CD158)</f>
        <v/>
      </c>
      <c r="X158" s="0">
        <f>IF($A158="","",Allocation!CE158)</f>
        <v/>
      </c>
      <c r="Y158" s="0">
        <f>IF($A158="","",Allocation!CF158)</f>
        <v/>
      </c>
      <c r="Z158" s="0">
        <f>IF($A158="","",Allocation!CG158)</f>
        <v/>
      </c>
      <c r="AA158" s="0">
        <f>IF($A158="","",Allocation!CH158)</f>
        <v/>
      </c>
      <c r="AB158" s="0">
        <f>IF($A158="","",Allocation!CI158)</f>
        <v/>
      </c>
      <c r="AC158" s="0">
        <f>IF($A158="","",IF(Allocation!$N$4="VOL_EFF",$G158,IF(Allocation!$N$4="VOL_CLASS",$H158,$I158)))</f>
        <v/>
      </c>
      <c r="AD158" s="0">
        <f>IF($A158="","",IF(Allocation!$N$4="VOL_EFF",$L158,IF(Allocation!$N$4="VOL_CLASS",$M158,$N158)))</f>
        <v/>
      </c>
      <c r="AE158" s="0">
        <f>IF($A158="","",IF(Allocation!$N$3="VOL_EFF",$L158,IF(Allocation!$N$3="VOL_CLASS",$M158,$N158)))</f>
        <v/>
      </c>
      <c r="AF158" s="0">
        <f>IF($A158="","",IF(Allocation!$N$3="VOL_EFF",$Q158,IF(Allocation!$N$3="VOL_CLASS",$R158,$S158)))</f>
        <v/>
      </c>
      <c r="AG158" s="0">
        <f>IF($A158="","",IF(Allocation!$N$1="VOL_EFF",$Q158,IF(Allocation!$N$1="VOL_CLASS",$R158,$S158)))</f>
        <v/>
      </c>
      <c r="AH158" s="0">
        <f>IF($A158="","",IF(Allocation!$N$1="VOL_EFF",$T158,IF(Allocation!$N$1="VOL_CLASS",$U158,$V158)))</f>
        <v/>
      </c>
      <c r="AI158" s="0">
        <f>IF($A158="","",$W158*IFERROR($K158/$O158,0))</f>
        <v/>
      </c>
      <c r="AJ158" s="0">
        <f>IF($A158="","",$X158*IFERROR($K158/$O158,0))</f>
        <v/>
      </c>
      <c r="AK158" s="0">
        <f>IF($A158="","",$Y158*IFERROR($G158/$L158,0)+$Z158*IFERROR($J158/$P158,0))</f>
        <v/>
      </c>
      <c r="AL158" s="0">
        <f>IF($A158="","",$AA158*IFERROR($AC158/$AD158,0))</f>
        <v/>
      </c>
      <c r="AM158" s="0">
        <f>IF($A158="","",$AB158*IFERROR($AG158/$AH158,0)*IFERROR($AE158/$AF158,0)*IFERROR($AC158/$AD158,0))</f>
        <v/>
      </c>
      <c r="AN158" s="0">
        <f>IF($A158="","",$I158-($AI158+$AJ158+$AK158+$AL158+$AM158+$AR158))</f>
        <v/>
      </c>
      <c r="AO158" s="0">
        <f>IF($A158="","",Allocation!CJ158)</f>
        <v/>
      </c>
      <c r="AP158" s="0">
        <f>IF($A158="","",IF(Allocation!$N$2="VOL_EFF",$Q158,IF(Allocation!$N$2="VOL_CLASS",$R158,$S158)))</f>
        <v/>
      </c>
      <c r="AQ158" s="0">
        <f>IF($A158="","",IF(Allocation!$N$2="VOL_EFF",$T158,IF(Allocation!$N$2="VOL_CLASS",$U158,$V158)))</f>
        <v/>
      </c>
      <c r="AR158" s="0">
        <f>IF($A158="","",$AO158*IFERROR($AP158/$AQ158,0)*IFERROR($AE158/$AF158,0)*IFERROR($AC158/$AD158,0))</f>
        <v/>
      </c>
      <c r="AS158" s="0">
        <f>IF($A158="","",$A158&amp;"|"&amp;Allocation!BG158)</f>
        <v/>
      </c>
    </row>
    <row r="159" ht="14.4975" customHeight="1" s="64">
      <c r="A159" s="0">
        <f>IF(Allocation!BI159="","",Allocation!BI159)</f>
        <v/>
      </c>
      <c r="B159" s="0">
        <f>IF(Allocation!BJ159="","",Allocation!BJ159)</f>
        <v/>
      </c>
      <c r="C159" s="0">
        <f>IF(Allocation!BK159="","",Allocation!BK159)</f>
        <v/>
      </c>
      <c r="D159" s="0">
        <f>IF(Allocation!BL159="","",Allocation!BL159)</f>
        <v/>
      </c>
      <c r="E159" s="0">
        <f>IF(Allocation!BM159="","",Allocation!BM159)</f>
        <v/>
      </c>
      <c r="F159" s="0">
        <f>IF(Allocation!BN159="","",Allocation!BN159)</f>
        <v/>
      </c>
      <c r="G159" s="0">
        <f>IF(Allocation!BO159="","",Allocation!BO159)</f>
        <v/>
      </c>
      <c r="H159" s="0">
        <f>IF(Allocation!BP159="","",Allocation!BP159)</f>
        <v/>
      </c>
      <c r="I159" s="0">
        <f>IF(Allocation!BQ159="","",Allocation!BQ159)</f>
        <v/>
      </c>
      <c r="J159" s="0">
        <f>IF(Allocation!CC159="","",Allocation!CC159)</f>
        <v/>
      </c>
      <c r="K159" s="0">
        <f>IF($A159="","",$H159*IF(AND(LEFT($D159,3)="BAC",$F159="INIT"),600,IF(LEFT($D159,3)="BAC",480,IF(AND(LEFT($D159,3)="MAS",$F159="INIT"),520,IF(LEFT($D159,3)="MAS",420,IF($F159="INIT",1000,700))))))</f>
        <v/>
      </c>
      <c r="L159" s="0">
        <f>IF($A159="","",SUMIFS($G$1:$G$349,$AS$1:$AS$349,$AS159,$B$1:$B$349,$B159))</f>
        <v/>
      </c>
      <c r="M159" s="0">
        <f>IF($A159="","",SUMIFS($H$1:$H$349,$AS$1:$AS$349,$AS159,$B$1:$B$349,$B159))</f>
        <v/>
      </c>
      <c r="N159" s="0">
        <f>IF($A159="","",SUMIFS($I$1:$I$349,$AS$1:$AS$349,$AS159,$B$1:$B$349,$B159))</f>
        <v/>
      </c>
      <c r="O159" s="0">
        <f>IF($A159="","",SUMIFS($K$1:$K$349,$AS$1:$AS$349,$AS159,$B$1:$B$349,$B159))</f>
        <v/>
      </c>
      <c r="P159" s="0">
        <f>IF($A159="","",SUMIFS($J$1:$J$349,$AS$1:$AS$349,$AS159,$B$1:$B$349,$B159))</f>
        <v/>
      </c>
      <c r="Q159" s="0">
        <f>IF($A159="","",SUMIFS($G$1:$G$349,$AS$1:$AS$349,$AS159,$C$1:$C$349,$C159))</f>
        <v/>
      </c>
      <c r="R159" s="0">
        <f>IF($A159="","",SUMIFS($H$1:$H$349,$AS$1:$AS$349,$AS159,$C$1:$C$349,$C159))</f>
        <v/>
      </c>
      <c r="S159" s="0">
        <f>IF($A159="","",SUMIFS($I$1:$I$349,$AS$1:$AS$349,$AS159,$C$1:$C$349,$C159))</f>
        <v/>
      </c>
      <c r="T159" s="0">
        <f>IF($A159="","",SUMIFS($G$1:$G$349,$AS$1:$AS$349,$AS159))</f>
        <v/>
      </c>
      <c r="U159" s="0">
        <f>IF($A159="","",SUMIFS($H$1:$H$349,$AS$1:$AS$349,$AS159))</f>
        <v/>
      </c>
      <c r="V159" s="0">
        <f>IF($A159="","",SUMIFS($I$1:$I$349,$AS$1:$AS$349,$AS159))</f>
        <v/>
      </c>
      <c r="W159" s="0">
        <f>IF($A159="","",Allocation!CD159)</f>
        <v/>
      </c>
      <c r="X159" s="0">
        <f>IF($A159="","",Allocation!CE159)</f>
        <v/>
      </c>
      <c r="Y159" s="0">
        <f>IF($A159="","",Allocation!CF159)</f>
        <v/>
      </c>
      <c r="Z159" s="0">
        <f>IF($A159="","",Allocation!CG159)</f>
        <v/>
      </c>
      <c r="AA159" s="0">
        <f>IF($A159="","",Allocation!CH159)</f>
        <v/>
      </c>
      <c r="AB159" s="0">
        <f>IF($A159="","",Allocation!CI159)</f>
        <v/>
      </c>
      <c r="AC159" s="0">
        <f>IF($A159="","",IF(Allocation!$N$4="VOL_EFF",$G159,IF(Allocation!$N$4="VOL_CLASS",$H159,$I159)))</f>
        <v/>
      </c>
      <c r="AD159" s="0">
        <f>IF($A159="","",IF(Allocation!$N$4="VOL_EFF",$L159,IF(Allocation!$N$4="VOL_CLASS",$M159,$N159)))</f>
        <v/>
      </c>
      <c r="AE159" s="0">
        <f>IF($A159="","",IF(Allocation!$N$3="VOL_EFF",$L159,IF(Allocation!$N$3="VOL_CLASS",$M159,$N159)))</f>
        <v/>
      </c>
      <c r="AF159" s="0">
        <f>IF($A159="","",IF(Allocation!$N$3="VOL_EFF",$Q159,IF(Allocation!$N$3="VOL_CLASS",$R159,$S159)))</f>
        <v/>
      </c>
      <c r="AG159" s="0">
        <f>IF($A159="","",IF(Allocation!$N$1="VOL_EFF",$Q159,IF(Allocation!$N$1="VOL_CLASS",$R159,$S159)))</f>
        <v/>
      </c>
      <c r="AH159" s="0">
        <f>IF($A159="","",IF(Allocation!$N$1="VOL_EFF",$T159,IF(Allocation!$N$1="VOL_CLASS",$U159,$V159)))</f>
        <v/>
      </c>
      <c r="AI159" s="0">
        <f>IF($A159="","",$W159*IFERROR($K159/$O159,0))</f>
        <v/>
      </c>
      <c r="AJ159" s="0">
        <f>IF($A159="","",$X159*IFERROR($K159/$O159,0))</f>
        <v/>
      </c>
      <c r="AK159" s="0">
        <f>IF($A159="","",$Y159*IFERROR($G159/$L159,0)+$Z159*IFERROR($J159/$P159,0))</f>
        <v/>
      </c>
      <c r="AL159" s="0">
        <f>IF($A159="","",$AA159*IFERROR($AC159/$AD159,0))</f>
        <v/>
      </c>
      <c r="AM159" s="0">
        <f>IF($A159="","",$AB159*IFERROR($AG159/$AH159,0)*IFERROR($AE159/$AF159,0)*IFERROR($AC159/$AD159,0))</f>
        <v/>
      </c>
      <c r="AN159" s="0">
        <f>IF($A159="","",$I159-($AI159+$AJ159+$AK159+$AL159+$AM159+$AR159))</f>
        <v/>
      </c>
      <c r="AO159" s="0">
        <f>IF($A159="","",Allocation!CJ159)</f>
        <v/>
      </c>
      <c r="AP159" s="0">
        <f>IF($A159="","",IF(Allocation!$N$2="VOL_EFF",$Q159,IF(Allocation!$N$2="VOL_CLASS",$R159,$S159)))</f>
        <v/>
      </c>
      <c r="AQ159" s="0">
        <f>IF($A159="","",IF(Allocation!$N$2="VOL_EFF",$T159,IF(Allocation!$N$2="VOL_CLASS",$U159,$V159)))</f>
        <v/>
      </c>
      <c r="AR159" s="0">
        <f>IF($A159="","",$AO159*IFERROR($AP159/$AQ159,0)*IFERROR($AE159/$AF159,0)*IFERROR($AC159/$AD159,0))</f>
        <v/>
      </c>
      <c r="AS159" s="0">
        <f>IF($A159="","",$A159&amp;"|"&amp;Allocation!BG159)</f>
        <v/>
      </c>
    </row>
    <row r="160" ht="14.4975" customHeight="1" s="64">
      <c r="A160" s="0">
        <f>IF(Allocation!BI160="","",Allocation!BI160)</f>
        <v/>
      </c>
      <c r="B160" s="0">
        <f>IF(Allocation!BJ160="","",Allocation!BJ160)</f>
        <v/>
      </c>
      <c r="C160" s="0">
        <f>IF(Allocation!BK160="","",Allocation!BK160)</f>
        <v/>
      </c>
      <c r="D160" s="0">
        <f>IF(Allocation!BL160="","",Allocation!BL160)</f>
        <v/>
      </c>
      <c r="E160" s="0">
        <f>IF(Allocation!BM160="","",Allocation!BM160)</f>
        <v/>
      </c>
      <c r="F160" s="0">
        <f>IF(Allocation!BN160="","",Allocation!BN160)</f>
        <v/>
      </c>
      <c r="G160" s="0">
        <f>IF(Allocation!BO160="","",Allocation!BO160)</f>
        <v/>
      </c>
      <c r="H160" s="0">
        <f>IF(Allocation!BP160="","",Allocation!BP160)</f>
        <v/>
      </c>
      <c r="I160" s="0">
        <f>IF(Allocation!BQ160="","",Allocation!BQ160)</f>
        <v/>
      </c>
      <c r="J160" s="0">
        <f>IF(Allocation!CC160="","",Allocation!CC160)</f>
        <v/>
      </c>
      <c r="K160" s="0">
        <f>IF($A160="","",$H160*IF(AND(LEFT($D160,3)="BAC",$F160="INIT"),600,IF(LEFT($D160,3)="BAC",480,IF(AND(LEFT($D160,3)="MAS",$F160="INIT"),520,IF(LEFT($D160,3)="MAS",420,IF($F160="INIT",1000,700))))))</f>
        <v/>
      </c>
      <c r="L160" s="0">
        <f>IF($A160="","",SUMIFS($G$1:$G$349,$AS$1:$AS$349,$AS160,$B$1:$B$349,$B160))</f>
        <v/>
      </c>
      <c r="M160" s="0">
        <f>IF($A160="","",SUMIFS($H$1:$H$349,$AS$1:$AS$349,$AS160,$B$1:$B$349,$B160))</f>
        <v/>
      </c>
      <c r="N160" s="0">
        <f>IF($A160="","",SUMIFS($I$1:$I$349,$AS$1:$AS$349,$AS160,$B$1:$B$349,$B160))</f>
        <v/>
      </c>
      <c r="O160" s="0">
        <f>IF($A160="","",SUMIFS($K$1:$K$349,$AS$1:$AS$349,$AS160,$B$1:$B$349,$B160))</f>
        <v/>
      </c>
      <c r="P160" s="0">
        <f>IF($A160="","",SUMIFS($J$1:$J$349,$AS$1:$AS$349,$AS160,$B$1:$B$349,$B160))</f>
        <v/>
      </c>
      <c r="Q160" s="0">
        <f>IF($A160="","",SUMIFS($G$1:$G$349,$AS$1:$AS$349,$AS160,$C$1:$C$349,$C160))</f>
        <v/>
      </c>
      <c r="R160" s="0">
        <f>IF($A160="","",SUMIFS($H$1:$H$349,$AS$1:$AS$349,$AS160,$C$1:$C$349,$C160))</f>
        <v/>
      </c>
      <c r="S160" s="0">
        <f>IF($A160="","",SUMIFS($I$1:$I$349,$AS$1:$AS$349,$AS160,$C$1:$C$349,$C160))</f>
        <v/>
      </c>
      <c r="T160" s="0">
        <f>IF($A160="","",SUMIFS($G$1:$G$349,$AS$1:$AS$349,$AS160))</f>
        <v/>
      </c>
      <c r="U160" s="0">
        <f>IF($A160="","",SUMIFS($H$1:$H$349,$AS$1:$AS$349,$AS160))</f>
        <v/>
      </c>
      <c r="V160" s="0">
        <f>IF($A160="","",SUMIFS($I$1:$I$349,$AS$1:$AS$349,$AS160))</f>
        <v/>
      </c>
      <c r="W160" s="0">
        <f>IF($A160="","",Allocation!CD160)</f>
        <v/>
      </c>
      <c r="X160" s="0">
        <f>IF($A160="","",Allocation!CE160)</f>
        <v/>
      </c>
      <c r="Y160" s="0">
        <f>IF($A160="","",Allocation!CF160)</f>
        <v/>
      </c>
      <c r="Z160" s="0">
        <f>IF($A160="","",Allocation!CG160)</f>
        <v/>
      </c>
      <c r="AA160" s="0">
        <f>IF($A160="","",Allocation!CH160)</f>
        <v/>
      </c>
      <c r="AB160" s="0">
        <f>IF($A160="","",Allocation!CI160)</f>
        <v/>
      </c>
      <c r="AC160" s="0">
        <f>IF($A160="","",IF(Allocation!$N$4="VOL_EFF",$G160,IF(Allocation!$N$4="VOL_CLASS",$H160,$I160)))</f>
        <v/>
      </c>
      <c r="AD160" s="0">
        <f>IF($A160="","",IF(Allocation!$N$4="VOL_EFF",$L160,IF(Allocation!$N$4="VOL_CLASS",$M160,$N160)))</f>
        <v/>
      </c>
      <c r="AE160" s="0">
        <f>IF($A160="","",IF(Allocation!$N$3="VOL_EFF",$L160,IF(Allocation!$N$3="VOL_CLASS",$M160,$N160)))</f>
        <v/>
      </c>
      <c r="AF160" s="0">
        <f>IF($A160="","",IF(Allocation!$N$3="VOL_EFF",$Q160,IF(Allocation!$N$3="VOL_CLASS",$R160,$S160)))</f>
        <v/>
      </c>
      <c r="AG160" s="0">
        <f>IF($A160="","",IF(Allocation!$N$1="VOL_EFF",$Q160,IF(Allocation!$N$1="VOL_CLASS",$R160,$S160)))</f>
        <v/>
      </c>
      <c r="AH160" s="0">
        <f>IF($A160="","",IF(Allocation!$N$1="VOL_EFF",$T160,IF(Allocation!$N$1="VOL_CLASS",$U160,$V160)))</f>
        <v/>
      </c>
      <c r="AI160" s="0">
        <f>IF($A160="","",$W160*IFERROR($K160/$O160,0))</f>
        <v/>
      </c>
      <c r="AJ160" s="0">
        <f>IF($A160="","",$X160*IFERROR($K160/$O160,0))</f>
        <v/>
      </c>
      <c r="AK160" s="0">
        <f>IF($A160="","",$Y160*IFERROR($G160/$L160,0)+$Z160*IFERROR($J160/$P160,0))</f>
        <v/>
      </c>
      <c r="AL160" s="0">
        <f>IF($A160="","",$AA160*IFERROR($AC160/$AD160,0))</f>
        <v/>
      </c>
      <c r="AM160" s="0">
        <f>IF($A160="","",$AB160*IFERROR($AG160/$AH160,0)*IFERROR($AE160/$AF160,0)*IFERROR($AC160/$AD160,0))</f>
        <v/>
      </c>
      <c r="AN160" s="0">
        <f>IF($A160="","",$I160-($AI160+$AJ160+$AK160+$AL160+$AM160+$AR160))</f>
        <v/>
      </c>
      <c r="AO160" s="0">
        <f>IF($A160="","",Allocation!CJ160)</f>
        <v/>
      </c>
      <c r="AP160" s="0">
        <f>IF($A160="","",IF(Allocation!$N$2="VOL_EFF",$Q160,IF(Allocation!$N$2="VOL_CLASS",$R160,$S160)))</f>
        <v/>
      </c>
      <c r="AQ160" s="0">
        <f>IF($A160="","",IF(Allocation!$N$2="VOL_EFF",$T160,IF(Allocation!$N$2="VOL_CLASS",$U160,$V160)))</f>
        <v/>
      </c>
      <c r="AR160" s="0">
        <f>IF($A160="","",$AO160*IFERROR($AP160/$AQ160,0)*IFERROR($AE160/$AF160,0)*IFERROR($AC160/$AD160,0))</f>
        <v/>
      </c>
      <c r="AS160" s="0">
        <f>IF($A160="","",$A160&amp;"|"&amp;Allocation!BG160)</f>
        <v/>
      </c>
    </row>
    <row r="161" ht="14.4975" customHeight="1" s="64">
      <c r="A161" s="0">
        <f>IF(Allocation!BI161="","",Allocation!BI161)</f>
        <v/>
      </c>
      <c r="B161" s="0">
        <f>IF(Allocation!BJ161="","",Allocation!BJ161)</f>
        <v/>
      </c>
      <c r="C161" s="0">
        <f>IF(Allocation!BK161="","",Allocation!BK161)</f>
        <v/>
      </c>
      <c r="D161" s="0">
        <f>IF(Allocation!BL161="","",Allocation!BL161)</f>
        <v/>
      </c>
      <c r="E161" s="0">
        <f>IF(Allocation!BM161="","",Allocation!BM161)</f>
        <v/>
      </c>
      <c r="F161" s="0">
        <f>IF(Allocation!BN161="","",Allocation!BN161)</f>
        <v/>
      </c>
      <c r="G161" s="0">
        <f>IF(Allocation!BO161="","",Allocation!BO161)</f>
        <v/>
      </c>
      <c r="H161" s="0">
        <f>IF(Allocation!BP161="","",Allocation!BP161)</f>
        <v/>
      </c>
      <c r="I161" s="0">
        <f>IF(Allocation!BQ161="","",Allocation!BQ161)</f>
        <v/>
      </c>
      <c r="J161" s="0">
        <f>IF(Allocation!CC161="","",Allocation!CC161)</f>
        <v/>
      </c>
      <c r="K161" s="0">
        <f>IF($A161="","",$H161*IF(AND(LEFT($D161,3)="BAC",$F161="INIT"),600,IF(LEFT($D161,3)="BAC",480,IF(AND(LEFT($D161,3)="MAS",$F161="INIT"),520,IF(LEFT($D161,3)="MAS",420,IF($F161="INIT",1000,700))))))</f>
        <v/>
      </c>
      <c r="L161" s="0">
        <f>IF($A161="","",SUMIFS($G$1:$G$349,$AS$1:$AS$349,$AS161,$B$1:$B$349,$B161))</f>
        <v/>
      </c>
      <c r="M161" s="0">
        <f>IF($A161="","",SUMIFS($H$1:$H$349,$AS$1:$AS$349,$AS161,$B$1:$B$349,$B161))</f>
        <v/>
      </c>
      <c r="N161" s="0">
        <f>IF($A161="","",SUMIFS($I$1:$I$349,$AS$1:$AS$349,$AS161,$B$1:$B$349,$B161))</f>
        <v/>
      </c>
      <c r="O161" s="0">
        <f>IF($A161="","",SUMIFS($K$1:$K$349,$AS$1:$AS$349,$AS161,$B$1:$B$349,$B161))</f>
        <v/>
      </c>
      <c r="P161" s="0">
        <f>IF($A161="","",SUMIFS($J$1:$J$349,$AS$1:$AS$349,$AS161,$B$1:$B$349,$B161))</f>
        <v/>
      </c>
      <c r="Q161" s="0">
        <f>IF($A161="","",SUMIFS($G$1:$G$349,$AS$1:$AS$349,$AS161,$C$1:$C$349,$C161))</f>
        <v/>
      </c>
      <c r="R161" s="0">
        <f>IF($A161="","",SUMIFS($H$1:$H$349,$AS$1:$AS$349,$AS161,$C$1:$C$349,$C161))</f>
        <v/>
      </c>
      <c r="S161" s="0">
        <f>IF($A161="","",SUMIFS($I$1:$I$349,$AS$1:$AS$349,$AS161,$C$1:$C$349,$C161))</f>
        <v/>
      </c>
      <c r="T161" s="0">
        <f>IF($A161="","",SUMIFS($G$1:$G$349,$AS$1:$AS$349,$AS161))</f>
        <v/>
      </c>
      <c r="U161" s="0">
        <f>IF($A161="","",SUMIFS($H$1:$H$349,$AS$1:$AS$349,$AS161))</f>
        <v/>
      </c>
      <c r="V161" s="0">
        <f>IF($A161="","",SUMIFS($I$1:$I$349,$AS$1:$AS$349,$AS161))</f>
        <v/>
      </c>
      <c r="W161" s="0">
        <f>IF($A161="","",Allocation!CD161)</f>
        <v/>
      </c>
      <c r="X161" s="0">
        <f>IF($A161="","",Allocation!CE161)</f>
        <v/>
      </c>
      <c r="Y161" s="0">
        <f>IF($A161="","",Allocation!CF161)</f>
        <v/>
      </c>
      <c r="Z161" s="0">
        <f>IF($A161="","",Allocation!CG161)</f>
        <v/>
      </c>
      <c r="AA161" s="0">
        <f>IF($A161="","",Allocation!CH161)</f>
        <v/>
      </c>
      <c r="AB161" s="0">
        <f>IF($A161="","",Allocation!CI161)</f>
        <v/>
      </c>
      <c r="AC161" s="0">
        <f>IF($A161="","",IF(Allocation!$N$4="VOL_EFF",$G161,IF(Allocation!$N$4="VOL_CLASS",$H161,$I161)))</f>
        <v/>
      </c>
      <c r="AD161" s="0">
        <f>IF($A161="","",IF(Allocation!$N$4="VOL_EFF",$L161,IF(Allocation!$N$4="VOL_CLASS",$M161,$N161)))</f>
        <v/>
      </c>
      <c r="AE161" s="0">
        <f>IF($A161="","",IF(Allocation!$N$3="VOL_EFF",$L161,IF(Allocation!$N$3="VOL_CLASS",$M161,$N161)))</f>
        <v/>
      </c>
      <c r="AF161" s="0">
        <f>IF($A161="","",IF(Allocation!$N$3="VOL_EFF",$Q161,IF(Allocation!$N$3="VOL_CLASS",$R161,$S161)))</f>
        <v/>
      </c>
      <c r="AG161" s="0">
        <f>IF($A161="","",IF(Allocation!$N$1="VOL_EFF",$Q161,IF(Allocation!$N$1="VOL_CLASS",$R161,$S161)))</f>
        <v/>
      </c>
      <c r="AH161" s="0">
        <f>IF($A161="","",IF(Allocation!$N$1="VOL_EFF",$T161,IF(Allocation!$N$1="VOL_CLASS",$U161,$V161)))</f>
        <v/>
      </c>
      <c r="AI161" s="0">
        <f>IF($A161="","",$W161*IFERROR($K161/$O161,0))</f>
        <v/>
      </c>
      <c r="AJ161" s="0">
        <f>IF($A161="","",$X161*IFERROR($K161/$O161,0))</f>
        <v/>
      </c>
      <c r="AK161" s="0">
        <f>IF($A161="","",$Y161*IFERROR($G161/$L161,0)+$Z161*IFERROR($J161/$P161,0))</f>
        <v/>
      </c>
      <c r="AL161" s="0">
        <f>IF($A161="","",$AA161*IFERROR($AC161/$AD161,0))</f>
        <v/>
      </c>
      <c r="AM161" s="0">
        <f>IF($A161="","",$AB161*IFERROR($AG161/$AH161,0)*IFERROR($AE161/$AF161,0)*IFERROR($AC161/$AD161,0))</f>
        <v/>
      </c>
      <c r="AN161" s="0">
        <f>IF($A161="","",$I161-($AI161+$AJ161+$AK161+$AL161+$AM161+$AR161))</f>
        <v/>
      </c>
      <c r="AO161" s="0">
        <f>IF($A161="","",Allocation!CJ161)</f>
        <v/>
      </c>
      <c r="AP161" s="0">
        <f>IF($A161="","",IF(Allocation!$N$2="VOL_EFF",$Q161,IF(Allocation!$N$2="VOL_CLASS",$R161,$S161)))</f>
        <v/>
      </c>
      <c r="AQ161" s="0">
        <f>IF($A161="","",IF(Allocation!$N$2="VOL_EFF",$T161,IF(Allocation!$N$2="VOL_CLASS",$U161,$V161)))</f>
        <v/>
      </c>
      <c r="AR161" s="0">
        <f>IF($A161="","",$AO161*IFERROR($AP161/$AQ161,0)*IFERROR($AE161/$AF161,0)*IFERROR($AC161/$AD161,0))</f>
        <v/>
      </c>
      <c r="AS161" s="0">
        <f>IF($A161="","",$A161&amp;"|"&amp;Allocation!BG161)</f>
        <v/>
      </c>
    </row>
    <row r="162" ht="14.4975" customHeight="1" s="64">
      <c r="A162" s="0">
        <f>IF(Allocation!BI162="","",Allocation!BI162)</f>
        <v/>
      </c>
      <c r="B162" s="0">
        <f>IF(Allocation!BJ162="","",Allocation!BJ162)</f>
        <v/>
      </c>
      <c r="C162" s="0">
        <f>IF(Allocation!BK162="","",Allocation!BK162)</f>
        <v/>
      </c>
      <c r="D162" s="0">
        <f>IF(Allocation!BL162="","",Allocation!BL162)</f>
        <v/>
      </c>
      <c r="E162" s="0">
        <f>IF(Allocation!BM162="","",Allocation!BM162)</f>
        <v/>
      </c>
      <c r="F162" s="0">
        <f>IF(Allocation!BN162="","",Allocation!BN162)</f>
        <v/>
      </c>
      <c r="G162" s="0">
        <f>IF(Allocation!BO162="","",Allocation!BO162)</f>
        <v/>
      </c>
      <c r="H162" s="0">
        <f>IF(Allocation!BP162="","",Allocation!BP162)</f>
        <v/>
      </c>
      <c r="I162" s="0">
        <f>IF(Allocation!BQ162="","",Allocation!BQ162)</f>
        <v/>
      </c>
      <c r="J162" s="0">
        <f>IF(Allocation!CC162="","",Allocation!CC162)</f>
        <v/>
      </c>
      <c r="K162" s="0">
        <f>IF($A162="","",$H162*IF(AND(LEFT($D162,3)="BAC",$F162="INIT"),600,IF(LEFT($D162,3)="BAC",480,IF(AND(LEFT($D162,3)="MAS",$F162="INIT"),520,IF(LEFT($D162,3)="MAS",420,IF($F162="INIT",1000,700))))))</f>
        <v/>
      </c>
      <c r="L162" s="0">
        <f>IF($A162="","",SUMIFS($G$1:$G$349,$AS$1:$AS$349,$AS162,$B$1:$B$349,$B162))</f>
        <v/>
      </c>
      <c r="M162" s="0">
        <f>IF($A162="","",SUMIFS($H$1:$H$349,$AS$1:$AS$349,$AS162,$B$1:$B$349,$B162))</f>
        <v/>
      </c>
      <c r="N162" s="0">
        <f>IF($A162="","",SUMIFS($I$1:$I$349,$AS$1:$AS$349,$AS162,$B$1:$B$349,$B162))</f>
        <v/>
      </c>
      <c r="O162" s="0">
        <f>IF($A162="","",SUMIFS($K$1:$K$349,$AS$1:$AS$349,$AS162,$B$1:$B$349,$B162))</f>
        <v/>
      </c>
      <c r="P162" s="0">
        <f>IF($A162="","",SUMIFS($J$1:$J$349,$AS$1:$AS$349,$AS162,$B$1:$B$349,$B162))</f>
        <v/>
      </c>
      <c r="Q162" s="0">
        <f>IF($A162="","",SUMIFS($G$1:$G$349,$AS$1:$AS$349,$AS162,$C$1:$C$349,$C162))</f>
        <v/>
      </c>
      <c r="R162" s="0">
        <f>IF($A162="","",SUMIFS($H$1:$H$349,$AS$1:$AS$349,$AS162,$C$1:$C$349,$C162))</f>
        <v/>
      </c>
      <c r="S162" s="0">
        <f>IF($A162="","",SUMIFS($I$1:$I$349,$AS$1:$AS$349,$AS162,$C$1:$C$349,$C162))</f>
        <v/>
      </c>
      <c r="T162" s="0">
        <f>IF($A162="","",SUMIFS($G$1:$G$349,$AS$1:$AS$349,$AS162))</f>
        <v/>
      </c>
      <c r="U162" s="0">
        <f>IF($A162="","",SUMIFS($H$1:$H$349,$AS$1:$AS$349,$AS162))</f>
        <v/>
      </c>
      <c r="V162" s="0">
        <f>IF($A162="","",SUMIFS($I$1:$I$349,$AS$1:$AS$349,$AS162))</f>
        <v/>
      </c>
      <c r="W162" s="0">
        <f>IF($A162="","",Allocation!CD162)</f>
        <v/>
      </c>
      <c r="X162" s="0">
        <f>IF($A162="","",Allocation!CE162)</f>
        <v/>
      </c>
      <c r="Y162" s="0">
        <f>IF($A162="","",Allocation!CF162)</f>
        <v/>
      </c>
      <c r="Z162" s="0">
        <f>IF($A162="","",Allocation!CG162)</f>
        <v/>
      </c>
      <c r="AA162" s="0">
        <f>IF($A162="","",Allocation!CH162)</f>
        <v/>
      </c>
      <c r="AB162" s="0">
        <f>IF($A162="","",Allocation!CI162)</f>
        <v/>
      </c>
      <c r="AC162" s="0">
        <f>IF($A162="","",IF(Allocation!$N$4="VOL_EFF",$G162,IF(Allocation!$N$4="VOL_CLASS",$H162,$I162)))</f>
        <v/>
      </c>
      <c r="AD162" s="0">
        <f>IF($A162="","",IF(Allocation!$N$4="VOL_EFF",$L162,IF(Allocation!$N$4="VOL_CLASS",$M162,$N162)))</f>
        <v/>
      </c>
      <c r="AE162" s="0">
        <f>IF($A162="","",IF(Allocation!$N$3="VOL_EFF",$L162,IF(Allocation!$N$3="VOL_CLASS",$M162,$N162)))</f>
        <v/>
      </c>
      <c r="AF162" s="0">
        <f>IF($A162="","",IF(Allocation!$N$3="VOL_EFF",$Q162,IF(Allocation!$N$3="VOL_CLASS",$R162,$S162)))</f>
        <v/>
      </c>
      <c r="AG162" s="0">
        <f>IF($A162="","",IF(Allocation!$N$1="VOL_EFF",$Q162,IF(Allocation!$N$1="VOL_CLASS",$R162,$S162)))</f>
        <v/>
      </c>
      <c r="AH162" s="0">
        <f>IF($A162="","",IF(Allocation!$N$1="VOL_EFF",$T162,IF(Allocation!$N$1="VOL_CLASS",$U162,$V162)))</f>
        <v/>
      </c>
      <c r="AI162" s="0">
        <f>IF($A162="","",$W162*IFERROR($K162/$O162,0))</f>
        <v/>
      </c>
      <c r="AJ162" s="0">
        <f>IF($A162="","",$X162*IFERROR($K162/$O162,0))</f>
        <v/>
      </c>
      <c r="AK162" s="0">
        <f>IF($A162="","",$Y162*IFERROR($G162/$L162,0)+$Z162*IFERROR($J162/$P162,0))</f>
        <v/>
      </c>
      <c r="AL162" s="0">
        <f>IF($A162="","",$AA162*IFERROR($AC162/$AD162,0))</f>
        <v/>
      </c>
      <c r="AM162" s="0">
        <f>IF($A162="","",$AB162*IFERROR($AG162/$AH162,0)*IFERROR($AE162/$AF162,0)*IFERROR($AC162/$AD162,0))</f>
        <v/>
      </c>
      <c r="AN162" s="0">
        <f>IF($A162="","",$I162-($AI162+$AJ162+$AK162+$AL162+$AM162+$AR162))</f>
        <v/>
      </c>
      <c r="AO162" s="0">
        <f>IF($A162="","",Allocation!CJ162)</f>
        <v/>
      </c>
      <c r="AP162" s="0">
        <f>IF($A162="","",IF(Allocation!$N$2="VOL_EFF",$Q162,IF(Allocation!$N$2="VOL_CLASS",$R162,$S162)))</f>
        <v/>
      </c>
      <c r="AQ162" s="0">
        <f>IF($A162="","",IF(Allocation!$N$2="VOL_EFF",$T162,IF(Allocation!$N$2="VOL_CLASS",$U162,$V162)))</f>
        <v/>
      </c>
      <c r="AR162" s="0">
        <f>IF($A162="","",$AO162*IFERROR($AP162/$AQ162,0)*IFERROR($AE162/$AF162,0)*IFERROR($AC162/$AD162,0))</f>
        <v/>
      </c>
      <c r="AS162" s="0">
        <f>IF($A162="","",$A162&amp;"|"&amp;Allocation!BG162)</f>
        <v/>
      </c>
    </row>
    <row r="163" ht="14.4975" customHeight="1" s="64">
      <c r="A163" s="0">
        <f>IF(Allocation!BI163="","",Allocation!BI163)</f>
        <v/>
      </c>
      <c r="B163" s="0">
        <f>IF(Allocation!BJ163="","",Allocation!BJ163)</f>
        <v/>
      </c>
      <c r="C163" s="0">
        <f>IF(Allocation!BK163="","",Allocation!BK163)</f>
        <v/>
      </c>
      <c r="D163" s="0">
        <f>IF(Allocation!BL163="","",Allocation!BL163)</f>
        <v/>
      </c>
      <c r="E163" s="0">
        <f>IF(Allocation!BM163="","",Allocation!BM163)</f>
        <v/>
      </c>
      <c r="F163" s="0">
        <f>IF(Allocation!BN163="","",Allocation!BN163)</f>
        <v/>
      </c>
      <c r="G163" s="0">
        <f>IF(Allocation!BO163="","",Allocation!BO163)</f>
        <v/>
      </c>
      <c r="H163" s="0">
        <f>IF(Allocation!BP163="","",Allocation!BP163)</f>
        <v/>
      </c>
      <c r="I163" s="0">
        <f>IF(Allocation!BQ163="","",Allocation!BQ163)</f>
        <v/>
      </c>
      <c r="J163" s="0">
        <f>IF(Allocation!CC163="","",Allocation!CC163)</f>
        <v/>
      </c>
      <c r="K163" s="0">
        <f>IF($A163="","",$H163*IF(AND(LEFT($D163,3)="BAC",$F163="INIT"),600,IF(LEFT($D163,3)="BAC",480,IF(AND(LEFT($D163,3)="MAS",$F163="INIT"),520,IF(LEFT($D163,3)="MAS",420,IF($F163="INIT",1000,700))))))</f>
        <v/>
      </c>
      <c r="L163" s="0">
        <f>IF($A163="","",SUMIFS($G$1:$G$349,$AS$1:$AS$349,$AS163,$B$1:$B$349,$B163))</f>
        <v/>
      </c>
      <c r="M163" s="0">
        <f>IF($A163="","",SUMIFS($H$1:$H$349,$AS$1:$AS$349,$AS163,$B$1:$B$349,$B163))</f>
        <v/>
      </c>
      <c r="N163" s="0">
        <f>IF($A163="","",SUMIFS($I$1:$I$349,$AS$1:$AS$349,$AS163,$B$1:$B$349,$B163))</f>
        <v/>
      </c>
      <c r="O163" s="0">
        <f>IF($A163="","",SUMIFS($K$1:$K$349,$AS$1:$AS$349,$AS163,$B$1:$B$349,$B163))</f>
        <v/>
      </c>
      <c r="P163" s="0">
        <f>IF($A163="","",SUMIFS($J$1:$J$349,$AS$1:$AS$349,$AS163,$B$1:$B$349,$B163))</f>
        <v/>
      </c>
      <c r="Q163" s="0">
        <f>IF($A163="","",SUMIFS($G$1:$G$349,$AS$1:$AS$349,$AS163,$C$1:$C$349,$C163))</f>
        <v/>
      </c>
      <c r="R163" s="0">
        <f>IF($A163="","",SUMIFS($H$1:$H$349,$AS$1:$AS$349,$AS163,$C$1:$C$349,$C163))</f>
        <v/>
      </c>
      <c r="S163" s="0">
        <f>IF($A163="","",SUMIFS($I$1:$I$349,$AS$1:$AS$349,$AS163,$C$1:$C$349,$C163))</f>
        <v/>
      </c>
      <c r="T163" s="0">
        <f>IF($A163="","",SUMIFS($G$1:$G$349,$AS$1:$AS$349,$AS163))</f>
        <v/>
      </c>
      <c r="U163" s="0">
        <f>IF($A163="","",SUMIFS($H$1:$H$349,$AS$1:$AS$349,$AS163))</f>
        <v/>
      </c>
      <c r="V163" s="0">
        <f>IF($A163="","",SUMIFS($I$1:$I$349,$AS$1:$AS$349,$AS163))</f>
        <v/>
      </c>
      <c r="W163" s="0">
        <f>IF($A163="","",Allocation!CD163)</f>
        <v/>
      </c>
      <c r="X163" s="0">
        <f>IF($A163="","",Allocation!CE163)</f>
        <v/>
      </c>
      <c r="Y163" s="0">
        <f>IF($A163="","",Allocation!CF163)</f>
        <v/>
      </c>
      <c r="Z163" s="0">
        <f>IF($A163="","",Allocation!CG163)</f>
        <v/>
      </c>
      <c r="AA163" s="0">
        <f>IF($A163="","",Allocation!CH163)</f>
        <v/>
      </c>
      <c r="AB163" s="0">
        <f>IF($A163="","",Allocation!CI163)</f>
        <v/>
      </c>
      <c r="AC163" s="0">
        <f>IF($A163="","",IF(Allocation!$N$4="VOL_EFF",$G163,IF(Allocation!$N$4="VOL_CLASS",$H163,$I163)))</f>
        <v/>
      </c>
      <c r="AD163" s="0">
        <f>IF($A163="","",IF(Allocation!$N$4="VOL_EFF",$L163,IF(Allocation!$N$4="VOL_CLASS",$M163,$N163)))</f>
        <v/>
      </c>
      <c r="AE163" s="0">
        <f>IF($A163="","",IF(Allocation!$N$3="VOL_EFF",$L163,IF(Allocation!$N$3="VOL_CLASS",$M163,$N163)))</f>
        <v/>
      </c>
      <c r="AF163" s="0">
        <f>IF($A163="","",IF(Allocation!$N$3="VOL_EFF",$Q163,IF(Allocation!$N$3="VOL_CLASS",$R163,$S163)))</f>
        <v/>
      </c>
      <c r="AG163" s="0">
        <f>IF($A163="","",IF(Allocation!$N$1="VOL_EFF",$Q163,IF(Allocation!$N$1="VOL_CLASS",$R163,$S163)))</f>
        <v/>
      </c>
      <c r="AH163" s="0">
        <f>IF($A163="","",IF(Allocation!$N$1="VOL_EFF",$T163,IF(Allocation!$N$1="VOL_CLASS",$U163,$V163)))</f>
        <v/>
      </c>
      <c r="AI163" s="0">
        <f>IF($A163="","",$W163*IFERROR($K163/$O163,0))</f>
        <v/>
      </c>
      <c r="AJ163" s="0">
        <f>IF($A163="","",$X163*IFERROR($K163/$O163,0))</f>
        <v/>
      </c>
      <c r="AK163" s="0">
        <f>IF($A163="","",$Y163*IFERROR($G163/$L163,0)+$Z163*IFERROR($J163/$P163,0))</f>
        <v/>
      </c>
      <c r="AL163" s="0">
        <f>IF($A163="","",$AA163*IFERROR($AC163/$AD163,0))</f>
        <v/>
      </c>
      <c r="AM163" s="0">
        <f>IF($A163="","",$AB163*IFERROR($AG163/$AH163,0)*IFERROR($AE163/$AF163,0)*IFERROR($AC163/$AD163,0))</f>
        <v/>
      </c>
      <c r="AN163" s="0">
        <f>IF($A163="","",$I163-($AI163+$AJ163+$AK163+$AL163+$AM163+$AR163))</f>
        <v/>
      </c>
      <c r="AO163" s="0">
        <f>IF($A163="","",Allocation!CJ163)</f>
        <v/>
      </c>
      <c r="AP163" s="0">
        <f>IF($A163="","",IF(Allocation!$N$2="VOL_EFF",$Q163,IF(Allocation!$N$2="VOL_CLASS",$R163,$S163)))</f>
        <v/>
      </c>
      <c r="AQ163" s="0">
        <f>IF($A163="","",IF(Allocation!$N$2="VOL_EFF",$T163,IF(Allocation!$N$2="VOL_CLASS",$U163,$V163)))</f>
        <v/>
      </c>
      <c r="AR163" s="0">
        <f>IF($A163="","",$AO163*IFERROR($AP163/$AQ163,0)*IFERROR($AE163/$AF163,0)*IFERROR($AC163/$AD163,0))</f>
        <v/>
      </c>
      <c r="AS163" s="0">
        <f>IF($A163="","",$A163&amp;"|"&amp;Allocation!BG163)</f>
        <v/>
      </c>
    </row>
    <row r="164" ht="14.4975" customHeight="1" s="64">
      <c r="A164" s="0">
        <f>IF(Allocation!BI164="","",Allocation!BI164)</f>
        <v/>
      </c>
      <c r="B164" s="0">
        <f>IF(Allocation!BJ164="","",Allocation!BJ164)</f>
        <v/>
      </c>
      <c r="C164" s="0">
        <f>IF(Allocation!BK164="","",Allocation!BK164)</f>
        <v/>
      </c>
      <c r="D164" s="0">
        <f>IF(Allocation!BL164="","",Allocation!BL164)</f>
        <v/>
      </c>
      <c r="E164" s="0">
        <f>IF(Allocation!BM164="","",Allocation!BM164)</f>
        <v/>
      </c>
      <c r="F164" s="0">
        <f>IF(Allocation!BN164="","",Allocation!BN164)</f>
        <v/>
      </c>
      <c r="G164" s="0">
        <f>IF(Allocation!BO164="","",Allocation!BO164)</f>
        <v/>
      </c>
      <c r="H164" s="0">
        <f>IF(Allocation!BP164="","",Allocation!BP164)</f>
        <v/>
      </c>
      <c r="I164" s="0">
        <f>IF(Allocation!BQ164="","",Allocation!BQ164)</f>
        <v/>
      </c>
      <c r="J164" s="0">
        <f>IF(Allocation!CC164="","",Allocation!CC164)</f>
        <v/>
      </c>
      <c r="K164" s="0">
        <f>IF($A164="","",$H164*IF(AND(LEFT($D164,3)="BAC",$F164="INIT"),600,IF(LEFT($D164,3)="BAC",480,IF(AND(LEFT($D164,3)="MAS",$F164="INIT"),520,IF(LEFT($D164,3)="MAS",420,IF($F164="INIT",1000,700))))))</f>
        <v/>
      </c>
      <c r="L164" s="0">
        <f>IF($A164="","",SUMIFS($G$1:$G$349,$AS$1:$AS$349,$AS164,$B$1:$B$349,$B164))</f>
        <v/>
      </c>
      <c r="M164" s="0">
        <f>IF($A164="","",SUMIFS($H$1:$H$349,$AS$1:$AS$349,$AS164,$B$1:$B$349,$B164))</f>
        <v/>
      </c>
      <c r="N164" s="0">
        <f>IF($A164="","",SUMIFS($I$1:$I$349,$AS$1:$AS$349,$AS164,$B$1:$B$349,$B164))</f>
        <v/>
      </c>
      <c r="O164" s="0">
        <f>IF($A164="","",SUMIFS($K$1:$K$349,$AS$1:$AS$349,$AS164,$B$1:$B$349,$B164))</f>
        <v/>
      </c>
      <c r="P164" s="0">
        <f>IF($A164="","",SUMIFS($J$1:$J$349,$AS$1:$AS$349,$AS164,$B$1:$B$349,$B164))</f>
        <v/>
      </c>
      <c r="Q164" s="0">
        <f>IF($A164="","",SUMIFS($G$1:$G$349,$AS$1:$AS$349,$AS164,$C$1:$C$349,$C164))</f>
        <v/>
      </c>
      <c r="R164" s="0">
        <f>IF($A164="","",SUMIFS($H$1:$H$349,$AS$1:$AS$349,$AS164,$C$1:$C$349,$C164))</f>
        <v/>
      </c>
      <c r="S164" s="0">
        <f>IF($A164="","",SUMIFS($I$1:$I$349,$AS$1:$AS$349,$AS164,$C$1:$C$349,$C164))</f>
        <v/>
      </c>
      <c r="T164" s="0">
        <f>IF($A164="","",SUMIFS($G$1:$G$349,$AS$1:$AS$349,$AS164))</f>
        <v/>
      </c>
      <c r="U164" s="0">
        <f>IF($A164="","",SUMIFS($H$1:$H$349,$AS$1:$AS$349,$AS164))</f>
        <v/>
      </c>
      <c r="V164" s="0">
        <f>IF($A164="","",SUMIFS($I$1:$I$349,$AS$1:$AS$349,$AS164))</f>
        <v/>
      </c>
      <c r="W164" s="0">
        <f>IF($A164="","",Allocation!CD164)</f>
        <v/>
      </c>
      <c r="X164" s="0">
        <f>IF($A164="","",Allocation!CE164)</f>
        <v/>
      </c>
      <c r="Y164" s="0">
        <f>IF($A164="","",Allocation!CF164)</f>
        <v/>
      </c>
      <c r="Z164" s="0">
        <f>IF($A164="","",Allocation!CG164)</f>
        <v/>
      </c>
      <c r="AA164" s="0">
        <f>IF($A164="","",Allocation!CH164)</f>
        <v/>
      </c>
      <c r="AB164" s="0">
        <f>IF($A164="","",Allocation!CI164)</f>
        <v/>
      </c>
      <c r="AC164" s="0">
        <f>IF($A164="","",IF(Allocation!$N$4="VOL_EFF",$G164,IF(Allocation!$N$4="VOL_CLASS",$H164,$I164)))</f>
        <v/>
      </c>
      <c r="AD164" s="0">
        <f>IF($A164="","",IF(Allocation!$N$4="VOL_EFF",$L164,IF(Allocation!$N$4="VOL_CLASS",$M164,$N164)))</f>
        <v/>
      </c>
      <c r="AE164" s="0">
        <f>IF($A164="","",IF(Allocation!$N$3="VOL_EFF",$L164,IF(Allocation!$N$3="VOL_CLASS",$M164,$N164)))</f>
        <v/>
      </c>
      <c r="AF164" s="0">
        <f>IF($A164="","",IF(Allocation!$N$3="VOL_EFF",$Q164,IF(Allocation!$N$3="VOL_CLASS",$R164,$S164)))</f>
        <v/>
      </c>
      <c r="AG164" s="0">
        <f>IF($A164="","",IF(Allocation!$N$1="VOL_EFF",$Q164,IF(Allocation!$N$1="VOL_CLASS",$R164,$S164)))</f>
        <v/>
      </c>
      <c r="AH164" s="0">
        <f>IF($A164="","",IF(Allocation!$N$1="VOL_EFF",$T164,IF(Allocation!$N$1="VOL_CLASS",$U164,$V164)))</f>
        <v/>
      </c>
      <c r="AI164" s="0">
        <f>IF($A164="","",$W164*IFERROR($K164/$O164,0))</f>
        <v/>
      </c>
      <c r="AJ164" s="0">
        <f>IF($A164="","",$X164*IFERROR($K164/$O164,0))</f>
        <v/>
      </c>
      <c r="AK164" s="0">
        <f>IF($A164="","",$Y164*IFERROR($G164/$L164,0)+$Z164*IFERROR($J164/$P164,0))</f>
        <v/>
      </c>
      <c r="AL164" s="0">
        <f>IF($A164="","",$AA164*IFERROR($AC164/$AD164,0))</f>
        <v/>
      </c>
      <c r="AM164" s="0">
        <f>IF($A164="","",$AB164*IFERROR($AG164/$AH164,0)*IFERROR($AE164/$AF164,0)*IFERROR($AC164/$AD164,0))</f>
        <v/>
      </c>
      <c r="AN164" s="0">
        <f>IF($A164="","",$I164-($AI164+$AJ164+$AK164+$AL164+$AM164+$AR164))</f>
        <v/>
      </c>
      <c r="AO164" s="0">
        <f>IF($A164="","",Allocation!CJ164)</f>
        <v/>
      </c>
      <c r="AP164" s="0">
        <f>IF($A164="","",IF(Allocation!$N$2="VOL_EFF",$Q164,IF(Allocation!$N$2="VOL_CLASS",$R164,$S164)))</f>
        <v/>
      </c>
      <c r="AQ164" s="0">
        <f>IF($A164="","",IF(Allocation!$N$2="VOL_EFF",$T164,IF(Allocation!$N$2="VOL_CLASS",$U164,$V164)))</f>
        <v/>
      </c>
      <c r="AR164" s="0">
        <f>IF($A164="","",$AO164*IFERROR($AP164/$AQ164,0)*IFERROR($AE164/$AF164,0)*IFERROR($AC164/$AD164,0))</f>
        <v/>
      </c>
      <c r="AS164" s="0">
        <f>IF($A164="","",$A164&amp;"|"&amp;Allocation!BG164)</f>
        <v/>
      </c>
    </row>
    <row r="165" ht="14.4975" customHeight="1" s="64">
      <c r="A165" s="0">
        <f>IF(Allocation!BI165="","",Allocation!BI165)</f>
        <v/>
      </c>
      <c r="B165" s="0">
        <f>IF(Allocation!BJ165="","",Allocation!BJ165)</f>
        <v/>
      </c>
      <c r="C165" s="0">
        <f>IF(Allocation!BK165="","",Allocation!BK165)</f>
        <v/>
      </c>
      <c r="D165" s="0">
        <f>IF(Allocation!BL165="","",Allocation!BL165)</f>
        <v/>
      </c>
      <c r="E165" s="0">
        <f>IF(Allocation!BM165="","",Allocation!BM165)</f>
        <v/>
      </c>
      <c r="F165" s="0">
        <f>IF(Allocation!BN165="","",Allocation!BN165)</f>
        <v/>
      </c>
      <c r="G165" s="0">
        <f>IF(Allocation!BO165="","",Allocation!BO165)</f>
        <v/>
      </c>
      <c r="H165" s="0">
        <f>IF(Allocation!BP165="","",Allocation!BP165)</f>
        <v/>
      </c>
      <c r="I165" s="0">
        <f>IF(Allocation!BQ165="","",Allocation!BQ165)</f>
        <v/>
      </c>
      <c r="J165" s="0">
        <f>IF(Allocation!CC165="","",Allocation!CC165)</f>
        <v/>
      </c>
      <c r="K165" s="0">
        <f>IF($A165="","",$H165*IF(AND(LEFT($D165,3)="BAC",$F165="INIT"),600,IF(LEFT($D165,3)="BAC",480,IF(AND(LEFT($D165,3)="MAS",$F165="INIT"),520,IF(LEFT($D165,3)="MAS",420,IF($F165="INIT",1000,700))))))</f>
        <v/>
      </c>
      <c r="L165" s="0">
        <f>IF($A165="","",SUMIFS($G$1:$G$349,$AS$1:$AS$349,$AS165,$B$1:$B$349,$B165))</f>
        <v/>
      </c>
      <c r="M165" s="0">
        <f>IF($A165="","",SUMIFS($H$1:$H$349,$AS$1:$AS$349,$AS165,$B$1:$B$349,$B165))</f>
        <v/>
      </c>
      <c r="N165" s="0">
        <f>IF($A165="","",SUMIFS($I$1:$I$349,$AS$1:$AS$349,$AS165,$B$1:$B$349,$B165))</f>
        <v/>
      </c>
      <c r="O165" s="0">
        <f>IF($A165="","",SUMIFS($K$1:$K$349,$AS$1:$AS$349,$AS165,$B$1:$B$349,$B165))</f>
        <v/>
      </c>
      <c r="P165" s="0">
        <f>IF($A165="","",SUMIFS($J$1:$J$349,$AS$1:$AS$349,$AS165,$B$1:$B$349,$B165))</f>
        <v/>
      </c>
      <c r="Q165" s="0">
        <f>IF($A165="","",SUMIFS($G$1:$G$349,$AS$1:$AS$349,$AS165,$C$1:$C$349,$C165))</f>
        <v/>
      </c>
      <c r="R165" s="0">
        <f>IF($A165="","",SUMIFS($H$1:$H$349,$AS$1:$AS$349,$AS165,$C$1:$C$349,$C165))</f>
        <v/>
      </c>
      <c r="S165" s="0">
        <f>IF($A165="","",SUMIFS($I$1:$I$349,$AS$1:$AS$349,$AS165,$C$1:$C$349,$C165))</f>
        <v/>
      </c>
      <c r="T165" s="0">
        <f>IF($A165="","",SUMIFS($G$1:$G$349,$AS$1:$AS$349,$AS165))</f>
        <v/>
      </c>
      <c r="U165" s="0">
        <f>IF($A165="","",SUMIFS($H$1:$H$349,$AS$1:$AS$349,$AS165))</f>
        <v/>
      </c>
      <c r="V165" s="0">
        <f>IF($A165="","",SUMIFS($I$1:$I$349,$AS$1:$AS$349,$AS165))</f>
        <v/>
      </c>
      <c r="W165" s="0">
        <f>IF($A165="","",Allocation!CD165)</f>
        <v/>
      </c>
      <c r="X165" s="0">
        <f>IF($A165="","",Allocation!CE165)</f>
        <v/>
      </c>
      <c r="Y165" s="0">
        <f>IF($A165="","",Allocation!CF165)</f>
        <v/>
      </c>
      <c r="Z165" s="0">
        <f>IF($A165="","",Allocation!CG165)</f>
        <v/>
      </c>
      <c r="AA165" s="0">
        <f>IF($A165="","",Allocation!CH165)</f>
        <v/>
      </c>
      <c r="AB165" s="0">
        <f>IF($A165="","",Allocation!CI165)</f>
        <v/>
      </c>
      <c r="AC165" s="0">
        <f>IF($A165="","",IF(Allocation!$N$4="VOL_EFF",$G165,IF(Allocation!$N$4="VOL_CLASS",$H165,$I165)))</f>
        <v/>
      </c>
      <c r="AD165" s="0">
        <f>IF($A165="","",IF(Allocation!$N$4="VOL_EFF",$L165,IF(Allocation!$N$4="VOL_CLASS",$M165,$N165)))</f>
        <v/>
      </c>
      <c r="AE165" s="0">
        <f>IF($A165="","",IF(Allocation!$N$3="VOL_EFF",$L165,IF(Allocation!$N$3="VOL_CLASS",$M165,$N165)))</f>
        <v/>
      </c>
      <c r="AF165" s="0">
        <f>IF($A165="","",IF(Allocation!$N$3="VOL_EFF",$Q165,IF(Allocation!$N$3="VOL_CLASS",$R165,$S165)))</f>
        <v/>
      </c>
      <c r="AG165" s="0">
        <f>IF($A165="","",IF(Allocation!$N$1="VOL_EFF",$Q165,IF(Allocation!$N$1="VOL_CLASS",$R165,$S165)))</f>
        <v/>
      </c>
      <c r="AH165" s="0">
        <f>IF($A165="","",IF(Allocation!$N$1="VOL_EFF",$T165,IF(Allocation!$N$1="VOL_CLASS",$U165,$V165)))</f>
        <v/>
      </c>
      <c r="AI165" s="0">
        <f>IF($A165="","",$W165*IFERROR($K165/$O165,0))</f>
        <v/>
      </c>
      <c r="AJ165" s="0">
        <f>IF($A165="","",$X165*IFERROR($K165/$O165,0))</f>
        <v/>
      </c>
      <c r="AK165" s="0">
        <f>IF($A165="","",$Y165*IFERROR($G165/$L165,0)+$Z165*IFERROR($J165/$P165,0))</f>
        <v/>
      </c>
      <c r="AL165" s="0">
        <f>IF($A165="","",$AA165*IFERROR($AC165/$AD165,0))</f>
        <v/>
      </c>
      <c r="AM165" s="0">
        <f>IF($A165="","",$AB165*IFERROR($AG165/$AH165,0)*IFERROR($AE165/$AF165,0)*IFERROR($AC165/$AD165,0))</f>
        <v/>
      </c>
      <c r="AN165" s="0">
        <f>IF($A165="","",$I165-($AI165+$AJ165+$AK165+$AL165+$AM165+$AR165))</f>
        <v/>
      </c>
      <c r="AO165" s="0">
        <f>IF($A165="","",Allocation!CJ165)</f>
        <v/>
      </c>
      <c r="AP165" s="0">
        <f>IF($A165="","",IF(Allocation!$N$2="VOL_EFF",$Q165,IF(Allocation!$N$2="VOL_CLASS",$R165,$S165)))</f>
        <v/>
      </c>
      <c r="AQ165" s="0">
        <f>IF($A165="","",IF(Allocation!$N$2="VOL_EFF",$T165,IF(Allocation!$N$2="VOL_CLASS",$U165,$V165)))</f>
        <v/>
      </c>
      <c r="AR165" s="0">
        <f>IF($A165="","",$AO165*IFERROR($AP165/$AQ165,0)*IFERROR($AE165/$AF165,0)*IFERROR($AC165/$AD165,0))</f>
        <v/>
      </c>
      <c r="AS165" s="0">
        <f>IF($A165="","",$A165&amp;"|"&amp;Allocation!BG165)</f>
        <v/>
      </c>
    </row>
    <row r="166" ht="14.4975" customHeight="1" s="64">
      <c r="A166" s="0">
        <f>IF(Allocation!BI166="","",Allocation!BI166)</f>
        <v/>
      </c>
      <c r="B166" s="0">
        <f>IF(Allocation!BJ166="","",Allocation!BJ166)</f>
        <v/>
      </c>
      <c r="C166" s="0">
        <f>IF(Allocation!BK166="","",Allocation!BK166)</f>
        <v/>
      </c>
      <c r="D166" s="0">
        <f>IF(Allocation!BL166="","",Allocation!BL166)</f>
        <v/>
      </c>
      <c r="E166" s="0">
        <f>IF(Allocation!BM166="","",Allocation!BM166)</f>
        <v/>
      </c>
      <c r="F166" s="0">
        <f>IF(Allocation!BN166="","",Allocation!BN166)</f>
        <v/>
      </c>
      <c r="G166" s="0">
        <f>IF(Allocation!BO166="","",Allocation!BO166)</f>
        <v/>
      </c>
      <c r="H166" s="0">
        <f>IF(Allocation!BP166="","",Allocation!BP166)</f>
        <v/>
      </c>
      <c r="I166" s="0">
        <f>IF(Allocation!BQ166="","",Allocation!BQ166)</f>
        <v/>
      </c>
      <c r="J166" s="0">
        <f>IF(Allocation!CC166="","",Allocation!CC166)</f>
        <v/>
      </c>
      <c r="K166" s="0">
        <f>IF($A166="","",$H166*IF(AND(LEFT($D166,3)="BAC",$F166="INIT"),600,IF(LEFT($D166,3)="BAC",480,IF(AND(LEFT($D166,3)="MAS",$F166="INIT"),520,IF(LEFT($D166,3)="MAS",420,IF($F166="INIT",1000,700))))))</f>
        <v/>
      </c>
      <c r="L166" s="0">
        <f>IF($A166="","",SUMIFS($G$1:$G$349,$AS$1:$AS$349,$AS166,$B$1:$B$349,$B166))</f>
        <v/>
      </c>
      <c r="M166" s="0">
        <f>IF($A166="","",SUMIFS($H$1:$H$349,$AS$1:$AS$349,$AS166,$B$1:$B$349,$B166))</f>
        <v/>
      </c>
      <c r="N166" s="0">
        <f>IF($A166="","",SUMIFS($I$1:$I$349,$AS$1:$AS$349,$AS166,$B$1:$B$349,$B166))</f>
        <v/>
      </c>
      <c r="O166" s="0">
        <f>IF($A166="","",SUMIFS($K$1:$K$349,$AS$1:$AS$349,$AS166,$B$1:$B$349,$B166))</f>
        <v/>
      </c>
      <c r="P166" s="0">
        <f>IF($A166="","",SUMIFS($J$1:$J$349,$AS$1:$AS$349,$AS166,$B$1:$B$349,$B166))</f>
        <v/>
      </c>
      <c r="Q166" s="0">
        <f>IF($A166="","",SUMIFS($G$1:$G$349,$AS$1:$AS$349,$AS166,$C$1:$C$349,$C166))</f>
        <v/>
      </c>
      <c r="R166" s="0">
        <f>IF($A166="","",SUMIFS($H$1:$H$349,$AS$1:$AS$349,$AS166,$C$1:$C$349,$C166))</f>
        <v/>
      </c>
      <c r="S166" s="0">
        <f>IF($A166="","",SUMIFS($I$1:$I$349,$AS$1:$AS$349,$AS166,$C$1:$C$349,$C166))</f>
        <v/>
      </c>
      <c r="T166" s="0">
        <f>IF($A166="","",SUMIFS($G$1:$G$349,$AS$1:$AS$349,$AS166))</f>
        <v/>
      </c>
      <c r="U166" s="0">
        <f>IF($A166="","",SUMIFS($H$1:$H$349,$AS$1:$AS$349,$AS166))</f>
        <v/>
      </c>
      <c r="V166" s="0">
        <f>IF($A166="","",SUMIFS($I$1:$I$349,$AS$1:$AS$349,$AS166))</f>
        <v/>
      </c>
      <c r="W166" s="0">
        <f>IF($A166="","",Allocation!CD166)</f>
        <v/>
      </c>
      <c r="X166" s="0">
        <f>IF($A166="","",Allocation!CE166)</f>
        <v/>
      </c>
      <c r="Y166" s="0">
        <f>IF($A166="","",Allocation!CF166)</f>
        <v/>
      </c>
      <c r="Z166" s="0">
        <f>IF($A166="","",Allocation!CG166)</f>
        <v/>
      </c>
      <c r="AA166" s="0">
        <f>IF($A166="","",Allocation!CH166)</f>
        <v/>
      </c>
      <c r="AB166" s="0">
        <f>IF($A166="","",Allocation!CI166)</f>
        <v/>
      </c>
      <c r="AC166" s="0">
        <f>IF($A166="","",IF(Allocation!$N$4="VOL_EFF",$G166,IF(Allocation!$N$4="VOL_CLASS",$H166,$I166)))</f>
        <v/>
      </c>
      <c r="AD166" s="0">
        <f>IF($A166="","",IF(Allocation!$N$4="VOL_EFF",$L166,IF(Allocation!$N$4="VOL_CLASS",$M166,$N166)))</f>
        <v/>
      </c>
      <c r="AE166" s="0">
        <f>IF($A166="","",IF(Allocation!$N$3="VOL_EFF",$L166,IF(Allocation!$N$3="VOL_CLASS",$M166,$N166)))</f>
        <v/>
      </c>
      <c r="AF166" s="0">
        <f>IF($A166="","",IF(Allocation!$N$3="VOL_EFF",$Q166,IF(Allocation!$N$3="VOL_CLASS",$R166,$S166)))</f>
        <v/>
      </c>
      <c r="AG166" s="0">
        <f>IF($A166="","",IF(Allocation!$N$1="VOL_EFF",$Q166,IF(Allocation!$N$1="VOL_CLASS",$R166,$S166)))</f>
        <v/>
      </c>
      <c r="AH166" s="0">
        <f>IF($A166="","",IF(Allocation!$N$1="VOL_EFF",$T166,IF(Allocation!$N$1="VOL_CLASS",$U166,$V166)))</f>
        <v/>
      </c>
      <c r="AI166" s="0">
        <f>IF($A166="","",$W166*IFERROR($K166/$O166,0))</f>
        <v/>
      </c>
      <c r="AJ166" s="0">
        <f>IF($A166="","",$X166*IFERROR($K166/$O166,0))</f>
        <v/>
      </c>
      <c r="AK166" s="0">
        <f>IF($A166="","",$Y166*IFERROR($G166/$L166,0)+$Z166*IFERROR($J166/$P166,0))</f>
        <v/>
      </c>
      <c r="AL166" s="0">
        <f>IF($A166="","",$AA166*IFERROR($AC166/$AD166,0))</f>
        <v/>
      </c>
      <c r="AM166" s="0">
        <f>IF($A166="","",$AB166*IFERROR($AG166/$AH166,0)*IFERROR($AE166/$AF166,0)*IFERROR($AC166/$AD166,0))</f>
        <v/>
      </c>
      <c r="AN166" s="0">
        <f>IF($A166="","",$I166-($AI166+$AJ166+$AK166+$AL166+$AM166+$AR166))</f>
        <v/>
      </c>
      <c r="AO166" s="0">
        <f>IF($A166="","",Allocation!CJ166)</f>
        <v/>
      </c>
      <c r="AP166" s="0">
        <f>IF($A166="","",IF(Allocation!$N$2="VOL_EFF",$Q166,IF(Allocation!$N$2="VOL_CLASS",$R166,$S166)))</f>
        <v/>
      </c>
      <c r="AQ166" s="0">
        <f>IF($A166="","",IF(Allocation!$N$2="VOL_EFF",$T166,IF(Allocation!$N$2="VOL_CLASS",$U166,$V166)))</f>
        <v/>
      </c>
      <c r="AR166" s="0">
        <f>IF($A166="","",$AO166*IFERROR($AP166/$AQ166,0)*IFERROR($AE166/$AF166,0)*IFERROR($AC166/$AD166,0))</f>
        <v/>
      </c>
      <c r="AS166" s="0">
        <f>IF($A166="","",$A166&amp;"|"&amp;Allocation!BG166)</f>
        <v/>
      </c>
    </row>
    <row r="167" ht="14.4975" customHeight="1" s="64">
      <c r="A167" s="0">
        <f>IF(Allocation!BI167="","",Allocation!BI167)</f>
        <v/>
      </c>
      <c r="B167" s="0">
        <f>IF(Allocation!BJ167="","",Allocation!BJ167)</f>
        <v/>
      </c>
      <c r="C167" s="0">
        <f>IF(Allocation!BK167="","",Allocation!BK167)</f>
        <v/>
      </c>
      <c r="D167" s="0">
        <f>IF(Allocation!BL167="","",Allocation!BL167)</f>
        <v/>
      </c>
      <c r="E167" s="0">
        <f>IF(Allocation!BM167="","",Allocation!BM167)</f>
        <v/>
      </c>
      <c r="F167" s="0">
        <f>IF(Allocation!BN167="","",Allocation!BN167)</f>
        <v/>
      </c>
      <c r="G167" s="0">
        <f>IF(Allocation!BO167="","",Allocation!BO167)</f>
        <v/>
      </c>
      <c r="H167" s="0">
        <f>IF(Allocation!BP167="","",Allocation!BP167)</f>
        <v/>
      </c>
      <c r="I167" s="0">
        <f>IF(Allocation!BQ167="","",Allocation!BQ167)</f>
        <v/>
      </c>
      <c r="J167" s="0">
        <f>IF(Allocation!CC167="","",Allocation!CC167)</f>
        <v/>
      </c>
      <c r="K167" s="0">
        <f>IF($A167="","",$H167*IF(AND(LEFT($D167,3)="BAC",$F167="INIT"),600,IF(LEFT($D167,3)="BAC",480,IF(AND(LEFT($D167,3)="MAS",$F167="INIT"),520,IF(LEFT($D167,3)="MAS",420,IF($F167="INIT",1000,700))))))</f>
        <v/>
      </c>
      <c r="L167" s="0">
        <f>IF($A167="","",SUMIFS($G$1:$G$349,$AS$1:$AS$349,$AS167,$B$1:$B$349,$B167))</f>
        <v/>
      </c>
      <c r="M167" s="0">
        <f>IF($A167="","",SUMIFS($H$1:$H$349,$AS$1:$AS$349,$AS167,$B$1:$B$349,$B167))</f>
        <v/>
      </c>
      <c r="N167" s="0">
        <f>IF($A167="","",SUMIFS($I$1:$I$349,$AS$1:$AS$349,$AS167,$B$1:$B$349,$B167))</f>
        <v/>
      </c>
      <c r="O167" s="0">
        <f>IF($A167="","",SUMIFS($K$1:$K$349,$AS$1:$AS$349,$AS167,$B$1:$B$349,$B167))</f>
        <v/>
      </c>
      <c r="P167" s="0">
        <f>IF($A167="","",SUMIFS($J$1:$J$349,$AS$1:$AS$349,$AS167,$B$1:$B$349,$B167))</f>
        <v/>
      </c>
      <c r="Q167" s="0">
        <f>IF($A167="","",SUMIFS($G$1:$G$349,$AS$1:$AS$349,$AS167,$C$1:$C$349,$C167))</f>
        <v/>
      </c>
      <c r="R167" s="0">
        <f>IF($A167="","",SUMIFS($H$1:$H$349,$AS$1:$AS$349,$AS167,$C$1:$C$349,$C167))</f>
        <v/>
      </c>
      <c r="S167" s="0">
        <f>IF($A167="","",SUMIFS($I$1:$I$349,$AS$1:$AS$349,$AS167,$C$1:$C$349,$C167))</f>
        <v/>
      </c>
      <c r="T167" s="0">
        <f>IF($A167="","",SUMIFS($G$1:$G$349,$AS$1:$AS$349,$AS167))</f>
        <v/>
      </c>
      <c r="U167" s="0">
        <f>IF($A167="","",SUMIFS($H$1:$H$349,$AS$1:$AS$349,$AS167))</f>
        <v/>
      </c>
      <c r="V167" s="0">
        <f>IF($A167="","",SUMIFS($I$1:$I$349,$AS$1:$AS$349,$AS167))</f>
        <v/>
      </c>
      <c r="W167" s="0">
        <f>IF($A167="","",Allocation!CD167)</f>
        <v/>
      </c>
      <c r="X167" s="0">
        <f>IF($A167="","",Allocation!CE167)</f>
        <v/>
      </c>
      <c r="Y167" s="0">
        <f>IF($A167="","",Allocation!CF167)</f>
        <v/>
      </c>
      <c r="Z167" s="0">
        <f>IF($A167="","",Allocation!CG167)</f>
        <v/>
      </c>
      <c r="AA167" s="0">
        <f>IF($A167="","",Allocation!CH167)</f>
        <v/>
      </c>
      <c r="AB167" s="0">
        <f>IF($A167="","",Allocation!CI167)</f>
        <v/>
      </c>
      <c r="AC167" s="0">
        <f>IF($A167="","",IF(Allocation!$N$4="VOL_EFF",$G167,IF(Allocation!$N$4="VOL_CLASS",$H167,$I167)))</f>
        <v/>
      </c>
      <c r="AD167" s="0">
        <f>IF($A167="","",IF(Allocation!$N$4="VOL_EFF",$L167,IF(Allocation!$N$4="VOL_CLASS",$M167,$N167)))</f>
        <v/>
      </c>
      <c r="AE167" s="0">
        <f>IF($A167="","",IF(Allocation!$N$3="VOL_EFF",$L167,IF(Allocation!$N$3="VOL_CLASS",$M167,$N167)))</f>
        <v/>
      </c>
      <c r="AF167" s="0">
        <f>IF($A167="","",IF(Allocation!$N$3="VOL_EFF",$Q167,IF(Allocation!$N$3="VOL_CLASS",$R167,$S167)))</f>
        <v/>
      </c>
      <c r="AG167" s="0">
        <f>IF($A167="","",IF(Allocation!$N$1="VOL_EFF",$Q167,IF(Allocation!$N$1="VOL_CLASS",$R167,$S167)))</f>
        <v/>
      </c>
      <c r="AH167" s="0">
        <f>IF($A167="","",IF(Allocation!$N$1="VOL_EFF",$T167,IF(Allocation!$N$1="VOL_CLASS",$U167,$V167)))</f>
        <v/>
      </c>
      <c r="AI167" s="0">
        <f>IF($A167="","",$W167*IFERROR($K167/$O167,0))</f>
        <v/>
      </c>
      <c r="AJ167" s="0">
        <f>IF($A167="","",$X167*IFERROR($K167/$O167,0))</f>
        <v/>
      </c>
      <c r="AK167" s="0">
        <f>IF($A167="","",$Y167*IFERROR($G167/$L167,0)+$Z167*IFERROR($J167/$P167,0))</f>
        <v/>
      </c>
      <c r="AL167" s="0">
        <f>IF($A167="","",$AA167*IFERROR($AC167/$AD167,0))</f>
        <v/>
      </c>
      <c r="AM167" s="0">
        <f>IF($A167="","",$AB167*IFERROR($AG167/$AH167,0)*IFERROR($AE167/$AF167,0)*IFERROR($AC167/$AD167,0))</f>
        <v/>
      </c>
      <c r="AN167" s="0">
        <f>IF($A167="","",$I167-($AI167+$AJ167+$AK167+$AL167+$AM167+$AR167))</f>
        <v/>
      </c>
      <c r="AO167" s="0">
        <f>IF($A167="","",Allocation!CJ167)</f>
        <v/>
      </c>
      <c r="AP167" s="0">
        <f>IF($A167="","",IF(Allocation!$N$2="VOL_EFF",$Q167,IF(Allocation!$N$2="VOL_CLASS",$R167,$S167)))</f>
        <v/>
      </c>
      <c r="AQ167" s="0">
        <f>IF($A167="","",IF(Allocation!$N$2="VOL_EFF",$T167,IF(Allocation!$N$2="VOL_CLASS",$U167,$V167)))</f>
        <v/>
      </c>
      <c r="AR167" s="0">
        <f>IF($A167="","",$AO167*IFERROR($AP167/$AQ167,0)*IFERROR($AE167/$AF167,0)*IFERROR($AC167/$AD167,0))</f>
        <v/>
      </c>
      <c r="AS167" s="0">
        <f>IF($A167="","",$A167&amp;"|"&amp;Allocation!BG167)</f>
        <v/>
      </c>
    </row>
    <row r="168" ht="14.4975" customHeight="1" s="64">
      <c r="A168" s="0">
        <f>IF(Allocation!BI168="","",Allocation!BI168)</f>
        <v/>
      </c>
      <c r="B168" s="0">
        <f>IF(Allocation!BJ168="","",Allocation!BJ168)</f>
        <v/>
      </c>
      <c r="C168" s="0">
        <f>IF(Allocation!BK168="","",Allocation!BK168)</f>
        <v/>
      </c>
      <c r="D168" s="0">
        <f>IF(Allocation!BL168="","",Allocation!BL168)</f>
        <v/>
      </c>
      <c r="E168" s="0">
        <f>IF(Allocation!BM168="","",Allocation!BM168)</f>
        <v/>
      </c>
      <c r="F168" s="0">
        <f>IF(Allocation!BN168="","",Allocation!BN168)</f>
        <v/>
      </c>
      <c r="G168" s="0">
        <f>IF(Allocation!BO168="","",Allocation!BO168)</f>
        <v/>
      </c>
      <c r="H168" s="0">
        <f>IF(Allocation!BP168="","",Allocation!BP168)</f>
        <v/>
      </c>
      <c r="I168" s="0">
        <f>IF(Allocation!BQ168="","",Allocation!BQ168)</f>
        <v/>
      </c>
      <c r="J168" s="0">
        <f>IF(Allocation!CC168="","",Allocation!CC168)</f>
        <v/>
      </c>
      <c r="K168" s="0">
        <f>IF($A168="","",$H168*IF(AND(LEFT($D168,3)="BAC",$F168="INIT"),600,IF(LEFT($D168,3)="BAC",480,IF(AND(LEFT($D168,3)="MAS",$F168="INIT"),520,IF(LEFT($D168,3)="MAS",420,IF($F168="INIT",1000,700))))))</f>
        <v/>
      </c>
      <c r="L168" s="0">
        <f>IF($A168="","",SUMIFS($G$1:$G$349,$AS$1:$AS$349,$AS168,$B$1:$B$349,$B168))</f>
        <v/>
      </c>
      <c r="M168" s="0">
        <f>IF($A168="","",SUMIFS($H$1:$H$349,$AS$1:$AS$349,$AS168,$B$1:$B$349,$B168))</f>
        <v/>
      </c>
      <c r="N168" s="0">
        <f>IF($A168="","",SUMIFS($I$1:$I$349,$AS$1:$AS$349,$AS168,$B$1:$B$349,$B168))</f>
        <v/>
      </c>
      <c r="O168" s="0">
        <f>IF($A168="","",SUMIFS($K$1:$K$349,$AS$1:$AS$349,$AS168,$B$1:$B$349,$B168))</f>
        <v/>
      </c>
      <c r="P168" s="0">
        <f>IF($A168="","",SUMIFS($J$1:$J$349,$AS$1:$AS$349,$AS168,$B$1:$B$349,$B168))</f>
        <v/>
      </c>
      <c r="Q168" s="0">
        <f>IF($A168="","",SUMIFS($G$1:$G$349,$AS$1:$AS$349,$AS168,$C$1:$C$349,$C168))</f>
        <v/>
      </c>
      <c r="R168" s="0">
        <f>IF($A168="","",SUMIFS($H$1:$H$349,$AS$1:$AS$349,$AS168,$C$1:$C$349,$C168))</f>
        <v/>
      </c>
      <c r="S168" s="0">
        <f>IF($A168="","",SUMIFS($I$1:$I$349,$AS$1:$AS$349,$AS168,$C$1:$C$349,$C168))</f>
        <v/>
      </c>
      <c r="T168" s="0">
        <f>IF($A168="","",SUMIFS($G$1:$G$349,$AS$1:$AS$349,$AS168))</f>
        <v/>
      </c>
      <c r="U168" s="0">
        <f>IF($A168="","",SUMIFS($H$1:$H$349,$AS$1:$AS$349,$AS168))</f>
        <v/>
      </c>
      <c r="V168" s="0">
        <f>IF($A168="","",SUMIFS($I$1:$I$349,$AS$1:$AS$349,$AS168))</f>
        <v/>
      </c>
      <c r="W168" s="0">
        <f>IF($A168="","",Allocation!CD168)</f>
        <v/>
      </c>
      <c r="X168" s="0">
        <f>IF($A168="","",Allocation!CE168)</f>
        <v/>
      </c>
      <c r="Y168" s="0">
        <f>IF($A168="","",Allocation!CF168)</f>
        <v/>
      </c>
      <c r="Z168" s="0">
        <f>IF($A168="","",Allocation!CG168)</f>
        <v/>
      </c>
      <c r="AA168" s="0">
        <f>IF($A168="","",Allocation!CH168)</f>
        <v/>
      </c>
      <c r="AB168" s="0">
        <f>IF($A168="","",Allocation!CI168)</f>
        <v/>
      </c>
      <c r="AC168" s="0">
        <f>IF($A168="","",IF(Allocation!$N$4="VOL_EFF",$G168,IF(Allocation!$N$4="VOL_CLASS",$H168,$I168)))</f>
        <v/>
      </c>
      <c r="AD168" s="0">
        <f>IF($A168="","",IF(Allocation!$N$4="VOL_EFF",$L168,IF(Allocation!$N$4="VOL_CLASS",$M168,$N168)))</f>
        <v/>
      </c>
      <c r="AE168" s="0">
        <f>IF($A168="","",IF(Allocation!$N$3="VOL_EFF",$L168,IF(Allocation!$N$3="VOL_CLASS",$M168,$N168)))</f>
        <v/>
      </c>
      <c r="AF168" s="0">
        <f>IF($A168="","",IF(Allocation!$N$3="VOL_EFF",$Q168,IF(Allocation!$N$3="VOL_CLASS",$R168,$S168)))</f>
        <v/>
      </c>
      <c r="AG168" s="0">
        <f>IF($A168="","",IF(Allocation!$N$1="VOL_EFF",$Q168,IF(Allocation!$N$1="VOL_CLASS",$R168,$S168)))</f>
        <v/>
      </c>
      <c r="AH168" s="0">
        <f>IF($A168="","",IF(Allocation!$N$1="VOL_EFF",$T168,IF(Allocation!$N$1="VOL_CLASS",$U168,$V168)))</f>
        <v/>
      </c>
      <c r="AI168" s="0">
        <f>IF($A168="","",$W168*IFERROR($K168/$O168,0))</f>
        <v/>
      </c>
      <c r="AJ168" s="0">
        <f>IF($A168="","",$X168*IFERROR($K168/$O168,0))</f>
        <v/>
      </c>
      <c r="AK168" s="0">
        <f>IF($A168="","",$Y168*IFERROR($G168/$L168,0)+$Z168*IFERROR($J168/$P168,0))</f>
        <v/>
      </c>
      <c r="AL168" s="0">
        <f>IF($A168="","",$AA168*IFERROR($AC168/$AD168,0))</f>
        <v/>
      </c>
      <c r="AM168" s="0">
        <f>IF($A168="","",$AB168*IFERROR($AG168/$AH168,0)*IFERROR($AE168/$AF168,0)*IFERROR($AC168/$AD168,0))</f>
        <v/>
      </c>
      <c r="AN168" s="0">
        <f>IF($A168="","",$I168-($AI168+$AJ168+$AK168+$AL168+$AM168+$AR168))</f>
        <v/>
      </c>
      <c r="AO168" s="0">
        <f>IF($A168="","",Allocation!CJ168)</f>
        <v/>
      </c>
      <c r="AP168" s="0">
        <f>IF($A168="","",IF(Allocation!$N$2="VOL_EFF",$Q168,IF(Allocation!$N$2="VOL_CLASS",$R168,$S168)))</f>
        <v/>
      </c>
      <c r="AQ168" s="0">
        <f>IF($A168="","",IF(Allocation!$N$2="VOL_EFF",$T168,IF(Allocation!$N$2="VOL_CLASS",$U168,$V168)))</f>
        <v/>
      </c>
      <c r="AR168" s="0">
        <f>IF($A168="","",$AO168*IFERROR($AP168/$AQ168,0)*IFERROR($AE168/$AF168,0)*IFERROR($AC168/$AD168,0))</f>
        <v/>
      </c>
      <c r="AS168" s="0">
        <f>IF($A168="","",$A168&amp;"|"&amp;Allocation!BG168)</f>
        <v/>
      </c>
    </row>
    <row r="169" ht="14.4975" customHeight="1" s="64">
      <c r="A169" s="0">
        <f>IF(Allocation!BI169="","",Allocation!BI169)</f>
        <v/>
      </c>
      <c r="B169" s="0">
        <f>IF(Allocation!BJ169="","",Allocation!BJ169)</f>
        <v/>
      </c>
      <c r="C169" s="0">
        <f>IF(Allocation!BK169="","",Allocation!BK169)</f>
        <v/>
      </c>
      <c r="D169" s="0">
        <f>IF(Allocation!BL169="","",Allocation!BL169)</f>
        <v/>
      </c>
      <c r="E169" s="0">
        <f>IF(Allocation!BM169="","",Allocation!BM169)</f>
        <v/>
      </c>
      <c r="F169" s="0">
        <f>IF(Allocation!BN169="","",Allocation!BN169)</f>
        <v/>
      </c>
      <c r="G169" s="0">
        <f>IF(Allocation!BO169="","",Allocation!BO169)</f>
        <v/>
      </c>
      <c r="H169" s="0">
        <f>IF(Allocation!BP169="","",Allocation!BP169)</f>
        <v/>
      </c>
      <c r="I169" s="0">
        <f>IF(Allocation!BQ169="","",Allocation!BQ169)</f>
        <v/>
      </c>
      <c r="J169" s="0">
        <f>IF(Allocation!CC169="","",Allocation!CC169)</f>
        <v/>
      </c>
      <c r="K169" s="0">
        <f>IF($A169="","",$H169*IF(AND(LEFT($D169,3)="BAC",$F169="INIT"),600,IF(LEFT($D169,3)="BAC",480,IF(AND(LEFT($D169,3)="MAS",$F169="INIT"),520,IF(LEFT($D169,3)="MAS",420,IF($F169="INIT",1000,700))))))</f>
        <v/>
      </c>
      <c r="L169" s="0">
        <f>IF($A169="","",SUMIFS($G$1:$G$349,$AS$1:$AS$349,$AS169,$B$1:$B$349,$B169))</f>
        <v/>
      </c>
      <c r="M169" s="0">
        <f>IF($A169="","",SUMIFS($H$1:$H$349,$AS$1:$AS$349,$AS169,$B$1:$B$349,$B169))</f>
        <v/>
      </c>
      <c r="N169" s="0">
        <f>IF($A169="","",SUMIFS($I$1:$I$349,$AS$1:$AS$349,$AS169,$B$1:$B$349,$B169))</f>
        <v/>
      </c>
      <c r="O169" s="0">
        <f>IF($A169="","",SUMIFS($K$1:$K$349,$AS$1:$AS$349,$AS169,$B$1:$B$349,$B169))</f>
        <v/>
      </c>
      <c r="P169" s="0">
        <f>IF($A169="","",SUMIFS($J$1:$J$349,$AS$1:$AS$349,$AS169,$B$1:$B$349,$B169))</f>
        <v/>
      </c>
      <c r="Q169" s="0">
        <f>IF($A169="","",SUMIFS($G$1:$G$349,$AS$1:$AS$349,$AS169,$C$1:$C$349,$C169))</f>
        <v/>
      </c>
      <c r="R169" s="0">
        <f>IF($A169="","",SUMIFS($H$1:$H$349,$AS$1:$AS$349,$AS169,$C$1:$C$349,$C169))</f>
        <v/>
      </c>
      <c r="S169" s="0">
        <f>IF($A169="","",SUMIFS($I$1:$I$349,$AS$1:$AS$349,$AS169,$C$1:$C$349,$C169))</f>
        <v/>
      </c>
      <c r="T169" s="0">
        <f>IF($A169="","",SUMIFS($G$1:$G$349,$AS$1:$AS$349,$AS169))</f>
        <v/>
      </c>
      <c r="U169" s="0">
        <f>IF($A169="","",SUMIFS($H$1:$H$349,$AS$1:$AS$349,$AS169))</f>
        <v/>
      </c>
      <c r="V169" s="0">
        <f>IF($A169="","",SUMIFS($I$1:$I$349,$AS$1:$AS$349,$AS169))</f>
        <v/>
      </c>
      <c r="W169" s="0">
        <f>IF($A169="","",Allocation!CD169)</f>
        <v/>
      </c>
      <c r="X169" s="0">
        <f>IF($A169="","",Allocation!CE169)</f>
        <v/>
      </c>
      <c r="Y169" s="0">
        <f>IF($A169="","",Allocation!CF169)</f>
        <v/>
      </c>
      <c r="Z169" s="0">
        <f>IF($A169="","",Allocation!CG169)</f>
        <v/>
      </c>
      <c r="AA169" s="0">
        <f>IF($A169="","",Allocation!CH169)</f>
        <v/>
      </c>
      <c r="AB169" s="0">
        <f>IF($A169="","",Allocation!CI169)</f>
        <v/>
      </c>
      <c r="AC169" s="0">
        <f>IF($A169="","",IF(Allocation!$N$4="VOL_EFF",$G169,IF(Allocation!$N$4="VOL_CLASS",$H169,$I169)))</f>
        <v/>
      </c>
      <c r="AD169" s="0">
        <f>IF($A169="","",IF(Allocation!$N$4="VOL_EFF",$L169,IF(Allocation!$N$4="VOL_CLASS",$M169,$N169)))</f>
        <v/>
      </c>
      <c r="AE169" s="0">
        <f>IF($A169="","",IF(Allocation!$N$3="VOL_EFF",$L169,IF(Allocation!$N$3="VOL_CLASS",$M169,$N169)))</f>
        <v/>
      </c>
      <c r="AF169" s="0">
        <f>IF($A169="","",IF(Allocation!$N$3="VOL_EFF",$Q169,IF(Allocation!$N$3="VOL_CLASS",$R169,$S169)))</f>
        <v/>
      </c>
      <c r="AG169" s="0">
        <f>IF($A169="","",IF(Allocation!$N$1="VOL_EFF",$Q169,IF(Allocation!$N$1="VOL_CLASS",$R169,$S169)))</f>
        <v/>
      </c>
      <c r="AH169" s="0">
        <f>IF($A169="","",IF(Allocation!$N$1="VOL_EFF",$T169,IF(Allocation!$N$1="VOL_CLASS",$U169,$V169)))</f>
        <v/>
      </c>
      <c r="AI169" s="0">
        <f>IF($A169="","",$W169*IFERROR($K169/$O169,0))</f>
        <v/>
      </c>
      <c r="AJ169" s="0">
        <f>IF($A169="","",$X169*IFERROR($K169/$O169,0))</f>
        <v/>
      </c>
      <c r="AK169" s="0">
        <f>IF($A169="","",$Y169*IFERROR($G169/$L169,0)+$Z169*IFERROR($J169/$P169,0))</f>
        <v/>
      </c>
      <c r="AL169" s="0">
        <f>IF($A169="","",$AA169*IFERROR($AC169/$AD169,0))</f>
        <v/>
      </c>
      <c r="AM169" s="0">
        <f>IF($A169="","",$AB169*IFERROR($AG169/$AH169,0)*IFERROR($AE169/$AF169,0)*IFERROR($AC169/$AD169,0))</f>
        <v/>
      </c>
      <c r="AN169" s="0">
        <f>IF($A169="","",$I169-($AI169+$AJ169+$AK169+$AL169+$AM169+$AR169))</f>
        <v/>
      </c>
      <c r="AO169" s="0">
        <f>IF($A169="","",Allocation!CJ169)</f>
        <v/>
      </c>
      <c r="AP169" s="0">
        <f>IF($A169="","",IF(Allocation!$N$2="VOL_EFF",$Q169,IF(Allocation!$N$2="VOL_CLASS",$R169,$S169)))</f>
        <v/>
      </c>
      <c r="AQ169" s="0">
        <f>IF($A169="","",IF(Allocation!$N$2="VOL_EFF",$T169,IF(Allocation!$N$2="VOL_CLASS",$U169,$V169)))</f>
        <v/>
      </c>
      <c r="AR169" s="0">
        <f>IF($A169="","",$AO169*IFERROR($AP169/$AQ169,0)*IFERROR($AE169/$AF169,0)*IFERROR($AC169/$AD169,0))</f>
        <v/>
      </c>
      <c r="AS169" s="0">
        <f>IF($A169="","",$A169&amp;"|"&amp;Allocation!BG169)</f>
        <v/>
      </c>
    </row>
    <row r="170" ht="14.4975" customHeight="1" s="64">
      <c r="A170" s="0">
        <f>IF(Allocation!BI170="","",Allocation!BI170)</f>
        <v/>
      </c>
      <c r="B170" s="0">
        <f>IF(Allocation!BJ170="","",Allocation!BJ170)</f>
        <v/>
      </c>
      <c r="C170" s="0">
        <f>IF(Allocation!BK170="","",Allocation!BK170)</f>
        <v/>
      </c>
      <c r="D170" s="0">
        <f>IF(Allocation!BL170="","",Allocation!BL170)</f>
        <v/>
      </c>
      <c r="E170" s="0">
        <f>IF(Allocation!BM170="","",Allocation!BM170)</f>
        <v/>
      </c>
      <c r="F170" s="0">
        <f>IF(Allocation!BN170="","",Allocation!BN170)</f>
        <v/>
      </c>
      <c r="G170" s="0">
        <f>IF(Allocation!BO170="","",Allocation!BO170)</f>
        <v/>
      </c>
      <c r="H170" s="0">
        <f>IF(Allocation!BP170="","",Allocation!BP170)</f>
        <v/>
      </c>
      <c r="I170" s="0">
        <f>IF(Allocation!BQ170="","",Allocation!BQ170)</f>
        <v/>
      </c>
      <c r="J170" s="0">
        <f>IF(Allocation!CC170="","",Allocation!CC170)</f>
        <v/>
      </c>
      <c r="K170" s="0">
        <f>IF($A170="","",$H170*IF(AND(LEFT($D170,3)="BAC",$F170="INIT"),600,IF(LEFT($D170,3)="BAC",480,IF(AND(LEFT($D170,3)="MAS",$F170="INIT"),520,IF(LEFT($D170,3)="MAS",420,IF($F170="INIT",1000,700))))))</f>
        <v/>
      </c>
      <c r="L170" s="0">
        <f>IF($A170="","",SUMIFS($G$1:$G$349,$AS$1:$AS$349,$AS170,$B$1:$B$349,$B170))</f>
        <v/>
      </c>
      <c r="M170" s="0">
        <f>IF($A170="","",SUMIFS($H$1:$H$349,$AS$1:$AS$349,$AS170,$B$1:$B$349,$B170))</f>
        <v/>
      </c>
      <c r="N170" s="0">
        <f>IF($A170="","",SUMIFS($I$1:$I$349,$AS$1:$AS$349,$AS170,$B$1:$B$349,$B170))</f>
        <v/>
      </c>
      <c r="O170" s="0">
        <f>IF($A170="","",SUMIFS($K$1:$K$349,$AS$1:$AS$349,$AS170,$B$1:$B$349,$B170))</f>
        <v/>
      </c>
      <c r="P170" s="0">
        <f>IF($A170="","",SUMIFS($J$1:$J$349,$AS$1:$AS$349,$AS170,$B$1:$B$349,$B170))</f>
        <v/>
      </c>
      <c r="Q170" s="0">
        <f>IF($A170="","",SUMIFS($G$1:$G$349,$AS$1:$AS$349,$AS170,$C$1:$C$349,$C170))</f>
        <v/>
      </c>
      <c r="R170" s="0">
        <f>IF($A170="","",SUMIFS($H$1:$H$349,$AS$1:$AS$349,$AS170,$C$1:$C$349,$C170))</f>
        <v/>
      </c>
      <c r="S170" s="0">
        <f>IF($A170="","",SUMIFS($I$1:$I$349,$AS$1:$AS$349,$AS170,$C$1:$C$349,$C170))</f>
        <v/>
      </c>
      <c r="T170" s="0">
        <f>IF($A170="","",SUMIFS($G$1:$G$349,$AS$1:$AS$349,$AS170))</f>
        <v/>
      </c>
      <c r="U170" s="0">
        <f>IF($A170="","",SUMIFS($H$1:$H$349,$AS$1:$AS$349,$AS170))</f>
        <v/>
      </c>
      <c r="V170" s="0">
        <f>IF($A170="","",SUMIFS($I$1:$I$349,$AS$1:$AS$349,$AS170))</f>
        <v/>
      </c>
      <c r="W170" s="0">
        <f>IF($A170="","",Allocation!CD170)</f>
        <v/>
      </c>
      <c r="X170" s="0">
        <f>IF($A170="","",Allocation!CE170)</f>
        <v/>
      </c>
      <c r="Y170" s="0">
        <f>IF($A170="","",Allocation!CF170)</f>
        <v/>
      </c>
      <c r="Z170" s="0">
        <f>IF($A170="","",Allocation!CG170)</f>
        <v/>
      </c>
      <c r="AA170" s="0">
        <f>IF($A170="","",Allocation!CH170)</f>
        <v/>
      </c>
      <c r="AB170" s="0">
        <f>IF($A170="","",Allocation!CI170)</f>
        <v/>
      </c>
      <c r="AC170" s="0">
        <f>IF($A170="","",IF(Allocation!$N$4="VOL_EFF",$G170,IF(Allocation!$N$4="VOL_CLASS",$H170,$I170)))</f>
        <v/>
      </c>
      <c r="AD170" s="0">
        <f>IF($A170="","",IF(Allocation!$N$4="VOL_EFF",$L170,IF(Allocation!$N$4="VOL_CLASS",$M170,$N170)))</f>
        <v/>
      </c>
      <c r="AE170" s="0">
        <f>IF($A170="","",IF(Allocation!$N$3="VOL_EFF",$L170,IF(Allocation!$N$3="VOL_CLASS",$M170,$N170)))</f>
        <v/>
      </c>
      <c r="AF170" s="0">
        <f>IF($A170="","",IF(Allocation!$N$3="VOL_EFF",$Q170,IF(Allocation!$N$3="VOL_CLASS",$R170,$S170)))</f>
        <v/>
      </c>
      <c r="AG170" s="0">
        <f>IF($A170="","",IF(Allocation!$N$1="VOL_EFF",$Q170,IF(Allocation!$N$1="VOL_CLASS",$R170,$S170)))</f>
        <v/>
      </c>
      <c r="AH170" s="0">
        <f>IF($A170="","",IF(Allocation!$N$1="VOL_EFF",$T170,IF(Allocation!$N$1="VOL_CLASS",$U170,$V170)))</f>
        <v/>
      </c>
      <c r="AI170" s="0">
        <f>IF($A170="","",$W170*IFERROR($K170/$O170,0))</f>
        <v/>
      </c>
      <c r="AJ170" s="0">
        <f>IF($A170="","",$X170*IFERROR($K170/$O170,0))</f>
        <v/>
      </c>
      <c r="AK170" s="0">
        <f>IF($A170="","",$Y170*IFERROR($G170/$L170,0)+$Z170*IFERROR($J170/$P170,0))</f>
        <v/>
      </c>
      <c r="AL170" s="0">
        <f>IF($A170="","",$AA170*IFERROR($AC170/$AD170,0))</f>
        <v/>
      </c>
      <c r="AM170" s="0">
        <f>IF($A170="","",$AB170*IFERROR($AG170/$AH170,0)*IFERROR($AE170/$AF170,0)*IFERROR($AC170/$AD170,0))</f>
        <v/>
      </c>
      <c r="AN170" s="0">
        <f>IF($A170="","",$I170-($AI170+$AJ170+$AK170+$AL170+$AM170+$AR170))</f>
        <v/>
      </c>
      <c r="AO170" s="0">
        <f>IF($A170="","",Allocation!CJ170)</f>
        <v/>
      </c>
      <c r="AP170" s="0">
        <f>IF($A170="","",IF(Allocation!$N$2="VOL_EFF",$Q170,IF(Allocation!$N$2="VOL_CLASS",$R170,$S170)))</f>
        <v/>
      </c>
      <c r="AQ170" s="0">
        <f>IF($A170="","",IF(Allocation!$N$2="VOL_EFF",$T170,IF(Allocation!$N$2="VOL_CLASS",$U170,$V170)))</f>
        <v/>
      </c>
      <c r="AR170" s="0">
        <f>IF($A170="","",$AO170*IFERROR($AP170/$AQ170,0)*IFERROR($AE170/$AF170,0)*IFERROR($AC170/$AD170,0))</f>
        <v/>
      </c>
      <c r="AS170" s="0">
        <f>IF($A170="","",$A170&amp;"|"&amp;Allocation!BG170)</f>
        <v/>
      </c>
    </row>
    <row r="171" ht="14.4975" customHeight="1" s="64">
      <c r="A171" s="0">
        <f>IF(Allocation!BI171="","",Allocation!BI171)</f>
        <v/>
      </c>
      <c r="B171" s="0">
        <f>IF(Allocation!BJ171="","",Allocation!BJ171)</f>
        <v/>
      </c>
      <c r="C171" s="0">
        <f>IF(Allocation!BK171="","",Allocation!BK171)</f>
        <v/>
      </c>
      <c r="D171" s="0">
        <f>IF(Allocation!BL171="","",Allocation!BL171)</f>
        <v/>
      </c>
      <c r="E171" s="0">
        <f>IF(Allocation!BM171="","",Allocation!BM171)</f>
        <v/>
      </c>
      <c r="F171" s="0">
        <f>IF(Allocation!BN171="","",Allocation!BN171)</f>
        <v/>
      </c>
      <c r="G171" s="0">
        <f>IF(Allocation!BO171="","",Allocation!BO171)</f>
        <v/>
      </c>
      <c r="H171" s="0">
        <f>IF(Allocation!BP171="","",Allocation!BP171)</f>
        <v/>
      </c>
      <c r="I171" s="0">
        <f>IF(Allocation!BQ171="","",Allocation!BQ171)</f>
        <v/>
      </c>
      <c r="J171" s="0">
        <f>IF(Allocation!CC171="","",Allocation!CC171)</f>
        <v/>
      </c>
      <c r="K171" s="0">
        <f>IF($A171="","",$H171*IF(AND(LEFT($D171,3)="BAC",$F171="INIT"),600,IF(LEFT($D171,3)="BAC",480,IF(AND(LEFT($D171,3)="MAS",$F171="INIT"),520,IF(LEFT($D171,3)="MAS",420,IF($F171="INIT",1000,700))))))</f>
        <v/>
      </c>
      <c r="L171" s="0">
        <f>IF($A171="","",SUMIFS($G$1:$G$349,$AS$1:$AS$349,$AS171,$B$1:$B$349,$B171))</f>
        <v/>
      </c>
      <c r="M171" s="0">
        <f>IF($A171="","",SUMIFS($H$1:$H$349,$AS$1:$AS$349,$AS171,$B$1:$B$349,$B171))</f>
        <v/>
      </c>
      <c r="N171" s="0">
        <f>IF($A171="","",SUMIFS($I$1:$I$349,$AS$1:$AS$349,$AS171,$B$1:$B$349,$B171))</f>
        <v/>
      </c>
      <c r="O171" s="0">
        <f>IF($A171="","",SUMIFS($K$1:$K$349,$AS$1:$AS$349,$AS171,$B$1:$B$349,$B171))</f>
        <v/>
      </c>
      <c r="P171" s="0">
        <f>IF($A171="","",SUMIFS($J$1:$J$349,$AS$1:$AS$349,$AS171,$B$1:$B$349,$B171))</f>
        <v/>
      </c>
      <c r="Q171" s="0">
        <f>IF($A171="","",SUMIFS($G$1:$G$349,$AS$1:$AS$349,$AS171,$C$1:$C$349,$C171))</f>
        <v/>
      </c>
      <c r="R171" s="0">
        <f>IF($A171="","",SUMIFS($H$1:$H$349,$AS$1:$AS$349,$AS171,$C$1:$C$349,$C171))</f>
        <v/>
      </c>
      <c r="S171" s="0">
        <f>IF($A171="","",SUMIFS($I$1:$I$349,$AS$1:$AS$349,$AS171,$C$1:$C$349,$C171))</f>
        <v/>
      </c>
      <c r="T171" s="0">
        <f>IF($A171="","",SUMIFS($G$1:$G$349,$AS$1:$AS$349,$AS171))</f>
        <v/>
      </c>
      <c r="U171" s="0">
        <f>IF($A171="","",SUMIFS($H$1:$H$349,$AS$1:$AS$349,$AS171))</f>
        <v/>
      </c>
      <c r="V171" s="0">
        <f>IF($A171="","",SUMIFS($I$1:$I$349,$AS$1:$AS$349,$AS171))</f>
        <v/>
      </c>
      <c r="W171" s="0">
        <f>IF($A171="","",Allocation!CD171)</f>
        <v/>
      </c>
      <c r="X171" s="0">
        <f>IF($A171="","",Allocation!CE171)</f>
        <v/>
      </c>
      <c r="Y171" s="0">
        <f>IF($A171="","",Allocation!CF171)</f>
        <v/>
      </c>
      <c r="Z171" s="0">
        <f>IF($A171="","",Allocation!CG171)</f>
        <v/>
      </c>
      <c r="AA171" s="0">
        <f>IF($A171="","",Allocation!CH171)</f>
        <v/>
      </c>
      <c r="AB171" s="0">
        <f>IF($A171="","",Allocation!CI171)</f>
        <v/>
      </c>
      <c r="AC171" s="0">
        <f>IF($A171="","",IF(Allocation!$N$4="VOL_EFF",$G171,IF(Allocation!$N$4="VOL_CLASS",$H171,$I171)))</f>
        <v/>
      </c>
      <c r="AD171" s="0">
        <f>IF($A171="","",IF(Allocation!$N$4="VOL_EFF",$L171,IF(Allocation!$N$4="VOL_CLASS",$M171,$N171)))</f>
        <v/>
      </c>
      <c r="AE171" s="0">
        <f>IF($A171="","",IF(Allocation!$N$3="VOL_EFF",$L171,IF(Allocation!$N$3="VOL_CLASS",$M171,$N171)))</f>
        <v/>
      </c>
      <c r="AF171" s="0">
        <f>IF($A171="","",IF(Allocation!$N$3="VOL_EFF",$Q171,IF(Allocation!$N$3="VOL_CLASS",$R171,$S171)))</f>
        <v/>
      </c>
      <c r="AG171" s="0">
        <f>IF($A171="","",IF(Allocation!$N$1="VOL_EFF",$Q171,IF(Allocation!$N$1="VOL_CLASS",$R171,$S171)))</f>
        <v/>
      </c>
      <c r="AH171" s="0">
        <f>IF($A171="","",IF(Allocation!$N$1="VOL_EFF",$T171,IF(Allocation!$N$1="VOL_CLASS",$U171,$V171)))</f>
        <v/>
      </c>
      <c r="AI171" s="0">
        <f>IF($A171="","",$W171*IFERROR($K171/$O171,0))</f>
        <v/>
      </c>
      <c r="AJ171" s="0">
        <f>IF($A171="","",$X171*IFERROR($K171/$O171,0))</f>
        <v/>
      </c>
      <c r="AK171" s="0">
        <f>IF($A171="","",$Y171*IFERROR($G171/$L171,0)+$Z171*IFERROR($J171/$P171,0))</f>
        <v/>
      </c>
      <c r="AL171" s="0">
        <f>IF($A171="","",$AA171*IFERROR($AC171/$AD171,0))</f>
        <v/>
      </c>
      <c r="AM171" s="0">
        <f>IF($A171="","",$AB171*IFERROR($AG171/$AH171,0)*IFERROR($AE171/$AF171,0)*IFERROR($AC171/$AD171,0))</f>
        <v/>
      </c>
      <c r="AN171" s="0">
        <f>IF($A171="","",$I171-($AI171+$AJ171+$AK171+$AL171+$AM171+$AR171))</f>
        <v/>
      </c>
      <c r="AO171" s="0">
        <f>IF($A171="","",Allocation!CJ171)</f>
        <v/>
      </c>
      <c r="AP171" s="0">
        <f>IF($A171="","",IF(Allocation!$N$2="VOL_EFF",$Q171,IF(Allocation!$N$2="VOL_CLASS",$R171,$S171)))</f>
        <v/>
      </c>
      <c r="AQ171" s="0">
        <f>IF($A171="","",IF(Allocation!$N$2="VOL_EFF",$T171,IF(Allocation!$N$2="VOL_CLASS",$U171,$V171)))</f>
        <v/>
      </c>
      <c r="AR171" s="0">
        <f>IF($A171="","",$AO171*IFERROR($AP171/$AQ171,0)*IFERROR($AE171/$AF171,0)*IFERROR($AC171/$AD171,0))</f>
        <v/>
      </c>
      <c r="AS171" s="0">
        <f>IF($A171="","",$A171&amp;"|"&amp;Allocation!BG171)</f>
        <v/>
      </c>
    </row>
    <row r="172" ht="14.4975" customHeight="1" s="64">
      <c r="A172" s="0">
        <f>IF(Allocation!BI172="","",Allocation!BI172)</f>
        <v/>
      </c>
      <c r="B172" s="0">
        <f>IF(Allocation!BJ172="","",Allocation!BJ172)</f>
        <v/>
      </c>
      <c r="C172" s="0">
        <f>IF(Allocation!BK172="","",Allocation!BK172)</f>
        <v/>
      </c>
      <c r="D172" s="0">
        <f>IF(Allocation!BL172="","",Allocation!BL172)</f>
        <v/>
      </c>
      <c r="E172" s="0">
        <f>IF(Allocation!BM172="","",Allocation!BM172)</f>
        <v/>
      </c>
      <c r="F172" s="0">
        <f>IF(Allocation!BN172="","",Allocation!BN172)</f>
        <v/>
      </c>
      <c r="G172" s="0">
        <f>IF(Allocation!BO172="","",Allocation!BO172)</f>
        <v/>
      </c>
      <c r="H172" s="0">
        <f>IF(Allocation!BP172="","",Allocation!BP172)</f>
        <v/>
      </c>
      <c r="I172" s="0">
        <f>IF(Allocation!BQ172="","",Allocation!BQ172)</f>
        <v/>
      </c>
      <c r="J172" s="0">
        <f>IF(Allocation!CC172="","",Allocation!CC172)</f>
        <v/>
      </c>
      <c r="K172" s="0">
        <f>IF($A172="","",$H172*IF(AND(LEFT($D172,3)="BAC",$F172="INIT"),600,IF(LEFT($D172,3)="BAC",480,IF(AND(LEFT($D172,3)="MAS",$F172="INIT"),520,IF(LEFT($D172,3)="MAS",420,IF($F172="INIT",1000,700))))))</f>
        <v/>
      </c>
      <c r="L172" s="0">
        <f>IF($A172="","",SUMIFS($G$1:$G$349,$AS$1:$AS$349,$AS172,$B$1:$B$349,$B172))</f>
        <v/>
      </c>
      <c r="M172" s="0">
        <f>IF($A172="","",SUMIFS($H$1:$H$349,$AS$1:$AS$349,$AS172,$B$1:$B$349,$B172))</f>
        <v/>
      </c>
      <c r="N172" s="0">
        <f>IF($A172="","",SUMIFS($I$1:$I$349,$AS$1:$AS$349,$AS172,$B$1:$B$349,$B172))</f>
        <v/>
      </c>
      <c r="O172" s="0">
        <f>IF($A172="","",SUMIFS($K$1:$K$349,$AS$1:$AS$349,$AS172,$B$1:$B$349,$B172))</f>
        <v/>
      </c>
      <c r="P172" s="0">
        <f>IF($A172="","",SUMIFS($J$1:$J$349,$AS$1:$AS$349,$AS172,$B$1:$B$349,$B172))</f>
        <v/>
      </c>
      <c r="Q172" s="0">
        <f>IF($A172="","",SUMIFS($G$1:$G$349,$AS$1:$AS$349,$AS172,$C$1:$C$349,$C172))</f>
        <v/>
      </c>
      <c r="R172" s="0">
        <f>IF($A172="","",SUMIFS($H$1:$H$349,$AS$1:$AS$349,$AS172,$C$1:$C$349,$C172))</f>
        <v/>
      </c>
      <c r="S172" s="0">
        <f>IF($A172="","",SUMIFS($I$1:$I$349,$AS$1:$AS$349,$AS172,$C$1:$C$349,$C172))</f>
        <v/>
      </c>
      <c r="T172" s="0">
        <f>IF($A172="","",SUMIFS($G$1:$G$349,$AS$1:$AS$349,$AS172))</f>
        <v/>
      </c>
      <c r="U172" s="0">
        <f>IF($A172="","",SUMIFS($H$1:$H$349,$AS$1:$AS$349,$AS172))</f>
        <v/>
      </c>
      <c r="V172" s="0">
        <f>IF($A172="","",SUMIFS($I$1:$I$349,$AS$1:$AS$349,$AS172))</f>
        <v/>
      </c>
      <c r="W172" s="0">
        <f>IF($A172="","",Allocation!CD172)</f>
        <v/>
      </c>
      <c r="X172" s="0">
        <f>IF($A172="","",Allocation!CE172)</f>
        <v/>
      </c>
      <c r="Y172" s="0">
        <f>IF($A172="","",Allocation!CF172)</f>
        <v/>
      </c>
      <c r="Z172" s="0">
        <f>IF($A172="","",Allocation!CG172)</f>
        <v/>
      </c>
      <c r="AA172" s="0">
        <f>IF($A172="","",Allocation!CH172)</f>
        <v/>
      </c>
      <c r="AB172" s="0">
        <f>IF($A172="","",Allocation!CI172)</f>
        <v/>
      </c>
      <c r="AC172" s="0">
        <f>IF($A172="","",IF(Allocation!$N$4="VOL_EFF",$G172,IF(Allocation!$N$4="VOL_CLASS",$H172,$I172)))</f>
        <v/>
      </c>
      <c r="AD172" s="0">
        <f>IF($A172="","",IF(Allocation!$N$4="VOL_EFF",$L172,IF(Allocation!$N$4="VOL_CLASS",$M172,$N172)))</f>
        <v/>
      </c>
      <c r="AE172" s="0">
        <f>IF($A172="","",IF(Allocation!$N$3="VOL_EFF",$L172,IF(Allocation!$N$3="VOL_CLASS",$M172,$N172)))</f>
        <v/>
      </c>
      <c r="AF172" s="0">
        <f>IF($A172="","",IF(Allocation!$N$3="VOL_EFF",$Q172,IF(Allocation!$N$3="VOL_CLASS",$R172,$S172)))</f>
        <v/>
      </c>
      <c r="AG172" s="0">
        <f>IF($A172="","",IF(Allocation!$N$1="VOL_EFF",$Q172,IF(Allocation!$N$1="VOL_CLASS",$R172,$S172)))</f>
        <v/>
      </c>
      <c r="AH172" s="0">
        <f>IF($A172="","",IF(Allocation!$N$1="VOL_EFF",$T172,IF(Allocation!$N$1="VOL_CLASS",$U172,$V172)))</f>
        <v/>
      </c>
      <c r="AI172" s="0">
        <f>IF($A172="","",$W172*IFERROR($K172/$O172,0))</f>
        <v/>
      </c>
      <c r="AJ172" s="0">
        <f>IF($A172="","",$X172*IFERROR($K172/$O172,0))</f>
        <v/>
      </c>
      <c r="AK172" s="0">
        <f>IF($A172="","",$Y172*IFERROR($G172/$L172,0)+$Z172*IFERROR($J172/$P172,0))</f>
        <v/>
      </c>
      <c r="AL172" s="0">
        <f>IF($A172="","",$AA172*IFERROR($AC172/$AD172,0))</f>
        <v/>
      </c>
      <c r="AM172" s="0">
        <f>IF($A172="","",$AB172*IFERROR($AG172/$AH172,0)*IFERROR($AE172/$AF172,0)*IFERROR($AC172/$AD172,0))</f>
        <v/>
      </c>
      <c r="AN172" s="0">
        <f>IF($A172="","",$I172-($AI172+$AJ172+$AK172+$AL172+$AM172+$AR172))</f>
        <v/>
      </c>
      <c r="AO172" s="0">
        <f>IF($A172="","",Allocation!CJ172)</f>
        <v/>
      </c>
      <c r="AP172" s="0">
        <f>IF($A172="","",IF(Allocation!$N$2="VOL_EFF",$Q172,IF(Allocation!$N$2="VOL_CLASS",$R172,$S172)))</f>
        <v/>
      </c>
      <c r="AQ172" s="0">
        <f>IF($A172="","",IF(Allocation!$N$2="VOL_EFF",$T172,IF(Allocation!$N$2="VOL_CLASS",$U172,$V172)))</f>
        <v/>
      </c>
      <c r="AR172" s="0">
        <f>IF($A172="","",$AO172*IFERROR($AP172/$AQ172,0)*IFERROR($AE172/$AF172,0)*IFERROR($AC172/$AD172,0))</f>
        <v/>
      </c>
      <c r="AS172" s="0">
        <f>IF($A172="","",$A172&amp;"|"&amp;Allocation!BG172)</f>
        <v/>
      </c>
    </row>
    <row r="173" ht="14.4975" customHeight="1" s="64">
      <c r="A173" s="0">
        <f>IF(Allocation!BI173="","",Allocation!BI173)</f>
        <v/>
      </c>
      <c r="B173" s="0">
        <f>IF(Allocation!BJ173="","",Allocation!BJ173)</f>
        <v/>
      </c>
      <c r="C173" s="0">
        <f>IF(Allocation!BK173="","",Allocation!BK173)</f>
        <v/>
      </c>
      <c r="D173" s="0">
        <f>IF(Allocation!BL173="","",Allocation!BL173)</f>
        <v/>
      </c>
      <c r="E173" s="0">
        <f>IF(Allocation!BM173="","",Allocation!BM173)</f>
        <v/>
      </c>
      <c r="F173" s="0">
        <f>IF(Allocation!BN173="","",Allocation!BN173)</f>
        <v/>
      </c>
      <c r="G173" s="0">
        <f>IF(Allocation!BO173="","",Allocation!BO173)</f>
        <v/>
      </c>
      <c r="H173" s="0">
        <f>IF(Allocation!BP173="","",Allocation!BP173)</f>
        <v/>
      </c>
      <c r="I173" s="0">
        <f>IF(Allocation!BQ173="","",Allocation!BQ173)</f>
        <v/>
      </c>
      <c r="J173" s="0">
        <f>IF(Allocation!CC173="","",Allocation!CC173)</f>
        <v/>
      </c>
      <c r="K173" s="0">
        <f>IF($A173="","",$H173*IF(AND(LEFT($D173,3)="BAC",$F173="INIT"),600,IF(LEFT($D173,3)="BAC",480,IF(AND(LEFT($D173,3)="MAS",$F173="INIT"),520,IF(LEFT($D173,3)="MAS",420,IF($F173="INIT",1000,700))))))</f>
        <v/>
      </c>
      <c r="L173" s="0">
        <f>IF($A173="","",SUMIFS($G$1:$G$349,$AS$1:$AS$349,$AS173,$B$1:$B$349,$B173))</f>
        <v/>
      </c>
      <c r="M173" s="0">
        <f>IF($A173="","",SUMIFS($H$1:$H$349,$AS$1:$AS$349,$AS173,$B$1:$B$349,$B173))</f>
        <v/>
      </c>
      <c r="N173" s="0">
        <f>IF($A173="","",SUMIFS($I$1:$I$349,$AS$1:$AS$349,$AS173,$B$1:$B$349,$B173))</f>
        <v/>
      </c>
      <c r="O173" s="0">
        <f>IF($A173="","",SUMIFS($K$1:$K$349,$AS$1:$AS$349,$AS173,$B$1:$B$349,$B173))</f>
        <v/>
      </c>
      <c r="P173" s="0">
        <f>IF($A173="","",SUMIFS($J$1:$J$349,$AS$1:$AS$349,$AS173,$B$1:$B$349,$B173))</f>
        <v/>
      </c>
      <c r="Q173" s="0">
        <f>IF($A173="","",SUMIFS($G$1:$G$349,$AS$1:$AS$349,$AS173,$C$1:$C$349,$C173))</f>
        <v/>
      </c>
      <c r="R173" s="0">
        <f>IF($A173="","",SUMIFS($H$1:$H$349,$AS$1:$AS$349,$AS173,$C$1:$C$349,$C173))</f>
        <v/>
      </c>
      <c r="S173" s="0">
        <f>IF($A173="","",SUMIFS($I$1:$I$349,$AS$1:$AS$349,$AS173,$C$1:$C$349,$C173))</f>
        <v/>
      </c>
      <c r="T173" s="0">
        <f>IF($A173="","",SUMIFS($G$1:$G$349,$AS$1:$AS$349,$AS173))</f>
        <v/>
      </c>
      <c r="U173" s="0">
        <f>IF($A173="","",SUMIFS($H$1:$H$349,$AS$1:$AS$349,$AS173))</f>
        <v/>
      </c>
      <c r="V173" s="0">
        <f>IF($A173="","",SUMIFS($I$1:$I$349,$AS$1:$AS$349,$AS173))</f>
        <v/>
      </c>
      <c r="W173" s="0">
        <f>IF($A173="","",Allocation!CD173)</f>
        <v/>
      </c>
      <c r="X173" s="0">
        <f>IF($A173="","",Allocation!CE173)</f>
        <v/>
      </c>
      <c r="Y173" s="0">
        <f>IF($A173="","",Allocation!CF173)</f>
        <v/>
      </c>
      <c r="Z173" s="0">
        <f>IF($A173="","",Allocation!CG173)</f>
        <v/>
      </c>
      <c r="AA173" s="0">
        <f>IF($A173="","",Allocation!CH173)</f>
        <v/>
      </c>
      <c r="AB173" s="0">
        <f>IF($A173="","",Allocation!CI173)</f>
        <v/>
      </c>
      <c r="AC173" s="0">
        <f>IF($A173="","",IF(Allocation!$N$4="VOL_EFF",$G173,IF(Allocation!$N$4="VOL_CLASS",$H173,$I173)))</f>
        <v/>
      </c>
      <c r="AD173" s="0">
        <f>IF($A173="","",IF(Allocation!$N$4="VOL_EFF",$L173,IF(Allocation!$N$4="VOL_CLASS",$M173,$N173)))</f>
        <v/>
      </c>
      <c r="AE173" s="0">
        <f>IF($A173="","",IF(Allocation!$N$3="VOL_EFF",$L173,IF(Allocation!$N$3="VOL_CLASS",$M173,$N173)))</f>
        <v/>
      </c>
      <c r="AF173" s="0">
        <f>IF($A173="","",IF(Allocation!$N$3="VOL_EFF",$Q173,IF(Allocation!$N$3="VOL_CLASS",$R173,$S173)))</f>
        <v/>
      </c>
      <c r="AG173" s="0">
        <f>IF($A173="","",IF(Allocation!$N$1="VOL_EFF",$Q173,IF(Allocation!$N$1="VOL_CLASS",$R173,$S173)))</f>
        <v/>
      </c>
      <c r="AH173" s="0">
        <f>IF($A173="","",IF(Allocation!$N$1="VOL_EFF",$T173,IF(Allocation!$N$1="VOL_CLASS",$U173,$V173)))</f>
        <v/>
      </c>
      <c r="AI173" s="0">
        <f>IF($A173="","",$W173*IFERROR($K173/$O173,0))</f>
        <v/>
      </c>
      <c r="AJ173" s="0">
        <f>IF($A173="","",$X173*IFERROR($K173/$O173,0))</f>
        <v/>
      </c>
      <c r="AK173" s="0">
        <f>IF($A173="","",$Y173*IFERROR($G173/$L173,0)+$Z173*IFERROR($J173/$P173,0))</f>
        <v/>
      </c>
      <c r="AL173" s="0">
        <f>IF($A173="","",$AA173*IFERROR($AC173/$AD173,0))</f>
        <v/>
      </c>
      <c r="AM173" s="0">
        <f>IF($A173="","",$AB173*IFERROR($AG173/$AH173,0)*IFERROR($AE173/$AF173,0)*IFERROR($AC173/$AD173,0))</f>
        <v/>
      </c>
      <c r="AN173" s="0">
        <f>IF($A173="","",$I173-($AI173+$AJ173+$AK173+$AL173+$AM173+$AR173))</f>
        <v/>
      </c>
      <c r="AO173" s="0">
        <f>IF($A173="","",Allocation!CJ173)</f>
        <v/>
      </c>
      <c r="AP173" s="0">
        <f>IF($A173="","",IF(Allocation!$N$2="VOL_EFF",$Q173,IF(Allocation!$N$2="VOL_CLASS",$R173,$S173)))</f>
        <v/>
      </c>
      <c r="AQ173" s="0">
        <f>IF($A173="","",IF(Allocation!$N$2="VOL_EFF",$T173,IF(Allocation!$N$2="VOL_CLASS",$U173,$V173)))</f>
        <v/>
      </c>
      <c r="AR173" s="0">
        <f>IF($A173="","",$AO173*IFERROR($AP173/$AQ173,0)*IFERROR($AE173/$AF173,0)*IFERROR($AC173/$AD173,0))</f>
        <v/>
      </c>
      <c r="AS173" s="0">
        <f>IF($A173="","",$A173&amp;"|"&amp;Allocation!BG173)</f>
        <v/>
      </c>
    </row>
    <row r="174" ht="14.4975" customHeight="1" s="64">
      <c r="A174" s="0">
        <f>IF(Allocation!BI174="","",Allocation!BI174)</f>
        <v/>
      </c>
      <c r="B174" s="0">
        <f>IF(Allocation!BJ174="","",Allocation!BJ174)</f>
        <v/>
      </c>
      <c r="C174" s="0">
        <f>IF(Allocation!BK174="","",Allocation!BK174)</f>
        <v/>
      </c>
      <c r="D174" s="0">
        <f>IF(Allocation!BL174="","",Allocation!BL174)</f>
        <v/>
      </c>
      <c r="E174" s="0">
        <f>IF(Allocation!BM174="","",Allocation!BM174)</f>
        <v/>
      </c>
      <c r="F174" s="0">
        <f>IF(Allocation!BN174="","",Allocation!BN174)</f>
        <v/>
      </c>
      <c r="G174" s="0">
        <f>IF(Allocation!BO174="","",Allocation!BO174)</f>
        <v/>
      </c>
      <c r="H174" s="0">
        <f>IF(Allocation!BP174="","",Allocation!BP174)</f>
        <v/>
      </c>
      <c r="I174" s="0">
        <f>IF(Allocation!BQ174="","",Allocation!BQ174)</f>
        <v/>
      </c>
      <c r="J174" s="0">
        <f>IF(Allocation!CC174="","",Allocation!CC174)</f>
        <v/>
      </c>
      <c r="K174" s="0">
        <f>IF($A174="","",$H174*IF(AND(LEFT($D174,3)="BAC",$F174="INIT"),600,IF(LEFT($D174,3)="BAC",480,IF(AND(LEFT($D174,3)="MAS",$F174="INIT"),520,IF(LEFT($D174,3)="MAS",420,IF($F174="INIT",1000,700))))))</f>
        <v/>
      </c>
      <c r="L174" s="0">
        <f>IF($A174="","",SUMIFS($G$1:$G$349,$AS$1:$AS$349,$AS174,$B$1:$B$349,$B174))</f>
        <v/>
      </c>
      <c r="M174" s="0">
        <f>IF($A174="","",SUMIFS($H$1:$H$349,$AS$1:$AS$349,$AS174,$B$1:$B$349,$B174))</f>
        <v/>
      </c>
      <c r="N174" s="0">
        <f>IF($A174="","",SUMIFS($I$1:$I$349,$AS$1:$AS$349,$AS174,$B$1:$B$349,$B174))</f>
        <v/>
      </c>
      <c r="O174" s="0">
        <f>IF($A174="","",SUMIFS($K$1:$K$349,$AS$1:$AS$349,$AS174,$B$1:$B$349,$B174))</f>
        <v/>
      </c>
      <c r="P174" s="0">
        <f>IF($A174="","",SUMIFS($J$1:$J$349,$AS$1:$AS$349,$AS174,$B$1:$B$349,$B174))</f>
        <v/>
      </c>
      <c r="Q174" s="0">
        <f>IF($A174="","",SUMIFS($G$1:$G$349,$AS$1:$AS$349,$AS174,$C$1:$C$349,$C174))</f>
        <v/>
      </c>
      <c r="R174" s="0">
        <f>IF($A174="","",SUMIFS($H$1:$H$349,$AS$1:$AS$349,$AS174,$C$1:$C$349,$C174))</f>
        <v/>
      </c>
      <c r="S174" s="0">
        <f>IF($A174="","",SUMIFS($I$1:$I$349,$AS$1:$AS$349,$AS174,$C$1:$C$349,$C174))</f>
        <v/>
      </c>
      <c r="T174" s="0">
        <f>IF($A174="","",SUMIFS($G$1:$G$349,$AS$1:$AS$349,$AS174))</f>
        <v/>
      </c>
      <c r="U174" s="0">
        <f>IF($A174="","",SUMIFS($H$1:$H$349,$AS$1:$AS$349,$AS174))</f>
        <v/>
      </c>
      <c r="V174" s="0">
        <f>IF($A174="","",SUMIFS($I$1:$I$349,$AS$1:$AS$349,$AS174))</f>
        <v/>
      </c>
      <c r="W174" s="0">
        <f>IF($A174="","",Allocation!CD174)</f>
        <v/>
      </c>
      <c r="X174" s="0">
        <f>IF($A174="","",Allocation!CE174)</f>
        <v/>
      </c>
      <c r="Y174" s="0">
        <f>IF($A174="","",Allocation!CF174)</f>
        <v/>
      </c>
      <c r="Z174" s="0">
        <f>IF($A174="","",Allocation!CG174)</f>
        <v/>
      </c>
      <c r="AA174" s="0">
        <f>IF($A174="","",Allocation!CH174)</f>
        <v/>
      </c>
      <c r="AB174" s="0">
        <f>IF($A174="","",Allocation!CI174)</f>
        <v/>
      </c>
      <c r="AC174" s="0">
        <f>IF($A174="","",IF(Allocation!$N$4="VOL_EFF",$G174,IF(Allocation!$N$4="VOL_CLASS",$H174,$I174)))</f>
        <v/>
      </c>
      <c r="AD174" s="0">
        <f>IF($A174="","",IF(Allocation!$N$4="VOL_EFF",$L174,IF(Allocation!$N$4="VOL_CLASS",$M174,$N174)))</f>
        <v/>
      </c>
      <c r="AE174" s="0">
        <f>IF($A174="","",IF(Allocation!$N$3="VOL_EFF",$L174,IF(Allocation!$N$3="VOL_CLASS",$M174,$N174)))</f>
        <v/>
      </c>
      <c r="AF174" s="0">
        <f>IF($A174="","",IF(Allocation!$N$3="VOL_EFF",$Q174,IF(Allocation!$N$3="VOL_CLASS",$R174,$S174)))</f>
        <v/>
      </c>
      <c r="AG174" s="0">
        <f>IF($A174="","",IF(Allocation!$N$1="VOL_EFF",$Q174,IF(Allocation!$N$1="VOL_CLASS",$R174,$S174)))</f>
        <v/>
      </c>
      <c r="AH174" s="0">
        <f>IF($A174="","",IF(Allocation!$N$1="VOL_EFF",$T174,IF(Allocation!$N$1="VOL_CLASS",$U174,$V174)))</f>
        <v/>
      </c>
      <c r="AI174" s="0">
        <f>IF($A174="","",$W174*IFERROR($K174/$O174,0))</f>
        <v/>
      </c>
      <c r="AJ174" s="0">
        <f>IF($A174="","",$X174*IFERROR($K174/$O174,0))</f>
        <v/>
      </c>
      <c r="AK174" s="0">
        <f>IF($A174="","",$Y174*IFERROR($G174/$L174,0)+$Z174*IFERROR($J174/$P174,0))</f>
        <v/>
      </c>
      <c r="AL174" s="0">
        <f>IF($A174="","",$AA174*IFERROR($AC174/$AD174,0))</f>
        <v/>
      </c>
      <c r="AM174" s="0">
        <f>IF($A174="","",$AB174*IFERROR($AG174/$AH174,0)*IFERROR($AE174/$AF174,0)*IFERROR($AC174/$AD174,0))</f>
        <v/>
      </c>
      <c r="AN174" s="0">
        <f>IF($A174="","",$I174-($AI174+$AJ174+$AK174+$AL174+$AM174+$AR174))</f>
        <v/>
      </c>
      <c r="AO174" s="0">
        <f>IF($A174="","",Allocation!CJ174)</f>
        <v/>
      </c>
      <c r="AP174" s="0">
        <f>IF($A174="","",IF(Allocation!$N$2="VOL_EFF",$Q174,IF(Allocation!$N$2="VOL_CLASS",$R174,$S174)))</f>
        <v/>
      </c>
      <c r="AQ174" s="0">
        <f>IF($A174="","",IF(Allocation!$N$2="VOL_EFF",$T174,IF(Allocation!$N$2="VOL_CLASS",$U174,$V174)))</f>
        <v/>
      </c>
      <c r="AR174" s="0">
        <f>IF($A174="","",$AO174*IFERROR($AP174/$AQ174,0)*IFERROR($AE174/$AF174,0)*IFERROR($AC174/$AD174,0))</f>
        <v/>
      </c>
      <c r="AS174" s="0">
        <f>IF($A174="","",$A174&amp;"|"&amp;Allocation!BG174)</f>
        <v/>
      </c>
    </row>
    <row r="175" ht="14.4975" customHeight="1" s="64">
      <c r="A175" s="0">
        <f>IF(Allocation!BI175="","",Allocation!BI175)</f>
        <v/>
      </c>
      <c r="B175" s="0">
        <f>IF(Allocation!BJ175="","",Allocation!BJ175)</f>
        <v/>
      </c>
      <c r="C175" s="0">
        <f>IF(Allocation!BK175="","",Allocation!BK175)</f>
        <v/>
      </c>
      <c r="D175" s="0">
        <f>IF(Allocation!BL175="","",Allocation!BL175)</f>
        <v/>
      </c>
      <c r="E175" s="0">
        <f>IF(Allocation!BM175="","",Allocation!BM175)</f>
        <v/>
      </c>
      <c r="F175" s="0">
        <f>IF(Allocation!BN175="","",Allocation!BN175)</f>
        <v/>
      </c>
      <c r="G175" s="0">
        <f>IF(Allocation!BO175="","",Allocation!BO175)</f>
        <v/>
      </c>
      <c r="H175" s="0">
        <f>IF(Allocation!BP175="","",Allocation!BP175)</f>
        <v/>
      </c>
      <c r="I175" s="0">
        <f>IF(Allocation!BQ175="","",Allocation!BQ175)</f>
        <v/>
      </c>
      <c r="J175" s="0">
        <f>IF(Allocation!CC175="","",Allocation!CC175)</f>
        <v/>
      </c>
      <c r="K175" s="0">
        <f>IF($A175="","",$H175*IF(AND(LEFT($D175,3)="BAC",$F175="INIT"),600,IF(LEFT($D175,3)="BAC",480,IF(AND(LEFT($D175,3)="MAS",$F175="INIT"),520,IF(LEFT($D175,3)="MAS",420,IF($F175="INIT",1000,700))))))</f>
        <v/>
      </c>
      <c r="L175" s="0">
        <f>IF($A175="","",SUMIFS($G$1:$G$349,$AS$1:$AS$349,$AS175,$B$1:$B$349,$B175))</f>
        <v/>
      </c>
      <c r="M175" s="0">
        <f>IF($A175="","",SUMIFS($H$1:$H$349,$AS$1:$AS$349,$AS175,$B$1:$B$349,$B175))</f>
        <v/>
      </c>
      <c r="N175" s="0">
        <f>IF($A175="","",SUMIFS($I$1:$I$349,$AS$1:$AS$349,$AS175,$B$1:$B$349,$B175))</f>
        <v/>
      </c>
      <c r="O175" s="0">
        <f>IF($A175="","",SUMIFS($K$1:$K$349,$AS$1:$AS$349,$AS175,$B$1:$B$349,$B175))</f>
        <v/>
      </c>
      <c r="P175" s="0">
        <f>IF($A175="","",SUMIFS($J$1:$J$349,$AS$1:$AS$349,$AS175,$B$1:$B$349,$B175))</f>
        <v/>
      </c>
      <c r="Q175" s="0">
        <f>IF($A175="","",SUMIFS($G$1:$G$349,$AS$1:$AS$349,$AS175,$C$1:$C$349,$C175))</f>
        <v/>
      </c>
      <c r="R175" s="0">
        <f>IF($A175="","",SUMIFS($H$1:$H$349,$AS$1:$AS$349,$AS175,$C$1:$C$349,$C175))</f>
        <v/>
      </c>
      <c r="S175" s="0">
        <f>IF($A175="","",SUMIFS($I$1:$I$349,$AS$1:$AS$349,$AS175,$C$1:$C$349,$C175))</f>
        <v/>
      </c>
      <c r="T175" s="0">
        <f>IF($A175="","",SUMIFS($G$1:$G$349,$AS$1:$AS$349,$AS175))</f>
        <v/>
      </c>
      <c r="U175" s="0">
        <f>IF($A175="","",SUMIFS($H$1:$H$349,$AS$1:$AS$349,$AS175))</f>
        <v/>
      </c>
      <c r="V175" s="0">
        <f>IF($A175="","",SUMIFS($I$1:$I$349,$AS$1:$AS$349,$AS175))</f>
        <v/>
      </c>
      <c r="W175" s="0">
        <f>IF($A175="","",Allocation!CD175)</f>
        <v/>
      </c>
      <c r="X175" s="0">
        <f>IF($A175="","",Allocation!CE175)</f>
        <v/>
      </c>
      <c r="Y175" s="0">
        <f>IF($A175="","",Allocation!CF175)</f>
        <v/>
      </c>
      <c r="Z175" s="0">
        <f>IF($A175="","",Allocation!CG175)</f>
        <v/>
      </c>
      <c r="AA175" s="0">
        <f>IF($A175="","",Allocation!CH175)</f>
        <v/>
      </c>
      <c r="AB175" s="0">
        <f>IF($A175="","",Allocation!CI175)</f>
        <v/>
      </c>
      <c r="AC175" s="0">
        <f>IF($A175="","",IF(Allocation!$N$4="VOL_EFF",$G175,IF(Allocation!$N$4="VOL_CLASS",$H175,$I175)))</f>
        <v/>
      </c>
      <c r="AD175" s="0">
        <f>IF($A175="","",IF(Allocation!$N$4="VOL_EFF",$L175,IF(Allocation!$N$4="VOL_CLASS",$M175,$N175)))</f>
        <v/>
      </c>
      <c r="AE175" s="0">
        <f>IF($A175="","",IF(Allocation!$N$3="VOL_EFF",$L175,IF(Allocation!$N$3="VOL_CLASS",$M175,$N175)))</f>
        <v/>
      </c>
      <c r="AF175" s="0">
        <f>IF($A175="","",IF(Allocation!$N$3="VOL_EFF",$Q175,IF(Allocation!$N$3="VOL_CLASS",$R175,$S175)))</f>
        <v/>
      </c>
      <c r="AG175" s="0">
        <f>IF($A175="","",IF(Allocation!$N$1="VOL_EFF",$Q175,IF(Allocation!$N$1="VOL_CLASS",$R175,$S175)))</f>
        <v/>
      </c>
      <c r="AH175" s="0">
        <f>IF($A175="","",IF(Allocation!$N$1="VOL_EFF",$T175,IF(Allocation!$N$1="VOL_CLASS",$U175,$V175)))</f>
        <v/>
      </c>
      <c r="AI175" s="0">
        <f>IF($A175="","",$W175*IFERROR($K175/$O175,0))</f>
        <v/>
      </c>
      <c r="AJ175" s="0">
        <f>IF($A175="","",$X175*IFERROR($K175/$O175,0))</f>
        <v/>
      </c>
      <c r="AK175" s="0">
        <f>IF($A175="","",$Y175*IFERROR($G175/$L175,0)+$Z175*IFERROR($J175/$P175,0))</f>
        <v/>
      </c>
      <c r="AL175" s="0">
        <f>IF($A175="","",$AA175*IFERROR($AC175/$AD175,0))</f>
        <v/>
      </c>
      <c r="AM175" s="0">
        <f>IF($A175="","",$AB175*IFERROR($AG175/$AH175,0)*IFERROR($AE175/$AF175,0)*IFERROR($AC175/$AD175,0))</f>
        <v/>
      </c>
      <c r="AN175" s="0">
        <f>IF($A175="","",$I175-($AI175+$AJ175+$AK175+$AL175+$AM175+$AR175))</f>
        <v/>
      </c>
      <c r="AO175" s="0">
        <f>IF($A175="","",Allocation!CJ175)</f>
        <v/>
      </c>
      <c r="AP175" s="0">
        <f>IF($A175="","",IF(Allocation!$N$2="VOL_EFF",$Q175,IF(Allocation!$N$2="VOL_CLASS",$R175,$S175)))</f>
        <v/>
      </c>
      <c r="AQ175" s="0">
        <f>IF($A175="","",IF(Allocation!$N$2="VOL_EFF",$T175,IF(Allocation!$N$2="VOL_CLASS",$U175,$V175)))</f>
        <v/>
      </c>
      <c r="AR175" s="0">
        <f>IF($A175="","",$AO175*IFERROR($AP175/$AQ175,0)*IFERROR($AE175/$AF175,0)*IFERROR($AC175/$AD175,0))</f>
        <v/>
      </c>
      <c r="AS175" s="0">
        <f>IF($A175="","",$A175&amp;"|"&amp;Allocation!BG175)</f>
        <v/>
      </c>
    </row>
    <row r="176" ht="14.4975" customHeight="1" s="64">
      <c r="A176" s="0">
        <f>IF(Allocation!BI176="","",Allocation!BI176)</f>
        <v/>
      </c>
      <c r="B176" s="0">
        <f>IF(Allocation!BJ176="","",Allocation!BJ176)</f>
        <v/>
      </c>
      <c r="C176" s="0">
        <f>IF(Allocation!BK176="","",Allocation!BK176)</f>
        <v/>
      </c>
      <c r="D176" s="0">
        <f>IF(Allocation!BL176="","",Allocation!BL176)</f>
        <v/>
      </c>
      <c r="E176" s="0">
        <f>IF(Allocation!BM176="","",Allocation!BM176)</f>
        <v/>
      </c>
      <c r="F176" s="0">
        <f>IF(Allocation!BN176="","",Allocation!BN176)</f>
        <v/>
      </c>
      <c r="G176" s="0">
        <f>IF(Allocation!BO176="","",Allocation!BO176)</f>
        <v/>
      </c>
      <c r="H176" s="0">
        <f>IF(Allocation!BP176="","",Allocation!BP176)</f>
        <v/>
      </c>
      <c r="I176" s="0">
        <f>IF(Allocation!BQ176="","",Allocation!BQ176)</f>
        <v/>
      </c>
      <c r="J176" s="0">
        <f>IF(Allocation!CC176="","",Allocation!CC176)</f>
        <v/>
      </c>
      <c r="K176" s="0">
        <f>IF($A176="","",$H176*IF(AND(LEFT($D176,3)="BAC",$F176="INIT"),600,IF(LEFT($D176,3)="BAC",480,IF(AND(LEFT($D176,3)="MAS",$F176="INIT"),520,IF(LEFT($D176,3)="MAS",420,IF($F176="INIT",1000,700))))))</f>
        <v/>
      </c>
      <c r="L176" s="0">
        <f>IF($A176="","",SUMIFS($G$1:$G$349,$AS$1:$AS$349,$AS176,$B$1:$B$349,$B176))</f>
        <v/>
      </c>
      <c r="M176" s="0">
        <f>IF($A176="","",SUMIFS($H$1:$H$349,$AS$1:$AS$349,$AS176,$B$1:$B$349,$B176))</f>
        <v/>
      </c>
      <c r="N176" s="0">
        <f>IF($A176="","",SUMIFS($I$1:$I$349,$AS$1:$AS$349,$AS176,$B$1:$B$349,$B176))</f>
        <v/>
      </c>
      <c r="O176" s="0">
        <f>IF($A176="","",SUMIFS($K$1:$K$349,$AS$1:$AS$349,$AS176,$B$1:$B$349,$B176))</f>
        <v/>
      </c>
      <c r="P176" s="0">
        <f>IF($A176="","",SUMIFS($J$1:$J$349,$AS$1:$AS$349,$AS176,$B$1:$B$349,$B176))</f>
        <v/>
      </c>
      <c r="Q176" s="0">
        <f>IF($A176="","",SUMIFS($G$1:$G$349,$AS$1:$AS$349,$AS176,$C$1:$C$349,$C176))</f>
        <v/>
      </c>
      <c r="R176" s="0">
        <f>IF($A176="","",SUMIFS($H$1:$H$349,$AS$1:$AS$349,$AS176,$C$1:$C$349,$C176))</f>
        <v/>
      </c>
      <c r="S176" s="0">
        <f>IF($A176="","",SUMIFS($I$1:$I$349,$AS$1:$AS$349,$AS176,$C$1:$C$349,$C176))</f>
        <v/>
      </c>
      <c r="T176" s="0">
        <f>IF($A176="","",SUMIFS($G$1:$G$349,$AS$1:$AS$349,$AS176))</f>
        <v/>
      </c>
      <c r="U176" s="0">
        <f>IF($A176="","",SUMIFS($H$1:$H$349,$AS$1:$AS$349,$AS176))</f>
        <v/>
      </c>
      <c r="V176" s="0">
        <f>IF($A176="","",SUMIFS($I$1:$I$349,$AS$1:$AS$349,$AS176))</f>
        <v/>
      </c>
      <c r="W176" s="0">
        <f>IF($A176="","",Allocation!CD176)</f>
        <v/>
      </c>
      <c r="X176" s="0">
        <f>IF($A176="","",Allocation!CE176)</f>
        <v/>
      </c>
      <c r="Y176" s="0">
        <f>IF($A176="","",Allocation!CF176)</f>
        <v/>
      </c>
      <c r="Z176" s="0">
        <f>IF($A176="","",Allocation!CG176)</f>
        <v/>
      </c>
      <c r="AA176" s="0">
        <f>IF($A176="","",Allocation!CH176)</f>
        <v/>
      </c>
      <c r="AB176" s="0">
        <f>IF($A176="","",Allocation!CI176)</f>
        <v/>
      </c>
      <c r="AC176" s="0">
        <f>IF($A176="","",IF(Allocation!$N$4="VOL_EFF",$G176,IF(Allocation!$N$4="VOL_CLASS",$H176,$I176)))</f>
        <v/>
      </c>
      <c r="AD176" s="0">
        <f>IF($A176="","",IF(Allocation!$N$4="VOL_EFF",$L176,IF(Allocation!$N$4="VOL_CLASS",$M176,$N176)))</f>
        <v/>
      </c>
      <c r="AE176" s="0">
        <f>IF($A176="","",IF(Allocation!$N$3="VOL_EFF",$L176,IF(Allocation!$N$3="VOL_CLASS",$M176,$N176)))</f>
        <v/>
      </c>
      <c r="AF176" s="0">
        <f>IF($A176="","",IF(Allocation!$N$3="VOL_EFF",$Q176,IF(Allocation!$N$3="VOL_CLASS",$R176,$S176)))</f>
        <v/>
      </c>
      <c r="AG176" s="0">
        <f>IF($A176="","",IF(Allocation!$N$1="VOL_EFF",$Q176,IF(Allocation!$N$1="VOL_CLASS",$R176,$S176)))</f>
        <v/>
      </c>
      <c r="AH176" s="0">
        <f>IF($A176="","",IF(Allocation!$N$1="VOL_EFF",$T176,IF(Allocation!$N$1="VOL_CLASS",$U176,$V176)))</f>
        <v/>
      </c>
      <c r="AI176" s="0">
        <f>IF($A176="","",$W176*IFERROR($K176/$O176,0))</f>
        <v/>
      </c>
      <c r="AJ176" s="0">
        <f>IF($A176="","",$X176*IFERROR($K176/$O176,0))</f>
        <v/>
      </c>
      <c r="AK176" s="0">
        <f>IF($A176="","",$Y176*IFERROR($G176/$L176,0)+$Z176*IFERROR($J176/$P176,0))</f>
        <v/>
      </c>
      <c r="AL176" s="0">
        <f>IF($A176="","",$AA176*IFERROR($AC176/$AD176,0))</f>
        <v/>
      </c>
      <c r="AM176" s="0">
        <f>IF($A176="","",$AB176*IFERROR($AG176/$AH176,0)*IFERROR($AE176/$AF176,0)*IFERROR($AC176/$AD176,0))</f>
        <v/>
      </c>
      <c r="AN176" s="0">
        <f>IF($A176="","",$I176-($AI176+$AJ176+$AK176+$AL176+$AM176+$AR176))</f>
        <v/>
      </c>
      <c r="AO176" s="0">
        <f>IF($A176="","",Allocation!CJ176)</f>
        <v/>
      </c>
      <c r="AP176" s="0">
        <f>IF($A176="","",IF(Allocation!$N$2="VOL_EFF",$Q176,IF(Allocation!$N$2="VOL_CLASS",$R176,$S176)))</f>
        <v/>
      </c>
      <c r="AQ176" s="0">
        <f>IF($A176="","",IF(Allocation!$N$2="VOL_EFF",$T176,IF(Allocation!$N$2="VOL_CLASS",$U176,$V176)))</f>
        <v/>
      </c>
      <c r="AR176" s="0">
        <f>IF($A176="","",$AO176*IFERROR($AP176/$AQ176,0)*IFERROR($AE176/$AF176,0)*IFERROR($AC176/$AD176,0))</f>
        <v/>
      </c>
      <c r="AS176" s="0">
        <f>IF($A176="","",$A176&amp;"|"&amp;Allocation!BG176)</f>
        <v/>
      </c>
    </row>
    <row r="177" ht="14.4975" customHeight="1" s="64">
      <c r="A177" s="0">
        <f>IF(Allocation!BI177="","",Allocation!BI177)</f>
        <v/>
      </c>
      <c r="B177" s="0">
        <f>IF(Allocation!BJ177="","",Allocation!BJ177)</f>
        <v/>
      </c>
      <c r="C177" s="0">
        <f>IF(Allocation!BK177="","",Allocation!BK177)</f>
        <v/>
      </c>
      <c r="D177" s="0">
        <f>IF(Allocation!BL177="","",Allocation!BL177)</f>
        <v/>
      </c>
      <c r="E177" s="0">
        <f>IF(Allocation!BM177="","",Allocation!BM177)</f>
        <v/>
      </c>
      <c r="F177" s="0">
        <f>IF(Allocation!BN177="","",Allocation!BN177)</f>
        <v/>
      </c>
      <c r="G177" s="0">
        <f>IF(Allocation!BO177="","",Allocation!BO177)</f>
        <v/>
      </c>
      <c r="H177" s="0">
        <f>IF(Allocation!BP177="","",Allocation!BP177)</f>
        <v/>
      </c>
      <c r="I177" s="0">
        <f>IF(Allocation!BQ177="","",Allocation!BQ177)</f>
        <v/>
      </c>
      <c r="J177" s="0">
        <f>IF(Allocation!CC177="","",Allocation!CC177)</f>
        <v/>
      </c>
      <c r="K177" s="0">
        <f>IF($A177="","",$H177*IF(AND(LEFT($D177,3)="BAC",$F177="INIT"),600,IF(LEFT($D177,3)="BAC",480,IF(AND(LEFT($D177,3)="MAS",$F177="INIT"),520,IF(LEFT($D177,3)="MAS",420,IF($F177="INIT",1000,700))))))</f>
        <v/>
      </c>
      <c r="L177" s="0">
        <f>IF($A177="","",SUMIFS($G$1:$G$349,$AS$1:$AS$349,$AS177,$B$1:$B$349,$B177))</f>
        <v/>
      </c>
      <c r="M177" s="0">
        <f>IF($A177="","",SUMIFS($H$1:$H$349,$AS$1:$AS$349,$AS177,$B$1:$B$349,$B177))</f>
        <v/>
      </c>
      <c r="N177" s="0">
        <f>IF($A177="","",SUMIFS($I$1:$I$349,$AS$1:$AS$349,$AS177,$B$1:$B$349,$B177))</f>
        <v/>
      </c>
      <c r="O177" s="0">
        <f>IF($A177="","",SUMIFS($K$1:$K$349,$AS$1:$AS$349,$AS177,$B$1:$B$349,$B177))</f>
        <v/>
      </c>
      <c r="P177" s="0">
        <f>IF($A177="","",SUMIFS($J$1:$J$349,$AS$1:$AS$349,$AS177,$B$1:$B$349,$B177))</f>
        <v/>
      </c>
      <c r="Q177" s="0">
        <f>IF($A177="","",SUMIFS($G$1:$G$349,$AS$1:$AS$349,$AS177,$C$1:$C$349,$C177))</f>
        <v/>
      </c>
      <c r="R177" s="0">
        <f>IF($A177="","",SUMIFS($H$1:$H$349,$AS$1:$AS$349,$AS177,$C$1:$C$349,$C177))</f>
        <v/>
      </c>
      <c r="S177" s="0">
        <f>IF($A177="","",SUMIFS($I$1:$I$349,$AS$1:$AS$349,$AS177,$C$1:$C$349,$C177))</f>
        <v/>
      </c>
      <c r="T177" s="0">
        <f>IF($A177="","",SUMIFS($G$1:$G$349,$AS$1:$AS$349,$AS177))</f>
        <v/>
      </c>
      <c r="U177" s="0">
        <f>IF($A177="","",SUMIFS($H$1:$H$349,$AS$1:$AS$349,$AS177))</f>
        <v/>
      </c>
      <c r="V177" s="0">
        <f>IF($A177="","",SUMIFS($I$1:$I$349,$AS$1:$AS$349,$AS177))</f>
        <v/>
      </c>
      <c r="W177" s="0">
        <f>IF($A177="","",Allocation!CD177)</f>
        <v/>
      </c>
      <c r="X177" s="0">
        <f>IF($A177="","",Allocation!CE177)</f>
        <v/>
      </c>
      <c r="Y177" s="0">
        <f>IF($A177="","",Allocation!CF177)</f>
        <v/>
      </c>
      <c r="Z177" s="0">
        <f>IF($A177="","",Allocation!CG177)</f>
        <v/>
      </c>
      <c r="AA177" s="0">
        <f>IF($A177="","",Allocation!CH177)</f>
        <v/>
      </c>
      <c r="AB177" s="0">
        <f>IF($A177="","",Allocation!CI177)</f>
        <v/>
      </c>
      <c r="AC177" s="0">
        <f>IF($A177="","",IF(Allocation!$N$4="VOL_EFF",$G177,IF(Allocation!$N$4="VOL_CLASS",$H177,$I177)))</f>
        <v/>
      </c>
      <c r="AD177" s="0">
        <f>IF($A177="","",IF(Allocation!$N$4="VOL_EFF",$L177,IF(Allocation!$N$4="VOL_CLASS",$M177,$N177)))</f>
        <v/>
      </c>
      <c r="AE177" s="0">
        <f>IF($A177="","",IF(Allocation!$N$3="VOL_EFF",$L177,IF(Allocation!$N$3="VOL_CLASS",$M177,$N177)))</f>
        <v/>
      </c>
      <c r="AF177" s="0">
        <f>IF($A177="","",IF(Allocation!$N$3="VOL_EFF",$Q177,IF(Allocation!$N$3="VOL_CLASS",$R177,$S177)))</f>
        <v/>
      </c>
      <c r="AG177" s="0">
        <f>IF($A177="","",IF(Allocation!$N$1="VOL_EFF",$Q177,IF(Allocation!$N$1="VOL_CLASS",$R177,$S177)))</f>
        <v/>
      </c>
      <c r="AH177" s="0">
        <f>IF($A177="","",IF(Allocation!$N$1="VOL_EFF",$T177,IF(Allocation!$N$1="VOL_CLASS",$U177,$V177)))</f>
        <v/>
      </c>
      <c r="AI177" s="0">
        <f>IF($A177="","",$W177*IFERROR($K177/$O177,0))</f>
        <v/>
      </c>
      <c r="AJ177" s="0">
        <f>IF($A177="","",$X177*IFERROR($K177/$O177,0))</f>
        <v/>
      </c>
      <c r="AK177" s="0">
        <f>IF($A177="","",$Y177*IFERROR($G177/$L177,0)+$Z177*IFERROR($J177/$P177,0))</f>
        <v/>
      </c>
      <c r="AL177" s="0">
        <f>IF($A177="","",$AA177*IFERROR($AC177/$AD177,0))</f>
        <v/>
      </c>
      <c r="AM177" s="0">
        <f>IF($A177="","",$AB177*IFERROR($AG177/$AH177,0)*IFERROR($AE177/$AF177,0)*IFERROR($AC177/$AD177,0))</f>
        <v/>
      </c>
      <c r="AN177" s="0">
        <f>IF($A177="","",$I177-($AI177+$AJ177+$AK177+$AL177+$AM177+$AR177))</f>
        <v/>
      </c>
      <c r="AO177" s="0">
        <f>IF($A177="","",Allocation!CJ177)</f>
        <v/>
      </c>
      <c r="AP177" s="0">
        <f>IF($A177="","",IF(Allocation!$N$2="VOL_EFF",$Q177,IF(Allocation!$N$2="VOL_CLASS",$R177,$S177)))</f>
        <v/>
      </c>
      <c r="AQ177" s="0">
        <f>IF($A177="","",IF(Allocation!$N$2="VOL_EFF",$T177,IF(Allocation!$N$2="VOL_CLASS",$U177,$V177)))</f>
        <v/>
      </c>
      <c r="AR177" s="0">
        <f>IF($A177="","",$AO177*IFERROR($AP177/$AQ177,0)*IFERROR($AE177/$AF177,0)*IFERROR($AC177/$AD177,0))</f>
        <v/>
      </c>
      <c r="AS177" s="0">
        <f>IF($A177="","",$A177&amp;"|"&amp;Allocation!BG177)</f>
        <v/>
      </c>
    </row>
    <row r="178" ht="14.4975" customHeight="1" s="64">
      <c r="A178" s="0">
        <f>IF(Allocation!BI178="","",Allocation!BI178)</f>
        <v/>
      </c>
      <c r="B178" s="0">
        <f>IF(Allocation!BJ178="","",Allocation!BJ178)</f>
        <v/>
      </c>
      <c r="C178" s="0">
        <f>IF(Allocation!BK178="","",Allocation!BK178)</f>
        <v/>
      </c>
      <c r="D178" s="0">
        <f>IF(Allocation!BL178="","",Allocation!BL178)</f>
        <v/>
      </c>
      <c r="E178" s="0">
        <f>IF(Allocation!BM178="","",Allocation!BM178)</f>
        <v/>
      </c>
      <c r="F178" s="0">
        <f>IF(Allocation!BN178="","",Allocation!BN178)</f>
        <v/>
      </c>
      <c r="G178" s="0">
        <f>IF(Allocation!BO178="","",Allocation!BO178)</f>
        <v/>
      </c>
      <c r="H178" s="0">
        <f>IF(Allocation!BP178="","",Allocation!BP178)</f>
        <v/>
      </c>
      <c r="I178" s="0">
        <f>IF(Allocation!BQ178="","",Allocation!BQ178)</f>
        <v/>
      </c>
      <c r="J178" s="0">
        <f>IF(Allocation!CC178="","",Allocation!CC178)</f>
        <v/>
      </c>
      <c r="K178" s="0">
        <f>IF($A178="","",$H178*IF(AND(LEFT($D178,3)="BAC",$F178="INIT"),600,IF(LEFT($D178,3)="BAC",480,IF(AND(LEFT($D178,3)="MAS",$F178="INIT"),520,IF(LEFT($D178,3)="MAS",420,IF($F178="INIT",1000,700))))))</f>
        <v/>
      </c>
      <c r="L178" s="0">
        <f>IF($A178="","",SUMIFS($G$1:$G$349,$AS$1:$AS$349,$AS178,$B$1:$B$349,$B178))</f>
        <v/>
      </c>
      <c r="M178" s="0">
        <f>IF($A178="","",SUMIFS($H$1:$H$349,$AS$1:$AS$349,$AS178,$B$1:$B$349,$B178))</f>
        <v/>
      </c>
      <c r="N178" s="0">
        <f>IF($A178="","",SUMIFS($I$1:$I$349,$AS$1:$AS$349,$AS178,$B$1:$B$349,$B178))</f>
        <v/>
      </c>
      <c r="O178" s="0">
        <f>IF($A178="","",SUMIFS($K$1:$K$349,$AS$1:$AS$349,$AS178,$B$1:$B$349,$B178))</f>
        <v/>
      </c>
      <c r="P178" s="0">
        <f>IF($A178="","",SUMIFS($J$1:$J$349,$AS$1:$AS$349,$AS178,$B$1:$B$349,$B178))</f>
        <v/>
      </c>
      <c r="Q178" s="0">
        <f>IF($A178="","",SUMIFS($G$1:$G$349,$AS$1:$AS$349,$AS178,$C$1:$C$349,$C178))</f>
        <v/>
      </c>
      <c r="R178" s="0">
        <f>IF($A178="","",SUMIFS($H$1:$H$349,$AS$1:$AS$349,$AS178,$C$1:$C$349,$C178))</f>
        <v/>
      </c>
      <c r="S178" s="0">
        <f>IF($A178="","",SUMIFS($I$1:$I$349,$AS$1:$AS$349,$AS178,$C$1:$C$349,$C178))</f>
        <v/>
      </c>
      <c r="T178" s="0">
        <f>IF($A178="","",SUMIFS($G$1:$G$349,$AS$1:$AS$349,$AS178))</f>
        <v/>
      </c>
      <c r="U178" s="0">
        <f>IF($A178="","",SUMIFS($H$1:$H$349,$AS$1:$AS$349,$AS178))</f>
        <v/>
      </c>
      <c r="V178" s="0">
        <f>IF($A178="","",SUMIFS($I$1:$I$349,$AS$1:$AS$349,$AS178))</f>
        <v/>
      </c>
      <c r="W178" s="0">
        <f>IF($A178="","",Allocation!CD178)</f>
        <v/>
      </c>
      <c r="X178" s="0">
        <f>IF($A178="","",Allocation!CE178)</f>
        <v/>
      </c>
      <c r="Y178" s="0">
        <f>IF($A178="","",Allocation!CF178)</f>
        <v/>
      </c>
      <c r="Z178" s="0">
        <f>IF($A178="","",Allocation!CG178)</f>
        <v/>
      </c>
      <c r="AA178" s="0">
        <f>IF($A178="","",Allocation!CH178)</f>
        <v/>
      </c>
      <c r="AB178" s="0">
        <f>IF($A178="","",Allocation!CI178)</f>
        <v/>
      </c>
      <c r="AC178" s="0">
        <f>IF($A178="","",IF(Allocation!$N$4="VOL_EFF",$G178,IF(Allocation!$N$4="VOL_CLASS",$H178,$I178)))</f>
        <v/>
      </c>
      <c r="AD178" s="0">
        <f>IF($A178="","",IF(Allocation!$N$4="VOL_EFF",$L178,IF(Allocation!$N$4="VOL_CLASS",$M178,$N178)))</f>
        <v/>
      </c>
      <c r="AE178" s="0">
        <f>IF($A178="","",IF(Allocation!$N$3="VOL_EFF",$L178,IF(Allocation!$N$3="VOL_CLASS",$M178,$N178)))</f>
        <v/>
      </c>
      <c r="AF178" s="0">
        <f>IF($A178="","",IF(Allocation!$N$3="VOL_EFF",$Q178,IF(Allocation!$N$3="VOL_CLASS",$R178,$S178)))</f>
        <v/>
      </c>
      <c r="AG178" s="0">
        <f>IF($A178="","",IF(Allocation!$N$1="VOL_EFF",$Q178,IF(Allocation!$N$1="VOL_CLASS",$R178,$S178)))</f>
        <v/>
      </c>
      <c r="AH178" s="0">
        <f>IF($A178="","",IF(Allocation!$N$1="VOL_EFF",$T178,IF(Allocation!$N$1="VOL_CLASS",$U178,$V178)))</f>
        <v/>
      </c>
      <c r="AI178" s="0">
        <f>IF($A178="","",$W178*IFERROR($K178/$O178,0))</f>
        <v/>
      </c>
      <c r="AJ178" s="0">
        <f>IF($A178="","",$X178*IFERROR($K178/$O178,0))</f>
        <v/>
      </c>
      <c r="AK178" s="0">
        <f>IF($A178="","",$Y178*IFERROR($G178/$L178,0)+$Z178*IFERROR($J178/$P178,0))</f>
        <v/>
      </c>
      <c r="AL178" s="0">
        <f>IF($A178="","",$AA178*IFERROR($AC178/$AD178,0))</f>
        <v/>
      </c>
      <c r="AM178" s="0">
        <f>IF($A178="","",$AB178*IFERROR($AG178/$AH178,0)*IFERROR($AE178/$AF178,0)*IFERROR($AC178/$AD178,0))</f>
        <v/>
      </c>
      <c r="AN178" s="0">
        <f>IF($A178="","",$I178-($AI178+$AJ178+$AK178+$AL178+$AM178+$AR178))</f>
        <v/>
      </c>
      <c r="AO178" s="0">
        <f>IF($A178="","",Allocation!CJ178)</f>
        <v/>
      </c>
      <c r="AP178" s="0">
        <f>IF($A178="","",IF(Allocation!$N$2="VOL_EFF",$Q178,IF(Allocation!$N$2="VOL_CLASS",$R178,$S178)))</f>
        <v/>
      </c>
      <c r="AQ178" s="0">
        <f>IF($A178="","",IF(Allocation!$N$2="VOL_EFF",$T178,IF(Allocation!$N$2="VOL_CLASS",$U178,$V178)))</f>
        <v/>
      </c>
      <c r="AR178" s="0">
        <f>IF($A178="","",$AO178*IFERROR($AP178/$AQ178,0)*IFERROR($AE178/$AF178,0)*IFERROR($AC178/$AD178,0))</f>
        <v/>
      </c>
      <c r="AS178" s="0">
        <f>IF($A178="","",$A178&amp;"|"&amp;Allocation!BG178)</f>
        <v/>
      </c>
    </row>
    <row r="179" ht="14.4975" customHeight="1" s="64">
      <c r="A179" s="0">
        <f>IF(Allocation!BI179="","",Allocation!BI179)</f>
        <v/>
      </c>
      <c r="B179" s="0">
        <f>IF(Allocation!BJ179="","",Allocation!BJ179)</f>
        <v/>
      </c>
      <c r="C179" s="0">
        <f>IF(Allocation!BK179="","",Allocation!BK179)</f>
        <v/>
      </c>
      <c r="D179" s="0">
        <f>IF(Allocation!BL179="","",Allocation!BL179)</f>
        <v/>
      </c>
      <c r="E179" s="0">
        <f>IF(Allocation!BM179="","",Allocation!BM179)</f>
        <v/>
      </c>
      <c r="F179" s="0">
        <f>IF(Allocation!BN179="","",Allocation!BN179)</f>
        <v/>
      </c>
      <c r="G179" s="0">
        <f>IF(Allocation!BO179="","",Allocation!BO179)</f>
        <v/>
      </c>
      <c r="H179" s="0">
        <f>IF(Allocation!BP179="","",Allocation!BP179)</f>
        <v/>
      </c>
      <c r="I179" s="0">
        <f>IF(Allocation!BQ179="","",Allocation!BQ179)</f>
        <v/>
      </c>
      <c r="J179" s="0">
        <f>IF(Allocation!CC179="","",Allocation!CC179)</f>
        <v/>
      </c>
      <c r="K179" s="0">
        <f>IF($A179="","",$H179*IF(AND(LEFT($D179,3)="BAC",$F179="INIT"),600,IF(LEFT($D179,3)="BAC",480,IF(AND(LEFT($D179,3)="MAS",$F179="INIT"),520,IF(LEFT($D179,3)="MAS",420,IF($F179="INIT",1000,700))))))</f>
        <v/>
      </c>
      <c r="L179" s="0">
        <f>IF($A179="","",SUMIFS($G$1:$G$349,$AS$1:$AS$349,$AS179,$B$1:$B$349,$B179))</f>
        <v/>
      </c>
      <c r="M179" s="0">
        <f>IF($A179="","",SUMIFS($H$1:$H$349,$AS$1:$AS$349,$AS179,$B$1:$B$349,$B179))</f>
        <v/>
      </c>
      <c r="N179" s="0">
        <f>IF($A179="","",SUMIFS($I$1:$I$349,$AS$1:$AS$349,$AS179,$B$1:$B$349,$B179))</f>
        <v/>
      </c>
      <c r="O179" s="0">
        <f>IF($A179="","",SUMIFS($K$1:$K$349,$AS$1:$AS$349,$AS179,$B$1:$B$349,$B179))</f>
        <v/>
      </c>
      <c r="P179" s="0">
        <f>IF($A179="","",SUMIFS($J$1:$J$349,$AS$1:$AS$349,$AS179,$B$1:$B$349,$B179))</f>
        <v/>
      </c>
      <c r="Q179" s="0">
        <f>IF($A179="","",SUMIFS($G$1:$G$349,$AS$1:$AS$349,$AS179,$C$1:$C$349,$C179))</f>
        <v/>
      </c>
      <c r="R179" s="0">
        <f>IF($A179="","",SUMIFS($H$1:$H$349,$AS$1:$AS$349,$AS179,$C$1:$C$349,$C179))</f>
        <v/>
      </c>
      <c r="S179" s="0">
        <f>IF($A179="","",SUMIFS($I$1:$I$349,$AS$1:$AS$349,$AS179,$C$1:$C$349,$C179))</f>
        <v/>
      </c>
      <c r="T179" s="0">
        <f>IF($A179="","",SUMIFS($G$1:$G$349,$AS$1:$AS$349,$AS179))</f>
        <v/>
      </c>
      <c r="U179" s="0">
        <f>IF($A179="","",SUMIFS($H$1:$H$349,$AS$1:$AS$349,$AS179))</f>
        <v/>
      </c>
      <c r="V179" s="0">
        <f>IF($A179="","",SUMIFS($I$1:$I$349,$AS$1:$AS$349,$AS179))</f>
        <v/>
      </c>
      <c r="W179" s="0">
        <f>IF($A179="","",Allocation!CD179)</f>
        <v/>
      </c>
      <c r="X179" s="0">
        <f>IF($A179="","",Allocation!CE179)</f>
        <v/>
      </c>
      <c r="Y179" s="0">
        <f>IF($A179="","",Allocation!CF179)</f>
        <v/>
      </c>
      <c r="Z179" s="0">
        <f>IF($A179="","",Allocation!CG179)</f>
        <v/>
      </c>
      <c r="AA179" s="0">
        <f>IF($A179="","",Allocation!CH179)</f>
        <v/>
      </c>
      <c r="AB179" s="0">
        <f>IF($A179="","",Allocation!CI179)</f>
        <v/>
      </c>
      <c r="AC179" s="0">
        <f>IF($A179="","",IF(Allocation!$N$4="VOL_EFF",$G179,IF(Allocation!$N$4="VOL_CLASS",$H179,$I179)))</f>
        <v/>
      </c>
      <c r="AD179" s="0">
        <f>IF($A179="","",IF(Allocation!$N$4="VOL_EFF",$L179,IF(Allocation!$N$4="VOL_CLASS",$M179,$N179)))</f>
        <v/>
      </c>
      <c r="AE179" s="0">
        <f>IF($A179="","",IF(Allocation!$N$3="VOL_EFF",$L179,IF(Allocation!$N$3="VOL_CLASS",$M179,$N179)))</f>
        <v/>
      </c>
      <c r="AF179" s="0">
        <f>IF($A179="","",IF(Allocation!$N$3="VOL_EFF",$Q179,IF(Allocation!$N$3="VOL_CLASS",$R179,$S179)))</f>
        <v/>
      </c>
      <c r="AG179" s="0">
        <f>IF($A179="","",IF(Allocation!$N$1="VOL_EFF",$Q179,IF(Allocation!$N$1="VOL_CLASS",$R179,$S179)))</f>
        <v/>
      </c>
      <c r="AH179" s="0">
        <f>IF($A179="","",IF(Allocation!$N$1="VOL_EFF",$T179,IF(Allocation!$N$1="VOL_CLASS",$U179,$V179)))</f>
        <v/>
      </c>
      <c r="AI179" s="0">
        <f>IF($A179="","",$W179*IFERROR($K179/$O179,0))</f>
        <v/>
      </c>
      <c r="AJ179" s="0">
        <f>IF($A179="","",$X179*IFERROR($K179/$O179,0))</f>
        <v/>
      </c>
      <c r="AK179" s="0">
        <f>IF($A179="","",$Y179*IFERROR($G179/$L179,0)+$Z179*IFERROR($J179/$P179,0))</f>
        <v/>
      </c>
      <c r="AL179" s="0">
        <f>IF($A179="","",$AA179*IFERROR($AC179/$AD179,0))</f>
        <v/>
      </c>
      <c r="AM179" s="0">
        <f>IF($A179="","",$AB179*IFERROR($AG179/$AH179,0)*IFERROR($AE179/$AF179,0)*IFERROR($AC179/$AD179,0))</f>
        <v/>
      </c>
      <c r="AN179" s="0">
        <f>IF($A179="","",$I179-($AI179+$AJ179+$AK179+$AL179+$AM179+$AR179))</f>
        <v/>
      </c>
      <c r="AO179" s="0">
        <f>IF($A179="","",Allocation!CJ179)</f>
        <v/>
      </c>
      <c r="AP179" s="0">
        <f>IF($A179="","",IF(Allocation!$N$2="VOL_EFF",$Q179,IF(Allocation!$N$2="VOL_CLASS",$R179,$S179)))</f>
        <v/>
      </c>
      <c r="AQ179" s="0">
        <f>IF($A179="","",IF(Allocation!$N$2="VOL_EFF",$T179,IF(Allocation!$N$2="VOL_CLASS",$U179,$V179)))</f>
        <v/>
      </c>
      <c r="AR179" s="0">
        <f>IF($A179="","",$AO179*IFERROR($AP179/$AQ179,0)*IFERROR($AE179/$AF179,0)*IFERROR($AC179/$AD179,0))</f>
        <v/>
      </c>
      <c r="AS179" s="0">
        <f>IF($A179="","",$A179&amp;"|"&amp;Allocation!BG179)</f>
        <v/>
      </c>
    </row>
    <row r="180" ht="14.4975" customHeight="1" s="64">
      <c r="A180" s="0">
        <f>IF(Allocation!BI180="","",Allocation!BI180)</f>
        <v/>
      </c>
      <c r="B180" s="0">
        <f>IF(Allocation!BJ180="","",Allocation!BJ180)</f>
        <v/>
      </c>
      <c r="C180" s="0">
        <f>IF(Allocation!BK180="","",Allocation!BK180)</f>
        <v/>
      </c>
      <c r="D180" s="0">
        <f>IF(Allocation!BL180="","",Allocation!BL180)</f>
        <v/>
      </c>
      <c r="E180" s="0">
        <f>IF(Allocation!BM180="","",Allocation!BM180)</f>
        <v/>
      </c>
      <c r="F180" s="0">
        <f>IF(Allocation!BN180="","",Allocation!BN180)</f>
        <v/>
      </c>
      <c r="G180" s="0">
        <f>IF(Allocation!BO180="","",Allocation!BO180)</f>
        <v/>
      </c>
      <c r="H180" s="0">
        <f>IF(Allocation!BP180="","",Allocation!BP180)</f>
        <v/>
      </c>
      <c r="I180" s="0">
        <f>IF(Allocation!BQ180="","",Allocation!BQ180)</f>
        <v/>
      </c>
      <c r="J180" s="0">
        <f>IF(Allocation!CC180="","",Allocation!CC180)</f>
        <v/>
      </c>
      <c r="K180" s="0">
        <f>IF($A180="","",$H180*IF(AND(LEFT($D180,3)="BAC",$F180="INIT"),600,IF(LEFT($D180,3)="BAC",480,IF(AND(LEFT($D180,3)="MAS",$F180="INIT"),520,IF(LEFT($D180,3)="MAS",420,IF($F180="INIT",1000,700))))))</f>
        <v/>
      </c>
      <c r="L180" s="0">
        <f>IF($A180="","",SUMIFS($G$1:$G$349,$AS$1:$AS$349,$AS180,$B$1:$B$349,$B180))</f>
        <v/>
      </c>
      <c r="M180" s="0">
        <f>IF($A180="","",SUMIFS($H$1:$H$349,$AS$1:$AS$349,$AS180,$B$1:$B$349,$B180))</f>
        <v/>
      </c>
      <c r="N180" s="0">
        <f>IF($A180="","",SUMIFS($I$1:$I$349,$AS$1:$AS$349,$AS180,$B$1:$B$349,$B180))</f>
        <v/>
      </c>
      <c r="O180" s="0">
        <f>IF($A180="","",SUMIFS($K$1:$K$349,$AS$1:$AS$349,$AS180,$B$1:$B$349,$B180))</f>
        <v/>
      </c>
      <c r="P180" s="0">
        <f>IF($A180="","",SUMIFS($J$1:$J$349,$AS$1:$AS$349,$AS180,$B$1:$B$349,$B180))</f>
        <v/>
      </c>
      <c r="Q180" s="0">
        <f>IF($A180="","",SUMIFS($G$1:$G$349,$AS$1:$AS$349,$AS180,$C$1:$C$349,$C180))</f>
        <v/>
      </c>
      <c r="R180" s="0">
        <f>IF($A180="","",SUMIFS($H$1:$H$349,$AS$1:$AS$349,$AS180,$C$1:$C$349,$C180))</f>
        <v/>
      </c>
      <c r="S180" s="0">
        <f>IF($A180="","",SUMIFS($I$1:$I$349,$AS$1:$AS$349,$AS180,$C$1:$C$349,$C180))</f>
        <v/>
      </c>
      <c r="T180" s="0">
        <f>IF($A180="","",SUMIFS($G$1:$G$349,$AS$1:$AS$349,$AS180))</f>
        <v/>
      </c>
      <c r="U180" s="0">
        <f>IF($A180="","",SUMIFS($H$1:$H$349,$AS$1:$AS$349,$AS180))</f>
        <v/>
      </c>
      <c r="V180" s="0">
        <f>IF($A180="","",SUMIFS($I$1:$I$349,$AS$1:$AS$349,$AS180))</f>
        <v/>
      </c>
      <c r="W180" s="0">
        <f>IF($A180="","",Allocation!CD180)</f>
        <v/>
      </c>
      <c r="X180" s="0">
        <f>IF($A180="","",Allocation!CE180)</f>
        <v/>
      </c>
      <c r="Y180" s="0">
        <f>IF($A180="","",Allocation!CF180)</f>
        <v/>
      </c>
      <c r="Z180" s="0">
        <f>IF($A180="","",Allocation!CG180)</f>
        <v/>
      </c>
      <c r="AA180" s="0">
        <f>IF($A180="","",Allocation!CH180)</f>
        <v/>
      </c>
      <c r="AB180" s="0">
        <f>IF($A180="","",Allocation!CI180)</f>
        <v/>
      </c>
      <c r="AC180" s="0">
        <f>IF($A180="","",IF(Allocation!$N$4="VOL_EFF",$G180,IF(Allocation!$N$4="VOL_CLASS",$H180,$I180)))</f>
        <v/>
      </c>
      <c r="AD180" s="0">
        <f>IF($A180="","",IF(Allocation!$N$4="VOL_EFF",$L180,IF(Allocation!$N$4="VOL_CLASS",$M180,$N180)))</f>
        <v/>
      </c>
      <c r="AE180" s="0">
        <f>IF($A180="","",IF(Allocation!$N$3="VOL_EFF",$L180,IF(Allocation!$N$3="VOL_CLASS",$M180,$N180)))</f>
        <v/>
      </c>
      <c r="AF180" s="0">
        <f>IF($A180="","",IF(Allocation!$N$3="VOL_EFF",$Q180,IF(Allocation!$N$3="VOL_CLASS",$R180,$S180)))</f>
        <v/>
      </c>
      <c r="AG180" s="0">
        <f>IF($A180="","",IF(Allocation!$N$1="VOL_EFF",$Q180,IF(Allocation!$N$1="VOL_CLASS",$R180,$S180)))</f>
        <v/>
      </c>
      <c r="AH180" s="0">
        <f>IF($A180="","",IF(Allocation!$N$1="VOL_EFF",$T180,IF(Allocation!$N$1="VOL_CLASS",$U180,$V180)))</f>
        <v/>
      </c>
      <c r="AI180" s="0">
        <f>IF($A180="","",$W180*IFERROR($K180/$O180,0))</f>
        <v/>
      </c>
      <c r="AJ180" s="0">
        <f>IF($A180="","",$X180*IFERROR($K180/$O180,0))</f>
        <v/>
      </c>
      <c r="AK180" s="0">
        <f>IF($A180="","",$Y180*IFERROR($G180/$L180,0)+$Z180*IFERROR($J180/$P180,0))</f>
        <v/>
      </c>
      <c r="AL180" s="0">
        <f>IF($A180="","",$AA180*IFERROR($AC180/$AD180,0))</f>
        <v/>
      </c>
      <c r="AM180" s="0">
        <f>IF($A180="","",$AB180*IFERROR($AG180/$AH180,0)*IFERROR($AE180/$AF180,0)*IFERROR($AC180/$AD180,0))</f>
        <v/>
      </c>
      <c r="AN180" s="0">
        <f>IF($A180="","",$I180-($AI180+$AJ180+$AK180+$AL180+$AM180+$AR180))</f>
        <v/>
      </c>
      <c r="AO180" s="0">
        <f>IF($A180="","",Allocation!CJ180)</f>
        <v/>
      </c>
      <c r="AP180" s="0">
        <f>IF($A180="","",IF(Allocation!$N$2="VOL_EFF",$Q180,IF(Allocation!$N$2="VOL_CLASS",$R180,$S180)))</f>
        <v/>
      </c>
      <c r="AQ180" s="0">
        <f>IF($A180="","",IF(Allocation!$N$2="VOL_EFF",$T180,IF(Allocation!$N$2="VOL_CLASS",$U180,$V180)))</f>
        <v/>
      </c>
      <c r="AR180" s="0">
        <f>IF($A180="","",$AO180*IFERROR($AP180/$AQ180,0)*IFERROR($AE180/$AF180,0)*IFERROR($AC180/$AD180,0))</f>
        <v/>
      </c>
      <c r="AS180" s="0">
        <f>IF($A180="","",$A180&amp;"|"&amp;Allocation!BG180)</f>
        <v/>
      </c>
    </row>
    <row r="181" ht="14.4975" customHeight="1" s="64">
      <c r="A181" s="0">
        <f>IF(Allocation!BI181="","",Allocation!BI181)</f>
        <v/>
      </c>
      <c r="B181" s="0">
        <f>IF(Allocation!BJ181="","",Allocation!BJ181)</f>
        <v/>
      </c>
      <c r="C181" s="0">
        <f>IF(Allocation!BK181="","",Allocation!BK181)</f>
        <v/>
      </c>
      <c r="D181" s="0">
        <f>IF(Allocation!BL181="","",Allocation!BL181)</f>
        <v/>
      </c>
      <c r="E181" s="0">
        <f>IF(Allocation!BM181="","",Allocation!BM181)</f>
        <v/>
      </c>
      <c r="F181" s="0">
        <f>IF(Allocation!BN181="","",Allocation!BN181)</f>
        <v/>
      </c>
      <c r="G181" s="0">
        <f>IF(Allocation!BO181="","",Allocation!BO181)</f>
        <v/>
      </c>
      <c r="H181" s="0">
        <f>IF(Allocation!BP181="","",Allocation!BP181)</f>
        <v/>
      </c>
      <c r="I181" s="0">
        <f>IF(Allocation!BQ181="","",Allocation!BQ181)</f>
        <v/>
      </c>
      <c r="J181" s="0">
        <f>IF(Allocation!CC181="","",Allocation!CC181)</f>
        <v/>
      </c>
      <c r="K181" s="0">
        <f>IF($A181="","",$H181*IF(AND(LEFT($D181,3)="BAC",$F181="INIT"),600,IF(LEFT($D181,3)="BAC",480,IF(AND(LEFT($D181,3)="MAS",$F181="INIT"),520,IF(LEFT($D181,3)="MAS",420,IF($F181="INIT",1000,700))))))</f>
        <v/>
      </c>
      <c r="L181" s="0">
        <f>IF($A181="","",SUMIFS($G$1:$G$349,$AS$1:$AS$349,$AS181,$B$1:$B$349,$B181))</f>
        <v/>
      </c>
      <c r="M181" s="0">
        <f>IF($A181="","",SUMIFS($H$1:$H$349,$AS$1:$AS$349,$AS181,$B$1:$B$349,$B181))</f>
        <v/>
      </c>
      <c r="N181" s="0">
        <f>IF($A181="","",SUMIFS($I$1:$I$349,$AS$1:$AS$349,$AS181,$B$1:$B$349,$B181))</f>
        <v/>
      </c>
      <c r="O181" s="0">
        <f>IF($A181="","",SUMIFS($K$1:$K$349,$AS$1:$AS$349,$AS181,$B$1:$B$349,$B181))</f>
        <v/>
      </c>
      <c r="P181" s="0">
        <f>IF($A181="","",SUMIFS($J$1:$J$349,$AS$1:$AS$349,$AS181,$B$1:$B$349,$B181))</f>
        <v/>
      </c>
      <c r="Q181" s="0">
        <f>IF($A181="","",SUMIFS($G$1:$G$349,$AS$1:$AS$349,$AS181,$C$1:$C$349,$C181))</f>
        <v/>
      </c>
      <c r="R181" s="0">
        <f>IF($A181="","",SUMIFS($H$1:$H$349,$AS$1:$AS$349,$AS181,$C$1:$C$349,$C181))</f>
        <v/>
      </c>
      <c r="S181" s="0">
        <f>IF($A181="","",SUMIFS($I$1:$I$349,$AS$1:$AS$349,$AS181,$C$1:$C$349,$C181))</f>
        <v/>
      </c>
      <c r="T181" s="0">
        <f>IF($A181="","",SUMIFS($G$1:$G$349,$AS$1:$AS$349,$AS181))</f>
        <v/>
      </c>
      <c r="U181" s="0">
        <f>IF($A181="","",SUMIFS($H$1:$H$349,$AS$1:$AS$349,$AS181))</f>
        <v/>
      </c>
      <c r="V181" s="0">
        <f>IF($A181="","",SUMIFS($I$1:$I$349,$AS$1:$AS$349,$AS181))</f>
        <v/>
      </c>
      <c r="W181" s="0">
        <f>IF($A181="","",Allocation!CD181)</f>
        <v/>
      </c>
      <c r="X181" s="0">
        <f>IF($A181="","",Allocation!CE181)</f>
        <v/>
      </c>
      <c r="Y181" s="0">
        <f>IF($A181="","",Allocation!CF181)</f>
        <v/>
      </c>
      <c r="Z181" s="0">
        <f>IF($A181="","",Allocation!CG181)</f>
        <v/>
      </c>
      <c r="AA181" s="0">
        <f>IF($A181="","",Allocation!CH181)</f>
        <v/>
      </c>
      <c r="AB181" s="0">
        <f>IF($A181="","",Allocation!CI181)</f>
        <v/>
      </c>
      <c r="AC181" s="0">
        <f>IF($A181="","",IF(Allocation!$N$4="VOL_EFF",$G181,IF(Allocation!$N$4="VOL_CLASS",$H181,$I181)))</f>
        <v/>
      </c>
      <c r="AD181" s="0">
        <f>IF($A181="","",IF(Allocation!$N$4="VOL_EFF",$L181,IF(Allocation!$N$4="VOL_CLASS",$M181,$N181)))</f>
        <v/>
      </c>
      <c r="AE181" s="0">
        <f>IF($A181="","",IF(Allocation!$N$3="VOL_EFF",$L181,IF(Allocation!$N$3="VOL_CLASS",$M181,$N181)))</f>
        <v/>
      </c>
      <c r="AF181" s="0">
        <f>IF($A181="","",IF(Allocation!$N$3="VOL_EFF",$Q181,IF(Allocation!$N$3="VOL_CLASS",$R181,$S181)))</f>
        <v/>
      </c>
      <c r="AG181" s="0">
        <f>IF($A181="","",IF(Allocation!$N$1="VOL_EFF",$Q181,IF(Allocation!$N$1="VOL_CLASS",$R181,$S181)))</f>
        <v/>
      </c>
      <c r="AH181" s="0">
        <f>IF($A181="","",IF(Allocation!$N$1="VOL_EFF",$T181,IF(Allocation!$N$1="VOL_CLASS",$U181,$V181)))</f>
        <v/>
      </c>
      <c r="AI181" s="0">
        <f>IF($A181="","",$W181*IFERROR($K181/$O181,0))</f>
        <v/>
      </c>
      <c r="AJ181" s="0">
        <f>IF($A181="","",$X181*IFERROR($K181/$O181,0))</f>
        <v/>
      </c>
      <c r="AK181" s="0">
        <f>IF($A181="","",$Y181*IFERROR($G181/$L181,0)+$Z181*IFERROR($J181/$P181,0))</f>
        <v/>
      </c>
      <c r="AL181" s="0">
        <f>IF($A181="","",$AA181*IFERROR($AC181/$AD181,0))</f>
        <v/>
      </c>
      <c r="AM181" s="0">
        <f>IF($A181="","",$AB181*IFERROR($AG181/$AH181,0)*IFERROR($AE181/$AF181,0)*IFERROR($AC181/$AD181,0))</f>
        <v/>
      </c>
      <c r="AN181" s="0">
        <f>IF($A181="","",$I181-($AI181+$AJ181+$AK181+$AL181+$AM181+$AR181))</f>
        <v/>
      </c>
      <c r="AO181" s="0">
        <f>IF($A181="","",Allocation!CJ181)</f>
        <v/>
      </c>
      <c r="AP181" s="0">
        <f>IF($A181="","",IF(Allocation!$N$2="VOL_EFF",$Q181,IF(Allocation!$N$2="VOL_CLASS",$R181,$S181)))</f>
        <v/>
      </c>
      <c r="AQ181" s="0">
        <f>IF($A181="","",IF(Allocation!$N$2="VOL_EFF",$T181,IF(Allocation!$N$2="VOL_CLASS",$U181,$V181)))</f>
        <v/>
      </c>
      <c r="AR181" s="0">
        <f>IF($A181="","",$AO181*IFERROR($AP181/$AQ181,0)*IFERROR($AE181/$AF181,0)*IFERROR($AC181/$AD181,0))</f>
        <v/>
      </c>
      <c r="AS181" s="0">
        <f>IF($A181="","",$A181&amp;"|"&amp;Allocation!BG181)</f>
        <v/>
      </c>
    </row>
    <row r="182" ht="14.4975" customHeight="1" s="64">
      <c r="A182" s="0">
        <f>IF(Allocation!BI182="","",Allocation!BI182)</f>
        <v/>
      </c>
      <c r="B182" s="0">
        <f>IF(Allocation!BJ182="","",Allocation!BJ182)</f>
        <v/>
      </c>
      <c r="C182" s="0">
        <f>IF(Allocation!BK182="","",Allocation!BK182)</f>
        <v/>
      </c>
      <c r="D182" s="0">
        <f>IF(Allocation!BL182="","",Allocation!BL182)</f>
        <v/>
      </c>
      <c r="E182" s="0">
        <f>IF(Allocation!BM182="","",Allocation!BM182)</f>
        <v/>
      </c>
      <c r="F182" s="0">
        <f>IF(Allocation!BN182="","",Allocation!BN182)</f>
        <v/>
      </c>
      <c r="G182" s="0">
        <f>IF(Allocation!BO182="","",Allocation!BO182)</f>
        <v/>
      </c>
      <c r="H182" s="0">
        <f>IF(Allocation!BP182="","",Allocation!BP182)</f>
        <v/>
      </c>
      <c r="I182" s="0">
        <f>IF(Allocation!BQ182="","",Allocation!BQ182)</f>
        <v/>
      </c>
      <c r="J182" s="0">
        <f>IF(Allocation!CC182="","",Allocation!CC182)</f>
        <v/>
      </c>
      <c r="K182" s="0">
        <f>IF($A182="","",$H182*IF(AND(LEFT($D182,3)="BAC",$F182="INIT"),600,IF(LEFT($D182,3)="BAC",480,IF(AND(LEFT($D182,3)="MAS",$F182="INIT"),520,IF(LEFT($D182,3)="MAS",420,IF($F182="INIT",1000,700))))))</f>
        <v/>
      </c>
      <c r="L182" s="0">
        <f>IF($A182="","",SUMIFS($G$1:$G$349,$AS$1:$AS$349,$AS182,$B$1:$B$349,$B182))</f>
        <v/>
      </c>
      <c r="M182" s="0">
        <f>IF($A182="","",SUMIFS($H$1:$H$349,$AS$1:$AS$349,$AS182,$B$1:$B$349,$B182))</f>
        <v/>
      </c>
      <c r="N182" s="0">
        <f>IF($A182="","",SUMIFS($I$1:$I$349,$AS$1:$AS$349,$AS182,$B$1:$B$349,$B182))</f>
        <v/>
      </c>
      <c r="O182" s="0">
        <f>IF($A182="","",SUMIFS($K$1:$K$349,$AS$1:$AS$349,$AS182,$B$1:$B$349,$B182))</f>
        <v/>
      </c>
      <c r="P182" s="0">
        <f>IF($A182="","",SUMIFS($J$1:$J$349,$AS$1:$AS$349,$AS182,$B$1:$B$349,$B182))</f>
        <v/>
      </c>
      <c r="Q182" s="0">
        <f>IF($A182="","",SUMIFS($G$1:$G$349,$AS$1:$AS$349,$AS182,$C$1:$C$349,$C182))</f>
        <v/>
      </c>
      <c r="R182" s="0">
        <f>IF($A182="","",SUMIFS($H$1:$H$349,$AS$1:$AS$349,$AS182,$C$1:$C$349,$C182))</f>
        <v/>
      </c>
      <c r="S182" s="0">
        <f>IF($A182="","",SUMIFS($I$1:$I$349,$AS$1:$AS$349,$AS182,$C$1:$C$349,$C182))</f>
        <v/>
      </c>
      <c r="T182" s="0">
        <f>IF($A182="","",SUMIFS($G$1:$G$349,$AS$1:$AS$349,$AS182))</f>
        <v/>
      </c>
      <c r="U182" s="0">
        <f>IF($A182="","",SUMIFS($H$1:$H$349,$AS$1:$AS$349,$AS182))</f>
        <v/>
      </c>
      <c r="V182" s="0">
        <f>IF($A182="","",SUMIFS($I$1:$I$349,$AS$1:$AS$349,$AS182))</f>
        <v/>
      </c>
      <c r="W182" s="0">
        <f>IF($A182="","",Allocation!CD182)</f>
        <v/>
      </c>
      <c r="X182" s="0">
        <f>IF($A182="","",Allocation!CE182)</f>
        <v/>
      </c>
      <c r="Y182" s="0">
        <f>IF($A182="","",Allocation!CF182)</f>
        <v/>
      </c>
      <c r="Z182" s="0">
        <f>IF($A182="","",Allocation!CG182)</f>
        <v/>
      </c>
      <c r="AA182" s="0">
        <f>IF($A182="","",Allocation!CH182)</f>
        <v/>
      </c>
      <c r="AB182" s="0">
        <f>IF($A182="","",Allocation!CI182)</f>
        <v/>
      </c>
      <c r="AC182" s="0">
        <f>IF($A182="","",IF(Allocation!$N$4="VOL_EFF",$G182,IF(Allocation!$N$4="VOL_CLASS",$H182,$I182)))</f>
        <v/>
      </c>
      <c r="AD182" s="0">
        <f>IF($A182="","",IF(Allocation!$N$4="VOL_EFF",$L182,IF(Allocation!$N$4="VOL_CLASS",$M182,$N182)))</f>
        <v/>
      </c>
      <c r="AE182" s="0">
        <f>IF($A182="","",IF(Allocation!$N$3="VOL_EFF",$L182,IF(Allocation!$N$3="VOL_CLASS",$M182,$N182)))</f>
        <v/>
      </c>
      <c r="AF182" s="0">
        <f>IF($A182="","",IF(Allocation!$N$3="VOL_EFF",$Q182,IF(Allocation!$N$3="VOL_CLASS",$R182,$S182)))</f>
        <v/>
      </c>
      <c r="AG182" s="0">
        <f>IF($A182="","",IF(Allocation!$N$1="VOL_EFF",$Q182,IF(Allocation!$N$1="VOL_CLASS",$R182,$S182)))</f>
        <v/>
      </c>
      <c r="AH182" s="0">
        <f>IF($A182="","",IF(Allocation!$N$1="VOL_EFF",$T182,IF(Allocation!$N$1="VOL_CLASS",$U182,$V182)))</f>
        <v/>
      </c>
      <c r="AI182" s="0">
        <f>IF($A182="","",$W182*IFERROR($K182/$O182,0))</f>
        <v/>
      </c>
      <c r="AJ182" s="0">
        <f>IF($A182="","",$X182*IFERROR($K182/$O182,0))</f>
        <v/>
      </c>
      <c r="AK182" s="0">
        <f>IF($A182="","",$Y182*IFERROR($G182/$L182,0)+$Z182*IFERROR($J182/$P182,0))</f>
        <v/>
      </c>
      <c r="AL182" s="0">
        <f>IF($A182="","",$AA182*IFERROR($AC182/$AD182,0))</f>
        <v/>
      </c>
      <c r="AM182" s="0">
        <f>IF($A182="","",$AB182*IFERROR($AG182/$AH182,0)*IFERROR($AE182/$AF182,0)*IFERROR($AC182/$AD182,0))</f>
        <v/>
      </c>
      <c r="AN182" s="0">
        <f>IF($A182="","",$I182-($AI182+$AJ182+$AK182+$AL182+$AM182+$AR182))</f>
        <v/>
      </c>
      <c r="AO182" s="0">
        <f>IF($A182="","",Allocation!CJ182)</f>
        <v/>
      </c>
      <c r="AP182" s="0">
        <f>IF($A182="","",IF(Allocation!$N$2="VOL_EFF",$Q182,IF(Allocation!$N$2="VOL_CLASS",$R182,$S182)))</f>
        <v/>
      </c>
      <c r="AQ182" s="0">
        <f>IF($A182="","",IF(Allocation!$N$2="VOL_EFF",$T182,IF(Allocation!$N$2="VOL_CLASS",$U182,$V182)))</f>
        <v/>
      </c>
      <c r="AR182" s="0">
        <f>IF($A182="","",$AO182*IFERROR($AP182/$AQ182,0)*IFERROR($AE182/$AF182,0)*IFERROR($AC182/$AD182,0))</f>
        <v/>
      </c>
      <c r="AS182" s="0">
        <f>IF($A182="","",$A182&amp;"|"&amp;Allocation!BG182)</f>
        <v/>
      </c>
    </row>
    <row r="183" ht="14.4975" customHeight="1" s="64">
      <c r="A183" s="0">
        <f>IF(Allocation!BI183="","",Allocation!BI183)</f>
        <v/>
      </c>
      <c r="B183" s="0">
        <f>IF(Allocation!BJ183="","",Allocation!BJ183)</f>
        <v/>
      </c>
      <c r="C183" s="0">
        <f>IF(Allocation!BK183="","",Allocation!BK183)</f>
        <v/>
      </c>
      <c r="D183" s="0">
        <f>IF(Allocation!BL183="","",Allocation!BL183)</f>
        <v/>
      </c>
      <c r="E183" s="0">
        <f>IF(Allocation!BM183="","",Allocation!BM183)</f>
        <v/>
      </c>
      <c r="F183" s="0">
        <f>IF(Allocation!BN183="","",Allocation!BN183)</f>
        <v/>
      </c>
      <c r="G183" s="0">
        <f>IF(Allocation!BO183="","",Allocation!BO183)</f>
        <v/>
      </c>
      <c r="H183" s="0">
        <f>IF(Allocation!BP183="","",Allocation!BP183)</f>
        <v/>
      </c>
      <c r="I183" s="0">
        <f>IF(Allocation!BQ183="","",Allocation!BQ183)</f>
        <v/>
      </c>
      <c r="J183" s="0">
        <f>IF(Allocation!CC183="","",Allocation!CC183)</f>
        <v/>
      </c>
      <c r="K183" s="0">
        <f>IF($A183="","",$H183*IF(AND(LEFT($D183,3)="BAC",$F183="INIT"),600,IF(LEFT($D183,3)="BAC",480,IF(AND(LEFT($D183,3)="MAS",$F183="INIT"),520,IF(LEFT($D183,3)="MAS",420,IF($F183="INIT",1000,700))))))</f>
        <v/>
      </c>
      <c r="L183" s="0">
        <f>IF($A183="","",SUMIFS($G$1:$G$349,$AS$1:$AS$349,$AS183,$B$1:$B$349,$B183))</f>
        <v/>
      </c>
      <c r="M183" s="0">
        <f>IF($A183="","",SUMIFS($H$1:$H$349,$AS$1:$AS$349,$AS183,$B$1:$B$349,$B183))</f>
        <v/>
      </c>
      <c r="N183" s="0">
        <f>IF($A183="","",SUMIFS($I$1:$I$349,$AS$1:$AS$349,$AS183,$B$1:$B$349,$B183))</f>
        <v/>
      </c>
      <c r="O183" s="0">
        <f>IF($A183="","",SUMIFS($K$1:$K$349,$AS$1:$AS$349,$AS183,$B$1:$B$349,$B183))</f>
        <v/>
      </c>
      <c r="P183" s="0">
        <f>IF($A183="","",SUMIFS($J$1:$J$349,$AS$1:$AS$349,$AS183,$B$1:$B$349,$B183))</f>
        <v/>
      </c>
      <c r="Q183" s="0">
        <f>IF($A183="","",SUMIFS($G$1:$G$349,$AS$1:$AS$349,$AS183,$C$1:$C$349,$C183))</f>
        <v/>
      </c>
      <c r="R183" s="0">
        <f>IF($A183="","",SUMIFS($H$1:$H$349,$AS$1:$AS$349,$AS183,$C$1:$C$349,$C183))</f>
        <v/>
      </c>
      <c r="S183" s="0">
        <f>IF($A183="","",SUMIFS($I$1:$I$349,$AS$1:$AS$349,$AS183,$C$1:$C$349,$C183))</f>
        <v/>
      </c>
      <c r="T183" s="0">
        <f>IF($A183="","",SUMIFS($G$1:$G$349,$AS$1:$AS$349,$AS183))</f>
        <v/>
      </c>
      <c r="U183" s="0">
        <f>IF($A183="","",SUMIFS($H$1:$H$349,$AS$1:$AS$349,$AS183))</f>
        <v/>
      </c>
      <c r="V183" s="0">
        <f>IF($A183="","",SUMIFS($I$1:$I$349,$AS$1:$AS$349,$AS183))</f>
        <v/>
      </c>
      <c r="W183" s="0">
        <f>IF($A183="","",Allocation!CD183)</f>
        <v/>
      </c>
      <c r="X183" s="0">
        <f>IF($A183="","",Allocation!CE183)</f>
        <v/>
      </c>
      <c r="Y183" s="0">
        <f>IF($A183="","",Allocation!CF183)</f>
        <v/>
      </c>
      <c r="Z183" s="0">
        <f>IF($A183="","",Allocation!CG183)</f>
        <v/>
      </c>
      <c r="AA183" s="0">
        <f>IF($A183="","",Allocation!CH183)</f>
        <v/>
      </c>
      <c r="AB183" s="0">
        <f>IF($A183="","",Allocation!CI183)</f>
        <v/>
      </c>
      <c r="AC183" s="0">
        <f>IF($A183="","",IF(Allocation!$N$4="VOL_EFF",$G183,IF(Allocation!$N$4="VOL_CLASS",$H183,$I183)))</f>
        <v/>
      </c>
      <c r="AD183" s="0">
        <f>IF($A183="","",IF(Allocation!$N$4="VOL_EFF",$L183,IF(Allocation!$N$4="VOL_CLASS",$M183,$N183)))</f>
        <v/>
      </c>
      <c r="AE183" s="0">
        <f>IF($A183="","",IF(Allocation!$N$3="VOL_EFF",$L183,IF(Allocation!$N$3="VOL_CLASS",$M183,$N183)))</f>
        <v/>
      </c>
      <c r="AF183" s="0">
        <f>IF($A183="","",IF(Allocation!$N$3="VOL_EFF",$Q183,IF(Allocation!$N$3="VOL_CLASS",$R183,$S183)))</f>
        <v/>
      </c>
      <c r="AG183" s="0">
        <f>IF($A183="","",IF(Allocation!$N$1="VOL_EFF",$Q183,IF(Allocation!$N$1="VOL_CLASS",$R183,$S183)))</f>
        <v/>
      </c>
      <c r="AH183" s="0">
        <f>IF($A183="","",IF(Allocation!$N$1="VOL_EFF",$T183,IF(Allocation!$N$1="VOL_CLASS",$U183,$V183)))</f>
        <v/>
      </c>
      <c r="AI183" s="0">
        <f>IF($A183="","",$W183*IFERROR($K183/$O183,0))</f>
        <v/>
      </c>
      <c r="AJ183" s="0">
        <f>IF($A183="","",$X183*IFERROR($K183/$O183,0))</f>
        <v/>
      </c>
      <c r="AK183" s="0">
        <f>IF($A183="","",$Y183*IFERROR($G183/$L183,0)+$Z183*IFERROR($J183/$P183,0))</f>
        <v/>
      </c>
      <c r="AL183" s="0">
        <f>IF($A183="","",$AA183*IFERROR($AC183/$AD183,0))</f>
        <v/>
      </c>
      <c r="AM183" s="0">
        <f>IF($A183="","",$AB183*IFERROR($AG183/$AH183,0)*IFERROR($AE183/$AF183,0)*IFERROR($AC183/$AD183,0))</f>
        <v/>
      </c>
      <c r="AN183" s="0">
        <f>IF($A183="","",$I183-($AI183+$AJ183+$AK183+$AL183+$AM183+$AR183))</f>
        <v/>
      </c>
      <c r="AO183" s="0">
        <f>IF($A183="","",Allocation!CJ183)</f>
        <v/>
      </c>
      <c r="AP183" s="0">
        <f>IF($A183="","",IF(Allocation!$N$2="VOL_EFF",$Q183,IF(Allocation!$N$2="VOL_CLASS",$R183,$S183)))</f>
        <v/>
      </c>
      <c r="AQ183" s="0">
        <f>IF($A183="","",IF(Allocation!$N$2="VOL_EFF",$T183,IF(Allocation!$N$2="VOL_CLASS",$U183,$V183)))</f>
        <v/>
      </c>
      <c r="AR183" s="0">
        <f>IF($A183="","",$AO183*IFERROR($AP183/$AQ183,0)*IFERROR($AE183/$AF183,0)*IFERROR($AC183/$AD183,0))</f>
        <v/>
      </c>
      <c r="AS183" s="0">
        <f>IF($A183="","",$A183&amp;"|"&amp;Allocation!BG183)</f>
        <v/>
      </c>
    </row>
    <row r="184" ht="14.4975" customHeight="1" s="64">
      <c r="A184" s="0">
        <f>IF(Allocation!BI184="","",Allocation!BI184)</f>
        <v/>
      </c>
      <c r="B184" s="0">
        <f>IF(Allocation!BJ184="","",Allocation!BJ184)</f>
        <v/>
      </c>
      <c r="C184" s="0">
        <f>IF(Allocation!BK184="","",Allocation!BK184)</f>
        <v/>
      </c>
      <c r="D184" s="0">
        <f>IF(Allocation!BL184="","",Allocation!BL184)</f>
        <v/>
      </c>
      <c r="E184" s="0">
        <f>IF(Allocation!BM184="","",Allocation!BM184)</f>
        <v/>
      </c>
      <c r="F184" s="0">
        <f>IF(Allocation!BN184="","",Allocation!BN184)</f>
        <v/>
      </c>
      <c r="G184" s="0">
        <f>IF(Allocation!BO184="","",Allocation!BO184)</f>
        <v/>
      </c>
      <c r="H184" s="0">
        <f>IF(Allocation!BP184="","",Allocation!BP184)</f>
        <v/>
      </c>
      <c r="I184" s="0">
        <f>IF(Allocation!BQ184="","",Allocation!BQ184)</f>
        <v/>
      </c>
      <c r="J184" s="0">
        <f>IF(Allocation!CC184="","",Allocation!CC184)</f>
        <v/>
      </c>
      <c r="K184" s="0">
        <f>IF($A184="","",$H184*IF(AND(LEFT($D184,3)="BAC",$F184="INIT"),600,IF(LEFT($D184,3)="BAC",480,IF(AND(LEFT($D184,3)="MAS",$F184="INIT"),520,IF(LEFT($D184,3)="MAS",420,IF($F184="INIT",1000,700))))))</f>
        <v/>
      </c>
      <c r="L184" s="0">
        <f>IF($A184="","",SUMIFS($G$1:$G$349,$AS$1:$AS$349,$AS184,$B$1:$B$349,$B184))</f>
        <v/>
      </c>
      <c r="M184" s="0">
        <f>IF($A184="","",SUMIFS($H$1:$H$349,$AS$1:$AS$349,$AS184,$B$1:$B$349,$B184))</f>
        <v/>
      </c>
      <c r="N184" s="0">
        <f>IF($A184="","",SUMIFS($I$1:$I$349,$AS$1:$AS$349,$AS184,$B$1:$B$349,$B184))</f>
        <v/>
      </c>
      <c r="O184" s="0">
        <f>IF($A184="","",SUMIFS($K$1:$K$349,$AS$1:$AS$349,$AS184,$B$1:$B$349,$B184))</f>
        <v/>
      </c>
      <c r="P184" s="0">
        <f>IF($A184="","",SUMIFS($J$1:$J$349,$AS$1:$AS$349,$AS184,$B$1:$B$349,$B184))</f>
        <v/>
      </c>
      <c r="Q184" s="0">
        <f>IF($A184="","",SUMIFS($G$1:$G$349,$AS$1:$AS$349,$AS184,$C$1:$C$349,$C184))</f>
        <v/>
      </c>
      <c r="R184" s="0">
        <f>IF($A184="","",SUMIFS($H$1:$H$349,$AS$1:$AS$349,$AS184,$C$1:$C$349,$C184))</f>
        <v/>
      </c>
      <c r="S184" s="0">
        <f>IF($A184="","",SUMIFS($I$1:$I$349,$AS$1:$AS$349,$AS184,$C$1:$C$349,$C184))</f>
        <v/>
      </c>
      <c r="T184" s="0">
        <f>IF($A184="","",SUMIFS($G$1:$G$349,$AS$1:$AS$349,$AS184))</f>
        <v/>
      </c>
      <c r="U184" s="0">
        <f>IF($A184="","",SUMIFS($H$1:$H$349,$AS$1:$AS$349,$AS184))</f>
        <v/>
      </c>
      <c r="V184" s="0">
        <f>IF($A184="","",SUMIFS($I$1:$I$349,$AS$1:$AS$349,$AS184))</f>
        <v/>
      </c>
      <c r="W184" s="0">
        <f>IF($A184="","",Allocation!CD184)</f>
        <v/>
      </c>
      <c r="X184" s="0">
        <f>IF($A184="","",Allocation!CE184)</f>
        <v/>
      </c>
      <c r="Y184" s="0">
        <f>IF($A184="","",Allocation!CF184)</f>
        <v/>
      </c>
      <c r="Z184" s="0">
        <f>IF($A184="","",Allocation!CG184)</f>
        <v/>
      </c>
      <c r="AA184" s="0">
        <f>IF($A184="","",Allocation!CH184)</f>
        <v/>
      </c>
      <c r="AB184" s="0">
        <f>IF($A184="","",Allocation!CI184)</f>
        <v/>
      </c>
      <c r="AC184" s="0">
        <f>IF($A184="","",IF(Allocation!$N$4="VOL_EFF",$G184,IF(Allocation!$N$4="VOL_CLASS",$H184,$I184)))</f>
        <v/>
      </c>
      <c r="AD184" s="0">
        <f>IF($A184="","",IF(Allocation!$N$4="VOL_EFF",$L184,IF(Allocation!$N$4="VOL_CLASS",$M184,$N184)))</f>
        <v/>
      </c>
      <c r="AE184" s="0">
        <f>IF($A184="","",IF(Allocation!$N$3="VOL_EFF",$L184,IF(Allocation!$N$3="VOL_CLASS",$M184,$N184)))</f>
        <v/>
      </c>
      <c r="AF184" s="0">
        <f>IF($A184="","",IF(Allocation!$N$3="VOL_EFF",$Q184,IF(Allocation!$N$3="VOL_CLASS",$R184,$S184)))</f>
        <v/>
      </c>
      <c r="AG184" s="0">
        <f>IF($A184="","",IF(Allocation!$N$1="VOL_EFF",$Q184,IF(Allocation!$N$1="VOL_CLASS",$R184,$S184)))</f>
        <v/>
      </c>
      <c r="AH184" s="0">
        <f>IF($A184="","",IF(Allocation!$N$1="VOL_EFF",$T184,IF(Allocation!$N$1="VOL_CLASS",$U184,$V184)))</f>
        <v/>
      </c>
      <c r="AI184" s="0">
        <f>IF($A184="","",$W184*IFERROR($K184/$O184,0))</f>
        <v/>
      </c>
      <c r="AJ184" s="0">
        <f>IF($A184="","",$X184*IFERROR($K184/$O184,0))</f>
        <v/>
      </c>
      <c r="AK184" s="0">
        <f>IF($A184="","",$Y184*IFERROR($G184/$L184,0)+$Z184*IFERROR($J184/$P184,0))</f>
        <v/>
      </c>
      <c r="AL184" s="0">
        <f>IF($A184="","",$AA184*IFERROR($AC184/$AD184,0))</f>
        <v/>
      </c>
      <c r="AM184" s="0">
        <f>IF($A184="","",$AB184*IFERROR($AG184/$AH184,0)*IFERROR($AE184/$AF184,0)*IFERROR($AC184/$AD184,0))</f>
        <v/>
      </c>
      <c r="AN184" s="0">
        <f>IF($A184="","",$I184-($AI184+$AJ184+$AK184+$AL184+$AM184+$AR184))</f>
        <v/>
      </c>
      <c r="AO184" s="0">
        <f>IF($A184="","",Allocation!CJ184)</f>
        <v/>
      </c>
      <c r="AP184" s="0">
        <f>IF($A184="","",IF(Allocation!$N$2="VOL_EFF",$Q184,IF(Allocation!$N$2="VOL_CLASS",$R184,$S184)))</f>
        <v/>
      </c>
      <c r="AQ184" s="0">
        <f>IF($A184="","",IF(Allocation!$N$2="VOL_EFF",$T184,IF(Allocation!$N$2="VOL_CLASS",$U184,$V184)))</f>
        <v/>
      </c>
      <c r="AR184" s="0">
        <f>IF($A184="","",$AO184*IFERROR($AP184/$AQ184,0)*IFERROR($AE184/$AF184,0)*IFERROR($AC184/$AD184,0))</f>
        <v/>
      </c>
      <c r="AS184" s="0">
        <f>IF($A184="","",$A184&amp;"|"&amp;Allocation!BG184)</f>
        <v/>
      </c>
    </row>
    <row r="185" ht="14.4975" customHeight="1" s="64">
      <c r="A185" s="0">
        <f>IF(Allocation!BI185="","",Allocation!BI185)</f>
        <v/>
      </c>
      <c r="B185" s="0">
        <f>IF(Allocation!BJ185="","",Allocation!BJ185)</f>
        <v/>
      </c>
      <c r="C185" s="0">
        <f>IF(Allocation!BK185="","",Allocation!BK185)</f>
        <v/>
      </c>
      <c r="D185" s="0">
        <f>IF(Allocation!BL185="","",Allocation!BL185)</f>
        <v/>
      </c>
      <c r="E185" s="0">
        <f>IF(Allocation!BM185="","",Allocation!BM185)</f>
        <v/>
      </c>
      <c r="F185" s="0">
        <f>IF(Allocation!BN185="","",Allocation!BN185)</f>
        <v/>
      </c>
      <c r="G185" s="0">
        <f>IF(Allocation!BO185="","",Allocation!BO185)</f>
        <v/>
      </c>
      <c r="H185" s="0">
        <f>IF(Allocation!BP185="","",Allocation!BP185)</f>
        <v/>
      </c>
      <c r="I185" s="0">
        <f>IF(Allocation!BQ185="","",Allocation!BQ185)</f>
        <v/>
      </c>
      <c r="J185" s="0">
        <f>IF(Allocation!CC185="","",Allocation!CC185)</f>
        <v/>
      </c>
      <c r="K185" s="0">
        <f>IF($A185="","",$H185*IF(AND(LEFT($D185,3)="BAC",$F185="INIT"),600,IF(LEFT($D185,3)="BAC",480,IF(AND(LEFT($D185,3)="MAS",$F185="INIT"),520,IF(LEFT($D185,3)="MAS",420,IF($F185="INIT",1000,700))))))</f>
        <v/>
      </c>
      <c r="L185" s="0">
        <f>IF($A185="","",SUMIFS($G$1:$G$349,$AS$1:$AS$349,$AS185,$B$1:$B$349,$B185))</f>
        <v/>
      </c>
      <c r="M185" s="0">
        <f>IF($A185="","",SUMIFS($H$1:$H$349,$AS$1:$AS$349,$AS185,$B$1:$B$349,$B185))</f>
        <v/>
      </c>
      <c r="N185" s="0">
        <f>IF($A185="","",SUMIFS($I$1:$I$349,$AS$1:$AS$349,$AS185,$B$1:$B$349,$B185))</f>
        <v/>
      </c>
      <c r="O185" s="0">
        <f>IF($A185="","",SUMIFS($K$1:$K$349,$AS$1:$AS$349,$AS185,$B$1:$B$349,$B185))</f>
        <v/>
      </c>
      <c r="P185" s="0">
        <f>IF($A185="","",SUMIFS($J$1:$J$349,$AS$1:$AS$349,$AS185,$B$1:$B$349,$B185))</f>
        <v/>
      </c>
      <c r="Q185" s="0">
        <f>IF($A185="","",SUMIFS($G$1:$G$349,$AS$1:$AS$349,$AS185,$C$1:$C$349,$C185))</f>
        <v/>
      </c>
      <c r="R185" s="0">
        <f>IF($A185="","",SUMIFS($H$1:$H$349,$AS$1:$AS$349,$AS185,$C$1:$C$349,$C185))</f>
        <v/>
      </c>
      <c r="S185" s="0">
        <f>IF($A185="","",SUMIFS($I$1:$I$349,$AS$1:$AS$349,$AS185,$C$1:$C$349,$C185))</f>
        <v/>
      </c>
      <c r="T185" s="0">
        <f>IF($A185="","",SUMIFS($G$1:$G$349,$AS$1:$AS$349,$AS185))</f>
        <v/>
      </c>
      <c r="U185" s="0">
        <f>IF($A185="","",SUMIFS($H$1:$H$349,$AS$1:$AS$349,$AS185))</f>
        <v/>
      </c>
      <c r="V185" s="0">
        <f>IF($A185="","",SUMIFS($I$1:$I$349,$AS$1:$AS$349,$AS185))</f>
        <v/>
      </c>
      <c r="W185" s="0">
        <f>IF($A185="","",Allocation!CD185)</f>
        <v/>
      </c>
      <c r="X185" s="0">
        <f>IF($A185="","",Allocation!CE185)</f>
        <v/>
      </c>
      <c r="Y185" s="0">
        <f>IF($A185="","",Allocation!CF185)</f>
        <v/>
      </c>
      <c r="Z185" s="0">
        <f>IF($A185="","",Allocation!CG185)</f>
        <v/>
      </c>
      <c r="AA185" s="0">
        <f>IF($A185="","",Allocation!CH185)</f>
        <v/>
      </c>
      <c r="AB185" s="0">
        <f>IF($A185="","",Allocation!CI185)</f>
        <v/>
      </c>
      <c r="AC185" s="0">
        <f>IF($A185="","",IF(Allocation!$N$4="VOL_EFF",$G185,IF(Allocation!$N$4="VOL_CLASS",$H185,$I185)))</f>
        <v/>
      </c>
      <c r="AD185" s="0">
        <f>IF($A185="","",IF(Allocation!$N$4="VOL_EFF",$L185,IF(Allocation!$N$4="VOL_CLASS",$M185,$N185)))</f>
        <v/>
      </c>
      <c r="AE185" s="0">
        <f>IF($A185="","",IF(Allocation!$N$3="VOL_EFF",$L185,IF(Allocation!$N$3="VOL_CLASS",$M185,$N185)))</f>
        <v/>
      </c>
      <c r="AF185" s="0">
        <f>IF($A185="","",IF(Allocation!$N$3="VOL_EFF",$Q185,IF(Allocation!$N$3="VOL_CLASS",$R185,$S185)))</f>
        <v/>
      </c>
      <c r="AG185" s="0">
        <f>IF($A185="","",IF(Allocation!$N$1="VOL_EFF",$Q185,IF(Allocation!$N$1="VOL_CLASS",$R185,$S185)))</f>
        <v/>
      </c>
      <c r="AH185" s="0">
        <f>IF($A185="","",IF(Allocation!$N$1="VOL_EFF",$T185,IF(Allocation!$N$1="VOL_CLASS",$U185,$V185)))</f>
        <v/>
      </c>
      <c r="AI185" s="0">
        <f>IF($A185="","",$W185*IFERROR($K185/$O185,0))</f>
        <v/>
      </c>
      <c r="AJ185" s="0">
        <f>IF($A185="","",$X185*IFERROR($K185/$O185,0))</f>
        <v/>
      </c>
      <c r="AK185" s="0">
        <f>IF($A185="","",$Y185*IFERROR($G185/$L185,0)+$Z185*IFERROR($J185/$P185,0))</f>
        <v/>
      </c>
      <c r="AL185" s="0">
        <f>IF($A185="","",$AA185*IFERROR($AC185/$AD185,0))</f>
        <v/>
      </c>
      <c r="AM185" s="0">
        <f>IF($A185="","",$AB185*IFERROR($AG185/$AH185,0)*IFERROR($AE185/$AF185,0)*IFERROR($AC185/$AD185,0))</f>
        <v/>
      </c>
      <c r="AN185" s="0">
        <f>IF($A185="","",$I185-($AI185+$AJ185+$AK185+$AL185+$AM185+$AR185))</f>
        <v/>
      </c>
      <c r="AO185" s="0">
        <f>IF($A185="","",Allocation!CJ185)</f>
        <v/>
      </c>
      <c r="AP185" s="0">
        <f>IF($A185="","",IF(Allocation!$N$2="VOL_EFF",$Q185,IF(Allocation!$N$2="VOL_CLASS",$R185,$S185)))</f>
        <v/>
      </c>
      <c r="AQ185" s="0">
        <f>IF($A185="","",IF(Allocation!$N$2="VOL_EFF",$T185,IF(Allocation!$N$2="VOL_CLASS",$U185,$V185)))</f>
        <v/>
      </c>
      <c r="AR185" s="0">
        <f>IF($A185="","",$AO185*IFERROR($AP185/$AQ185,0)*IFERROR($AE185/$AF185,0)*IFERROR($AC185/$AD185,0))</f>
        <v/>
      </c>
      <c r="AS185" s="0">
        <f>IF($A185="","",$A185&amp;"|"&amp;Allocation!BG185)</f>
        <v/>
      </c>
    </row>
    <row r="186" ht="14.4975" customHeight="1" s="64">
      <c r="A186" s="0">
        <f>IF(Allocation!BI186="","",Allocation!BI186)</f>
        <v/>
      </c>
      <c r="B186" s="0">
        <f>IF(Allocation!BJ186="","",Allocation!BJ186)</f>
        <v/>
      </c>
      <c r="C186" s="0">
        <f>IF(Allocation!BK186="","",Allocation!BK186)</f>
        <v/>
      </c>
      <c r="D186" s="0">
        <f>IF(Allocation!BL186="","",Allocation!BL186)</f>
        <v/>
      </c>
      <c r="E186" s="0">
        <f>IF(Allocation!BM186="","",Allocation!BM186)</f>
        <v/>
      </c>
      <c r="F186" s="0">
        <f>IF(Allocation!BN186="","",Allocation!BN186)</f>
        <v/>
      </c>
      <c r="G186" s="0">
        <f>IF(Allocation!BO186="","",Allocation!BO186)</f>
        <v/>
      </c>
      <c r="H186" s="0">
        <f>IF(Allocation!BP186="","",Allocation!BP186)</f>
        <v/>
      </c>
      <c r="I186" s="0">
        <f>IF(Allocation!BQ186="","",Allocation!BQ186)</f>
        <v/>
      </c>
      <c r="J186" s="0">
        <f>IF(Allocation!CC186="","",Allocation!CC186)</f>
        <v/>
      </c>
      <c r="K186" s="0">
        <f>IF($A186="","",$H186*IF(AND(LEFT($D186,3)="BAC",$F186="INIT"),600,IF(LEFT($D186,3)="BAC",480,IF(AND(LEFT($D186,3)="MAS",$F186="INIT"),520,IF(LEFT($D186,3)="MAS",420,IF($F186="INIT",1000,700))))))</f>
        <v/>
      </c>
      <c r="L186" s="0">
        <f>IF($A186="","",SUMIFS($G$1:$G$349,$AS$1:$AS$349,$AS186,$B$1:$B$349,$B186))</f>
        <v/>
      </c>
      <c r="M186" s="0">
        <f>IF($A186="","",SUMIFS($H$1:$H$349,$AS$1:$AS$349,$AS186,$B$1:$B$349,$B186))</f>
        <v/>
      </c>
      <c r="N186" s="0">
        <f>IF($A186="","",SUMIFS($I$1:$I$349,$AS$1:$AS$349,$AS186,$B$1:$B$349,$B186))</f>
        <v/>
      </c>
      <c r="O186" s="0">
        <f>IF($A186="","",SUMIFS($K$1:$K$349,$AS$1:$AS$349,$AS186,$B$1:$B$349,$B186))</f>
        <v/>
      </c>
      <c r="P186" s="0">
        <f>IF($A186="","",SUMIFS($J$1:$J$349,$AS$1:$AS$349,$AS186,$B$1:$B$349,$B186))</f>
        <v/>
      </c>
      <c r="Q186" s="0">
        <f>IF($A186="","",SUMIFS($G$1:$G$349,$AS$1:$AS$349,$AS186,$C$1:$C$349,$C186))</f>
        <v/>
      </c>
      <c r="R186" s="0">
        <f>IF($A186="","",SUMIFS($H$1:$H$349,$AS$1:$AS$349,$AS186,$C$1:$C$349,$C186))</f>
        <v/>
      </c>
      <c r="S186" s="0">
        <f>IF($A186="","",SUMIFS($I$1:$I$349,$AS$1:$AS$349,$AS186,$C$1:$C$349,$C186))</f>
        <v/>
      </c>
      <c r="T186" s="0">
        <f>IF($A186="","",SUMIFS($G$1:$G$349,$AS$1:$AS$349,$AS186))</f>
        <v/>
      </c>
      <c r="U186" s="0">
        <f>IF($A186="","",SUMIFS($H$1:$H$349,$AS$1:$AS$349,$AS186))</f>
        <v/>
      </c>
      <c r="V186" s="0">
        <f>IF($A186="","",SUMIFS($I$1:$I$349,$AS$1:$AS$349,$AS186))</f>
        <v/>
      </c>
      <c r="W186" s="0">
        <f>IF($A186="","",Allocation!CD186)</f>
        <v/>
      </c>
      <c r="X186" s="0">
        <f>IF($A186="","",Allocation!CE186)</f>
        <v/>
      </c>
      <c r="Y186" s="0">
        <f>IF($A186="","",Allocation!CF186)</f>
        <v/>
      </c>
      <c r="Z186" s="0">
        <f>IF($A186="","",Allocation!CG186)</f>
        <v/>
      </c>
      <c r="AA186" s="0">
        <f>IF($A186="","",Allocation!CH186)</f>
        <v/>
      </c>
      <c r="AB186" s="0">
        <f>IF($A186="","",Allocation!CI186)</f>
        <v/>
      </c>
      <c r="AC186" s="0">
        <f>IF($A186="","",IF(Allocation!$N$4="VOL_EFF",$G186,IF(Allocation!$N$4="VOL_CLASS",$H186,$I186)))</f>
        <v/>
      </c>
      <c r="AD186" s="0">
        <f>IF($A186="","",IF(Allocation!$N$4="VOL_EFF",$L186,IF(Allocation!$N$4="VOL_CLASS",$M186,$N186)))</f>
        <v/>
      </c>
      <c r="AE186" s="0">
        <f>IF($A186="","",IF(Allocation!$N$3="VOL_EFF",$L186,IF(Allocation!$N$3="VOL_CLASS",$M186,$N186)))</f>
        <v/>
      </c>
      <c r="AF186" s="0">
        <f>IF($A186="","",IF(Allocation!$N$3="VOL_EFF",$Q186,IF(Allocation!$N$3="VOL_CLASS",$R186,$S186)))</f>
        <v/>
      </c>
      <c r="AG186" s="0">
        <f>IF($A186="","",IF(Allocation!$N$1="VOL_EFF",$Q186,IF(Allocation!$N$1="VOL_CLASS",$R186,$S186)))</f>
        <v/>
      </c>
      <c r="AH186" s="0">
        <f>IF($A186="","",IF(Allocation!$N$1="VOL_EFF",$T186,IF(Allocation!$N$1="VOL_CLASS",$U186,$V186)))</f>
        <v/>
      </c>
      <c r="AI186" s="0">
        <f>IF($A186="","",$W186*IFERROR($K186/$O186,0))</f>
        <v/>
      </c>
      <c r="AJ186" s="0">
        <f>IF($A186="","",$X186*IFERROR($K186/$O186,0))</f>
        <v/>
      </c>
      <c r="AK186" s="0">
        <f>IF($A186="","",$Y186*IFERROR($G186/$L186,0)+$Z186*IFERROR($J186/$P186,0))</f>
        <v/>
      </c>
      <c r="AL186" s="0">
        <f>IF($A186="","",$AA186*IFERROR($AC186/$AD186,0))</f>
        <v/>
      </c>
      <c r="AM186" s="0">
        <f>IF($A186="","",$AB186*IFERROR($AG186/$AH186,0)*IFERROR($AE186/$AF186,0)*IFERROR($AC186/$AD186,0))</f>
        <v/>
      </c>
      <c r="AN186" s="0">
        <f>IF($A186="","",$I186-($AI186+$AJ186+$AK186+$AL186+$AM186+$AR186))</f>
        <v/>
      </c>
      <c r="AO186" s="0">
        <f>IF($A186="","",Allocation!CJ186)</f>
        <v/>
      </c>
      <c r="AP186" s="0">
        <f>IF($A186="","",IF(Allocation!$N$2="VOL_EFF",$Q186,IF(Allocation!$N$2="VOL_CLASS",$R186,$S186)))</f>
        <v/>
      </c>
      <c r="AQ186" s="0">
        <f>IF($A186="","",IF(Allocation!$N$2="VOL_EFF",$T186,IF(Allocation!$N$2="VOL_CLASS",$U186,$V186)))</f>
        <v/>
      </c>
      <c r="AR186" s="0">
        <f>IF($A186="","",$AO186*IFERROR($AP186/$AQ186,0)*IFERROR($AE186/$AF186,0)*IFERROR($AC186/$AD186,0))</f>
        <v/>
      </c>
      <c r="AS186" s="0">
        <f>IF($A186="","",$A186&amp;"|"&amp;Allocation!BG186)</f>
        <v/>
      </c>
    </row>
    <row r="187" ht="14.4975" customHeight="1" s="64">
      <c r="A187" s="0">
        <f>IF(Allocation!BI187="","",Allocation!BI187)</f>
        <v/>
      </c>
      <c r="B187" s="0">
        <f>IF(Allocation!BJ187="","",Allocation!BJ187)</f>
        <v/>
      </c>
      <c r="C187" s="0">
        <f>IF(Allocation!BK187="","",Allocation!BK187)</f>
        <v/>
      </c>
      <c r="D187" s="0">
        <f>IF(Allocation!BL187="","",Allocation!BL187)</f>
        <v/>
      </c>
      <c r="E187" s="0">
        <f>IF(Allocation!BM187="","",Allocation!BM187)</f>
        <v/>
      </c>
      <c r="F187" s="0">
        <f>IF(Allocation!BN187="","",Allocation!BN187)</f>
        <v/>
      </c>
      <c r="G187" s="0">
        <f>IF(Allocation!BO187="","",Allocation!BO187)</f>
        <v/>
      </c>
      <c r="H187" s="0">
        <f>IF(Allocation!BP187="","",Allocation!BP187)</f>
        <v/>
      </c>
      <c r="I187" s="0">
        <f>IF(Allocation!BQ187="","",Allocation!BQ187)</f>
        <v/>
      </c>
      <c r="J187" s="0">
        <f>IF(Allocation!CC187="","",Allocation!CC187)</f>
        <v/>
      </c>
      <c r="K187" s="0">
        <f>IF($A187="","",$H187*IF(AND(LEFT($D187,3)="BAC",$F187="INIT"),600,IF(LEFT($D187,3)="BAC",480,IF(AND(LEFT($D187,3)="MAS",$F187="INIT"),520,IF(LEFT($D187,3)="MAS",420,IF($F187="INIT",1000,700))))))</f>
        <v/>
      </c>
      <c r="L187" s="0">
        <f>IF($A187="","",SUMIFS($G$1:$G$349,$AS$1:$AS$349,$AS187,$B$1:$B$349,$B187))</f>
        <v/>
      </c>
      <c r="M187" s="0">
        <f>IF($A187="","",SUMIFS($H$1:$H$349,$AS$1:$AS$349,$AS187,$B$1:$B$349,$B187))</f>
        <v/>
      </c>
      <c r="N187" s="0">
        <f>IF($A187="","",SUMIFS($I$1:$I$349,$AS$1:$AS$349,$AS187,$B$1:$B$349,$B187))</f>
        <v/>
      </c>
      <c r="O187" s="0">
        <f>IF($A187="","",SUMIFS($K$1:$K$349,$AS$1:$AS$349,$AS187,$B$1:$B$349,$B187))</f>
        <v/>
      </c>
      <c r="P187" s="0">
        <f>IF($A187="","",SUMIFS($J$1:$J$349,$AS$1:$AS$349,$AS187,$B$1:$B$349,$B187))</f>
        <v/>
      </c>
      <c r="Q187" s="0">
        <f>IF($A187="","",SUMIFS($G$1:$G$349,$AS$1:$AS$349,$AS187,$C$1:$C$349,$C187))</f>
        <v/>
      </c>
      <c r="R187" s="0">
        <f>IF($A187="","",SUMIFS($H$1:$H$349,$AS$1:$AS$349,$AS187,$C$1:$C$349,$C187))</f>
        <v/>
      </c>
      <c r="S187" s="0">
        <f>IF($A187="","",SUMIFS($I$1:$I$349,$AS$1:$AS$349,$AS187,$C$1:$C$349,$C187))</f>
        <v/>
      </c>
      <c r="T187" s="0">
        <f>IF($A187="","",SUMIFS($G$1:$G$349,$AS$1:$AS$349,$AS187))</f>
        <v/>
      </c>
      <c r="U187" s="0">
        <f>IF($A187="","",SUMIFS($H$1:$H$349,$AS$1:$AS$349,$AS187))</f>
        <v/>
      </c>
      <c r="V187" s="0">
        <f>IF($A187="","",SUMIFS($I$1:$I$349,$AS$1:$AS$349,$AS187))</f>
        <v/>
      </c>
      <c r="W187" s="0">
        <f>IF($A187="","",Allocation!CD187)</f>
        <v/>
      </c>
      <c r="X187" s="0">
        <f>IF($A187="","",Allocation!CE187)</f>
        <v/>
      </c>
      <c r="Y187" s="0">
        <f>IF($A187="","",Allocation!CF187)</f>
        <v/>
      </c>
      <c r="Z187" s="0">
        <f>IF($A187="","",Allocation!CG187)</f>
        <v/>
      </c>
      <c r="AA187" s="0">
        <f>IF($A187="","",Allocation!CH187)</f>
        <v/>
      </c>
      <c r="AB187" s="0">
        <f>IF($A187="","",Allocation!CI187)</f>
        <v/>
      </c>
      <c r="AC187" s="0">
        <f>IF($A187="","",IF(Allocation!$N$4="VOL_EFF",$G187,IF(Allocation!$N$4="VOL_CLASS",$H187,$I187)))</f>
        <v/>
      </c>
      <c r="AD187" s="0">
        <f>IF($A187="","",IF(Allocation!$N$4="VOL_EFF",$L187,IF(Allocation!$N$4="VOL_CLASS",$M187,$N187)))</f>
        <v/>
      </c>
      <c r="AE187" s="0">
        <f>IF($A187="","",IF(Allocation!$N$3="VOL_EFF",$L187,IF(Allocation!$N$3="VOL_CLASS",$M187,$N187)))</f>
        <v/>
      </c>
      <c r="AF187" s="0">
        <f>IF($A187="","",IF(Allocation!$N$3="VOL_EFF",$Q187,IF(Allocation!$N$3="VOL_CLASS",$R187,$S187)))</f>
        <v/>
      </c>
      <c r="AG187" s="0">
        <f>IF($A187="","",IF(Allocation!$N$1="VOL_EFF",$Q187,IF(Allocation!$N$1="VOL_CLASS",$R187,$S187)))</f>
        <v/>
      </c>
      <c r="AH187" s="0">
        <f>IF($A187="","",IF(Allocation!$N$1="VOL_EFF",$T187,IF(Allocation!$N$1="VOL_CLASS",$U187,$V187)))</f>
        <v/>
      </c>
      <c r="AI187" s="0">
        <f>IF($A187="","",$W187*IFERROR($K187/$O187,0))</f>
        <v/>
      </c>
      <c r="AJ187" s="0">
        <f>IF($A187="","",$X187*IFERROR($K187/$O187,0))</f>
        <v/>
      </c>
      <c r="AK187" s="0">
        <f>IF($A187="","",$Y187*IFERROR($G187/$L187,0)+$Z187*IFERROR($J187/$P187,0))</f>
        <v/>
      </c>
      <c r="AL187" s="0">
        <f>IF($A187="","",$AA187*IFERROR($AC187/$AD187,0))</f>
        <v/>
      </c>
      <c r="AM187" s="0">
        <f>IF($A187="","",$AB187*IFERROR($AG187/$AH187,0)*IFERROR($AE187/$AF187,0)*IFERROR($AC187/$AD187,0))</f>
        <v/>
      </c>
      <c r="AN187" s="0">
        <f>IF($A187="","",$I187-($AI187+$AJ187+$AK187+$AL187+$AM187+$AR187))</f>
        <v/>
      </c>
      <c r="AO187" s="0">
        <f>IF($A187="","",Allocation!CJ187)</f>
        <v/>
      </c>
      <c r="AP187" s="0">
        <f>IF($A187="","",IF(Allocation!$N$2="VOL_EFF",$Q187,IF(Allocation!$N$2="VOL_CLASS",$R187,$S187)))</f>
        <v/>
      </c>
      <c r="AQ187" s="0">
        <f>IF($A187="","",IF(Allocation!$N$2="VOL_EFF",$T187,IF(Allocation!$N$2="VOL_CLASS",$U187,$V187)))</f>
        <v/>
      </c>
      <c r="AR187" s="0">
        <f>IF($A187="","",$AO187*IFERROR($AP187/$AQ187,0)*IFERROR($AE187/$AF187,0)*IFERROR($AC187/$AD187,0))</f>
        <v/>
      </c>
      <c r="AS187" s="0">
        <f>IF($A187="","",$A187&amp;"|"&amp;Allocation!BG187)</f>
        <v/>
      </c>
    </row>
    <row r="188" ht="14.4975" customHeight="1" s="64">
      <c r="A188" s="0">
        <f>IF(Allocation!BI188="","",Allocation!BI188)</f>
        <v/>
      </c>
      <c r="B188" s="0">
        <f>IF(Allocation!BJ188="","",Allocation!BJ188)</f>
        <v/>
      </c>
      <c r="C188" s="0">
        <f>IF(Allocation!BK188="","",Allocation!BK188)</f>
        <v/>
      </c>
      <c r="D188" s="0">
        <f>IF(Allocation!BL188="","",Allocation!BL188)</f>
        <v/>
      </c>
      <c r="E188" s="0">
        <f>IF(Allocation!BM188="","",Allocation!BM188)</f>
        <v/>
      </c>
      <c r="F188" s="0">
        <f>IF(Allocation!BN188="","",Allocation!BN188)</f>
        <v/>
      </c>
      <c r="G188" s="0">
        <f>IF(Allocation!BO188="","",Allocation!BO188)</f>
        <v/>
      </c>
      <c r="H188" s="0">
        <f>IF(Allocation!BP188="","",Allocation!BP188)</f>
        <v/>
      </c>
      <c r="I188" s="0">
        <f>IF(Allocation!BQ188="","",Allocation!BQ188)</f>
        <v/>
      </c>
      <c r="J188" s="0">
        <f>IF(Allocation!CC188="","",Allocation!CC188)</f>
        <v/>
      </c>
      <c r="K188" s="0">
        <f>IF($A188="","",$H188*IF(AND(LEFT($D188,3)="BAC",$F188="INIT"),600,IF(LEFT($D188,3)="BAC",480,IF(AND(LEFT($D188,3)="MAS",$F188="INIT"),520,IF(LEFT($D188,3)="MAS",420,IF($F188="INIT",1000,700))))))</f>
        <v/>
      </c>
      <c r="L188" s="0">
        <f>IF($A188="","",SUMIFS($G$1:$G$349,$AS$1:$AS$349,$AS188,$B$1:$B$349,$B188))</f>
        <v/>
      </c>
      <c r="M188" s="0">
        <f>IF($A188="","",SUMIFS($H$1:$H$349,$AS$1:$AS$349,$AS188,$B$1:$B$349,$B188))</f>
        <v/>
      </c>
      <c r="N188" s="0">
        <f>IF($A188="","",SUMIFS($I$1:$I$349,$AS$1:$AS$349,$AS188,$B$1:$B$349,$B188))</f>
        <v/>
      </c>
      <c r="O188" s="0">
        <f>IF($A188="","",SUMIFS($K$1:$K$349,$AS$1:$AS$349,$AS188,$B$1:$B$349,$B188))</f>
        <v/>
      </c>
      <c r="P188" s="0">
        <f>IF($A188="","",SUMIFS($J$1:$J$349,$AS$1:$AS$349,$AS188,$B$1:$B$349,$B188))</f>
        <v/>
      </c>
      <c r="Q188" s="0">
        <f>IF($A188="","",SUMIFS($G$1:$G$349,$AS$1:$AS$349,$AS188,$C$1:$C$349,$C188))</f>
        <v/>
      </c>
      <c r="R188" s="0">
        <f>IF($A188="","",SUMIFS($H$1:$H$349,$AS$1:$AS$349,$AS188,$C$1:$C$349,$C188))</f>
        <v/>
      </c>
      <c r="S188" s="0">
        <f>IF($A188="","",SUMIFS($I$1:$I$349,$AS$1:$AS$349,$AS188,$C$1:$C$349,$C188))</f>
        <v/>
      </c>
      <c r="T188" s="0">
        <f>IF($A188="","",SUMIFS($G$1:$G$349,$AS$1:$AS$349,$AS188))</f>
        <v/>
      </c>
      <c r="U188" s="0">
        <f>IF($A188="","",SUMIFS($H$1:$H$349,$AS$1:$AS$349,$AS188))</f>
        <v/>
      </c>
      <c r="V188" s="0">
        <f>IF($A188="","",SUMIFS($I$1:$I$349,$AS$1:$AS$349,$AS188))</f>
        <v/>
      </c>
      <c r="W188" s="0">
        <f>IF($A188="","",Allocation!CD188)</f>
        <v/>
      </c>
      <c r="X188" s="0">
        <f>IF($A188="","",Allocation!CE188)</f>
        <v/>
      </c>
      <c r="Y188" s="0">
        <f>IF($A188="","",Allocation!CF188)</f>
        <v/>
      </c>
      <c r="Z188" s="0">
        <f>IF($A188="","",Allocation!CG188)</f>
        <v/>
      </c>
      <c r="AA188" s="0">
        <f>IF($A188="","",Allocation!CH188)</f>
        <v/>
      </c>
      <c r="AB188" s="0">
        <f>IF($A188="","",Allocation!CI188)</f>
        <v/>
      </c>
      <c r="AC188" s="0">
        <f>IF($A188="","",IF(Allocation!$N$4="VOL_EFF",$G188,IF(Allocation!$N$4="VOL_CLASS",$H188,$I188)))</f>
        <v/>
      </c>
      <c r="AD188" s="0">
        <f>IF($A188="","",IF(Allocation!$N$4="VOL_EFF",$L188,IF(Allocation!$N$4="VOL_CLASS",$M188,$N188)))</f>
        <v/>
      </c>
      <c r="AE188" s="0">
        <f>IF($A188="","",IF(Allocation!$N$3="VOL_EFF",$L188,IF(Allocation!$N$3="VOL_CLASS",$M188,$N188)))</f>
        <v/>
      </c>
      <c r="AF188" s="0">
        <f>IF($A188="","",IF(Allocation!$N$3="VOL_EFF",$Q188,IF(Allocation!$N$3="VOL_CLASS",$R188,$S188)))</f>
        <v/>
      </c>
      <c r="AG188" s="0">
        <f>IF($A188="","",IF(Allocation!$N$1="VOL_EFF",$Q188,IF(Allocation!$N$1="VOL_CLASS",$R188,$S188)))</f>
        <v/>
      </c>
      <c r="AH188" s="0">
        <f>IF($A188="","",IF(Allocation!$N$1="VOL_EFF",$T188,IF(Allocation!$N$1="VOL_CLASS",$U188,$V188)))</f>
        <v/>
      </c>
      <c r="AI188" s="0">
        <f>IF($A188="","",$W188*IFERROR($K188/$O188,0))</f>
        <v/>
      </c>
      <c r="AJ188" s="0">
        <f>IF($A188="","",$X188*IFERROR($K188/$O188,0))</f>
        <v/>
      </c>
      <c r="AK188" s="0">
        <f>IF($A188="","",$Y188*IFERROR($G188/$L188,0)+$Z188*IFERROR($J188/$P188,0))</f>
        <v/>
      </c>
      <c r="AL188" s="0">
        <f>IF($A188="","",$AA188*IFERROR($AC188/$AD188,0))</f>
        <v/>
      </c>
      <c r="AM188" s="0">
        <f>IF($A188="","",$AB188*IFERROR($AG188/$AH188,0)*IFERROR($AE188/$AF188,0)*IFERROR($AC188/$AD188,0))</f>
        <v/>
      </c>
      <c r="AN188" s="0">
        <f>IF($A188="","",$I188-($AI188+$AJ188+$AK188+$AL188+$AM188+$AR188))</f>
        <v/>
      </c>
      <c r="AO188" s="0">
        <f>IF($A188="","",Allocation!CJ188)</f>
        <v/>
      </c>
      <c r="AP188" s="0">
        <f>IF($A188="","",IF(Allocation!$N$2="VOL_EFF",$Q188,IF(Allocation!$N$2="VOL_CLASS",$R188,$S188)))</f>
        <v/>
      </c>
      <c r="AQ188" s="0">
        <f>IF($A188="","",IF(Allocation!$N$2="VOL_EFF",$T188,IF(Allocation!$N$2="VOL_CLASS",$U188,$V188)))</f>
        <v/>
      </c>
      <c r="AR188" s="0">
        <f>IF($A188="","",$AO188*IFERROR($AP188/$AQ188,0)*IFERROR($AE188/$AF188,0)*IFERROR($AC188/$AD188,0))</f>
        <v/>
      </c>
      <c r="AS188" s="0">
        <f>IF($A188="","",$A188&amp;"|"&amp;Allocation!BG188)</f>
        <v/>
      </c>
    </row>
    <row r="189" ht="14.4975" customHeight="1" s="64">
      <c r="A189" s="0">
        <f>IF(Allocation!BI189="","",Allocation!BI189)</f>
        <v/>
      </c>
      <c r="B189" s="0">
        <f>IF(Allocation!BJ189="","",Allocation!BJ189)</f>
        <v/>
      </c>
      <c r="C189" s="0">
        <f>IF(Allocation!BK189="","",Allocation!BK189)</f>
        <v/>
      </c>
      <c r="D189" s="0">
        <f>IF(Allocation!BL189="","",Allocation!BL189)</f>
        <v/>
      </c>
      <c r="E189" s="0">
        <f>IF(Allocation!BM189="","",Allocation!BM189)</f>
        <v/>
      </c>
      <c r="F189" s="0">
        <f>IF(Allocation!BN189="","",Allocation!BN189)</f>
        <v/>
      </c>
      <c r="G189" s="0">
        <f>IF(Allocation!BO189="","",Allocation!BO189)</f>
        <v/>
      </c>
      <c r="H189" s="0">
        <f>IF(Allocation!BP189="","",Allocation!BP189)</f>
        <v/>
      </c>
      <c r="I189" s="0">
        <f>IF(Allocation!BQ189="","",Allocation!BQ189)</f>
        <v/>
      </c>
      <c r="J189" s="0">
        <f>IF(Allocation!CC189="","",Allocation!CC189)</f>
        <v/>
      </c>
      <c r="K189" s="0">
        <f>IF($A189="","",$H189*IF(AND(LEFT($D189,3)="BAC",$F189="INIT"),600,IF(LEFT($D189,3)="BAC",480,IF(AND(LEFT($D189,3)="MAS",$F189="INIT"),520,IF(LEFT($D189,3)="MAS",420,IF($F189="INIT",1000,700))))))</f>
        <v/>
      </c>
      <c r="L189" s="0">
        <f>IF($A189="","",SUMIFS($G$1:$G$349,$AS$1:$AS$349,$AS189,$B$1:$B$349,$B189))</f>
        <v/>
      </c>
      <c r="M189" s="0">
        <f>IF($A189="","",SUMIFS($H$1:$H$349,$AS$1:$AS$349,$AS189,$B$1:$B$349,$B189))</f>
        <v/>
      </c>
      <c r="N189" s="0">
        <f>IF($A189="","",SUMIFS($I$1:$I$349,$AS$1:$AS$349,$AS189,$B$1:$B$349,$B189))</f>
        <v/>
      </c>
      <c r="O189" s="0">
        <f>IF($A189="","",SUMIFS($K$1:$K$349,$AS$1:$AS$349,$AS189,$B$1:$B$349,$B189))</f>
        <v/>
      </c>
      <c r="P189" s="0">
        <f>IF($A189="","",SUMIFS($J$1:$J$349,$AS$1:$AS$349,$AS189,$B$1:$B$349,$B189))</f>
        <v/>
      </c>
      <c r="Q189" s="0">
        <f>IF($A189="","",SUMIFS($G$1:$G$349,$AS$1:$AS$349,$AS189,$C$1:$C$349,$C189))</f>
        <v/>
      </c>
      <c r="R189" s="0">
        <f>IF($A189="","",SUMIFS($H$1:$H$349,$AS$1:$AS$349,$AS189,$C$1:$C$349,$C189))</f>
        <v/>
      </c>
      <c r="S189" s="0">
        <f>IF($A189="","",SUMIFS($I$1:$I$349,$AS$1:$AS$349,$AS189,$C$1:$C$349,$C189))</f>
        <v/>
      </c>
      <c r="T189" s="0">
        <f>IF($A189="","",SUMIFS($G$1:$G$349,$AS$1:$AS$349,$AS189))</f>
        <v/>
      </c>
      <c r="U189" s="0">
        <f>IF($A189="","",SUMIFS($H$1:$H$349,$AS$1:$AS$349,$AS189))</f>
        <v/>
      </c>
      <c r="V189" s="0">
        <f>IF($A189="","",SUMIFS($I$1:$I$349,$AS$1:$AS$349,$AS189))</f>
        <v/>
      </c>
      <c r="W189" s="0">
        <f>IF($A189="","",Allocation!CD189)</f>
        <v/>
      </c>
      <c r="X189" s="0">
        <f>IF($A189="","",Allocation!CE189)</f>
        <v/>
      </c>
      <c r="Y189" s="0">
        <f>IF($A189="","",Allocation!CF189)</f>
        <v/>
      </c>
      <c r="Z189" s="0">
        <f>IF($A189="","",Allocation!CG189)</f>
        <v/>
      </c>
      <c r="AA189" s="0">
        <f>IF($A189="","",Allocation!CH189)</f>
        <v/>
      </c>
      <c r="AB189" s="0">
        <f>IF($A189="","",Allocation!CI189)</f>
        <v/>
      </c>
      <c r="AC189" s="0">
        <f>IF($A189="","",IF(Allocation!$N$4="VOL_EFF",$G189,IF(Allocation!$N$4="VOL_CLASS",$H189,$I189)))</f>
        <v/>
      </c>
      <c r="AD189" s="0">
        <f>IF($A189="","",IF(Allocation!$N$4="VOL_EFF",$L189,IF(Allocation!$N$4="VOL_CLASS",$M189,$N189)))</f>
        <v/>
      </c>
      <c r="AE189" s="0">
        <f>IF($A189="","",IF(Allocation!$N$3="VOL_EFF",$L189,IF(Allocation!$N$3="VOL_CLASS",$M189,$N189)))</f>
        <v/>
      </c>
      <c r="AF189" s="0">
        <f>IF($A189="","",IF(Allocation!$N$3="VOL_EFF",$Q189,IF(Allocation!$N$3="VOL_CLASS",$R189,$S189)))</f>
        <v/>
      </c>
      <c r="AG189" s="0">
        <f>IF($A189="","",IF(Allocation!$N$1="VOL_EFF",$Q189,IF(Allocation!$N$1="VOL_CLASS",$R189,$S189)))</f>
        <v/>
      </c>
      <c r="AH189" s="0">
        <f>IF($A189="","",IF(Allocation!$N$1="VOL_EFF",$T189,IF(Allocation!$N$1="VOL_CLASS",$U189,$V189)))</f>
        <v/>
      </c>
      <c r="AI189" s="0">
        <f>IF($A189="","",$W189*IFERROR($K189/$O189,0))</f>
        <v/>
      </c>
      <c r="AJ189" s="0">
        <f>IF($A189="","",$X189*IFERROR($K189/$O189,0))</f>
        <v/>
      </c>
      <c r="AK189" s="0">
        <f>IF($A189="","",$Y189*IFERROR($G189/$L189,0)+$Z189*IFERROR($J189/$P189,0))</f>
        <v/>
      </c>
      <c r="AL189" s="0">
        <f>IF($A189="","",$AA189*IFERROR($AC189/$AD189,0))</f>
        <v/>
      </c>
      <c r="AM189" s="0">
        <f>IF($A189="","",$AB189*IFERROR($AG189/$AH189,0)*IFERROR($AE189/$AF189,0)*IFERROR($AC189/$AD189,0))</f>
        <v/>
      </c>
      <c r="AN189" s="0">
        <f>IF($A189="","",$I189-($AI189+$AJ189+$AK189+$AL189+$AM189+$AR189))</f>
        <v/>
      </c>
      <c r="AO189" s="0">
        <f>IF($A189="","",Allocation!CJ189)</f>
        <v/>
      </c>
      <c r="AP189" s="0">
        <f>IF($A189="","",IF(Allocation!$N$2="VOL_EFF",$Q189,IF(Allocation!$N$2="VOL_CLASS",$R189,$S189)))</f>
        <v/>
      </c>
      <c r="AQ189" s="0">
        <f>IF($A189="","",IF(Allocation!$N$2="VOL_EFF",$T189,IF(Allocation!$N$2="VOL_CLASS",$U189,$V189)))</f>
        <v/>
      </c>
      <c r="AR189" s="0">
        <f>IF($A189="","",$AO189*IFERROR($AP189/$AQ189,0)*IFERROR($AE189/$AF189,0)*IFERROR($AC189/$AD189,0))</f>
        <v/>
      </c>
      <c r="AS189" s="0">
        <f>IF($A189="","",$A189&amp;"|"&amp;Allocation!BG189)</f>
        <v/>
      </c>
    </row>
    <row r="190" ht="14.4975" customHeight="1" s="64">
      <c r="A190" s="0">
        <f>IF(Allocation!BI190="","",Allocation!BI190)</f>
        <v/>
      </c>
      <c r="B190" s="0">
        <f>IF(Allocation!BJ190="","",Allocation!BJ190)</f>
        <v/>
      </c>
      <c r="C190" s="0">
        <f>IF(Allocation!BK190="","",Allocation!BK190)</f>
        <v/>
      </c>
      <c r="D190" s="0">
        <f>IF(Allocation!BL190="","",Allocation!BL190)</f>
        <v/>
      </c>
      <c r="E190" s="0">
        <f>IF(Allocation!BM190="","",Allocation!BM190)</f>
        <v/>
      </c>
      <c r="F190" s="0">
        <f>IF(Allocation!BN190="","",Allocation!BN190)</f>
        <v/>
      </c>
      <c r="G190" s="0">
        <f>IF(Allocation!BO190="","",Allocation!BO190)</f>
        <v/>
      </c>
      <c r="H190" s="0">
        <f>IF(Allocation!BP190="","",Allocation!BP190)</f>
        <v/>
      </c>
      <c r="I190" s="0">
        <f>IF(Allocation!BQ190="","",Allocation!BQ190)</f>
        <v/>
      </c>
      <c r="J190" s="0">
        <f>IF(Allocation!CC190="","",Allocation!CC190)</f>
        <v/>
      </c>
      <c r="K190" s="0">
        <f>IF($A190="","",$H190*IF(AND(LEFT($D190,3)="BAC",$F190="INIT"),600,IF(LEFT($D190,3)="BAC",480,IF(AND(LEFT($D190,3)="MAS",$F190="INIT"),520,IF(LEFT($D190,3)="MAS",420,IF($F190="INIT",1000,700))))))</f>
        <v/>
      </c>
      <c r="L190" s="0">
        <f>IF($A190="","",SUMIFS($G$1:$G$349,$AS$1:$AS$349,$AS190,$B$1:$B$349,$B190))</f>
        <v/>
      </c>
      <c r="M190" s="0">
        <f>IF($A190="","",SUMIFS($H$1:$H$349,$AS$1:$AS$349,$AS190,$B$1:$B$349,$B190))</f>
        <v/>
      </c>
      <c r="N190" s="0">
        <f>IF($A190="","",SUMIFS($I$1:$I$349,$AS$1:$AS$349,$AS190,$B$1:$B$349,$B190))</f>
        <v/>
      </c>
      <c r="O190" s="0">
        <f>IF($A190="","",SUMIFS($K$1:$K$349,$AS$1:$AS$349,$AS190,$B$1:$B$349,$B190))</f>
        <v/>
      </c>
      <c r="P190" s="0">
        <f>IF($A190="","",SUMIFS($J$1:$J$349,$AS$1:$AS$349,$AS190,$B$1:$B$349,$B190))</f>
        <v/>
      </c>
      <c r="Q190" s="0">
        <f>IF($A190="","",SUMIFS($G$1:$G$349,$AS$1:$AS$349,$AS190,$C$1:$C$349,$C190))</f>
        <v/>
      </c>
      <c r="R190" s="0">
        <f>IF($A190="","",SUMIFS($H$1:$H$349,$AS$1:$AS$349,$AS190,$C$1:$C$349,$C190))</f>
        <v/>
      </c>
      <c r="S190" s="0">
        <f>IF($A190="","",SUMIFS($I$1:$I$349,$AS$1:$AS$349,$AS190,$C$1:$C$349,$C190))</f>
        <v/>
      </c>
      <c r="T190" s="0">
        <f>IF($A190="","",SUMIFS($G$1:$G$349,$AS$1:$AS$349,$AS190))</f>
        <v/>
      </c>
      <c r="U190" s="0">
        <f>IF($A190="","",SUMIFS($H$1:$H$349,$AS$1:$AS$349,$AS190))</f>
        <v/>
      </c>
      <c r="V190" s="0">
        <f>IF($A190="","",SUMIFS($I$1:$I$349,$AS$1:$AS$349,$AS190))</f>
        <v/>
      </c>
      <c r="W190" s="0">
        <f>IF($A190="","",Allocation!CD190)</f>
        <v/>
      </c>
      <c r="X190" s="0">
        <f>IF($A190="","",Allocation!CE190)</f>
        <v/>
      </c>
      <c r="Y190" s="0">
        <f>IF($A190="","",Allocation!CF190)</f>
        <v/>
      </c>
      <c r="Z190" s="0">
        <f>IF($A190="","",Allocation!CG190)</f>
        <v/>
      </c>
      <c r="AA190" s="0">
        <f>IF($A190="","",Allocation!CH190)</f>
        <v/>
      </c>
      <c r="AB190" s="0">
        <f>IF($A190="","",Allocation!CI190)</f>
        <v/>
      </c>
      <c r="AC190" s="0">
        <f>IF($A190="","",IF(Allocation!$N$4="VOL_EFF",$G190,IF(Allocation!$N$4="VOL_CLASS",$H190,$I190)))</f>
        <v/>
      </c>
      <c r="AD190" s="0">
        <f>IF($A190="","",IF(Allocation!$N$4="VOL_EFF",$L190,IF(Allocation!$N$4="VOL_CLASS",$M190,$N190)))</f>
        <v/>
      </c>
      <c r="AE190" s="0">
        <f>IF($A190="","",IF(Allocation!$N$3="VOL_EFF",$L190,IF(Allocation!$N$3="VOL_CLASS",$M190,$N190)))</f>
        <v/>
      </c>
      <c r="AF190" s="0">
        <f>IF($A190="","",IF(Allocation!$N$3="VOL_EFF",$Q190,IF(Allocation!$N$3="VOL_CLASS",$R190,$S190)))</f>
        <v/>
      </c>
      <c r="AG190" s="0">
        <f>IF($A190="","",IF(Allocation!$N$1="VOL_EFF",$Q190,IF(Allocation!$N$1="VOL_CLASS",$R190,$S190)))</f>
        <v/>
      </c>
      <c r="AH190" s="0">
        <f>IF($A190="","",IF(Allocation!$N$1="VOL_EFF",$T190,IF(Allocation!$N$1="VOL_CLASS",$U190,$V190)))</f>
        <v/>
      </c>
      <c r="AI190" s="0">
        <f>IF($A190="","",$W190*IFERROR($K190/$O190,0))</f>
        <v/>
      </c>
      <c r="AJ190" s="0">
        <f>IF($A190="","",$X190*IFERROR($K190/$O190,0))</f>
        <v/>
      </c>
      <c r="AK190" s="0">
        <f>IF($A190="","",$Y190*IFERROR($G190/$L190,0)+$Z190*IFERROR($J190/$P190,0))</f>
        <v/>
      </c>
      <c r="AL190" s="0">
        <f>IF($A190="","",$AA190*IFERROR($AC190/$AD190,0))</f>
        <v/>
      </c>
      <c r="AM190" s="0">
        <f>IF($A190="","",$AB190*IFERROR($AG190/$AH190,0)*IFERROR($AE190/$AF190,0)*IFERROR($AC190/$AD190,0))</f>
        <v/>
      </c>
      <c r="AN190" s="0">
        <f>IF($A190="","",$I190-($AI190+$AJ190+$AK190+$AL190+$AM190+$AR190))</f>
        <v/>
      </c>
      <c r="AO190" s="0">
        <f>IF($A190="","",Allocation!CJ190)</f>
        <v/>
      </c>
      <c r="AP190" s="0">
        <f>IF($A190="","",IF(Allocation!$N$2="VOL_EFF",$Q190,IF(Allocation!$N$2="VOL_CLASS",$R190,$S190)))</f>
        <v/>
      </c>
      <c r="AQ190" s="0">
        <f>IF($A190="","",IF(Allocation!$N$2="VOL_EFF",$T190,IF(Allocation!$N$2="VOL_CLASS",$U190,$V190)))</f>
        <v/>
      </c>
      <c r="AR190" s="0">
        <f>IF($A190="","",$AO190*IFERROR($AP190/$AQ190,0)*IFERROR($AE190/$AF190,0)*IFERROR($AC190/$AD190,0))</f>
        <v/>
      </c>
      <c r="AS190" s="0">
        <f>IF($A190="","",$A190&amp;"|"&amp;Allocation!BG190)</f>
        <v/>
      </c>
    </row>
    <row r="191" ht="14.4975" customHeight="1" s="64">
      <c r="A191" s="0">
        <f>IF(Allocation!BI191="","",Allocation!BI191)</f>
        <v/>
      </c>
      <c r="B191" s="0">
        <f>IF(Allocation!BJ191="","",Allocation!BJ191)</f>
        <v/>
      </c>
      <c r="C191" s="0">
        <f>IF(Allocation!BK191="","",Allocation!BK191)</f>
        <v/>
      </c>
      <c r="D191" s="0">
        <f>IF(Allocation!BL191="","",Allocation!BL191)</f>
        <v/>
      </c>
      <c r="E191" s="0">
        <f>IF(Allocation!BM191="","",Allocation!BM191)</f>
        <v/>
      </c>
      <c r="F191" s="0">
        <f>IF(Allocation!BN191="","",Allocation!BN191)</f>
        <v/>
      </c>
      <c r="G191" s="0">
        <f>IF(Allocation!BO191="","",Allocation!BO191)</f>
        <v/>
      </c>
      <c r="H191" s="0">
        <f>IF(Allocation!BP191="","",Allocation!BP191)</f>
        <v/>
      </c>
      <c r="I191" s="0">
        <f>IF(Allocation!BQ191="","",Allocation!BQ191)</f>
        <v/>
      </c>
      <c r="J191" s="0">
        <f>IF(Allocation!CC191="","",Allocation!CC191)</f>
        <v/>
      </c>
      <c r="K191" s="0">
        <f>IF($A191="","",$H191*IF(AND(LEFT($D191,3)="BAC",$F191="INIT"),600,IF(LEFT($D191,3)="BAC",480,IF(AND(LEFT($D191,3)="MAS",$F191="INIT"),520,IF(LEFT($D191,3)="MAS",420,IF($F191="INIT",1000,700))))))</f>
        <v/>
      </c>
      <c r="L191" s="0">
        <f>IF($A191="","",SUMIFS($G$1:$G$349,$AS$1:$AS$349,$AS191,$B$1:$B$349,$B191))</f>
        <v/>
      </c>
      <c r="M191" s="0">
        <f>IF($A191="","",SUMIFS($H$1:$H$349,$AS$1:$AS$349,$AS191,$B$1:$B$349,$B191))</f>
        <v/>
      </c>
      <c r="N191" s="0">
        <f>IF($A191="","",SUMIFS($I$1:$I$349,$AS$1:$AS$349,$AS191,$B$1:$B$349,$B191))</f>
        <v/>
      </c>
      <c r="O191" s="0">
        <f>IF($A191="","",SUMIFS($K$1:$K$349,$AS$1:$AS$349,$AS191,$B$1:$B$349,$B191))</f>
        <v/>
      </c>
      <c r="P191" s="0">
        <f>IF($A191="","",SUMIFS($J$1:$J$349,$AS$1:$AS$349,$AS191,$B$1:$B$349,$B191))</f>
        <v/>
      </c>
      <c r="Q191" s="0">
        <f>IF($A191="","",SUMIFS($G$1:$G$349,$AS$1:$AS$349,$AS191,$C$1:$C$349,$C191))</f>
        <v/>
      </c>
      <c r="R191" s="0">
        <f>IF($A191="","",SUMIFS($H$1:$H$349,$AS$1:$AS$349,$AS191,$C$1:$C$349,$C191))</f>
        <v/>
      </c>
      <c r="S191" s="0">
        <f>IF($A191="","",SUMIFS($I$1:$I$349,$AS$1:$AS$349,$AS191,$C$1:$C$349,$C191))</f>
        <v/>
      </c>
      <c r="T191" s="0">
        <f>IF($A191="","",SUMIFS($G$1:$G$349,$AS$1:$AS$349,$AS191))</f>
        <v/>
      </c>
      <c r="U191" s="0">
        <f>IF($A191="","",SUMIFS($H$1:$H$349,$AS$1:$AS$349,$AS191))</f>
        <v/>
      </c>
      <c r="V191" s="0">
        <f>IF($A191="","",SUMIFS($I$1:$I$349,$AS$1:$AS$349,$AS191))</f>
        <v/>
      </c>
      <c r="W191" s="0">
        <f>IF($A191="","",Allocation!CD191)</f>
        <v/>
      </c>
      <c r="X191" s="0">
        <f>IF($A191="","",Allocation!CE191)</f>
        <v/>
      </c>
      <c r="Y191" s="0">
        <f>IF($A191="","",Allocation!CF191)</f>
        <v/>
      </c>
      <c r="Z191" s="0">
        <f>IF($A191="","",Allocation!CG191)</f>
        <v/>
      </c>
      <c r="AA191" s="0">
        <f>IF($A191="","",Allocation!CH191)</f>
        <v/>
      </c>
      <c r="AB191" s="0">
        <f>IF($A191="","",Allocation!CI191)</f>
        <v/>
      </c>
      <c r="AC191" s="0">
        <f>IF($A191="","",IF(Allocation!$N$4="VOL_EFF",$G191,IF(Allocation!$N$4="VOL_CLASS",$H191,$I191)))</f>
        <v/>
      </c>
      <c r="AD191" s="0">
        <f>IF($A191="","",IF(Allocation!$N$4="VOL_EFF",$L191,IF(Allocation!$N$4="VOL_CLASS",$M191,$N191)))</f>
        <v/>
      </c>
      <c r="AE191" s="0">
        <f>IF($A191="","",IF(Allocation!$N$3="VOL_EFF",$L191,IF(Allocation!$N$3="VOL_CLASS",$M191,$N191)))</f>
        <v/>
      </c>
      <c r="AF191" s="0">
        <f>IF($A191="","",IF(Allocation!$N$3="VOL_EFF",$Q191,IF(Allocation!$N$3="VOL_CLASS",$R191,$S191)))</f>
        <v/>
      </c>
      <c r="AG191" s="0">
        <f>IF($A191="","",IF(Allocation!$N$1="VOL_EFF",$Q191,IF(Allocation!$N$1="VOL_CLASS",$R191,$S191)))</f>
        <v/>
      </c>
      <c r="AH191" s="0">
        <f>IF($A191="","",IF(Allocation!$N$1="VOL_EFF",$T191,IF(Allocation!$N$1="VOL_CLASS",$U191,$V191)))</f>
        <v/>
      </c>
      <c r="AI191" s="0">
        <f>IF($A191="","",$W191*IFERROR($K191/$O191,0))</f>
        <v/>
      </c>
      <c r="AJ191" s="0">
        <f>IF($A191="","",$X191*IFERROR($K191/$O191,0))</f>
        <v/>
      </c>
      <c r="AK191" s="0">
        <f>IF($A191="","",$Y191*IFERROR($G191/$L191,0)+$Z191*IFERROR($J191/$P191,0))</f>
        <v/>
      </c>
      <c r="AL191" s="0">
        <f>IF($A191="","",$AA191*IFERROR($AC191/$AD191,0))</f>
        <v/>
      </c>
      <c r="AM191" s="0">
        <f>IF($A191="","",$AB191*IFERROR($AG191/$AH191,0)*IFERROR($AE191/$AF191,0)*IFERROR($AC191/$AD191,0))</f>
        <v/>
      </c>
      <c r="AN191" s="0">
        <f>IF($A191="","",$I191-($AI191+$AJ191+$AK191+$AL191+$AM191+$AR191))</f>
        <v/>
      </c>
      <c r="AO191" s="0">
        <f>IF($A191="","",Allocation!CJ191)</f>
        <v/>
      </c>
      <c r="AP191" s="0">
        <f>IF($A191="","",IF(Allocation!$N$2="VOL_EFF",$Q191,IF(Allocation!$N$2="VOL_CLASS",$R191,$S191)))</f>
        <v/>
      </c>
      <c r="AQ191" s="0">
        <f>IF($A191="","",IF(Allocation!$N$2="VOL_EFF",$T191,IF(Allocation!$N$2="VOL_CLASS",$U191,$V191)))</f>
        <v/>
      </c>
      <c r="AR191" s="0">
        <f>IF($A191="","",$AO191*IFERROR($AP191/$AQ191,0)*IFERROR($AE191/$AF191,0)*IFERROR($AC191/$AD191,0))</f>
        <v/>
      </c>
      <c r="AS191" s="0">
        <f>IF($A191="","",$A191&amp;"|"&amp;Allocation!BG191)</f>
        <v/>
      </c>
    </row>
    <row r="192" ht="14.4975" customHeight="1" s="64">
      <c r="A192" s="0">
        <f>IF(Allocation!BI192="","",Allocation!BI192)</f>
        <v/>
      </c>
      <c r="B192" s="0">
        <f>IF(Allocation!BJ192="","",Allocation!BJ192)</f>
        <v/>
      </c>
      <c r="C192" s="0">
        <f>IF(Allocation!BK192="","",Allocation!BK192)</f>
        <v/>
      </c>
      <c r="D192" s="0">
        <f>IF(Allocation!BL192="","",Allocation!BL192)</f>
        <v/>
      </c>
      <c r="E192" s="0">
        <f>IF(Allocation!BM192="","",Allocation!BM192)</f>
        <v/>
      </c>
      <c r="F192" s="0">
        <f>IF(Allocation!BN192="","",Allocation!BN192)</f>
        <v/>
      </c>
      <c r="G192" s="0">
        <f>IF(Allocation!BO192="","",Allocation!BO192)</f>
        <v/>
      </c>
      <c r="H192" s="0">
        <f>IF(Allocation!BP192="","",Allocation!BP192)</f>
        <v/>
      </c>
      <c r="I192" s="0">
        <f>IF(Allocation!BQ192="","",Allocation!BQ192)</f>
        <v/>
      </c>
      <c r="J192" s="0">
        <f>IF(Allocation!CC192="","",Allocation!CC192)</f>
        <v/>
      </c>
      <c r="K192" s="0">
        <f>IF($A192="","",$H192*IF(AND(LEFT($D192,3)="BAC",$F192="INIT"),600,IF(LEFT($D192,3)="BAC",480,IF(AND(LEFT($D192,3)="MAS",$F192="INIT"),520,IF(LEFT($D192,3)="MAS",420,IF($F192="INIT",1000,700))))))</f>
        <v/>
      </c>
      <c r="L192" s="0">
        <f>IF($A192="","",SUMIFS($G$1:$G$349,$AS$1:$AS$349,$AS192,$B$1:$B$349,$B192))</f>
        <v/>
      </c>
      <c r="M192" s="0">
        <f>IF($A192="","",SUMIFS($H$1:$H$349,$AS$1:$AS$349,$AS192,$B$1:$B$349,$B192))</f>
        <v/>
      </c>
      <c r="N192" s="0">
        <f>IF($A192="","",SUMIFS($I$1:$I$349,$AS$1:$AS$349,$AS192,$B$1:$B$349,$B192))</f>
        <v/>
      </c>
      <c r="O192" s="0">
        <f>IF($A192="","",SUMIFS($K$1:$K$349,$AS$1:$AS$349,$AS192,$B$1:$B$349,$B192))</f>
        <v/>
      </c>
      <c r="P192" s="0">
        <f>IF($A192="","",SUMIFS($J$1:$J$349,$AS$1:$AS$349,$AS192,$B$1:$B$349,$B192))</f>
        <v/>
      </c>
      <c r="Q192" s="0">
        <f>IF($A192="","",SUMIFS($G$1:$G$349,$AS$1:$AS$349,$AS192,$C$1:$C$349,$C192))</f>
        <v/>
      </c>
      <c r="R192" s="0">
        <f>IF($A192="","",SUMIFS($H$1:$H$349,$AS$1:$AS$349,$AS192,$C$1:$C$349,$C192))</f>
        <v/>
      </c>
      <c r="S192" s="0">
        <f>IF($A192="","",SUMIFS($I$1:$I$349,$AS$1:$AS$349,$AS192,$C$1:$C$349,$C192))</f>
        <v/>
      </c>
      <c r="T192" s="0">
        <f>IF($A192="","",SUMIFS($G$1:$G$349,$AS$1:$AS$349,$AS192))</f>
        <v/>
      </c>
      <c r="U192" s="0">
        <f>IF($A192="","",SUMIFS($H$1:$H$349,$AS$1:$AS$349,$AS192))</f>
        <v/>
      </c>
      <c r="V192" s="0">
        <f>IF($A192="","",SUMIFS($I$1:$I$349,$AS$1:$AS$349,$AS192))</f>
        <v/>
      </c>
      <c r="W192" s="0">
        <f>IF($A192="","",Allocation!CD192)</f>
        <v/>
      </c>
      <c r="X192" s="0">
        <f>IF($A192="","",Allocation!CE192)</f>
        <v/>
      </c>
      <c r="Y192" s="0">
        <f>IF($A192="","",Allocation!CF192)</f>
        <v/>
      </c>
      <c r="Z192" s="0">
        <f>IF($A192="","",Allocation!CG192)</f>
        <v/>
      </c>
      <c r="AA192" s="0">
        <f>IF($A192="","",Allocation!CH192)</f>
        <v/>
      </c>
      <c r="AB192" s="0">
        <f>IF($A192="","",Allocation!CI192)</f>
        <v/>
      </c>
      <c r="AC192" s="0">
        <f>IF($A192="","",IF(Allocation!$N$4="VOL_EFF",$G192,IF(Allocation!$N$4="VOL_CLASS",$H192,$I192)))</f>
        <v/>
      </c>
      <c r="AD192" s="0">
        <f>IF($A192="","",IF(Allocation!$N$4="VOL_EFF",$L192,IF(Allocation!$N$4="VOL_CLASS",$M192,$N192)))</f>
        <v/>
      </c>
      <c r="AE192" s="0">
        <f>IF($A192="","",IF(Allocation!$N$3="VOL_EFF",$L192,IF(Allocation!$N$3="VOL_CLASS",$M192,$N192)))</f>
        <v/>
      </c>
      <c r="AF192" s="0">
        <f>IF($A192="","",IF(Allocation!$N$3="VOL_EFF",$Q192,IF(Allocation!$N$3="VOL_CLASS",$R192,$S192)))</f>
        <v/>
      </c>
      <c r="AG192" s="0">
        <f>IF($A192="","",IF(Allocation!$N$1="VOL_EFF",$Q192,IF(Allocation!$N$1="VOL_CLASS",$R192,$S192)))</f>
        <v/>
      </c>
      <c r="AH192" s="0">
        <f>IF($A192="","",IF(Allocation!$N$1="VOL_EFF",$T192,IF(Allocation!$N$1="VOL_CLASS",$U192,$V192)))</f>
        <v/>
      </c>
      <c r="AI192" s="0">
        <f>IF($A192="","",$W192*IFERROR($K192/$O192,0))</f>
        <v/>
      </c>
      <c r="AJ192" s="0">
        <f>IF($A192="","",$X192*IFERROR($K192/$O192,0))</f>
        <v/>
      </c>
      <c r="AK192" s="0">
        <f>IF($A192="","",$Y192*IFERROR($G192/$L192,0)+$Z192*IFERROR($J192/$P192,0))</f>
        <v/>
      </c>
      <c r="AL192" s="0">
        <f>IF($A192="","",$AA192*IFERROR($AC192/$AD192,0))</f>
        <v/>
      </c>
      <c r="AM192" s="0">
        <f>IF($A192="","",$AB192*IFERROR($AG192/$AH192,0)*IFERROR($AE192/$AF192,0)*IFERROR($AC192/$AD192,0))</f>
        <v/>
      </c>
      <c r="AN192" s="0">
        <f>IF($A192="","",$I192-($AI192+$AJ192+$AK192+$AL192+$AM192+$AR192))</f>
        <v/>
      </c>
      <c r="AO192" s="0">
        <f>IF($A192="","",Allocation!CJ192)</f>
        <v/>
      </c>
      <c r="AP192" s="0">
        <f>IF($A192="","",IF(Allocation!$N$2="VOL_EFF",$Q192,IF(Allocation!$N$2="VOL_CLASS",$R192,$S192)))</f>
        <v/>
      </c>
      <c r="AQ192" s="0">
        <f>IF($A192="","",IF(Allocation!$N$2="VOL_EFF",$T192,IF(Allocation!$N$2="VOL_CLASS",$U192,$V192)))</f>
        <v/>
      </c>
      <c r="AR192" s="0">
        <f>IF($A192="","",$AO192*IFERROR($AP192/$AQ192,0)*IFERROR($AE192/$AF192,0)*IFERROR($AC192/$AD192,0))</f>
        <v/>
      </c>
      <c r="AS192" s="0">
        <f>IF($A192="","",$A192&amp;"|"&amp;Allocation!BG192)</f>
        <v/>
      </c>
    </row>
    <row r="193" ht="14.4975" customHeight="1" s="64">
      <c r="A193" s="0">
        <f>IF(Allocation!BI193="","",Allocation!BI193)</f>
        <v/>
      </c>
      <c r="B193" s="0">
        <f>IF(Allocation!BJ193="","",Allocation!BJ193)</f>
        <v/>
      </c>
      <c r="C193" s="0">
        <f>IF(Allocation!BK193="","",Allocation!BK193)</f>
        <v/>
      </c>
      <c r="D193" s="0">
        <f>IF(Allocation!BL193="","",Allocation!BL193)</f>
        <v/>
      </c>
      <c r="E193" s="0">
        <f>IF(Allocation!BM193="","",Allocation!BM193)</f>
        <v/>
      </c>
      <c r="F193" s="0">
        <f>IF(Allocation!BN193="","",Allocation!BN193)</f>
        <v/>
      </c>
      <c r="G193" s="0">
        <f>IF(Allocation!BO193="","",Allocation!BO193)</f>
        <v/>
      </c>
      <c r="H193" s="0">
        <f>IF(Allocation!BP193="","",Allocation!BP193)</f>
        <v/>
      </c>
      <c r="I193" s="0">
        <f>IF(Allocation!BQ193="","",Allocation!BQ193)</f>
        <v/>
      </c>
      <c r="J193" s="0">
        <f>IF(Allocation!CC193="","",Allocation!CC193)</f>
        <v/>
      </c>
      <c r="K193" s="0">
        <f>IF($A193="","",$H193*IF(AND(LEFT($D193,3)="BAC",$F193="INIT"),600,IF(LEFT($D193,3)="BAC",480,IF(AND(LEFT($D193,3)="MAS",$F193="INIT"),520,IF(LEFT($D193,3)="MAS",420,IF($F193="INIT",1000,700))))))</f>
        <v/>
      </c>
      <c r="L193" s="0">
        <f>IF($A193="","",SUMIFS($G$1:$G$349,$AS$1:$AS$349,$AS193,$B$1:$B$349,$B193))</f>
        <v/>
      </c>
      <c r="M193" s="0">
        <f>IF($A193="","",SUMIFS($H$1:$H$349,$AS$1:$AS$349,$AS193,$B$1:$B$349,$B193))</f>
        <v/>
      </c>
      <c r="N193" s="0">
        <f>IF($A193="","",SUMIFS($I$1:$I$349,$AS$1:$AS$349,$AS193,$B$1:$B$349,$B193))</f>
        <v/>
      </c>
      <c r="O193" s="0">
        <f>IF($A193="","",SUMIFS($K$1:$K$349,$AS$1:$AS$349,$AS193,$B$1:$B$349,$B193))</f>
        <v/>
      </c>
      <c r="P193" s="0">
        <f>IF($A193="","",SUMIFS($J$1:$J$349,$AS$1:$AS$349,$AS193,$B$1:$B$349,$B193))</f>
        <v/>
      </c>
      <c r="Q193" s="0">
        <f>IF($A193="","",SUMIFS($G$1:$G$349,$AS$1:$AS$349,$AS193,$C$1:$C$349,$C193))</f>
        <v/>
      </c>
      <c r="R193" s="0">
        <f>IF($A193="","",SUMIFS($H$1:$H$349,$AS$1:$AS$349,$AS193,$C$1:$C$349,$C193))</f>
        <v/>
      </c>
      <c r="S193" s="0">
        <f>IF($A193="","",SUMIFS($I$1:$I$349,$AS$1:$AS$349,$AS193,$C$1:$C$349,$C193))</f>
        <v/>
      </c>
      <c r="T193" s="0">
        <f>IF($A193="","",SUMIFS($G$1:$G$349,$AS$1:$AS$349,$AS193))</f>
        <v/>
      </c>
      <c r="U193" s="0">
        <f>IF($A193="","",SUMIFS($H$1:$H$349,$AS$1:$AS$349,$AS193))</f>
        <v/>
      </c>
      <c r="V193" s="0">
        <f>IF($A193="","",SUMIFS($I$1:$I$349,$AS$1:$AS$349,$AS193))</f>
        <v/>
      </c>
      <c r="W193" s="0">
        <f>IF($A193="","",Allocation!CD193)</f>
        <v/>
      </c>
      <c r="X193" s="0">
        <f>IF($A193="","",Allocation!CE193)</f>
        <v/>
      </c>
      <c r="Y193" s="0">
        <f>IF($A193="","",Allocation!CF193)</f>
        <v/>
      </c>
      <c r="Z193" s="0">
        <f>IF($A193="","",Allocation!CG193)</f>
        <v/>
      </c>
      <c r="AA193" s="0">
        <f>IF($A193="","",Allocation!CH193)</f>
        <v/>
      </c>
      <c r="AB193" s="0">
        <f>IF($A193="","",Allocation!CI193)</f>
        <v/>
      </c>
      <c r="AC193" s="0">
        <f>IF($A193="","",IF(Allocation!$N$4="VOL_EFF",$G193,IF(Allocation!$N$4="VOL_CLASS",$H193,$I193)))</f>
        <v/>
      </c>
      <c r="AD193" s="0">
        <f>IF($A193="","",IF(Allocation!$N$4="VOL_EFF",$L193,IF(Allocation!$N$4="VOL_CLASS",$M193,$N193)))</f>
        <v/>
      </c>
      <c r="AE193" s="0">
        <f>IF($A193="","",IF(Allocation!$N$3="VOL_EFF",$L193,IF(Allocation!$N$3="VOL_CLASS",$M193,$N193)))</f>
        <v/>
      </c>
      <c r="AF193" s="0">
        <f>IF($A193="","",IF(Allocation!$N$3="VOL_EFF",$Q193,IF(Allocation!$N$3="VOL_CLASS",$R193,$S193)))</f>
        <v/>
      </c>
      <c r="AG193" s="0">
        <f>IF($A193="","",IF(Allocation!$N$1="VOL_EFF",$Q193,IF(Allocation!$N$1="VOL_CLASS",$R193,$S193)))</f>
        <v/>
      </c>
      <c r="AH193" s="0">
        <f>IF($A193="","",IF(Allocation!$N$1="VOL_EFF",$T193,IF(Allocation!$N$1="VOL_CLASS",$U193,$V193)))</f>
        <v/>
      </c>
      <c r="AI193" s="0">
        <f>IF($A193="","",$W193*IFERROR($K193/$O193,0))</f>
        <v/>
      </c>
      <c r="AJ193" s="0">
        <f>IF($A193="","",$X193*IFERROR($K193/$O193,0))</f>
        <v/>
      </c>
      <c r="AK193" s="0">
        <f>IF($A193="","",$Y193*IFERROR($G193/$L193,0)+$Z193*IFERROR($J193/$P193,0))</f>
        <v/>
      </c>
      <c r="AL193" s="0">
        <f>IF($A193="","",$AA193*IFERROR($AC193/$AD193,0))</f>
        <v/>
      </c>
      <c r="AM193" s="0">
        <f>IF($A193="","",$AB193*IFERROR($AG193/$AH193,0)*IFERROR($AE193/$AF193,0)*IFERROR($AC193/$AD193,0))</f>
        <v/>
      </c>
      <c r="AN193" s="0">
        <f>IF($A193="","",$I193-($AI193+$AJ193+$AK193+$AL193+$AM193+$AR193))</f>
        <v/>
      </c>
      <c r="AO193" s="0">
        <f>IF($A193="","",Allocation!CJ193)</f>
        <v/>
      </c>
      <c r="AP193" s="0">
        <f>IF($A193="","",IF(Allocation!$N$2="VOL_EFF",$Q193,IF(Allocation!$N$2="VOL_CLASS",$R193,$S193)))</f>
        <v/>
      </c>
      <c r="AQ193" s="0">
        <f>IF($A193="","",IF(Allocation!$N$2="VOL_EFF",$T193,IF(Allocation!$N$2="VOL_CLASS",$U193,$V193)))</f>
        <v/>
      </c>
      <c r="AR193" s="0">
        <f>IF($A193="","",$AO193*IFERROR($AP193/$AQ193,0)*IFERROR($AE193/$AF193,0)*IFERROR($AC193/$AD193,0))</f>
        <v/>
      </c>
      <c r="AS193" s="0">
        <f>IF($A193="","",$A193&amp;"|"&amp;Allocation!BG193)</f>
        <v/>
      </c>
    </row>
    <row r="194" ht="14.4975" customHeight="1" s="64">
      <c r="A194" s="0">
        <f>IF(Allocation!BI194="","",Allocation!BI194)</f>
        <v/>
      </c>
      <c r="B194" s="0">
        <f>IF(Allocation!BJ194="","",Allocation!BJ194)</f>
        <v/>
      </c>
      <c r="C194" s="0">
        <f>IF(Allocation!BK194="","",Allocation!BK194)</f>
        <v/>
      </c>
      <c r="D194" s="0">
        <f>IF(Allocation!BL194="","",Allocation!BL194)</f>
        <v/>
      </c>
      <c r="E194" s="0">
        <f>IF(Allocation!BM194="","",Allocation!BM194)</f>
        <v/>
      </c>
      <c r="F194" s="0">
        <f>IF(Allocation!BN194="","",Allocation!BN194)</f>
        <v/>
      </c>
      <c r="G194" s="0">
        <f>IF(Allocation!BO194="","",Allocation!BO194)</f>
        <v/>
      </c>
      <c r="H194" s="0">
        <f>IF(Allocation!BP194="","",Allocation!BP194)</f>
        <v/>
      </c>
      <c r="I194" s="0">
        <f>IF(Allocation!BQ194="","",Allocation!BQ194)</f>
        <v/>
      </c>
      <c r="J194" s="0">
        <f>IF(Allocation!CC194="","",Allocation!CC194)</f>
        <v/>
      </c>
      <c r="K194" s="0">
        <f>IF($A194="","",$H194*IF(AND(LEFT($D194,3)="BAC",$F194="INIT"),600,IF(LEFT($D194,3)="BAC",480,IF(AND(LEFT($D194,3)="MAS",$F194="INIT"),520,IF(LEFT($D194,3)="MAS",420,IF($F194="INIT",1000,700))))))</f>
        <v/>
      </c>
      <c r="L194" s="0">
        <f>IF($A194="","",SUMIFS($G$1:$G$349,$AS$1:$AS$349,$AS194,$B$1:$B$349,$B194))</f>
        <v/>
      </c>
      <c r="M194" s="0">
        <f>IF($A194="","",SUMIFS($H$1:$H$349,$AS$1:$AS$349,$AS194,$B$1:$B$349,$B194))</f>
        <v/>
      </c>
      <c r="N194" s="0">
        <f>IF($A194="","",SUMIFS($I$1:$I$349,$AS$1:$AS$349,$AS194,$B$1:$B$349,$B194))</f>
        <v/>
      </c>
      <c r="O194" s="0">
        <f>IF($A194="","",SUMIFS($K$1:$K$349,$AS$1:$AS$349,$AS194,$B$1:$B$349,$B194))</f>
        <v/>
      </c>
      <c r="P194" s="0">
        <f>IF($A194="","",SUMIFS($J$1:$J$349,$AS$1:$AS$349,$AS194,$B$1:$B$349,$B194))</f>
        <v/>
      </c>
      <c r="Q194" s="0">
        <f>IF($A194="","",SUMIFS($G$1:$G$349,$AS$1:$AS$349,$AS194,$C$1:$C$349,$C194))</f>
        <v/>
      </c>
      <c r="R194" s="0">
        <f>IF($A194="","",SUMIFS($H$1:$H$349,$AS$1:$AS$349,$AS194,$C$1:$C$349,$C194))</f>
        <v/>
      </c>
      <c r="S194" s="0">
        <f>IF($A194="","",SUMIFS($I$1:$I$349,$AS$1:$AS$349,$AS194,$C$1:$C$349,$C194))</f>
        <v/>
      </c>
      <c r="T194" s="0">
        <f>IF($A194="","",SUMIFS($G$1:$G$349,$AS$1:$AS$349,$AS194))</f>
        <v/>
      </c>
      <c r="U194" s="0">
        <f>IF($A194="","",SUMIFS($H$1:$H$349,$AS$1:$AS$349,$AS194))</f>
        <v/>
      </c>
      <c r="V194" s="0">
        <f>IF($A194="","",SUMIFS($I$1:$I$349,$AS$1:$AS$349,$AS194))</f>
        <v/>
      </c>
      <c r="W194" s="0">
        <f>IF($A194="","",Allocation!CD194)</f>
        <v/>
      </c>
      <c r="X194" s="0">
        <f>IF($A194="","",Allocation!CE194)</f>
        <v/>
      </c>
      <c r="Y194" s="0">
        <f>IF($A194="","",Allocation!CF194)</f>
        <v/>
      </c>
      <c r="Z194" s="0">
        <f>IF($A194="","",Allocation!CG194)</f>
        <v/>
      </c>
      <c r="AA194" s="0">
        <f>IF($A194="","",Allocation!CH194)</f>
        <v/>
      </c>
      <c r="AB194" s="0">
        <f>IF($A194="","",Allocation!CI194)</f>
        <v/>
      </c>
      <c r="AC194" s="0">
        <f>IF($A194="","",IF(Allocation!$N$4="VOL_EFF",$G194,IF(Allocation!$N$4="VOL_CLASS",$H194,$I194)))</f>
        <v/>
      </c>
      <c r="AD194" s="0">
        <f>IF($A194="","",IF(Allocation!$N$4="VOL_EFF",$L194,IF(Allocation!$N$4="VOL_CLASS",$M194,$N194)))</f>
        <v/>
      </c>
      <c r="AE194" s="0">
        <f>IF($A194="","",IF(Allocation!$N$3="VOL_EFF",$L194,IF(Allocation!$N$3="VOL_CLASS",$M194,$N194)))</f>
        <v/>
      </c>
      <c r="AF194" s="0">
        <f>IF($A194="","",IF(Allocation!$N$3="VOL_EFF",$Q194,IF(Allocation!$N$3="VOL_CLASS",$R194,$S194)))</f>
        <v/>
      </c>
      <c r="AG194" s="0">
        <f>IF($A194="","",IF(Allocation!$N$1="VOL_EFF",$Q194,IF(Allocation!$N$1="VOL_CLASS",$R194,$S194)))</f>
        <v/>
      </c>
      <c r="AH194" s="0">
        <f>IF($A194="","",IF(Allocation!$N$1="VOL_EFF",$T194,IF(Allocation!$N$1="VOL_CLASS",$U194,$V194)))</f>
        <v/>
      </c>
      <c r="AI194" s="0">
        <f>IF($A194="","",$W194*IFERROR($K194/$O194,0))</f>
        <v/>
      </c>
      <c r="AJ194" s="0">
        <f>IF($A194="","",$X194*IFERROR($K194/$O194,0))</f>
        <v/>
      </c>
      <c r="AK194" s="0">
        <f>IF($A194="","",$Y194*IFERROR($G194/$L194,0)+$Z194*IFERROR($J194/$P194,0))</f>
        <v/>
      </c>
      <c r="AL194" s="0">
        <f>IF($A194="","",$AA194*IFERROR($AC194/$AD194,0))</f>
        <v/>
      </c>
      <c r="AM194" s="0">
        <f>IF($A194="","",$AB194*IFERROR($AG194/$AH194,0)*IFERROR($AE194/$AF194,0)*IFERROR($AC194/$AD194,0))</f>
        <v/>
      </c>
      <c r="AN194" s="0">
        <f>IF($A194="","",$I194-($AI194+$AJ194+$AK194+$AL194+$AM194+$AR194))</f>
        <v/>
      </c>
      <c r="AO194" s="0">
        <f>IF($A194="","",Allocation!CJ194)</f>
        <v/>
      </c>
      <c r="AP194" s="0">
        <f>IF($A194="","",IF(Allocation!$N$2="VOL_EFF",$Q194,IF(Allocation!$N$2="VOL_CLASS",$R194,$S194)))</f>
        <v/>
      </c>
      <c r="AQ194" s="0">
        <f>IF($A194="","",IF(Allocation!$N$2="VOL_EFF",$T194,IF(Allocation!$N$2="VOL_CLASS",$U194,$V194)))</f>
        <v/>
      </c>
      <c r="AR194" s="0">
        <f>IF($A194="","",$AO194*IFERROR($AP194/$AQ194,0)*IFERROR($AE194/$AF194,0)*IFERROR($AC194/$AD194,0))</f>
        <v/>
      </c>
      <c r="AS194" s="0">
        <f>IF($A194="","",$A194&amp;"|"&amp;Allocation!BG194)</f>
        <v/>
      </c>
    </row>
    <row r="195" ht="14.4975" customHeight="1" s="64">
      <c r="A195" s="0">
        <f>IF(Allocation!BI195="","",Allocation!BI195)</f>
        <v/>
      </c>
      <c r="B195" s="0">
        <f>IF(Allocation!BJ195="","",Allocation!BJ195)</f>
        <v/>
      </c>
      <c r="C195" s="0">
        <f>IF(Allocation!BK195="","",Allocation!BK195)</f>
        <v/>
      </c>
      <c r="D195" s="0">
        <f>IF(Allocation!BL195="","",Allocation!BL195)</f>
        <v/>
      </c>
      <c r="E195" s="0">
        <f>IF(Allocation!BM195="","",Allocation!BM195)</f>
        <v/>
      </c>
      <c r="F195" s="0">
        <f>IF(Allocation!BN195="","",Allocation!BN195)</f>
        <v/>
      </c>
      <c r="G195" s="0">
        <f>IF(Allocation!BO195="","",Allocation!BO195)</f>
        <v/>
      </c>
      <c r="H195" s="0">
        <f>IF(Allocation!BP195="","",Allocation!BP195)</f>
        <v/>
      </c>
      <c r="I195" s="0">
        <f>IF(Allocation!BQ195="","",Allocation!BQ195)</f>
        <v/>
      </c>
      <c r="J195" s="0">
        <f>IF(Allocation!CC195="","",Allocation!CC195)</f>
        <v/>
      </c>
      <c r="K195" s="0">
        <f>IF($A195="","",$H195*IF(AND(LEFT($D195,3)="BAC",$F195="INIT"),600,IF(LEFT($D195,3)="BAC",480,IF(AND(LEFT($D195,3)="MAS",$F195="INIT"),520,IF(LEFT($D195,3)="MAS",420,IF($F195="INIT",1000,700))))))</f>
        <v/>
      </c>
      <c r="L195" s="0">
        <f>IF($A195="","",SUMIFS($G$1:$G$349,$AS$1:$AS$349,$AS195,$B$1:$B$349,$B195))</f>
        <v/>
      </c>
      <c r="M195" s="0">
        <f>IF($A195="","",SUMIFS($H$1:$H$349,$AS$1:$AS$349,$AS195,$B$1:$B$349,$B195))</f>
        <v/>
      </c>
      <c r="N195" s="0">
        <f>IF($A195="","",SUMIFS($I$1:$I$349,$AS$1:$AS$349,$AS195,$B$1:$B$349,$B195))</f>
        <v/>
      </c>
      <c r="O195" s="0">
        <f>IF($A195="","",SUMIFS($K$1:$K$349,$AS$1:$AS$349,$AS195,$B$1:$B$349,$B195))</f>
        <v/>
      </c>
      <c r="P195" s="0">
        <f>IF($A195="","",SUMIFS($J$1:$J$349,$AS$1:$AS$349,$AS195,$B$1:$B$349,$B195))</f>
        <v/>
      </c>
      <c r="Q195" s="0">
        <f>IF($A195="","",SUMIFS($G$1:$G$349,$AS$1:$AS$349,$AS195,$C$1:$C$349,$C195))</f>
        <v/>
      </c>
      <c r="R195" s="0">
        <f>IF($A195="","",SUMIFS($H$1:$H$349,$AS$1:$AS$349,$AS195,$C$1:$C$349,$C195))</f>
        <v/>
      </c>
      <c r="S195" s="0">
        <f>IF($A195="","",SUMIFS($I$1:$I$349,$AS$1:$AS$349,$AS195,$C$1:$C$349,$C195))</f>
        <v/>
      </c>
      <c r="T195" s="0">
        <f>IF($A195="","",SUMIFS($G$1:$G$349,$AS$1:$AS$349,$AS195))</f>
        <v/>
      </c>
      <c r="U195" s="0">
        <f>IF($A195="","",SUMIFS($H$1:$H$349,$AS$1:$AS$349,$AS195))</f>
        <v/>
      </c>
      <c r="V195" s="0">
        <f>IF($A195="","",SUMIFS($I$1:$I$349,$AS$1:$AS$349,$AS195))</f>
        <v/>
      </c>
      <c r="W195" s="0">
        <f>IF($A195="","",Allocation!CD195)</f>
        <v/>
      </c>
      <c r="X195" s="0">
        <f>IF($A195="","",Allocation!CE195)</f>
        <v/>
      </c>
      <c r="Y195" s="0">
        <f>IF($A195="","",Allocation!CF195)</f>
        <v/>
      </c>
      <c r="Z195" s="0">
        <f>IF($A195="","",Allocation!CG195)</f>
        <v/>
      </c>
      <c r="AA195" s="0">
        <f>IF($A195="","",Allocation!CH195)</f>
        <v/>
      </c>
      <c r="AB195" s="0">
        <f>IF($A195="","",Allocation!CI195)</f>
        <v/>
      </c>
      <c r="AC195" s="0">
        <f>IF($A195="","",IF(Allocation!$N$4="VOL_EFF",$G195,IF(Allocation!$N$4="VOL_CLASS",$H195,$I195)))</f>
        <v/>
      </c>
      <c r="AD195" s="0">
        <f>IF($A195="","",IF(Allocation!$N$4="VOL_EFF",$L195,IF(Allocation!$N$4="VOL_CLASS",$M195,$N195)))</f>
        <v/>
      </c>
      <c r="AE195" s="0">
        <f>IF($A195="","",IF(Allocation!$N$3="VOL_EFF",$L195,IF(Allocation!$N$3="VOL_CLASS",$M195,$N195)))</f>
        <v/>
      </c>
      <c r="AF195" s="0">
        <f>IF($A195="","",IF(Allocation!$N$3="VOL_EFF",$Q195,IF(Allocation!$N$3="VOL_CLASS",$R195,$S195)))</f>
        <v/>
      </c>
      <c r="AG195" s="0">
        <f>IF($A195="","",IF(Allocation!$N$1="VOL_EFF",$Q195,IF(Allocation!$N$1="VOL_CLASS",$R195,$S195)))</f>
        <v/>
      </c>
      <c r="AH195" s="0">
        <f>IF($A195="","",IF(Allocation!$N$1="VOL_EFF",$T195,IF(Allocation!$N$1="VOL_CLASS",$U195,$V195)))</f>
        <v/>
      </c>
      <c r="AI195" s="0">
        <f>IF($A195="","",$W195*IFERROR($K195/$O195,0))</f>
        <v/>
      </c>
      <c r="AJ195" s="0">
        <f>IF($A195="","",$X195*IFERROR($K195/$O195,0))</f>
        <v/>
      </c>
      <c r="AK195" s="0">
        <f>IF($A195="","",$Y195*IFERROR($G195/$L195,0)+$Z195*IFERROR($J195/$P195,0))</f>
        <v/>
      </c>
      <c r="AL195" s="0">
        <f>IF($A195="","",$AA195*IFERROR($AC195/$AD195,0))</f>
        <v/>
      </c>
      <c r="AM195" s="0">
        <f>IF($A195="","",$AB195*IFERROR($AG195/$AH195,0)*IFERROR($AE195/$AF195,0)*IFERROR($AC195/$AD195,0))</f>
        <v/>
      </c>
      <c r="AN195" s="0">
        <f>IF($A195="","",$I195-($AI195+$AJ195+$AK195+$AL195+$AM195+$AR195))</f>
        <v/>
      </c>
      <c r="AO195" s="0">
        <f>IF($A195="","",Allocation!CJ195)</f>
        <v/>
      </c>
      <c r="AP195" s="0">
        <f>IF($A195="","",IF(Allocation!$N$2="VOL_EFF",$Q195,IF(Allocation!$N$2="VOL_CLASS",$R195,$S195)))</f>
        <v/>
      </c>
      <c r="AQ195" s="0">
        <f>IF($A195="","",IF(Allocation!$N$2="VOL_EFF",$T195,IF(Allocation!$N$2="VOL_CLASS",$U195,$V195)))</f>
        <v/>
      </c>
      <c r="AR195" s="0">
        <f>IF($A195="","",$AO195*IFERROR($AP195/$AQ195,0)*IFERROR($AE195/$AF195,0)*IFERROR($AC195/$AD195,0))</f>
        <v/>
      </c>
      <c r="AS195" s="0">
        <f>IF($A195="","",$A195&amp;"|"&amp;Allocation!BG195)</f>
        <v/>
      </c>
    </row>
    <row r="196" ht="14.4975" customHeight="1" s="64">
      <c r="A196" s="0">
        <f>IF(Allocation!BI196="","",Allocation!BI196)</f>
        <v/>
      </c>
      <c r="B196" s="0">
        <f>IF(Allocation!BJ196="","",Allocation!BJ196)</f>
        <v/>
      </c>
      <c r="C196" s="0">
        <f>IF(Allocation!BK196="","",Allocation!BK196)</f>
        <v/>
      </c>
      <c r="D196" s="0">
        <f>IF(Allocation!BL196="","",Allocation!BL196)</f>
        <v/>
      </c>
      <c r="E196" s="0">
        <f>IF(Allocation!BM196="","",Allocation!BM196)</f>
        <v/>
      </c>
      <c r="F196" s="0">
        <f>IF(Allocation!BN196="","",Allocation!BN196)</f>
        <v/>
      </c>
      <c r="G196" s="0">
        <f>IF(Allocation!BO196="","",Allocation!BO196)</f>
        <v/>
      </c>
      <c r="H196" s="0">
        <f>IF(Allocation!BP196="","",Allocation!BP196)</f>
        <v/>
      </c>
      <c r="I196" s="0">
        <f>IF(Allocation!BQ196="","",Allocation!BQ196)</f>
        <v/>
      </c>
      <c r="J196" s="0">
        <f>IF(Allocation!CC196="","",Allocation!CC196)</f>
        <v/>
      </c>
      <c r="K196" s="0">
        <f>IF($A196="","",$H196*IF(AND(LEFT($D196,3)="BAC",$F196="INIT"),600,IF(LEFT($D196,3)="BAC",480,IF(AND(LEFT($D196,3)="MAS",$F196="INIT"),520,IF(LEFT($D196,3)="MAS",420,IF($F196="INIT",1000,700))))))</f>
        <v/>
      </c>
      <c r="L196" s="0">
        <f>IF($A196="","",SUMIFS($G$1:$G$349,$AS$1:$AS$349,$AS196,$B$1:$B$349,$B196))</f>
        <v/>
      </c>
      <c r="M196" s="0">
        <f>IF($A196="","",SUMIFS($H$1:$H$349,$AS$1:$AS$349,$AS196,$B$1:$B$349,$B196))</f>
        <v/>
      </c>
      <c r="N196" s="0">
        <f>IF($A196="","",SUMIFS($I$1:$I$349,$AS$1:$AS$349,$AS196,$B$1:$B$349,$B196))</f>
        <v/>
      </c>
      <c r="O196" s="0">
        <f>IF($A196="","",SUMIFS($K$1:$K$349,$AS$1:$AS$349,$AS196,$B$1:$B$349,$B196))</f>
        <v/>
      </c>
      <c r="P196" s="0">
        <f>IF($A196="","",SUMIFS($J$1:$J$349,$AS$1:$AS$349,$AS196,$B$1:$B$349,$B196))</f>
        <v/>
      </c>
      <c r="Q196" s="0">
        <f>IF($A196="","",SUMIFS($G$1:$G$349,$AS$1:$AS$349,$AS196,$C$1:$C$349,$C196))</f>
        <v/>
      </c>
      <c r="R196" s="0">
        <f>IF($A196="","",SUMIFS($H$1:$H$349,$AS$1:$AS$349,$AS196,$C$1:$C$349,$C196))</f>
        <v/>
      </c>
      <c r="S196" s="0">
        <f>IF($A196="","",SUMIFS($I$1:$I$349,$AS$1:$AS$349,$AS196,$C$1:$C$349,$C196))</f>
        <v/>
      </c>
      <c r="T196" s="0">
        <f>IF($A196="","",SUMIFS($G$1:$G$349,$AS$1:$AS$349,$AS196))</f>
        <v/>
      </c>
      <c r="U196" s="0">
        <f>IF($A196="","",SUMIFS($H$1:$H$349,$AS$1:$AS$349,$AS196))</f>
        <v/>
      </c>
      <c r="V196" s="0">
        <f>IF($A196="","",SUMIFS($I$1:$I$349,$AS$1:$AS$349,$AS196))</f>
        <v/>
      </c>
      <c r="W196" s="0">
        <f>IF($A196="","",Allocation!CD196)</f>
        <v/>
      </c>
      <c r="X196" s="0">
        <f>IF($A196="","",Allocation!CE196)</f>
        <v/>
      </c>
      <c r="Y196" s="0">
        <f>IF($A196="","",Allocation!CF196)</f>
        <v/>
      </c>
      <c r="Z196" s="0">
        <f>IF($A196="","",Allocation!CG196)</f>
        <v/>
      </c>
      <c r="AA196" s="0">
        <f>IF($A196="","",Allocation!CH196)</f>
        <v/>
      </c>
      <c r="AB196" s="0">
        <f>IF($A196="","",Allocation!CI196)</f>
        <v/>
      </c>
      <c r="AC196" s="0">
        <f>IF($A196="","",IF(Allocation!$N$4="VOL_EFF",$G196,IF(Allocation!$N$4="VOL_CLASS",$H196,$I196)))</f>
        <v/>
      </c>
      <c r="AD196" s="0">
        <f>IF($A196="","",IF(Allocation!$N$4="VOL_EFF",$L196,IF(Allocation!$N$4="VOL_CLASS",$M196,$N196)))</f>
        <v/>
      </c>
      <c r="AE196" s="0">
        <f>IF($A196="","",IF(Allocation!$N$3="VOL_EFF",$L196,IF(Allocation!$N$3="VOL_CLASS",$M196,$N196)))</f>
        <v/>
      </c>
      <c r="AF196" s="0">
        <f>IF($A196="","",IF(Allocation!$N$3="VOL_EFF",$Q196,IF(Allocation!$N$3="VOL_CLASS",$R196,$S196)))</f>
        <v/>
      </c>
      <c r="AG196" s="0">
        <f>IF($A196="","",IF(Allocation!$N$1="VOL_EFF",$Q196,IF(Allocation!$N$1="VOL_CLASS",$R196,$S196)))</f>
        <v/>
      </c>
      <c r="AH196" s="0">
        <f>IF($A196="","",IF(Allocation!$N$1="VOL_EFF",$T196,IF(Allocation!$N$1="VOL_CLASS",$U196,$V196)))</f>
        <v/>
      </c>
      <c r="AI196" s="0">
        <f>IF($A196="","",$W196*IFERROR($K196/$O196,0))</f>
        <v/>
      </c>
      <c r="AJ196" s="0">
        <f>IF($A196="","",$X196*IFERROR($K196/$O196,0))</f>
        <v/>
      </c>
      <c r="AK196" s="0">
        <f>IF($A196="","",$Y196*IFERROR($G196/$L196,0)+$Z196*IFERROR($J196/$P196,0))</f>
        <v/>
      </c>
      <c r="AL196" s="0">
        <f>IF($A196="","",$AA196*IFERROR($AC196/$AD196,0))</f>
        <v/>
      </c>
      <c r="AM196" s="0">
        <f>IF($A196="","",$AB196*IFERROR($AG196/$AH196,0)*IFERROR($AE196/$AF196,0)*IFERROR($AC196/$AD196,0))</f>
        <v/>
      </c>
      <c r="AN196" s="0">
        <f>IF($A196="","",$I196-($AI196+$AJ196+$AK196+$AL196+$AM196+$AR196))</f>
        <v/>
      </c>
      <c r="AO196" s="0">
        <f>IF($A196="","",Allocation!CJ196)</f>
        <v/>
      </c>
      <c r="AP196" s="0">
        <f>IF($A196="","",IF(Allocation!$N$2="VOL_EFF",$Q196,IF(Allocation!$N$2="VOL_CLASS",$R196,$S196)))</f>
        <v/>
      </c>
      <c r="AQ196" s="0">
        <f>IF($A196="","",IF(Allocation!$N$2="VOL_EFF",$T196,IF(Allocation!$N$2="VOL_CLASS",$U196,$V196)))</f>
        <v/>
      </c>
      <c r="AR196" s="0">
        <f>IF($A196="","",$AO196*IFERROR($AP196/$AQ196,0)*IFERROR($AE196/$AF196,0)*IFERROR($AC196/$AD196,0))</f>
        <v/>
      </c>
      <c r="AS196" s="0">
        <f>IF($A196="","",$A196&amp;"|"&amp;Allocation!BG196)</f>
        <v/>
      </c>
    </row>
    <row r="197" ht="14.4975" customHeight="1" s="64">
      <c r="A197" s="0">
        <f>IF(Allocation!BI197="","",Allocation!BI197)</f>
        <v/>
      </c>
      <c r="B197" s="0">
        <f>IF(Allocation!BJ197="","",Allocation!BJ197)</f>
        <v/>
      </c>
      <c r="C197" s="0">
        <f>IF(Allocation!BK197="","",Allocation!BK197)</f>
        <v/>
      </c>
      <c r="D197" s="0">
        <f>IF(Allocation!BL197="","",Allocation!BL197)</f>
        <v/>
      </c>
      <c r="E197" s="0">
        <f>IF(Allocation!BM197="","",Allocation!BM197)</f>
        <v/>
      </c>
      <c r="F197" s="0">
        <f>IF(Allocation!BN197="","",Allocation!BN197)</f>
        <v/>
      </c>
      <c r="G197" s="0">
        <f>IF(Allocation!BO197="","",Allocation!BO197)</f>
        <v/>
      </c>
      <c r="H197" s="0">
        <f>IF(Allocation!BP197="","",Allocation!BP197)</f>
        <v/>
      </c>
      <c r="I197" s="0">
        <f>IF(Allocation!BQ197="","",Allocation!BQ197)</f>
        <v/>
      </c>
      <c r="J197" s="0">
        <f>IF(Allocation!CC197="","",Allocation!CC197)</f>
        <v/>
      </c>
      <c r="K197" s="0">
        <f>IF($A197="","",$H197*IF(AND(LEFT($D197,3)="BAC",$F197="INIT"),600,IF(LEFT($D197,3)="BAC",480,IF(AND(LEFT($D197,3)="MAS",$F197="INIT"),520,IF(LEFT($D197,3)="MAS",420,IF($F197="INIT",1000,700))))))</f>
        <v/>
      </c>
      <c r="L197" s="0">
        <f>IF($A197="","",SUMIFS($G$1:$G$349,$AS$1:$AS$349,$AS197,$B$1:$B$349,$B197))</f>
        <v/>
      </c>
      <c r="M197" s="0">
        <f>IF($A197="","",SUMIFS($H$1:$H$349,$AS$1:$AS$349,$AS197,$B$1:$B$349,$B197))</f>
        <v/>
      </c>
      <c r="N197" s="0">
        <f>IF($A197="","",SUMIFS($I$1:$I$349,$AS$1:$AS$349,$AS197,$B$1:$B$349,$B197))</f>
        <v/>
      </c>
      <c r="O197" s="0">
        <f>IF($A197="","",SUMIFS($K$1:$K$349,$AS$1:$AS$349,$AS197,$B$1:$B$349,$B197))</f>
        <v/>
      </c>
      <c r="P197" s="0">
        <f>IF($A197="","",SUMIFS($J$1:$J$349,$AS$1:$AS$349,$AS197,$B$1:$B$349,$B197))</f>
        <v/>
      </c>
      <c r="Q197" s="0">
        <f>IF($A197="","",SUMIFS($G$1:$G$349,$AS$1:$AS$349,$AS197,$C$1:$C$349,$C197))</f>
        <v/>
      </c>
      <c r="R197" s="0">
        <f>IF($A197="","",SUMIFS($H$1:$H$349,$AS$1:$AS$349,$AS197,$C$1:$C$349,$C197))</f>
        <v/>
      </c>
      <c r="S197" s="0">
        <f>IF($A197="","",SUMIFS($I$1:$I$349,$AS$1:$AS$349,$AS197,$C$1:$C$349,$C197))</f>
        <v/>
      </c>
      <c r="T197" s="0">
        <f>IF($A197="","",SUMIFS($G$1:$G$349,$AS$1:$AS$349,$AS197))</f>
        <v/>
      </c>
      <c r="U197" s="0">
        <f>IF($A197="","",SUMIFS($H$1:$H$349,$AS$1:$AS$349,$AS197))</f>
        <v/>
      </c>
      <c r="V197" s="0">
        <f>IF($A197="","",SUMIFS($I$1:$I$349,$AS$1:$AS$349,$AS197))</f>
        <v/>
      </c>
      <c r="W197" s="0">
        <f>IF($A197="","",Allocation!CD197)</f>
        <v/>
      </c>
      <c r="X197" s="0">
        <f>IF($A197="","",Allocation!CE197)</f>
        <v/>
      </c>
      <c r="Y197" s="0">
        <f>IF($A197="","",Allocation!CF197)</f>
        <v/>
      </c>
      <c r="Z197" s="0">
        <f>IF($A197="","",Allocation!CG197)</f>
        <v/>
      </c>
      <c r="AA197" s="0">
        <f>IF($A197="","",Allocation!CH197)</f>
        <v/>
      </c>
      <c r="AB197" s="0">
        <f>IF($A197="","",Allocation!CI197)</f>
        <v/>
      </c>
      <c r="AC197" s="0">
        <f>IF($A197="","",IF(Allocation!$N$4="VOL_EFF",$G197,IF(Allocation!$N$4="VOL_CLASS",$H197,$I197)))</f>
        <v/>
      </c>
      <c r="AD197" s="0">
        <f>IF($A197="","",IF(Allocation!$N$4="VOL_EFF",$L197,IF(Allocation!$N$4="VOL_CLASS",$M197,$N197)))</f>
        <v/>
      </c>
      <c r="AE197" s="0">
        <f>IF($A197="","",IF(Allocation!$N$3="VOL_EFF",$L197,IF(Allocation!$N$3="VOL_CLASS",$M197,$N197)))</f>
        <v/>
      </c>
      <c r="AF197" s="0">
        <f>IF($A197="","",IF(Allocation!$N$3="VOL_EFF",$Q197,IF(Allocation!$N$3="VOL_CLASS",$R197,$S197)))</f>
        <v/>
      </c>
      <c r="AG197" s="0">
        <f>IF($A197="","",IF(Allocation!$N$1="VOL_EFF",$Q197,IF(Allocation!$N$1="VOL_CLASS",$R197,$S197)))</f>
        <v/>
      </c>
      <c r="AH197" s="0">
        <f>IF($A197="","",IF(Allocation!$N$1="VOL_EFF",$T197,IF(Allocation!$N$1="VOL_CLASS",$U197,$V197)))</f>
        <v/>
      </c>
      <c r="AI197" s="0">
        <f>IF($A197="","",$W197*IFERROR($K197/$O197,0))</f>
        <v/>
      </c>
      <c r="AJ197" s="0">
        <f>IF($A197="","",$X197*IFERROR($K197/$O197,0))</f>
        <v/>
      </c>
      <c r="AK197" s="0">
        <f>IF($A197="","",$Y197*IFERROR($G197/$L197,0)+$Z197*IFERROR($J197/$P197,0))</f>
        <v/>
      </c>
      <c r="AL197" s="0">
        <f>IF($A197="","",$AA197*IFERROR($AC197/$AD197,0))</f>
        <v/>
      </c>
      <c r="AM197" s="0">
        <f>IF($A197="","",$AB197*IFERROR($AG197/$AH197,0)*IFERROR($AE197/$AF197,0)*IFERROR($AC197/$AD197,0))</f>
        <v/>
      </c>
      <c r="AN197" s="0">
        <f>IF($A197="","",$I197-($AI197+$AJ197+$AK197+$AL197+$AM197+$AR197))</f>
        <v/>
      </c>
      <c r="AO197" s="0">
        <f>IF($A197="","",Allocation!CJ197)</f>
        <v/>
      </c>
      <c r="AP197" s="0">
        <f>IF($A197="","",IF(Allocation!$N$2="VOL_EFF",$Q197,IF(Allocation!$N$2="VOL_CLASS",$R197,$S197)))</f>
        <v/>
      </c>
      <c r="AQ197" s="0">
        <f>IF($A197="","",IF(Allocation!$N$2="VOL_EFF",$T197,IF(Allocation!$N$2="VOL_CLASS",$U197,$V197)))</f>
        <v/>
      </c>
      <c r="AR197" s="0">
        <f>IF($A197="","",$AO197*IFERROR($AP197/$AQ197,0)*IFERROR($AE197/$AF197,0)*IFERROR($AC197/$AD197,0))</f>
        <v/>
      </c>
      <c r="AS197" s="0">
        <f>IF($A197="","",$A197&amp;"|"&amp;Allocation!BG197)</f>
        <v/>
      </c>
    </row>
    <row r="198" ht="14.4975" customHeight="1" s="64">
      <c r="A198" s="0">
        <f>IF(Allocation!BI198="","",Allocation!BI198)</f>
        <v/>
      </c>
      <c r="B198" s="0">
        <f>IF(Allocation!BJ198="","",Allocation!BJ198)</f>
        <v/>
      </c>
      <c r="C198" s="0">
        <f>IF(Allocation!BK198="","",Allocation!BK198)</f>
        <v/>
      </c>
      <c r="D198" s="0">
        <f>IF(Allocation!BL198="","",Allocation!BL198)</f>
        <v/>
      </c>
      <c r="E198" s="0">
        <f>IF(Allocation!BM198="","",Allocation!BM198)</f>
        <v/>
      </c>
      <c r="F198" s="0">
        <f>IF(Allocation!BN198="","",Allocation!BN198)</f>
        <v/>
      </c>
      <c r="G198" s="0">
        <f>IF(Allocation!BO198="","",Allocation!BO198)</f>
        <v/>
      </c>
      <c r="H198" s="0">
        <f>IF(Allocation!BP198="","",Allocation!BP198)</f>
        <v/>
      </c>
      <c r="I198" s="0">
        <f>IF(Allocation!BQ198="","",Allocation!BQ198)</f>
        <v/>
      </c>
      <c r="J198" s="0">
        <f>IF(Allocation!CC198="","",Allocation!CC198)</f>
        <v/>
      </c>
      <c r="K198" s="0">
        <f>IF($A198="","",$H198*IF(AND(LEFT($D198,3)="BAC",$F198="INIT"),600,IF(LEFT($D198,3)="BAC",480,IF(AND(LEFT($D198,3)="MAS",$F198="INIT"),520,IF(LEFT($D198,3)="MAS",420,IF($F198="INIT",1000,700))))))</f>
        <v/>
      </c>
      <c r="L198" s="0">
        <f>IF($A198="","",SUMIFS($G$1:$G$349,$AS$1:$AS$349,$AS198,$B$1:$B$349,$B198))</f>
        <v/>
      </c>
      <c r="M198" s="0">
        <f>IF($A198="","",SUMIFS($H$1:$H$349,$AS$1:$AS$349,$AS198,$B$1:$B$349,$B198))</f>
        <v/>
      </c>
      <c r="N198" s="0">
        <f>IF($A198="","",SUMIFS($I$1:$I$349,$AS$1:$AS$349,$AS198,$B$1:$B$349,$B198))</f>
        <v/>
      </c>
      <c r="O198" s="0">
        <f>IF($A198="","",SUMIFS($K$1:$K$349,$AS$1:$AS$349,$AS198,$B$1:$B$349,$B198))</f>
        <v/>
      </c>
      <c r="P198" s="0">
        <f>IF($A198="","",SUMIFS($J$1:$J$349,$AS$1:$AS$349,$AS198,$B$1:$B$349,$B198))</f>
        <v/>
      </c>
      <c r="Q198" s="0">
        <f>IF($A198="","",SUMIFS($G$1:$G$349,$AS$1:$AS$349,$AS198,$C$1:$C$349,$C198))</f>
        <v/>
      </c>
      <c r="R198" s="0">
        <f>IF($A198="","",SUMIFS($H$1:$H$349,$AS$1:$AS$349,$AS198,$C$1:$C$349,$C198))</f>
        <v/>
      </c>
      <c r="S198" s="0">
        <f>IF($A198="","",SUMIFS($I$1:$I$349,$AS$1:$AS$349,$AS198,$C$1:$C$349,$C198))</f>
        <v/>
      </c>
      <c r="T198" s="0">
        <f>IF($A198="","",SUMIFS($G$1:$G$349,$AS$1:$AS$349,$AS198))</f>
        <v/>
      </c>
      <c r="U198" s="0">
        <f>IF($A198="","",SUMIFS($H$1:$H$349,$AS$1:$AS$349,$AS198))</f>
        <v/>
      </c>
      <c r="V198" s="0">
        <f>IF($A198="","",SUMIFS($I$1:$I$349,$AS$1:$AS$349,$AS198))</f>
        <v/>
      </c>
      <c r="W198" s="0">
        <f>IF($A198="","",Allocation!CD198)</f>
        <v/>
      </c>
      <c r="X198" s="0">
        <f>IF($A198="","",Allocation!CE198)</f>
        <v/>
      </c>
      <c r="Y198" s="0">
        <f>IF($A198="","",Allocation!CF198)</f>
        <v/>
      </c>
      <c r="Z198" s="0">
        <f>IF($A198="","",Allocation!CG198)</f>
        <v/>
      </c>
      <c r="AA198" s="0">
        <f>IF($A198="","",Allocation!CH198)</f>
        <v/>
      </c>
      <c r="AB198" s="0">
        <f>IF($A198="","",Allocation!CI198)</f>
        <v/>
      </c>
      <c r="AC198" s="0">
        <f>IF($A198="","",IF(Allocation!$N$4="VOL_EFF",$G198,IF(Allocation!$N$4="VOL_CLASS",$H198,$I198)))</f>
        <v/>
      </c>
      <c r="AD198" s="0">
        <f>IF($A198="","",IF(Allocation!$N$4="VOL_EFF",$L198,IF(Allocation!$N$4="VOL_CLASS",$M198,$N198)))</f>
        <v/>
      </c>
      <c r="AE198" s="0">
        <f>IF($A198="","",IF(Allocation!$N$3="VOL_EFF",$L198,IF(Allocation!$N$3="VOL_CLASS",$M198,$N198)))</f>
        <v/>
      </c>
      <c r="AF198" s="0">
        <f>IF($A198="","",IF(Allocation!$N$3="VOL_EFF",$Q198,IF(Allocation!$N$3="VOL_CLASS",$R198,$S198)))</f>
        <v/>
      </c>
      <c r="AG198" s="0">
        <f>IF($A198="","",IF(Allocation!$N$1="VOL_EFF",$Q198,IF(Allocation!$N$1="VOL_CLASS",$R198,$S198)))</f>
        <v/>
      </c>
      <c r="AH198" s="0">
        <f>IF($A198="","",IF(Allocation!$N$1="VOL_EFF",$T198,IF(Allocation!$N$1="VOL_CLASS",$U198,$V198)))</f>
        <v/>
      </c>
      <c r="AI198" s="0">
        <f>IF($A198="","",$W198*IFERROR($K198/$O198,0))</f>
        <v/>
      </c>
      <c r="AJ198" s="0">
        <f>IF($A198="","",$X198*IFERROR($K198/$O198,0))</f>
        <v/>
      </c>
      <c r="AK198" s="0">
        <f>IF($A198="","",$Y198*IFERROR($G198/$L198,0)+$Z198*IFERROR($J198/$P198,0))</f>
        <v/>
      </c>
      <c r="AL198" s="0">
        <f>IF($A198="","",$AA198*IFERROR($AC198/$AD198,0))</f>
        <v/>
      </c>
      <c r="AM198" s="0">
        <f>IF($A198="","",$AB198*IFERROR($AG198/$AH198,0)*IFERROR($AE198/$AF198,0)*IFERROR($AC198/$AD198,0))</f>
        <v/>
      </c>
      <c r="AN198" s="0">
        <f>IF($A198="","",$I198-($AI198+$AJ198+$AK198+$AL198+$AM198+$AR198))</f>
        <v/>
      </c>
      <c r="AO198" s="0">
        <f>IF($A198="","",Allocation!CJ198)</f>
        <v/>
      </c>
      <c r="AP198" s="0">
        <f>IF($A198="","",IF(Allocation!$N$2="VOL_EFF",$Q198,IF(Allocation!$N$2="VOL_CLASS",$R198,$S198)))</f>
        <v/>
      </c>
      <c r="AQ198" s="0">
        <f>IF($A198="","",IF(Allocation!$N$2="VOL_EFF",$T198,IF(Allocation!$N$2="VOL_CLASS",$U198,$V198)))</f>
        <v/>
      </c>
      <c r="AR198" s="0">
        <f>IF($A198="","",$AO198*IFERROR($AP198/$AQ198,0)*IFERROR($AE198/$AF198,0)*IFERROR($AC198/$AD198,0))</f>
        <v/>
      </c>
      <c r="AS198" s="0">
        <f>IF($A198="","",$A198&amp;"|"&amp;Allocation!BG198)</f>
        <v/>
      </c>
    </row>
    <row r="199" ht="14.4975" customHeight="1" s="64">
      <c r="A199" s="0">
        <f>IF(Allocation!BI199="","",Allocation!BI199)</f>
        <v/>
      </c>
      <c r="B199" s="0">
        <f>IF(Allocation!BJ199="","",Allocation!BJ199)</f>
        <v/>
      </c>
      <c r="C199" s="0">
        <f>IF(Allocation!BK199="","",Allocation!BK199)</f>
        <v/>
      </c>
      <c r="D199" s="0">
        <f>IF(Allocation!BL199="","",Allocation!BL199)</f>
        <v/>
      </c>
      <c r="E199" s="0">
        <f>IF(Allocation!BM199="","",Allocation!BM199)</f>
        <v/>
      </c>
      <c r="F199" s="0">
        <f>IF(Allocation!BN199="","",Allocation!BN199)</f>
        <v/>
      </c>
      <c r="G199" s="0">
        <f>IF(Allocation!BO199="","",Allocation!BO199)</f>
        <v/>
      </c>
      <c r="H199" s="0">
        <f>IF(Allocation!BP199="","",Allocation!BP199)</f>
        <v/>
      </c>
      <c r="I199" s="0">
        <f>IF(Allocation!BQ199="","",Allocation!BQ199)</f>
        <v/>
      </c>
      <c r="J199" s="0">
        <f>IF(Allocation!CC199="","",Allocation!CC199)</f>
        <v/>
      </c>
      <c r="K199" s="0">
        <f>IF($A199="","",$H199*IF(AND(LEFT($D199,3)="BAC",$F199="INIT"),600,IF(LEFT($D199,3)="BAC",480,IF(AND(LEFT($D199,3)="MAS",$F199="INIT"),520,IF(LEFT($D199,3)="MAS",420,IF($F199="INIT",1000,700))))))</f>
        <v/>
      </c>
      <c r="L199" s="0">
        <f>IF($A199="","",SUMIFS($G$1:$G$349,$AS$1:$AS$349,$AS199,$B$1:$B$349,$B199))</f>
        <v/>
      </c>
      <c r="M199" s="0">
        <f>IF($A199="","",SUMIFS($H$1:$H$349,$AS$1:$AS$349,$AS199,$B$1:$B$349,$B199))</f>
        <v/>
      </c>
      <c r="N199" s="0">
        <f>IF($A199="","",SUMIFS($I$1:$I$349,$AS$1:$AS$349,$AS199,$B$1:$B$349,$B199))</f>
        <v/>
      </c>
      <c r="O199" s="0">
        <f>IF($A199="","",SUMIFS($K$1:$K$349,$AS$1:$AS$349,$AS199,$B$1:$B$349,$B199))</f>
        <v/>
      </c>
      <c r="P199" s="0">
        <f>IF($A199="","",SUMIFS($J$1:$J$349,$AS$1:$AS$349,$AS199,$B$1:$B$349,$B199))</f>
        <v/>
      </c>
      <c r="Q199" s="0">
        <f>IF($A199="","",SUMIFS($G$1:$G$349,$AS$1:$AS$349,$AS199,$C$1:$C$349,$C199))</f>
        <v/>
      </c>
      <c r="R199" s="0">
        <f>IF($A199="","",SUMIFS($H$1:$H$349,$AS$1:$AS$349,$AS199,$C$1:$C$349,$C199))</f>
        <v/>
      </c>
      <c r="S199" s="0">
        <f>IF($A199="","",SUMIFS($I$1:$I$349,$AS$1:$AS$349,$AS199,$C$1:$C$349,$C199))</f>
        <v/>
      </c>
      <c r="T199" s="0">
        <f>IF($A199="","",SUMIFS($G$1:$G$349,$AS$1:$AS$349,$AS199))</f>
        <v/>
      </c>
      <c r="U199" s="0">
        <f>IF($A199="","",SUMIFS($H$1:$H$349,$AS$1:$AS$349,$AS199))</f>
        <v/>
      </c>
      <c r="V199" s="0">
        <f>IF($A199="","",SUMIFS($I$1:$I$349,$AS$1:$AS$349,$AS199))</f>
        <v/>
      </c>
      <c r="W199" s="0">
        <f>IF($A199="","",Allocation!CD199)</f>
        <v/>
      </c>
      <c r="X199" s="0">
        <f>IF($A199="","",Allocation!CE199)</f>
        <v/>
      </c>
      <c r="Y199" s="0">
        <f>IF($A199="","",Allocation!CF199)</f>
        <v/>
      </c>
      <c r="Z199" s="0">
        <f>IF($A199="","",Allocation!CG199)</f>
        <v/>
      </c>
      <c r="AA199" s="0">
        <f>IF($A199="","",Allocation!CH199)</f>
        <v/>
      </c>
      <c r="AB199" s="0">
        <f>IF($A199="","",Allocation!CI199)</f>
        <v/>
      </c>
      <c r="AC199" s="0">
        <f>IF($A199="","",IF(Allocation!$N$4="VOL_EFF",$G199,IF(Allocation!$N$4="VOL_CLASS",$H199,$I199)))</f>
        <v/>
      </c>
      <c r="AD199" s="0">
        <f>IF($A199="","",IF(Allocation!$N$4="VOL_EFF",$L199,IF(Allocation!$N$4="VOL_CLASS",$M199,$N199)))</f>
        <v/>
      </c>
      <c r="AE199" s="0">
        <f>IF($A199="","",IF(Allocation!$N$3="VOL_EFF",$L199,IF(Allocation!$N$3="VOL_CLASS",$M199,$N199)))</f>
        <v/>
      </c>
      <c r="AF199" s="0">
        <f>IF($A199="","",IF(Allocation!$N$3="VOL_EFF",$Q199,IF(Allocation!$N$3="VOL_CLASS",$R199,$S199)))</f>
        <v/>
      </c>
      <c r="AG199" s="0">
        <f>IF($A199="","",IF(Allocation!$N$1="VOL_EFF",$Q199,IF(Allocation!$N$1="VOL_CLASS",$R199,$S199)))</f>
        <v/>
      </c>
      <c r="AH199" s="0">
        <f>IF($A199="","",IF(Allocation!$N$1="VOL_EFF",$T199,IF(Allocation!$N$1="VOL_CLASS",$U199,$V199)))</f>
        <v/>
      </c>
      <c r="AI199" s="0">
        <f>IF($A199="","",$W199*IFERROR($K199/$O199,0))</f>
        <v/>
      </c>
      <c r="AJ199" s="0">
        <f>IF($A199="","",$X199*IFERROR($K199/$O199,0))</f>
        <v/>
      </c>
      <c r="AK199" s="0">
        <f>IF($A199="","",$Y199*IFERROR($G199/$L199,0)+$Z199*IFERROR($J199/$P199,0))</f>
        <v/>
      </c>
      <c r="AL199" s="0">
        <f>IF($A199="","",$AA199*IFERROR($AC199/$AD199,0))</f>
        <v/>
      </c>
      <c r="AM199" s="0">
        <f>IF($A199="","",$AB199*IFERROR($AG199/$AH199,0)*IFERROR($AE199/$AF199,0)*IFERROR($AC199/$AD199,0))</f>
        <v/>
      </c>
      <c r="AN199" s="0">
        <f>IF($A199="","",$I199-($AI199+$AJ199+$AK199+$AL199+$AM199+$AR199))</f>
        <v/>
      </c>
      <c r="AO199" s="0">
        <f>IF($A199="","",Allocation!CJ199)</f>
        <v/>
      </c>
      <c r="AP199" s="0">
        <f>IF($A199="","",IF(Allocation!$N$2="VOL_EFF",$Q199,IF(Allocation!$N$2="VOL_CLASS",$R199,$S199)))</f>
        <v/>
      </c>
      <c r="AQ199" s="0">
        <f>IF($A199="","",IF(Allocation!$N$2="VOL_EFF",$T199,IF(Allocation!$N$2="VOL_CLASS",$U199,$V199)))</f>
        <v/>
      </c>
      <c r="AR199" s="0">
        <f>IF($A199="","",$AO199*IFERROR($AP199/$AQ199,0)*IFERROR($AE199/$AF199,0)*IFERROR($AC199/$AD199,0))</f>
        <v/>
      </c>
      <c r="AS199" s="0">
        <f>IF($A199="","",$A199&amp;"|"&amp;Allocation!BG199)</f>
        <v/>
      </c>
    </row>
    <row r="200" ht="14.4975" customHeight="1" s="64">
      <c r="A200" s="0">
        <f>IF(Allocation!BI200="","",Allocation!BI200)</f>
        <v/>
      </c>
      <c r="B200" s="0">
        <f>IF(Allocation!BJ200="","",Allocation!BJ200)</f>
        <v/>
      </c>
      <c r="C200" s="0">
        <f>IF(Allocation!BK200="","",Allocation!BK200)</f>
        <v/>
      </c>
      <c r="D200" s="0">
        <f>IF(Allocation!BL200="","",Allocation!BL200)</f>
        <v/>
      </c>
      <c r="E200" s="0">
        <f>IF(Allocation!BM200="","",Allocation!BM200)</f>
        <v/>
      </c>
      <c r="F200" s="0">
        <f>IF(Allocation!BN200="","",Allocation!BN200)</f>
        <v/>
      </c>
      <c r="G200" s="0">
        <f>IF(Allocation!BO200="","",Allocation!BO200)</f>
        <v/>
      </c>
      <c r="H200" s="0">
        <f>IF(Allocation!BP200="","",Allocation!BP200)</f>
        <v/>
      </c>
      <c r="I200" s="0">
        <f>IF(Allocation!BQ200="","",Allocation!BQ200)</f>
        <v/>
      </c>
      <c r="J200" s="0">
        <f>IF(Allocation!CC200="","",Allocation!CC200)</f>
        <v/>
      </c>
      <c r="K200" s="0">
        <f>IF($A200="","",$H200*IF(AND(LEFT($D200,3)="BAC",$F200="INIT"),600,IF(LEFT($D200,3)="BAC",480,IF(AND(LEFT($D200,3)="MAS",$F200="INIT"),520,IF(LEFT($D200,3)="MAS",420,IF($F200="INIT",1000,700))))))</f>
        <v/>
      </c>
      <c r="L200" s="0">
        <f>IF($A200="","",SUMIFS($G$1:$G$349,$AS$1:$AS$349,$AS200,$B$1:$B$349,$B200))</f>
        <v/>
      </c>
      <c r="M200" s="0">
        <f>IF($A200="","",SUMIFS($H$1:$H$349,$AS$1:$AS$349,$AS200,$B$1:$B$349,$B200))</f>
        <v/>
      </c>
      <c r="N200" s="0">
        <f>IF($A200="","",SUMIFS($I$1:$I$349,$AS$1:$AS$349,$AS200,$B$1:$B$349,$B200))</f>
        <v/>
      </c>
      <c r="O200" s="0">
        <f>IF($A200="","",SUMIFS($K$1:$K$349,$AS$1:$AS$349,$AS200,$B$1:$B$349,$B200))</f>
        <v/>
      </c>
      <c r="P200" s="0">
        <f>IF($A200="","",SUMIFS($J$1:$J$349,$AS$1:$AS$349,$AS200,$B$1:$B$349,$B200))</f>
        <v/>
      </c>
      <c r="Q200" s="0">
        <f>IF($A200="","",SUMIFS($G$1:$G$349,$AS$1:$AS$349,$AS200,$C$1:$C$349,$C200))</f>
        <v/>
      </c>
      <c r="R200" s="0">
        <f>IF($A200="","",SUMIFS($H$1:$H$349,$AS$1:$AS$349,$AS200,$C$1:$C$349,$C200))</f>
        <v/>
      </c>
      <c r="S200" s="0">
        <f>IF($A200="","",SUMIFS($I$1:$I$349,$AS$1:$AS$349,$AS200,$C$1:$C$349,$C200))</f>
        <v/>
      </c>
      <c r="T200" s="0">
        <f>IF($A200="","",SUMIFS($G$1:$G$349,$AS$1:$AS$349,$AS200))</f>
        <v/>
      </c>
      <c r="U200" s="0">
        <f>IF($A200="","",SUMIFS($H$1:$H$349,$AS$1:$AS$349,$AS200))</f>
        <v/>
      </c>
      <c r="V200" s="0">
        <f>IF($A200="","",SUMIFS($I$1:$I$349,$AS$1:$AS$349,$AS200))</f>
        <v/>
      </c>
      <c r="W200" s="0">
        <f>IF($A200="","",Allocation!CD200)</f>
        <v/>
      </c>
      <c r="X200" s="0">
        <f>IF($A200="","",Allocation!CE200)</f>
        <v/>
      </c>
      <c r="Y200" s="0">
        <f>IF($A200="","",Allocation!CF200)</f>
        <v/>
      </c>
      <c r="Z200" s="0">
        <f>IF($A200="","",Allocation!CG200)</f>
        <v/>
      </c>
      <c r="AA200" s="0">
        <f>IF($A200="","",Allocation!CH200)</f>
        <v/>
      </c>
      <c r="AB200" s="0">
        <f>IF($A200="","",Allocation!CI200)</f>
        <v/>
      </c>
      <c r="AC200" s="0">
        <f>IF($A200="","",IF(Allocation!$N$4="VOL_EFF",$G200,IF(Allocation!$N$4="VOL_CLASS",$H200,$I200)))</f>
        <v/>
      </c>
      <c r="AD200" s="0">
        <f>IF($A200="","",IF(Allocation!$N$4="VOL_EFF",$L200,IF(Allocation!$N$4="VOL_CLASS",$M200,$N200)))</f>
        <v/>
      </c>
      <c r="AE200" s="0">
        <f>IF($A200="","",IF(Allocation!$N$3="VOL_EFF",$L200,IF(Allocation!$N$3="VOL_CLASS",$M200,$N200)))</f>
        <v/>
      </c>
      <c r="AF200" s="0">
        <f>IF($A200="","",IF(Allocation!$N$3="VOL_EFF",$Q200,IF(Allocation!$N$3="VOL_CLASS",$R200,$S200)))</f>
        <v/>
      </c>
      <c r="AG200" s="0">
        <f>IF($A200="","",IF(Allocation!$N$1="VOL_EFF",$Q200,IF(Allocation!$N$1="VOL_CLASS",$R200,$S200)))</f>
        <v/>
      </c>
      <c r="AH200" s="0">
        <f>IF($A200="","",IF(Allocation!$N$1="VOL_EFF",$T200,IF(Allocation!$N$1="VOL_CLASS",$U200,$V200)))</f>
        <v/>
      </c>
      <c r="AI200" s="0">
        <f>IF($A200="","",$W200*IFERROR($K200/$O200,0))</f>
        <v/>
      </c>
      <c r="AJ200" s="0">
        <f>IF($A200="","",$X200*IFERROR($K200/$O200,0))</f>
        <v/>
      </c>
      <c r="AK200" s="0">
        <f>IF($A200="","",$Y200*IFERROR($G200/$L200,0)+$Z200*IFERROR($J200/$P200,0))</f>
        <v/>
      </c>
      <c r="AL200" s="0">
        <f>IF($A200="","",$AA200*IFERROR($AC200/$AD200,0))</f>
        <v/>
      </c>
      <c r="AM200" s="0">
        <f>IF($A200="","",$AB200*IFERROR($AG200/$AH200,0)*IFERROR($AE200/$AF200,0)*IFERROR($AC200/$AD200,0))</f>
        <v/>
      </c>
      <c r="AN200" s="0">
        <f>IF($A200="","",$I200-($AI200+$AJ200+$AK200+$AL200+$AM200+$AR200))</f>
        <v/>
      </c>
      <c r="AO200" s="0">
        <f>IF($A200="","",Allocation!CJ200)</f>
        <v/>
      </c>
      <c r="AP200" s="0">
        <f>IF($A200="","",IF(Allocation!$N$2="VOL_EFF",$Q200,IF(Allocation!$N$2="VOL_CLASS",$R200,$S200)))</f>
        <v/>
      </c>
      <c r="AQ200" s="0">
        <f>IF($A200="","",IF(Allocation!$N$2="VOL_EFF",$T200,IF(Allocation!$N$2="VOL_CLASS",$U200,$V200)))</f>
        <v/>
      </c>
      <c r="AR200" s="0">
        <f>IF($A200="","",$AO200*IFERROR($AP200/$AQ200,0)*IFERROR($AE200/$AF200,0)*IFERROR($AC200/$AD200,0))</f>
        <v/>
      </c>
      <c r="AS200" s="0">
        <f>IF($A200="","",$A200&amp;"|"&amp;Allocation!BG200)</f>
        <v/>
      </c>
    </row>
    <row r="201" ht="14.4975" customHeight="1" s="64">
      <c r="A201" s="0">
        <f>IF(Allocation!BI201="","",Allocation!BI201)</f>
        <v/>
      </c>
      <c r="B201" s="0">
        <f>IF(Allocation!BJ201="","",Allocation!BJ201)</f>
        <v/>
      </c>
      <c r="C201" s="0">
        <f>IF(Allocation!BK201="","",Allocation!BK201)</f>
        <v/>
      </c>
      <c r="D201" s="0">
        <f>IF(Allocation!BL201="","",Allocation!BL201)</f>
        <v/>
      </c>
      <c r="E201" s="0">
        <f>IF(Allocation!BM201="","",Allocation!BM201)</f>
        <v/>
      </c>
      <c r="F201" s="0">
        <f>IF(Allocation!BN201="","",Allocation!BN201)</f>
        <v/>
      </c>
      <c r="G201" s="0">
        <f>IF(Allocation!BO201="","",Allocation!BO201)</f>
        <v/>
      </c>
      <c r="H201" s="0">
        <f>IF(Allocation!BP201="","",Allocation!BP201)</f>
        <v/>
      </c>
      <c r="I201" s="0">
        <f>IF(Allocation!BQ201="","",Allocation!BQ201)</f>
        <v/>
      </c>
      <c r="J201" s="0">
        <f>IF(Allocation!CC201="","",Allocation!CC201)</f>
        <v/>
      </c>
      <c r="K201" s="0">
        <f>IF($A201="","",$H201*IF(AND(LEFT($D201,3)="BAC",$F201="INIT"),600,IF(LEFT($D201,3)="BAC",480,IF(AND(LEFT($D201,3)="MAS",$F201="INIT"),520,IF(LEFT($D201,3)="MAS",420,IF($F201="INIT",1000,700))))))</f>
        <v/>
      </c>
      <c r="L201" s="0">
        <f>IF($A201="","",SUMIFS($G$1:$G$349,$AS$1:$AS$349,$AS201,$B$1:$B$349,$B201))</f>
        <v/>
      </c>
      <c r="M201" s="0">
        <f>IF($A201="","",SUMIFS($H$1:$H$349,$AS$1:$AS$349,$AS201,$B$1:$B$349,$B201))</f>
        <v/>
      </c>
      <c r="N201" s="0">
        <f>IF($A201="","",SUMIFS($I$1:$I$349,$AS$1:$AS$349,$AS201,$B$1:$B$349,$B201))</f>
        <v/>
      </c>
      <c r="O201" s="0">
        <f>IF($A201="","",SUMIFS($K$1:$K$349,$AS$1:$AS$349,$AS201,$B$1:$B$349,$B201))</f>
        <v/>
      </c>
      <c r="P201" s="0">
        <f>IF($A201="","",SUMIFS($J$1:$J$349,$AS$1:$AS$349,$AS201,$B$1:$B$349,$B201))</f>
        <v/>
      </c>
      <c r="Q201" s="0">
        <f>IF($A201="","",SUMIFS($G$1:$G$349,$AS$1:$AS$349,$AS201,$C$1:$C$349,$C201))</f>
        <v/>
      </c>
      <c r="R201" s="0">
        <f>IF($A201="","",SUMIFS($H$1:$H$349,$AS$1:$AS$349,$AS201,$C$1:$C$349,$C201))</f>
        <v/>
      </c>
      <c r="S201" s="0">
        <f>IF($A201="","",SUMIFS($I$1:$I$349,$AS$1:$AS$349,$AS201,$C$1:$C$349,$C201))</f>
        <v/>
      </c>
      <c r="T201" s="0">
        <f>IF($A201="","",SUMIFS($G$1:$G$349,$AS$1:$AS$349,$AS201))</f>
        <v/>
      </c>
      <c r="U201" s="0">
        <f>IF($A201="","",SUMIFS($H$1:$H$349,$AS$1:$AS$349,$AS201))</f>
        <v/>
      </c>
      <c r="V201" s="0">
        <f>IF($A201="","",SUMIFS($I$1:$I$349,$AS$1:$AS$349,$AS201))</f>
        <v/>
      </c>
      <c r="W201" s="0">
        <f>IF($A201="","",Allocation!CD201)</f>
        <v/>
      </c>
      <c r="X201" s="0">
        <f>IF($A201="","",Allocation!CE201)</f>
        <v/>
      </c>
      <c r="Y201" s="0">
        <f>IF($A201="","",Allocation!CF201)</f>
        <v/>
      </c>
      <c r="Z201" s="0">
        <f>IF($A201="","",Allocation!CG201)</f>
        <v/>
      </c>
      <c r="AA201" s="0">
        <f>IF($A201="","",Allocation!CH201)</f>
        <v/>
      </c>
      <c r="AB201" s="0">
        <f>IF($A201="","",Allocation!CI201)</f>
        <v/>
      </c>
      <c r="AC201" s="0">
        <f>IF($A201="","",IF(Allocation!$N$4="VOL_EFF",$G201,IF(Allocation!$N$4="VOL_CLASS",$H201,$I201)))</f>
        <v/>
      </c>
      <c r="AD201" s="0">
        <f>IF($A201="","",IF(Allocation!$N$4="VOL_EFF",$L201,IF(Allocation!$N$4="VOL_CLASS",$M201,$N201)))</f>
        <v/>
      </c>
      <c r="AE201" s="0">
        <f>IF($A201="","",IF(Allocation!$N$3="VOL_EFF",$L201,IF(Allocation!$N$3="VOL_CLASS",$M201,$N201)))</f>
        <v/>
      </c>
      <c r="AF201" s="0">
        <f>IF($A201="","",IF(Allocation!$N$3="VOL_EFF",$Q201,IF(Allocation!$N$3="VOL_CLASS",$R201,$S201)))</f>
        <v/>
      </c>
      <c r="AG201" s="0">
        <f>IF($A201="","",IF(Allocation!$N$1="VOL_EFF",$Q201,IF(Allocation!$N$1="VOL_CLASS",$R201,$S201)))</f>
        <v/>
      </c>
      <c r="AH201" s="0">
        <f>IF($A201="","",IF(Allocation!$N$1="VOL_EFF",$T201,IF(Allocation!$N$1="VOL_CLASS",$U201,$V201)))</f>
        <v/>
      </c>
      <c r="AI201" s="0">
        <f>IF($A201="","",$W201*IFERROR($K201/$O201,0))</f>
        <v/>
      </c>
      <c r="AJ201" s="0">
        <f>IF($A201="","",$X201*IFERROR($K201/$O201,0))</f>
        <v/>
      </c>
      <c r="AK201" s="0">
        <f>IF($A201="","",$Y201*IFERROR($G201/$L201,0)+$Z201*IFERROR($J201/$P201,0))</f>
        <v/>
      </c>
      <c r="AL201" s="0">
        <f>IF($A201="","",$AA201*IFERROR($AC201/$AD201,0))</f>
        <v/>
      </c>
      <c r="AM201" s="0">
        <f>IF($A201="","",$AB201*IFERROR($AG201/$AH201,0)*IFERROR($AE201/$AF201,0)*IFERROR($AC201/$AD201,0))</f>
        <v/>
      </c>
      <c r="AN201" s="0">
        <f>IF($A201="","",$I201-($AI201+$AJ201+$AK201+$AL201+$AM201+$AR201))</f>
        <v/>
      </c>
      <c r="AO201" s="0">
        <f>IF($A201="","",Allocation!CJ201)</f>
        <v/>
      </c>
      <c r="AP201" s="0">
        <f>IF($A201="","",IF(Allocation!$N$2="VOL_EFF",$Q201,IF(Allocation!$N$2="VOL_CLASS",$R201,$S201)))</f>
        <v/>
      </c>
      <c r="AQ201" s="0">
        <f>IF($A201="","",IF(Allocation!$N$2="VOL_EFF",$T201,IF(Allocation!$N$2="VOL_CLASS",$U201,$V201)))</f>
        <v/>
      </c>
      <c r="AR201" s="0">
        <f>IF($A201="","",$AO201*IFERROR($AP201/$AQ201,0)*IFERROR($AE201/$AF201,0)*IFERROR($AC201/$AD201,0))</f>
        <v/>
      </c>
      <c r="AS201" s="0">
        <f>IF($A201="","",$A201&amp;"|"&amp;Allocation!BG201)</f>
        <v/>
      </c>
    </row>
    <row r="202" ht="14.4975" customHeight="1" s="64">
      <c r="A202" s="0">
        <f>IF(Allocation!BI202="","",Allocation!BI202)</f>
        <v/>
      </c>
      <c r="B202" s="0">
        <f>IF(Allocation!BJ202="","",Allocation!BJ202)</f>
        <v/>
      </c>
      <c r="C202" s="0">
        <f>IF(Allocation!BK202="","",Allocation!BK202)</f>
        <v/>
      </c>
      <c r="D202" s="0">
        <f>IF(Allocation!BL202="","",Allocation!BL202)</f>
        <v/>
      </c>
      <c r="E202" s="0">
        <f>IF(Allocation!BM202="","",Allocation!BM202)</f>
        <v/>
      </c>
      <c r="F202" s="0">
        <f>IF(Allocation!BN202="","",Allocation!BN202)</f>
        <v/>
      </c>
      <c r="G202" s="0">
        <f>IF(Allocation!BO202="","",Allocation!BO202)</f>
        <v/>
      </c>
      <c r="H202" s="0">
        <f>IF(Allocation!BP202="","",Allocation!BP202)</f>
        <v/>
      </c>
      <c r="I202" s="0">
        <f>IF(Allocation!BQ202="","",Allocation!BQ202)</f>
        <v/>
      </c>
      <c r="J202" s="0">
        <f>IF(Allocation!CC202="","",Allocation!CC202)</f>
        <v/>
      </c>
      <c r="K202" s="0">
        <f>IF($A202="","",$H202*IF(AND(LEFT($D202,3)="BAC",$F202="INIT"),600,IF(LEFT($D202,3)="BAC",480,IF(AND(LEFT($D202,3)="MAS",$F202="INIT"),520,IF(LEFT($D202,3)="MAS",420,IF($F202="INIT",1000,700))))))</f>
        <v/>
      </c>
      <c r="L202" s="0">
        <f>IF($A202="","",SUMIFS($G$1:$G$349,$AS$1:$AS$349,$AS202,$B$1:$B$349,$B202))</f>
        <v/>
      </c>
      <c r="M202" s="0">
        <f>IF($A202="","",SUMIFS($H$1:$H$349,$AS$1:$AS$349,$AS202,$B$1:$B$349,$B202))</f>
        <v/>
      </c>
      <c r="N202" s="0">
        <f>IF($A202="","",SUMIFS($I$1:$I$349,$AS$1:$AS$349,$AS202,$B$1:$B$349,$B202))</f>
        <v/>
      </c>
      <c r="O202" s="0">
        <f>IF($A202="","",SUMIFS($K$1:$K$349,$AS$1:$AS$349,$AS202,$B$1:$B$349,$B202))</f>
        <v/>
      </c>
      <c r="P202" s="0">
        <f>IF($A202="","",SUMIFS($J$1:$J$349,$AS$1:$AS$349,$AS202,$B$1:$B$349,$B202))</f>
        <v/>
      </c>
      <c r="Q202" s="0">
        <f>IF($A202="","",SUMIFS($G$1:$G$349,$AS$1:$AS$349,$AS202,$C$1:$C$349,$C202))</f>
        <v/>
      </c>
      <c r="R202" s="0">
        <f>IF($A202="","",SUMIFS($H$1:$H$349,$AS$1:$AS$349,$AS202,$C$1:$C$349,$C202))</f>
        <v/>
      </c>
      <c r="S202" s="0">
        <f>IF($A202="","",SUMIFS($I$1:$I$349,$AS$1:$AS$349,$AS202,$C$1:$C$349,$C202))</f>
        <v/>
      </c>
      <c r="T202" s="0">
        <f>IF($A202="","",SUMIFS($G$1:$G$349,$AS$1:$AS$349,$AS202))</f>
        <v/>
      </c>
      <c r="U202" s="0">
        <f>IF($A202="","",SUMIFS($H$1:$H$349,$AS$1:$AS$349,$AS202))</f>
        <v/>
      </c>
      <c r="V202" s="0">
        <f>IF($A202="","",SUMIFS($I$1:$I$349,$AS$1:$AS$349,$AS202))</f>
        <v/>
      </c>
      <c r="W202" s="0">
        <f>IF($A202="","",Allocation!CD202)</f>
        <v/>
      </c>
      <c r="X202" s="0">
        <f>IF($A202="","",Allocation!CE202)</f>
        <v/>
      </c>
      <c r="Y202" s="0">
        <f>IF($A202="","",Allocation!CF202)</f>
        <v/>
      </c>
      <c r="Z202" s="0">
        <f>IF($A202="","",Allocation!CG202)</f>
        <v/>
      </c>
      <c r="AA202" s="0">
        <f>IF($A202="","",Allocation!CH202)</f>
        <v/>
      </c>
      <c r="AB202" s="0">
        <f>IF($A202="","",Allocation!CI202)</f>
        <v/>
      </c>
      <c r="AC202" s="0">
        <f>IF($A202="","",IF(Allocation!$N$4="VOL_EFF",$G202,IF(Allocation!$N$4="VOL_CLASS",$H202,$I202)))</f>
        <v/>
      </c>
      <c r="AD202" s="0">
        <f>IF($A202="","",IF(Allocation!$N$4="VOL_EFF",$L202,IF(Allocation!$N$4="VOL_CLASS",$M202,$N202)))</f>
        <v/>
      </c>
      <c r="AE202" s="0">
        <f>IF($A202="","",IF(Allocation!$N$3="VOL_EFF",$L202,IF(Allocation!$N$3="VOL_CLASS",$M202,$N202)))</f>
        <v/>
      </c>
      <c r="AF202" s="0">
        <f>IF($A202="","",IF(Allocation!$N$3="VOL_EFF",$Q202,IF(Allocation!$N$3="VOL_CLASS",$R202,$S202)))</f>
        <v/>
      </c>
      <c r="AG202" s="0">
        <f>IF($A202="","",IF(Allocation!$N$1="VOL_EFF",$Q202,IF(Allocation!$N$1="VOL_CLASS",$R202,$S202)))</f>
        <v/>
      </c>
      <c r="AH202" s="0">
        <f>IF($A202="","",IF(Allocation!$N$1="VOL_EFF",$T202,IF(Allocation!$N$1="VOL_CLASS",$U202,$V202)))</f>
        <v/>
      </c>
      <c r="AI202" s="0">
        <f>IF($A202="","",$W202*IFERROR($K202/$O202,0))</f>
        <v/>
      </c>
      <c r="AJ202" s="0">
        <f>IF($A202="","",$X202*IFERROR($K202/$O202,0))</f>
        <v/>
      </c>
      <c r="AK202" s="0">
        <f>IF($A202="","",$Y202*IFERROR($G202/$L202,0)+$Z202*IFERROR($J202/$P202,0))</f>
        <v/>
      </c>
      <c r="AL202" s="0">
        <f>IF($A202="","",$AA202*IFERROR($AC202/$AD202,0))</f>
        <v/>
      </c>
      <c r="AM202" s="0">
        <f>IF($A202="","",$AB202*IFERROR($AG202/$AH202,0)*IFERROR($AE202/$AF202,0)*IFERROR($AC202/$AD202,0))</f>
        <v/>
      </c>
      <c r="AN202" s="0">
        <f>IF($A202="","",$I202-($AI202+$AJ202+$AK202+$AL202+$AM202+$AR202))</f>
        <v/>
      </c>
      <c r="AO202" s="0">
        <f>IF($A202="","",Allocation!CJ202)</f>
        <v/>
      </c>
      <c r="AP202" s="0">
        <f>IF($A202="","",IF(Allocation!$N$2="VOL_EFF",$Q202,IF(Allocation!$N$2="VOL_CLASS",$R202,$S202)))</f>
        <v/>
      </c>
      <c r="AQ202" s="0">
        <f>IF($A202="","",IF(Allocation!$N$2="VOL_EFF",$T202,IF(Allocation!$N$2="VOL_CLASS",$U202,$V202)))</f>
        <v/>
      </c>
      <c r="AR202" s="0">
        <f>IF($A202="","",$AO202*IFERROR($AP202/$AQ202,0)*IFERROR($AE202/$AF202,0)*IFERROR($AC202/$AD202,0))</f>
        <v/>
      </c>
      <c r="AS202" s="0">
        <f>IF($A202="","",$A202&amp;"|"&amp;Allocation!BG202)</f>
        <v/>
      </c>
    </row>
    <row r="203" ht="14.4975" customHeight="1" s="64">
      <c r="A203" s="0">
        <f>IF(Allocation!BI203="","",Allocation!BI203)</f>
        <v/>
      </c>
      <c r="B203" s="0">
        <f>IF(Allocation!BJ203="","",Allocation!BJ203)</f>
        <v/>
      </c>
      <c r="C203" s="0">
        <f>IF(Allocation!BK203="","",Allocation!BK203)</f>
        <v/>
      </c>
      <c r="D203" s="0">
        <f>IF(Allocation!BL203="","",Allocation!BL203)</f>
        <v/>
      </c>
      <c r="E203" s="0">
        <f>IF(Allocation!BM203="","",Allocation!BM203)</f>
        <v/>
      </c>
      <c r="F203" s="0">
        <f>IF(Allocation!BN203="","",Allocation!BN203)</f>
        <v/>
      </c>
      <c r="G203" s="0">
        <f>IF(Allocation!BO203="","",Allocation!BO203)</f>
        <v/>
      </c>
      <c r="H203" s="0">
        <f>IF(Allocation!BP203="","",Allocation!BP203)</f>
        <v/>
      </c>
      <c r="I203" s="0">
        <f>IF(Allocation!BQ203="","",Allocation!BQ203)</f>
        <v/>
      </c>
      <c r="J203" s="0">
        <f>IF(Allocation!CC203="","",Allocation!CC203)</f>
        <v/>
      </c>
      <c r="K203" s="0">
        <f>IF($A203="","",$H203*IF(AND(LEFT($D203,3)="BAC",$F203="INIT"),600,IF(LEFT($D203,3)="BAC",480,IF(AND(LEFT($D203,3)="MAS",$F203="INIT"),520,IF(LEFT($D203,3)="MAS",420,IF($F203="INIT",1000,700))))))</f>
        <v/>
      </c>
      <c r="L203" s="0">
        <f>IF($A203="","",SUMIFS($G$1:$G$349,$AS$1:$AS$349,$AS203,$B$1:$B$349,$B203))</f>
        <v/>
      </c>
      <c r="M203" s="0">
        <f>IF($A203="","",SUMIFS($H$1:$H$349,$AS$1:$AS$349,$AS203,$B$1:$B$349,$B203))</f>
        <v/>
      </c>
      <c r="N203" s="0">
        <f>IF($A203="","",SUMIFS($I$1:$I$349,$AS$1:$AS$349,$AS203,$B$1:$B$349,$B203))</f>
        <v/>
      </c>
      <c r="O203" s="0">
        <f>IF($A203="","",SUMIFS($K$1:$K$349,$AS$1:$AS$349,$AS203,$B$1:$B$349,$B203))</f>
        <v/>
      </c>
      <c r="P203" s="0">
        <f>IF($A203="","",SUMIFS($J$1:$J$349,$AS$1:$AS$349,$AS203,$B$1:$B$349,$B203))</f>
        <v/>
      </c>
      <c r="Q203" s="0">
        <f>IF($A203="","",SUMIFS($G$1:$G$349,$AS$1:$AS$349,$AS203,$C$1:$C$349,$C203))</f>
        <v/>
      </c>
      <c r="R203" s="0">
        <f>IF($A203="","",SUMIFS($H$1:$H$349,$AS$1:$AS$349,$AS203,$C$1:$C$349,$C203))</f>
        <v/>
      </c>
      <c r="S203" s="0">
        <f>IF($A203="","",SUMIFS($I$1:$I$349,$AS$1:$AS$349,$AS203,$C$1:$C$349,$C203))</f>
        <v/>
      </c>
      <c r="T203" s="0">
        <f>IF($A203="","",SUMIFS($G$1:$G$349,$AS$1:$AS$349,$AS203))</f>
        <v/>
      </c>
      <c r="U203" s="0">
        <f>IF($A203="","",SUMIFS($H$1:$H$349,$AS$1:$AS$349,$AS203))</f>
        <v/>
      </c>
      <c r="V203" s="0">
        <f>IF($A203="","",SUMIFS($I$1:$I$349,$AS$1:$AS$349,$AS203))</f>
        <v/>
      </c>
      <c r="W203" s="0">
        <f>IF($A203="","",Allocation!CD203)</f>
        <v/>
      </c>
      <c r="X203" s="0">
        <f>IF($A203="","",Allocation!CE203)</f>
        <v/>
      </c>
      <c r="Y203" s="0">
        <f>IF($A203="","",Allocation!CF203)</f>
        <v/>
      </c>
      <c r="Z203" s="0">
        <f>IF($A203="","",Allocation!CG203)</f>
        <v/>
      </c>
      <c r="AA203" s="0">
        <f>IF($A203="","",Allocation!CH203)</f>
        <v/>
      </c>
      <c r="AB203" s="0">
        <f>IF($A203="","",Allocation!CI203)</f>
        <v/>
      </c>
      <c r="AC203" s="0">
        <f>IF($A203="","",IF(Allocation!$N$4="VOL_EFF",$G203,IF(Allocation!$N$4="VOL_CLASS",$H203,$I203)))</f>
        <v/>
      </c>
      <c r="AD203" s="0">
        <f>IF($A203="","",IF(Allocation!$N$4="VOL_EFF",$L203,IF(Allocation!$N$4="VOL_CLASS",$M203,$N203)))</f>
        <v/>
      </c>
      <c r="AE203" s="0">
        <f>IF($A203="","",IF(Allocation!$N$3="VOL_EFF",$L203,IF(Allocation!$N$3="VOL_CLASS",$M203,$N203)))</f>
        <v/>
      </c>
      <c r="AF203" s="0">
        <f>IF($A203="","",IF(Allocation!$N$3="VOL_EFF",$Q203,IF(Allocation!$N$3="VOL_CLASS",$R203,$S203)))</f>
        <v/>
      </c>
      <c r="AG203" s="0">
        <f>IF($A203="","",IF(Allocation!$N$1="VOL_EFF",$Q203,IF(Allocation!$N$1="VOL_CLASS",$R203,$S203)))</f>
        <v/>
      </c>
      <c r="AH203" s="0">
        <f>IF($A203="","",IF(Allocation!$N$1="VOL_EFF",$T203,IF(Allocation!$N$1="VOL_CLASS",$U203,$V203)))</f>
        <v/>
      </c>
      <c r="AI203" s="0">
        <f>IF($A203="","",$W203*IFERROR($K203/$O203,0))</f>
        <v/>
      </c>
      <c r="AJ203" s="0">
        <f>IF($A203="","",$X203*IFERROR($K203/$O203,0))</f>
        <v/>
      </c>
      <c r="AK203" s="0">
        <f>IF($A203="","",$Y203*IFERROR($G203/$L203,0)+$Z203*IFERROR($J203/$P203,0))</f>
        <v/>
      </c>
      <c r="AL203" s="0">
        <f>IF($A203="","",$AA203*IFERROR($AC203/$AD203,0))</f>
        <v/>
      </c>
      <c r="AM203" s="0">
        <f>IF($A203="","",$AB203*IFERROR($AG203/$AH203,0)*IFERROR($AE203/$AF203,0)*IFERROR($AC203/$AD203,0))</f>
        <v/>
      </c>
      <c r="AN203" s="0">
        <f>IF($A203="","",$I203-($AI203+$AJ203+$AK203+$AL203+$AM203+$AR203))</f>
        <v/>
      </c>
      <c r="AO203" s="0">
        <f>IF($A203="","",Allocation!CJ203)</f>
        <v/>
      </c>
      <c r="AP203" s="0">
        <f>IF($A203="","",IF(Allocation!$N$2="VOL_EFF",$Q203,IF(Allocation!$N$2="VOL_CLASS",$R203,$S203)))</f>
        <v/>
      </c>
      <c r="AQ203" s="0">
        <f>IF($A203="","",IF(Allocation!$N$2="VOL_EFF",$T203,IF(Allocation!$N$2="VOL_CLASS",$U203,$V203)))</f>
        <v/>
      </c>
      <c r="AR203" s="0">
        <f>IF($A203="","",$AO203*IFERROR($AP203/$AQ203,0)*IFERROR($AE203/$AF203,0)*IFERROR($AC203/$AD203,0))</f>
        <v/>
      </c>
      <c r="AS203" s="0">
        <f>IF($A203="","",$A203&amp;"|"&amp;Allocation!BG203)</f>
        <v/>
      </c>
    </row>
    <row r="204" ht="14.4975" customHeight="1" s="64">
      <c r="A204" s="0">
        <f>IF(Allocation!BI204="","",Allocation!BI204)</f>
        <v/>
      </c>
      <c r="B204" s="0">
        <f>IF(Allocation!BJ204="","",Allocation!BJ204)</f>
        <v/>
      </c>
      <c r="C204" s="0">
        <f>IF(Allocation!BK204="","",Allocation!BK204)</f>
        <v/>
      </c>
      <c r="D204" s="0">
        <f>IF(Allocation!BL204="","",Allocation!BL204)</f>
        <v/>
      </c>
      <c r="E204" s="0">
        <f>IF(Allocation!BM204="","",Allocation!BM204)</f>
        <v/>
      </c>
      <c r="F204" s="0">
        <f>IF(Allocation!BN204="","",Allocation!BN204)</f>
        <v/>
      </c>
      <c r="G204" s="0">
        <f>IF(Allocation!BO204="","",Allocation!BO204)</f>
        <v/>
      </c>
      <c r="H204" s="0">
        <f>IF(Allocation!BP204="","",Allocation!BP204)</f>
        <v/>
      </c>
      <c r="I204" s="0">
        <f>IF(Allocation!BQ204="","",Allocation!BQ204)</f>
        <v/>
      </c>
      <c r="J204" s="0">
        <f>IF(Allocation!CC204="","",Allocation!CC204)</f>
        <v/>
      </c>
      <c r="K204" s="0">
        <f>IF($A204="","",$H204*IF(AND(LEFT($D204,3)="BAC",$F204="INIT"),600,IF(LEFT($D204,3)="BAC",480,IF(AND(LEFT($D204,3)="MAS",$F204="INIT"),520,IF(LEFT($D204,3)="MAS",420,IF($F204="INIT",1000,700))))))</f>
        <v/>
      </c>
      <c r="L204" s="0">
        <f>IF($A204="","",SUMIFS($G$1:$G$349,$AS$1:$AS$349,$AS204,$B$1:$B$349,$B204))</f>
        <v/>
      </c>
      <c r="M204" s="0">
        <f>IF($A204="","",SUMIFS($H$1:$H$349,$AS$1:$AS$349,$AS204,$B$1:$B$349,$B204))</f>
        <v/>
      </c>
      <c r="N204" s="0">
        <f>IF($A204="","",SUMIFS($I$1:$I$349,$AS$1:$AS$349,$AS204,$B$1:$B$349,$B204))</f>
        <v/>
      </c>
      <c r="O204" s="0">
        <f>IF($A204="","",SUMIFS($K$1:$K$349,$AS$1:$AS$349,$AS204,$B$1:$B$349,$B204))</f>
        <v/>
      </c>
      <c r="P204" s="0">
        <f>IF($A204="","",SUMIFS($J$1:$J$349,$AS$1:$AS$349,$AS204,$B$1:$B$349,$B204))</f>
        <v/>
      </c>
      <c r="Q204" s="0">
        <f>IF($A204="","",SUMIFS($G$1:$G$349,$AS$1:$AS$349,$AS204,$C$1:$C$349,$C204))</f>
        <v/>
      </c>
      <c r="R204" s="0">
        <f>IF($A204="","",SUMIFS($H$1:$H$349,$AS$1:$AS$349,$AS204,$C$1:$C$349,$C204))</f>
        <v/>
      </c>
      <c r="S204" s="0">
        <f>IF($A204="","",SUMIFS($I$1:$I$349,$AS$1:$AS$349,$AS204,$C$1:$C$349,$C204))</f>
        <v/>
      </c>
      <c r="T204" s="0">
        <f>IF($A204="","",SUMIFS($G$1:$G$349,$AS$1:$AS$349,$AS204))</f>
        <v/>
      </c>
      <c r="U204" s="0">
        <f>IF($A204="","",SUMIFS($H$1:$H$349,$AS$1:$AS$349,$AS204))</f>
        <v/>
      </c>
      <c r="V204" s="0">
        <f>IF($A204="","",SUMIFS($I$1:$I$349,$AS$1:$AS$349,$AS204))</f>
        <v/>
      </c>
      <c r="W204" s="0">
        <f>IF($A204="","",Allocation!CD204)</f>
        <v/>
      </c>
      <c r="X204" s="0">
        <f>IF($A204="","",Allocation!CE204)</f>
        <v/>
      </c>
      <c r="Y204" s="0">
        <f>IF($A204="","",Allocation!CF204)</f>
        <v/>
      </c>
      <c r="Z204" s="0">
        <f>IF($A204="","",Allocation!CG204)</f>
        <v/>
      </c>
      <c r="AA204" s="0">
        <f>IF($A204="","",Allocation!CH204)</f>
        <v/>
      </c>
      <c r="AB204" s="0">
        <f>IF($A204="","",Allocation!CI204)</f>
        <v/>
      </c>
      <c r="AC204" s="0">
        <f>IF($A204="","",IF(Allocation!$N$4="VOL_EFF",$G204,IF(Allocation!$N$4="VOL_CLASS",$H204,$I204)))</f>
        <v/>
      </c>
      <c r="AD204" s="0">
        <f>IF($A204="","",IF(Allocation!$N$4="VOL_EFF",$L204,IF(Allocation!$N$4="VOL_CLASS",$M204,$N204)))</f>
        <v/>
      </c>
      <c r="AE204" s="0">
        <f>IF($A204="","",IF(Allocation!$N$3="VOL_EFF",$L204,IF(Allocation!$N$3="VOL_CLASS",$M204,$N204)))</f>
        <v/>
      </c>
      <c r="AF204" s="0">
        <f>IF($A204="","",IF(Allocation!$N$3="VOL_EFF",$Q204,IF(Allocation!$N$3="VOL_CLASS",$R204,$S204)))</f>
        <v/>
      </c>
      <c r="AG204" s="0">
        <f>IF($A204="","",IF(Allocation!$N$1="VOL_EFF",$Q204,IF(Allocation!$N$1="VOL_CLASS",$R204,$S204)))</f>
        <v/>
      </c>
      <c r="AH204" s="0">
        <f>IF($A204="","",IF(Allocation!$N$1="VOL_EFF",$T204,IF(Allocation!$N$1="VOL_CLASS",$U204,$V204)))</f>
        <v/>
      </c>
      <c r="AI204" s="0">
        <f>IF($A204="","",$W204*IFERROR($K204/$O204,0))</f>
        <v/>
      </c>
      <c r="AJ204" s="0">
        <f>IF($A204="","",$X204*IFERROR($K204/$O204,0))</f>
        <v/>
      </c>
      <c r="AK204" s="0">
        <f>IF($A204="","",$Y204*IFERROR($G204/$L204,0)+$Z204*IFERROR($J204/$P204,0))</f>
        <v/>
      </c>
      <c r="AL204" s="0">
        <f>IF($A204="","",$AA204*IFERROR($AC204/$AD204,0))</f>
        <v/>
      </c>
      <c r="AM204" s="0">
        <f>IF($A204="","",$AB204*IFERROR($AG204/$AH204,0)*IFERROR($AE204/$AF204,0)*IFERROR($AC204/$AD204,0))</f>
        <v/>
      </c>
      <c r="AN204" s="0">
        <f>IF($A204="","",$I204-($AI204+$AJ204+$AK204+$AL204+$AM204+$AR204))</f>
        <v/>
      </c>
      <c r="AO204" s="0">
        <f>IF($A204="","",Allocation!CJ204)</f>
        <v/>
      </c>
      <c r="AP204" s="0">
        <f>IF($A204="","",IF(Allocation!$N$2="VOL_EFF",$Q204,IF(Allocation!$N$2="VOL_CLASS",$R204,$S204)))</f>
        <v/>
      </c>
      <c r="AQ204" s="0">
        <f>IF($A204="","",IF(Allocation!$N$2="VOL_EFF",$T204,IF(Allocation!$N$2="VOL_CLASS",$U204,$V204)))</f>
        <v/>
      </c>
      <c r="AR204" s="0">
        <f>IF($A204="","",$AO204*IFERROR($AP204/$AQ204,0)*IFERROR($AE204/$AF204,0)*IFERROR($AC204/$AD204,0))</f>
        <v/>
      </c>
      <c r="AS204" s="0">
        <f>IF($A204="","",$A204&amp;"|"&amp;Allocation!BG204)</f>
        <v/>
      </c>
    </row>
    <row r="205" ht="14.4975" customHeight="1" s="64">
      <c r="A205" s="0">
        <f>IF(Allocation!BI205="","",Allocation!BI205)</f>
        <v/>
      </c>
      <c r="B205" s="0">
        <f>IF(Allocation!BJ205="","",Allocation!BJ205)</f>
        <v/>
      </c>
      <c r="C205" s="0">
        <f>IF(Allocation!BK205="","",Allocation!BK205)</f>
        <v/>
      </c>
      <c r="D205" s="0">
        <f>IF(Allocation!BL205="","",Allocation!BL205)</f>
        <v/>
      </c>
      <c r="E205" s="0">
        <f>IF(Allocation!BM205="","",Allocation!BM205)</f>
        <v/>
      </c>
      <c r="F205" s="0">
        <f>IF(Allocation!BN205="","",Allocation!BN205)</f>
        <v/>
      </c>
      <c r="G205" s="0">
        <f>IF(Allocation!BO205="","",Allocation!BO205)</f>
        <v/>
      </c>
      <c r="H205" s="0">
        <f>IF(Allocation!BP205="","",Allocation!BP205)</f>
        <v/>
      </c>
      <c r="I205" s="0">
        <f>IF(Allocation!BQ205="","",Allocation!BQ205)</f>
        <v/>
      </c>
      <c r="J205" s="0">
        <f>IF(Allocation!CC205="","",Allocation!CC205)</f>
        <v/>
      </c>
      <c r="K205" s="0">
        <f>IF($A205="","",$H205*IF(AND(LEFT($D205,3)="BAC",$F205="INIT"),600,IF(LEFT($D205,3)="BAC",480,IF(AND(LEFT($D205,3)="MAS",$F205="INIT"),520,IF(LEFT($D205,3)="MAS",420,IF($F205="INIT",1000,700))))))</f>
        <v/>
      </c>
      <c r="L205" s="0">
        <f>IF($A205="","",SUMIFS($G$1:$G$349,$AS$1:$AS$349,$AS205,$B$1:$B$349,$B205))</f>
        <v/>
      </c>
      <c r="M205" s="0">
        <f>IF($A205="","",SUMIFS($H$1:$H$349,$AS$1:$AS$349,$AS205,$B$1:$B$349,$B205))</f>
        <v/>
      </c>
      <c r="N205" s="0">
        <f>IF($A205="","",SUMIFS($I$1:$I$349,$AS$1:$AS$349,$AS205,$B$1:$B$349,$B205))</f>
        <v/>
      </c>
      <c r="O205" s="0">
        <f>IF($A205="","",SUMIFS($K$1:$K$349,$AS$1:$AS$349,$AS205,$B$1:$B$349,$B205))</f>
        <v/>
      </c>
      <c r="P205" s="0">
        <f>IF($A205="","",SUMIFS($J$1:$J$349,$AS$1:$AS$349,$AS205,$B$1:$B$349,$B205))</f>
        <v/>
      </c>
      <c r="Q205" s="0">
        <f>IF($A205="","",SUMIFS($G$1:$G$349,$AS$1:$AS$349,$AS205,$C$1:$C$349,$C205))</f>
        <v/>
      </c>
      <c r="R205" s="0">
        <f>IF($A205="","",SUMIFS($H$1:$H$349,$AS$1:$AS$349,$AS205,$C$1:$C$349,$C205))</f>
        <v/>
      </c>
      <c r="S205" s="0">
        <f>IF($A205="","",SUMIFS($I$1:$I$349,$AS$1:$AS$349,$AS205,$C$1:$C$349,$C205))</f>
        <v/>
      </c>
      <c r="T205" s="0">
        <f>IF($A205="","",SUMIFS($G$1:$G$349,$AS$1:$AS$349,$AS205))</f>
        <v/>
      </c>
      <c r="U205" s="0">
        <f>IF($A205="","",SUMIFS($H$1:$H$349,$AS$1:$AS$349,$AS205))</f>
        <v/>
      </c>
      <c r="V205" s="0">
        <f>IF($A205="","",SUMIFS($I$1:$I$349,$AS$1:$AS$349,$AS205))</f>
        <v/>
      </c>
      <c r="W205" s="0">
        <f>IF($A205="","",Allocation!CD205)</f>
        <v/>
      </c>
      <c r="X205" s="0">
        <f>IF($A205="","",Allocation!CE205)</f>
        <v/>
      </c>
      <c r="Y205" s="0">
        <f>IF($A205="","",Allocation!CF205)</f>
        <v/>
      </c>
      <c r="Z205" s="0">
        <f>IF($A205="","",Allocation!CG205)</f>
        <v/>
      </c>
      <c r="AA205" s="0">
        <f>IF($A205="","",Allocation!CH205)</f>
        <v/>
      </c>
      <c r="AB205" s="0">
        <f>IF($A205="","",Allocation!CI205)</f>
        <v/>
      </c>
      <c r="AC205" s="0">
        <f>IF($A205="","",IF(Allocation!$N$4="VOL_EFF",$G205,IF(Allocation!$N$4="VOL_CLASS",$H205,$I205)))</f>
        <v/>
      </c>
      <c r="AD205" s="0">
        <f>IF($A205="","",IF(Allocation!$N$4="VOL_EFF",$L205,IF(Allocation!$N$4="VOL_CLASS",$M205,$N205)))</f>
        <v/>
      </c>
      <c r="AE205" s="0">
        <f>IF($A205="","",IF(Allocation!$N$3="VOL_EFF",$L205,IF(Allocation!$N$3="VOL_CLASS",$M205,$N205)))</f>
        <v/>
      </c>
      <c r="AF205" s="0">
        <f>IF($A205="","",IF(Allocation!$N$3="VOL_EFF",$Q205,IF(Allocation!$N$3="VOL_CLASS",$R205,$S205)))</f>
        <v/>
      </c>
      <c r="AG205" s="0">
        <f>IF($A205="","",IF(Allocation!$N$1="VOL_EFF",$Q205,IF(Allocation!$N$1="VOL_CLASS",$R205,$S205)))</f>
        <v/>
      </c>
      <c r="AH205" s="0">
        <f>IF($A205="","",IF(Allocation!$N$1="VOL_EFF",$T205,IF(Allocation!$N$1="VOL_CLASS",$U205,$V205)))</f>
        <v/>
      </c>
      <c r="AI205" s="0">
        <f>IF($A205="","",$W205*IFERROR($K205/$O205,0))</f>
        <v/>
      </c>
      <c r="AJ205" s="0">
        <f>IF($A205="","",$X205*IFERROR($K205/$O205,0))</f>
        <v/>
      </c>
      <c r="AK205" s="0">
        <f>IF($A205="","",$Y205*IFERROR($G205/$L205,0)+$Z205*IFERROR($J205/$P205,0))</f>
        <v/>
      </c>
      <c r="AL205" s="0">
        <f>IF($A205="","",$AA205*IFERROR($AC205/$AD205,0))</f>
        <v/>
      </c>
      <c r="AM205" s="0">
        <f>IF($A205="","",$AB205*IFERROR($AG205/$AH205,0)*IFERROR($AE205/$AF205,0)*IFERROR($AC205/$AD205,0))</f>
        <v/>
      </c>
      <c r="AN205" s="0">
        <f>IF($A205="","",$I205-($AI205+$AJ205+$AK205+$AL205+$AM205+$AR205))</f>
        <v/>
      </c>
      <c r="AO205" s="0">
        <f>IF($A205="","",Allocation!CJ205)</f>
        <v/>
      </c>
      <c r="AP205" s="0">
        <f>IF($A205="","",IF(Allocation!$N$2="VOL_EFF",$Q205,IF(Allocation!$N$2="VOL_CLASS",$R205,$S205)))</f>
        <v/>
      </c>
      <c r="AQ205" s="0">
        <f>IF($A205="","",IF(Allocation!$N$2="VOL_EFF",$T205,IF(Allocation!$N$2="VOL_CLASS",$U205,$V205)))</f>
        <v/>
      </c>
      <c r="AR205" s="0">
        <f>IF($A205="","",$AO205*IFERROR($AP205/$AQ205,0)*IFERROR($AE205/$AF205,0)*IFERROR($AC205/$AD205,0))</f>
        <v/>
      </c>
      <c r="AS205" s="0">
        <f>IF($A205="","",$A205&amp;"|"&amp;Allocation!BG205)</f>
        <v/>
      </c>
    </row>
    <row r="206" ht="14.4975" customHeight="1" s="64">
      <c r="A206" s="0">
        <f>IF(Allocation!BI206="","",Allocation!BI206)</f>
        <v/>
      </c>
      <c r="B206" s="0">
        <f>IF(Allocation!BJ206="","",Allocation!BJ206)</f>
        <v/>
      </c>
      <c r="C206" s="0">
        <f>IF(Allocation!BK206="","",Allocation!BK206)</f>
        <v/>
      </c>
      <c r="D206" s="0">
        <f>IF(Allocation!BL206="","",Allocation!BL206)</f>
        <v/>
      </c>
      <c r="E206" s="0">
        <f>IF(Allocation!BM206="","",Allocation!BM206)</f>
        <v/>
      </c>
      <c r="F206" s="0">
        <f>IF(Allocation!BN206="","",Allocation!BN206)</f>
        <v/>
      </c>
      <c r="G206" s="0">
        <f>IF(Allocation!BO206="","",Allocation!BO206)</f>
        <v/>
      </c>
      <c r="H206" s="0">
        <f>IF(Allocation!BP206="","",Allocation!BP206)</f>
        <v/>
      </c>
      <c r="I206" s="0">
        <f>IF(Allocation!BQ206="","",Allocation!BQ206)</f>
        <v/>
      </c>
      <c r="J206" s="0">
        <f>IF(Allocation!CC206="","",Allocation!CC206)</f>
        <v/>
      </c>
      <c r="K206" s="0">
        <f>IF($A206="","",$H206*IF(AND(LEFT($D206,3)="BAC",$F206="INIT"),600,IF(LEFT($D206,3)="BAC",480,IF(AND(LEFT($D206,3)="MAS",$F206="INIT"),520,IF(LEFT($D206,3)="MAS",420,IF($F206="INIT",1000,700))))))</f>
        <v/>
      </c>
      <c r="L206" s="0">
        <f>IF($A206="","",SUMIFS($G$1:$G$349,$AS$1:$AS$349,$AS206,$B$1:$B$349,$B206))</f>
        <v/>
      </c>
      <c r="M206" s="0">
        <f>IF($A206="","",SUMIFS($H$1:$H$349,$AS$1:$AS$349,$AS206,$B$1:$B$349,$B206))</f>
        <v/>
      </c>
      <c r="N206" s="0">
        <f>IF($A206="","",SUMIFS($I$1:$I$349,$AS$1:$AS$349,$AS206,$B$1:$B$349,$B206))</f>
        <v/>
      </c>
      <c r="O206" s="0">
        <f>IF($A206="","",SUMIFS($K$1:$K$349,$AS$1:$AS$349,$AS206,$B$1:$B$349,$B206))</f>
        <v/>
      </c>
      <c r="P206" s="0">
        <f>IF($A206="","",SUMIFS($J$1:$J$349,$AS$1:$AS$349,$AS206,$B$1:$B$349,$B206))</f>
        <v/>
      </c>
      <c r="Q206" s="0">
        <f>IF($A206="","",SUMIFS($G$1:$G$349,$AS$1:$AS$349,$AS206,$C$1:$C$349,$C206))</f>
        <v/>
      </c>
      <c r="R206" s="0">
        <f>IF($A206="","",SUMIFS($H$1:$H$349,$AS$1:$AS$349,$AS206,$C$1:$C$349,$C206))</f>
        <v/>
      </c>
      <c r="S206" s="0">
        <f>IF($A206="","",SUMIFS($I$1:$I$349,$AS$1:$AS$349,$AS206,$C$1:$C$349,$C206))</f>
        <v/>
      </c>
      <c r="T206" s="0">
        <f>IF($A206="","",SUMIFS($G$1:$G$349,$AS$1:$AS$349,$AS206))</f>
        <v/>
      </c>
      <c r="U206" s="0">
        <f>IF($A206="","",SUMIFS($H$1:$H$349,$AS$1:$AS$349,$AS206))</f>
        <v/>
      </c>
      <c r="V206" s="0">
        <f>IF($A206="","",SUMIFS($I$1:$I$349,$AS$1:$AS$349,$AS206))</f>
        <v/>
      </c>
      <c r="W206" s="0">
        <f>IF($A206="","",Allocation!CD206)</f>
        <v/>
      </c>
      <c r="X206" s="0">
        <f>IF($A206="","",Allocation!CE206)</f>
        <v/>
      </c>
      <c r="Y206" s="0">
        <f>IF($A206="","",Allocation!CF206)</f>
        <v/>
      </c>
      <c r="Z206" s="0">
        <f>IF($A206="","",Allocation!CG206)</f>
        <v/>
      </c>
      <c r="AA206" s="0">
        <f>IF($A206="","",Allocation!CH206)</f>
        <v/>
      </c>
      <c r="AB206" s="0">
        <f>IF($A206="","",Allocation!CI206)</f>
        <v/>
      </c>
      <c r="AC206" s="0">
        <f>IF($A206="","",IF(Allocation!$N$4="VOL_EFF",$G206,IF(Allocation!$N$4="VOL_CLASS",$H206,$I206)))</f>
        <v/>
      </c>
      <c r="AD206" s="0">
        <f>IF($A206="","",IF(Allocation!$N$4="VOL_EFF",$L206,IF(Allocation!$N$4="VOL_CLASS",$M206,$N206)))</f>
        <v/>
      </c>
      <c r="AE206" s="0">
        <f>IF($A206="","",IF(Allocation!$N$3="VOL_EFF",$L206,IF(Allocation!$N$3="VOL_CLASS",$M206,$N206)))</f>
        <v/>
      </c>
      <c r="AF206" s="0">
        <f>IF($A206="","",IF(Allocation!$N$3="VOL_EFF",$Q206,IF(Allocation!$N$3="VOL_CLASS",$R206,$S206)))</f>
        <v/>
      </c>
      <c r="AG206" s="0">
        <f>IF($A206="","",IF(Allocation!$N$1="VOL_EFF",$Q206,IF(Allocation!$N$1="VOL_CLASS",$R206,$S206)))</f>
        <v/>
      </c>
      <c r="AH206" s="0">
        <f>IF($A206="","",IF(Allocation!$N$1="VOL_EFF",$T206,IF(Allocation!$N$1="VOL_CLASS",$U206,$V206)))</f>
        <v/>
      </c>
      <c r="AI206" s="0">
        <f>IF($A206="","",$W206*IFERROR($K206/$O206,0))</f>
        <v/>
      </c>
      <c r="AJ206" s="0">
        <f>IF($A206="","",$X206*IFERROR($K206/$O206,0))</f>
        <v/>
      </c>
      <c r="AK206" s="0">
        <f>IF($A206="","",$Y206*IFERROR($G206/$L206,0)+$Z206*IFERROR($J206/$P206,0))</f>
        <v/>
      </c>
      <c r="AL206" s="0">
        <f>IF($A206="","",$AA206*IFERROR($AC206/$AD206,0))</f>
        <v/>
      </c>
      <c r="AM206" s="0">
        <f>IF($A206="","",$AB206*IFERROR($AG206/$AH206,0)*IFERROR($AE206/$AF206,0)*IFERROR($AC206/$AD206,0))</f>
        <v/>
      </c>
      <c r="AN206" s="0">
        <f>IF($A206="","",$I206-($AI206+$AJ206+$AK206+$AL206+$AM206+$AR206))</f>
        <v/>
      </c>
      <c r="AO206" s="0">
        <f>IF($A206="","",Allocation!CJ206)</f>
        <v/>
      </c>
      <c r="AP206" s="0">
        <f>IF($A206="","",IF(Allocation!$N$2="VOL_EFF",$Q206,IF(Allocation!$N$2="VOL_CLASS",$R206,$S206)))</f>
        <v/>
      </c>
      <c r="AQ206" s="0">
        <f>IF($A206="","",IF(Allocation!$N$2="VOL_EFF",$T206,IF(Allocation!$N$2="VOL_CLASS",$U206,$V206)))</f>
        <v/>
      </c>
      <c r="AR206" s="0">
        <f>IF($A206="","",$AO206*IFERROR($AP206/$AQ206,0)*IFERROR($AE206/$AF206,0)*IFERROR($AC206/$AD206,0))</f>
        <v/>
      </c>
      <c r="AS206" s="0">
        <f>IF($A206="","",$A206&amp;"|"&amp;Allocation!BG206)</f>
        <v/>
      </c>
    </row>
    <row r="207" ht="14.4975" customHeight="1" s="64">
      <c r="A207" s="0">
        <f>IF(Allocation!BI207="","",Allocation!BI207)</f>
        <v/>
      </c>
      <c r="B207" s="0">
        <f>IF(Allocation!BJ207="","",Allocation!BJ207)</f>
        <v/>
      </c>
      <c r="C207" s="0">
        <f>IF(Allocation!BK207="","",Allocation!BK207)</f>
        <v/>
      </c>
      <c r="D207" s="0">
        <f>IF(Allocation!BL207="","",Allocation!BL207)</f>
        <v/>
      </c>
      <c r="E207" s="0">
        <f>IF(Allocation!BM207="","",Allocation!BM207)</f>
        <v/>
      </c>
      <c r="F207" s="0">
        <f>IF(Allocation!BN207="","",Allocation!BN207)</f>
        <v/>
      </c>
      <c r="G207" s="0">
        <f>IF(Allocation!BO207="","",Allocation!BO207)</f>
        <v/>
      </c>
      <c r="H207" s="0">
        <f>IF(Allocation!BP207="","",Allocation!BP207)</f>
        <v/>
      </c>
      <c r="I207" s="0">
        <f>IF(Allocation!BQ207="","",Allocation!BQ207)</f>
        <v/>
      </c>
      <c r="J207" s="0">
        <f>IF(Allocation!CC207="","",Allocation!CC207)</f>
        <v/>
      </c>
      <c r="K207" s="0">
        <f>IF($A207="","",$H207*IF(AND(LEFT($D207,3)="BAC",$F207="INIT"),600,IF(LEFT($D207,3)="BAC",480,IF(AND(LEFT($D207,3)="MAS",$F207="INIT"),520,IF(LEFT($D207,3)="MAS",420,IF($F207="INIT",1000,700))))))</f>
        <v/>
      </c>
      <c r="L207" s="0">
        <f>IF($A207="","",SUMIFS($G$1:$G$349,$AS$1:$AS$349,$AS207,$B$1:$B$349,$B207))</f>
        <v/>
      </c>
      <c r="M207" s="0">
        <f>IF($A207="","",SUMIFS($H$1:$H$349,$AS$1:$AS$349,$AS207,$B$1:$B$349,$B207))</f>
        <v/>
      </c>
      <c r="N207" s="0">
        <f>IF($A207="","",SUMIFS($I$1:$I$349,$AS$1:$AS$349,$AS207,$B$1:$B$349,$B207))</f>
        <v/>
      </c>
      <c r="O207" s="0">
        <f>IF($A207="","",SUMIFS($K$1:$K$349,$AS$1:$AS$349,$AS207,$B$1:$B$349,$B207))</f>
        <v/>
      </c>
      <c r="P207" s="0">
        <f>IF($A207="","",SUMIFS($J$1:$J$349,$AS$1:$AS$349,$AS207,$B$1:$B$349,$B207))</f>
        <v/>
      </c>
      <c r="Q207" s="0">
        <f>IF($A207="","",SUMIFS($G$1:$G$349,$AS$1:$AS$349,$AS207,$C$1:$C$349,$C207))</f>
        <v/>
      </c>
      <c r="R207" s="0">
        <f>IF($A207="","",SUMIFS($H$1:$H$349,$AS$1:$AS$349,$AS207,$C$1:$C$349,$C207))</f>
        <v/>
      </c>
      <c r="S207" s="0">
        <f>IF($A207="","",SUMIFS($I$1:$I$349,$AS$1:$AS$349,$AS207,$C$1:$C$349,$C207))</f>
        <v/>
      </c>
      <c r="T207" s="0">
        <f>IF($A207="","",SUMIFS($G$1:$G$349,$AS$1:$AS$349,$AS207))</f>
        <v/>
      </c>
      <c r="U207" s="0">
        <f>IF($A207="","",SUMIFS($H$1:$H$349,$AS$1:$AS$349,$AS207))</f>
        <v/>
      </c>
      <c r="V207" s="0">
        <f>IF($A207="","",SUMIFS($I$1:$I$349,$AS$1:$AS$349,$AS207))</f>
        <v/>
      </c>
      <c r="W207" s="0">
        <f>IF($A207="","",Allocation!CD207)</f>
        <v/>
      </c>
      <c r="X207" s="0">
        <f>IF($A207="","",Allocation!CE207)</f>
        <v/>
      </c>
      <c r="Y207" s="0">
        <f>IF($A207="","",Allocation!CF207)</f>
        <v/>
      </c>
      <c r="Z207" s="0">
        <f>IF($A207="","",Allocation!CG207)</f>
        <v/>
      </c>
      <c r="AA207" s="0">
        <f>IF($A207="","",Allocation!CH207)</f>
        <v/>
      </c>
      <c r="AB207" s="0">
        <f>IF($A207="","",Allocation!CI207)</f>
        <v/>
      </c>
      <c r="AC207" s="0">
        <f>IF($A207="","",IF(Allocation!$N$4="VOL_EFF",$G207,IF(Allocation!$N$4="VOL_CLASS",$H207,$I207)))</f>
        <v/>
      </c>
      <c r="AD207" s="0">
        <f>IF($A207="","",IF(Allocation!$N$4="VOL_EFF",$L207,IF(Allocation!$N$4="VOL_CLASS",$M207,$N207)))</f>
        <v/>
      </c>
      <c r="AE207" s="0">
        <f>IF($A207="","",IF(Allocation!$N$3="VOL_EFF",$L207,IF(Allocation!$N$3="VOL_CLASS",$M207,$N207)))</f>
        <v/>
      </c>
      <c r="AF207" s="0">
        <f>IF($A207="","",IF(Allocation!$N$3="VOL_EFF",$Q207,IF(Allocation!$N$3="VOL_CLASS",$R207,$S207)))</f>
        <v/>
      </c>
      <c r="AG207" s="0">
        <f>IF($A207="","",IF(Allocation!$N$1="VOL_EFF",$Q207,IF(Allocation!$N$1="VOL_CLASS",$R207,$S207)))</f>
        <v/>
      </c>
      <c r="AH207" s="0">
        <f>IF($A207="","",IF(Allocation!$N$1="VOL_EFF",$T207,IF(Allocation!$N$1="VOL_CLASS",$U207,$V207)))</f>
        <v/>
      </c>
      <c r="AI207" s="0">
        <f>IF($A207="","",$W207*IFERROR($K207/$O207,0))</f>
        <v/>
      </c>
      <c r="AJ207" s="0">
        <f>IF($A207="","",$X207*IFERROR($K207/$O207,0))</f>
        <v/>
      </c>
      <c r="AK207" s="0">
        <f>IF($A207="","",$Y207*IFERROR($G207/$L207,0)+$Z207*IFERROR($J207/$P207,0))</f>
        <v/>
      </c>
      <c r="AL207" s="0">
        <f>IF($A207="","",$AA207*IFERROR($AC207/$AD207,0))</f>
        <v/>
      </c>
      <c r="AM207" s="0">
        <f>IF($A207="","",$AB207*IFERROR($AG207/$AH207,0)*IFERROR($AE207/$AF207,0)*IFERROR($AC207/$AD207,0))</f>
        <v/>
      </c>
      <c r="AN207" s="0">
        <f>IF($A207="","",$I207-($AI207+$AJ207+$AK207+$AL207+$AM207+$AR207))</f>
        <v/>
      </c>
      <c r="AO207" s="0">
        <f>IF($A207="","",Allocation!CJ207)</f>
        <v/>
      </c>
      <c r="AP207" s="0">
        <f>IF($A207="","",IF(Allocation!$N$2="VOL_EFF",$Q207,IF(Allocation!$N$2="VOL_CLASS",$R207,$S207)))</f>
        <v/>
      </c>
      <c r="AQ207" s="0">
        <f>IF($A207="","",IF(Allocation!$N$2="VOL_EFF",$T207,IF(Allocation!$N$2="VOL_CLASS",$U207,$V207)))</f>
        <v/>
      </c>
      <c r="AR207" s="0">
        <f>IF($A207="","",$AO207*IFERROR($AP207/$AQ207,0)*IFERROR($AE207/$AF207,0)*IFERROR($AC207/$AD207,0))</f>
        <v/>
      </c>
      <c r="AS207" s="0">
        <f>IF($A207="","",$A207&amp;"|"&amp;Allocation!BG207)</f>
        <v/>
      </c>
    </row>
    <row r="208" ht="14.4975" customHeight="1" s="64">
      <c r="A208" s="0">
        <f>IF(Allocation!BI208="","",Allocation!BI208)</f>
        <v/>
      </c>
      <c r="B208" s="0">
        <f>IF(Allocation!BJ208="","",Allocation!BJ208)</f>
        <v/>
      </c>
      <c r="C208" s="0">
        <f>IF(Allocation!BK208="","",Allocation!BK208)</f>
        <v/>
      </c>
      <c r="D208" s="0">
        <f>IF(Allocation!BL208="","",Allocation!BL208)</f>
        <v/>
      </c>
      <c r="E208" s="0">
        <f>IF(Allocation!BM208="","",Allocation!BM208)</f>
        <v/>
      </c>
      <c r="F208" s="0">
        <f>IF(Allocation!BN208="","",Allocation!BN208)</f>
        <v/>
      </c>
      <c r="G208" s="0">
        <f>IF(Allocation!BO208="","",Allocation!BO208)</f>
        <v/>
      </c>
      <c r="H208" s="0">
        <f>IF(Allocation!BP208="","",Allocation!BP208)</f>
        <v/>
      </c>
      <c r="I208" s="0">
        <f>IF(Allocation!BQ208="","",Allocation!BQ208)</f>
        <v/>
      </c>
      <c r="J208" s="0">
        <f>IF(Allocation!CC208="","",Allocation!CC208)</f>
        <v/>
      </c>
      <c r="K208" s="0">
        <f>IF($A208="","",$H208*IF(AND(LEFT($D208,3)="BAC",$F208="INIT"),600,IF(LEFT($D208,3)="BAC",480,IF(AND(LEFT($D208,3)="MAS",$F208="INIT"),520,IF(LEFT($D208,3)="MAS",420,IF($F208="INIT",1000,700))))))</f>
        <v/>
      </c>
      <c r="L208" s="0">
        <f>IF($A208="","",SUMIFS($G$1:$G$349,$AS$1:$AS$349,$AS208,$B$1:$B$349,$B208))</f>
        <v/>
      </c>
      <c r="M208" s="0">
        <f>IF($A208="","",SUMIFS($H$1:$H$349,$AS$1:$AS$349,$AS208,$B$1:$B$349,$B208))</f>
        <v/>
      </c>
      <c r="N208" s="0">
        <f>IF($A208="","",SUMIFS($I$1:$I$349,$AS$1:$AS$349,$AS208,$B$1:$B$349,$B208))</f>
        <v/>
      </c>
      <c r="O208" s="0">
        <f>IF($A208="","",SUMIFS($K$1:$K$349,$AS$1:$AS$349,$AS208,$B$1:$B$349,$B208))</f>
        <v/>
      </c>
      <c r="P208" s="0">
        <f>IF($A208="","",SUMIFS($J$1:$J$349,$AS$1:$AS$349,$AS208,$B$1:$B$349,$B208))</f>
        <v/>
      </c>
      <c r="Q208" s="0">
        <f>IF($A208="","",SUMIFS($G$1:$G$349,$AS$1:$AS$349,$AS208,$C$1:$C$349,$C208))</f>
        <v/>
      </c>
      <c r="R208" s="0">
        <f>IF($A208="","",SUMIFS($H$1:$H$349,$AS$1:$AS$349,$AS208,$C$1:$C$349,$C208))</f>
        <v/>
      </c>
      <c r="S208" s="0">
        <f>IF($A208="","",SUMIFS($I$1:$I$349,$AS$1:$AS$349,$AS208,$C$1:$C$349,$C208))</f>
        <v/>
      </c>
      <c r="T208" s="0">
        <f>IF($A208="","",SUMIFS($G$1:$G$349,$AS$1:$AS$349,$AS208))</f>
        <v/>
      </c>
      <c r="U208" s="0">
        <f>IF($A208="","",SUMIFS($H$1:$H$349,$AS$1:$AS$349,$AS208))</f>
        <v/>
      </c>
      <c r="V208" s="0">
        <f>IF($A208="","",SUMIFS($I$1:$I$349,$AS$1:$AS$349,$AS208))</f>
        <v/>
      </c>
      <c r="W208" s="0">
        <f>IF($A208="","",Allocation!CD208)</f>
        <v/>
      </c>
      <c r="X208" s="0">
        <f>IF($A208="","",Allocation!CE208)</f>
        <v/>
      </c>
      <c r="Y208" s="0">
        <f>IF($A208="","",Allocation!CF208)</f>
        <v/>
      </c>
      <c r="Z208" s="0">
        <f>IF($A208="","",Allocation!CG208)</f>
        <v/>
      </c>
      <c r="AA208" s="0">
        <f>IF($A208="","",Allocation!CH208)</f>
        <v/>
      </c>
      <c r="AB208" s="0">
        <f>IF($A208="","",Allocation!CI208)</f>
        <v/>
      </c>
      <c r="AC208" s="0">
        <f>IF($A208="","",IF(Allocation!$N$4="VOL_EFF",$G208,IF(Allocation!$N$4="VOL_CLASS",$H208,$I208)))</f>
        <v/>
      </c>
      <c r="AD208" s="0">
        <f>IF($A208="","",IF(Allocation!$N$4="VOL_EFF",$L208,IF(Allocation!$N$4="VOL_CLASS",$M208,$N208)))</f>
        <v/>
      </c>
      <c r="AE208" s="0">
        <f>IF($A208="","",IF(Allocation!$N$3="VOL_EFF",$L208,IF(Allocation!$N$3="VOL_CLASS",$M208,$N208)))</f>
        <v/>
      </c>
      <c r="AF208" s="0">
        <f>IF($A208="","",IF(Allocation!$N$3="VOL_EFF",$Q208,IF(Allocation!$N$3="VOL_CLASS",$R208,$S208)))</f>
        <v/>
      </c>
      <c r="AG208" s="0">
        <f>IF($A208="","",IF(Allocation!$N$1="VOL_EFF",$Q208,IF(Allocation!$N$1="VOL_CLASS",$R208,$S208)))</f>
        <v/>
      </c>
      <c r="AH208" s="0">
        <f>IF($A208="","",IF(Allocation!$N$1="VOL_EFF",$T208,IF(Allocation!$N$1="VOL_CLASS",$U208,$V208)))</f>
        <v/>
      </c>
      <c r="AI208" s="0">
        <f>IF($A208="","",$W208*IFERROR($K208/$O208,0))</f>
        <v/>
      </c>
      <c r="AJ208" s="0">
        <f>IF($A208="","",$X208*IFERROR($K208/$O208,0))</f>
        <v/>
      </c>
      <c r="AK208" s="0">
        <f>IF($A208="","",$Y208*IFERROR($G208/$L208,0)+$Z208*IFERROR($J208/$P208,0))</f>
        <v/>
      </c>
      <c r="AL208" s="0">
        <f>IF($A208="","",$AA208*IFERROR($AC208/$AD208,0))</f>
        <v/>
      </c>
      <c r="AM208" s="0">
        <f>IF($A208="","",$AB208*IFERROR($AG208/$AH208,0)*IFERROR($AE208/$AF208,0)*IFERROR($AC208/$AD208,0))</f>
        <v/>
      </c>
      <c r="AN208" s="0">
        <f>IF($A208="","",$I208-($AI208+$AJ208+$AK208+$AL208+$AM208+$AR208))</f>
        <v/>
      </c>
      <c r="AO208" s="0">
        <f>IF($A208="","",Allocation!CJ208)</f>
        <v/>
      </c>
      <c r="AP208" s="0">
        <f>IF($A208="","",IF(Allocation!$N$2="VOL_EFF",$Q208,IF(Allocation!$N$2="VOL_CLASS",$R208,$S208)))</f>
        <v/>
      </c>
      <c r="AQ208" s="0">
        <f>IF($A208="","",IF(Allocation!$N$2="VOL_EFF",$T208,IF(Allocation!$N$2="VOL_CLASS",$U208,$V208)))</f>
        <v/>
      </c>
      <c r="AR208" s="0">
        <f>IF($A208="","",$AO208*IFERROR($AP208/$AQ208,0)*IFERROR($AE208/$AF208,0)*IFERROR($AC208/$AD208,0))</f>
        <v/>
      </c>
      <c r="AS208" s="0">
        <f>IF($A208="","",$A208&amp;"|"&amp;Allocation!BG208)</f>
        <v/>
      </c>
    </row>
    <row r="209" ht="14.4975" customHeight="1" s="64">
      <c r="A209" s="0">
        <f>IF(Allocation!BI209="","",Allocation!BI209)</f>
        <v/>
      </c>
      <c r="B209" s="0">
        <f>IF(Allocation!BJ209="","",Allocation!BJ209)</f>
        <v/>
      </c>
      <c r="C209" s="0">
        <f>IF(Allocation!BK209="","",Allocation!BK209)</f>
        <v/>
      </c>
      <c r="D209" s="0">
        <f>IF(Allocation!BL209="","",Allocation!BL209)</f>
        <v/>
      </c>
      <c r="E209" s="0">
        <f>IF(Allocation!BM209="","",Allocation!BM209)</f>
        <v/>
      </c>
      <c r="F209" s="0">
        <f>IF(Allocation!BN209="","",Allocation!BN209)</f>
        <v/>
      </c>
      <c r="G209" s="0">
        <f>IF(Allocation!BO209="","",Allocation!BO209)</f>
        <v/>
      </c>
      <c r="H209" s="0">
        <f>IF(Allocation!BP209="","",Allocation!BP209)</f>
        <v/>
      </c>
      <c r="I209" s="0">
        <f>IF(Allocation!BQ209="","",Allocation!BQ209)</f>
        <v/>
      </c>
      <c r="J209" s="0">
        <f>IF(Allocation!CC209="","",Allocation!CC209)</f>
        <v/>
      </c>
      <c r="K209" s="0">
        <f>IF($A209="","",$H209*IF(AND(LEFT($D209,3)="BAC",$F209="INIT"),600,IF(LEFT($D209,3)="BAC",480,IF(AND(LEFT($D209,3)="MAS",$F209="INIT"),520,IF(LEFT($D209,3)="MAS",420,IF($F209="INIT",1000,700))))))</f>
        <v/>
      </c>
      <c r="L209" s="0">
        <f>IF($A209="","",SUMIFS($G$1:$G$349,$AS$1:$AS$349,$AS209,$B$1:$B$349,$B209))</f>
        <v/>
      </c>
      <c r="M209" s="0">
        <f>IF($A209="","",SUMIFS($H$1:$H$349,$AS$1:$AS$349,$AS209,$B$1:$B$349,$B209))</f>
        <v/>
      </c>
      <c r="N209" s="0">
        <f>IF($A209="","",SUMIFS($I$1:$I$349,$AS$1:$AS$349,$AS209,$B$1:$B$349,$B209))</f>
        <v/>
      </c>
      <c r="O209" s="0">
        <f>IF($A209="","",SUMIFS($K$1:$K$349,$AS$1:$AS$349,$AS209,$B$1:$B$349,$B209))</f>
        <v/>
      </c>
      <c r="P209" s="0">
        <f>IF($A209="","",SUMIFS($J$1:$J$349,$AS$1:$AS$349,$AS209,$B$1:$B$349,$B209))</f>
        <v/>
      </c>
      <c r="Q209" s="0">
        <f>IF($A209="","",SUMIFS($G$1:$G$349,$AS$1:$AS$349,$AS209,$C$1:$C$349,$C209))</f>
        <v/>
      </c>
      <c r="R209" s="0">
        <f>IF($A209="","",SUMIFS($H$1:$H$349,$AS$1:$AS$349,$AS209,$C$1:$C$349,$C209))</f>
        <v/>
      </c>
      <c r="S209" s="0">
        <f>IF($A209="","",SUMIFS($I$1:$I$349,$AS$1:$AS$349,$AS209,$C$1:$C$349,$C209))</f>
        <v/>
      </c>
      <c r="T209" s="0">
        <f>IF($A209="","",SUMIFS($G$1:$G$349,$AS$1:$AS$349,$AS209))</f>
        <v/>
      </c>
      <c r="U209" s="0">
        <f>IF($A209="","",SUMIFS($H$1:$H$349,$AS$1:$AS$349,$AS209))</f>
        <v/>
      </c>
      <c r="V209" s="0">
        <f>IF($A209="","",SUMIFS($I$1:$I$349,$AS$1:$AS$349,$AS209))</f>
        <v/>
      </c>
      <c r="W209" s="0">
        <f>IF($A209="","",Allocation!CD209)</f>
        <v/>
      </c>
      <c r="X209" s="0">
        <f>IF($A209="","",Allocation!CE209)</f>
        <v/>
      </c>
      <c r="Y209" s="0">
        <f>IF($A209="","",Allocation!CF209)</f>
        <v/>
      </c>
      <c r="Z209" s="0">
        <f>IF($A209="","",Allocation!CG209)</f>
        <v/>
      </c>
      <c r="AA209" s="0">
        <f>IF($A209="","",Allocation!CH209)</f>
        <v/>
      </c>
      <c r="AB209" s="0">
        <f>IF($A209="","",Allocation!CI209)</f>
        <v/>
      </c>
      <c r="AC209" s="0">
        <f>IF($A209="","",IF(Allocation!$N$4="VOL_EFF",$G209,IF(Allocation!$N$4="VOL_CLASS",$H209,$I209)))</f>
        <v/>
      </c>
      <c r="AD209" s="0">
        <f>IF($A209="","",IF(Allocation!$N$4="VOL_EFF",$L209,IF(Allocation!$N$4="VOL_CLASS",$M209,$N209)))</f>
        <v/>
      </c>
      <c r="AE209" s="0">
        <f>IF($A209="","",IF(Allocation!$N$3="VOL_EFF",$L209,IF(Allocation!$N$3="VOL_CLASS",$M209,$N209)))</f>
        <v/>
      </c>
      <c r="AF209" s="0">
        <f>IF($A209="","",IF(Allocation!$N$3="VOL_EFF",$Q209,IF(Allocation!$N$3="VOL_CLASS",$R209,$S209)))</f>
        <v/>
      </c>
      <c r="AG209" s="0">
        <f>IF($A209="","",IF(Allocation!$N$1="VOL_EFF",$Q209,IF(Allocation!$N$1="VOL_CLASS",$R209,$S209)))</f>
        <v/>
      </c>
      <c r="AH209" s="0">
        <f>IF($A209="","",IF(Allocation!$N$1="VOL_EFF",$T209,IF(Allocation!$N$1="VOL_CLASS",$U209,$V209)))</f>
        <v/>
      </c>
      <c r="AI209" s="0">
        <f>IF($A209="","",$W209*IFERROR($K209/$O209,0))</f>
        <v/>
      </c>
      <c r="AJ209" s="0">
        <f>IF($A209="","",$X209*IFERROR($K209/$O209,0))</f>
        <v/>
      </c>
      <c r="AK209" s="0">
        <f>IF($A209="","",$Y209*IFERROR($G209/$L209,0)+$Z209*IFERROR($J209/$P209,0))</f>
        <v/>
      </c>
      <c r="AL209" s="0">
        <f>IF($A209="","",$AA209*IFERROR($AC209/$AD209,0))</f>
        <v/>
      </c>
      <c r="AM209" s="0">
        <f>IF($A209="","",$AB209*IFERROR($AG209/$AH209,0)*IFERROR($AE209/$AF209,0)*IFERROR($AC209/$AD209,0))</f>
        <v/>
      </c>
      <c r="AN209" s="0">
        <f>IF($A209="","",$I209-($AI209+$AJ209+$AK209+$AL209+$AM209+$AR209))</f>
        <v/>
      </c>
      <c r="AO209" s="0">
        <f>IF($A209="","",Allocation!CJ209)</f>
        <v/>
      </c>
      <c r="AP209" s="0">
        <f>IF($A209="","",IF(Allocation!$N$2="VOL_EFF",$Q209,IF(Allocation!$N$2="VOL_CLASS",$R209,$S209)))</f>
        <v/>
      </c>
      <c r="AQ209" s="0">
        <f>IF($A209="","",IF(Allocation!$N$2="VOL_EFF",$T209,IF(Allocation!$N$2="VOL_CLASS",$U209,$V209)))</f>
        <v/>
      </c>
      <c r="AR209" s="0">
        <f>IF($A209="","",$AO209*IFERROR($AP209/$AQ209,0)*IFERROR($AE209/$AF209,0)*IFERROR($AC209/$AD209,0))</f>
        <v/>
      </c>
      <c r="AS209" s="0">
        <f>IF($A209="","",$A209&amp;"|"&amp;Allocation!BG209)</f>
        <v/>
      </c>
    </row>
    <row r="210" ht="14.4975" customHeight="1" s="64">
      <c r="A210" s="0">
        <f>IF(Allocation!BI210="","",Allocation!BI210)</f>
        <v/>
      </c>
      <c r="B210" s="0">
        <f>IF(Allocation!BJ210="","",Allocation!BJ210)</f>
        <v/>
      </c>
      <c r="C210" s="0">
        <f>IF(Allocation!BK210="","",Allocation!BK210)</f>
        <v/>
      </c>
      <c r="D210" s="0">
        <f>IF(Allocation!BL210="","",Allocation!BL210)</f>
        <v/>
      </c>
      <c r="E210" s="0">
        <f>IF(Allocation!BM210="","",Allocation!BM210)</f>
        <v/>
      </c>
      <c r="F210" s="0">
        <f>IF(Allocation!BN210="","",Allocation!BN210)</f>
        <v/>
      </c>
      <c r="G210" s="0">
        <f>IF(Allocation!BO210="","",Allocation!BO210)</f>
        <v/>
      </c>
      <c r="H210" s="0">
        <f>IF(Allocation!BP210="","",Allocation!BP210)</f>
        <v/>
      </c>
      <c r="I210" s="0">
        <f>IF(Allocation!BQ210="","",Allocation!BQ210)</f>
        <v/>
      </c>
      <c r="J210" s="0">
        <f>IF(Allocation!CC210="","",Allocation!CC210)</f>
        <v/>
      </c>
      <c r="K210" s="0">
        <f>IF($A210="","",$H210*IF(AND(LEFT($D210,3)="BAC",$F210="INIT"),600,IF(LEFT($D210,3)="BAC",480,IF(AND(LEFT($D210,3)="MAS",$F210="INIT"),520,IF(LEFT($D210,3)="MAS",420,IF($F210="INIT",1000,700))))))</f>
        <v/>
      </c>
      <c r="L210" s="0">
        <f>IF($A210="","",SUMIFS($G$1:$G$349,$AS$1:$AS$349,$AS210,$B$1:$B$349,$B210))</f>
        <v/>
      </c>
      <c r="M210" s="0">
        <f>IF($A210="","",SUMIFS($H$1:$H$349,$AS$1:$AS$349,$AS210,$B$1:$B$349,$B210))</f>
        <v/>
      </c>
      <c r="N210" s="0">
        <f>IF($A210="","",SUMIFS($I$1:$I$349,$AS$1:$AS$349,$AS210,$B$1:$B$349,$B210))</f>
        <v/>
      </c>
      <c r="O210" s="0">
        <f>IF($A210="","",SUMIFS($K$1:$K$349,$AS$1:$AS$349,$AS210,$B$1:$B$349,$B210))</f>
        <v/>
      </c>
      <c r="P210" s="0">
        <f>IF($A210="","",SUMIFS($J$1:$J$349,$AS$1:$AS$349,$AS210,$B$1:$B$349,$B210))</f>
        <v/>
      </c>
      <c r="Q210" s="0">
        <f>IF($A210="","",SUMIFS($G$1:$G$349,$AS$1:$AS$349,$AS210,$C$1:$C$349,$C210))</f>
        <v/>
      </c>
      <c r="R210" s="0">
        <f>IF($A210="","",SUMIFS($H$1:$H$349,$AS$1:$AS$349,$AS210,$C$1:$C$349,$C210))</f>
        <v/>
      </c>
      <c r="S210" s="0">
        <f>IF($A210="","",SUMIFS($I$1:$I$349,$AS$1:$AS$349,$AS210,$C$1:$C$349,$C210))</f>
        <v/>
      </c>
      <c r="T210" s="0">
        <f>IF($A210="","",SUMIFS($G$1:$G$349,$AS$1:$AS$349,$AS210))</f>
        <v/>
      </c>
      <c r="U210" s="0">
        <f>IF($A210="","",SUMIFS($H$1:$H$349,$AS$1:$AS$349,$AS210))</f>
        <v/>
      </c>
      <c r="V210" s="0">
        <f>IF($A210="","",SUMIFS($I$1:$I$349,$AS$1:$AS$349,$AS210))</f>
        <v/>
      </c>
      <c r="W210" s="0">
        <f>IF($A210="","",Allocation!CD210)</f>
        <v/>
      </c>
      <c r="X210" s="0">
        <f>IF($A210="","",Allocation!CE210)</f>
        <v/>
      </c>
      <c r="Y210" s="0">
        <f>IF($A210="","",Allocation!CF210)</f>
        <v/>
      </c>
      <c r="Z210" s="0">
        <f>IF($A210="","",Allocation!CG210)</f>
        <v/>
      </c>
      <c r="AA210" s="0">
        <f>IF($A210="","",Allocation!CH210)</f>
        <v/>
      </c>
      <c r="AB210" s="0">
        <f>IF($A210="","",Allocation!CI210)</f>
        <v/>
      </c>
      <c r="AC210" s="0">
        <f>IF($A210="","",IF(Allocation!$N$4="VOL_EFF",$G210,IF(Allocation!$N$4="VOL_CLASS",$H210,$I210)))</f>
        <v/>
      </c>
      <c r="AD210" s="0">
        <f>IF($A210="","",IF(Allocation!$N$4="VOL_EFF",$L210,IF(Allocation!$N$4="VOL_CLASS",$M210,$N210)))</f>
        <v/>
      </c>
      <c r="AE210" s="0">
        <f>IF($A210="","",IF(Allocation!$N$3="VOL_EFF",$L210,IF(Allocation!$N$3="VOL_CLASS",$M210,$N210)))</f>
        <v/>
      </c>
      <c r="AF210" s="0">
        <f>IF($A210="","",IF(Allocation!$N$3="VOL_EFF",$Q210,IF(Allocation!$N$3="VOL_CLASS",$R210,$S210)))</f>
        <v/>
      </c>
      <c r="AG210" s="0">
        <f>IF($A210="","",IF(Allocation!$N$1="VOL_EFF",$Q210,IF(Allocation!$N$1="VOL_CLASS",$R210,$S210)))</f>
        <v/>
      </c>
      <c r="AH210" s="0">
        <f>IF($A210="","",IF(Allocation!$N$1="VOL_EFF",$T210,IF(Allocation!$N$1="VOL_CLASS",$U210,$V210)))</f>
        <v/>
      </c>
      <c r="AI210" s="0">
        <f>IF($A210="","",$W210*IFERROR($K210/$O210,0))</f>
        <v/>
      </c>
      <c r="AJ210" s="0">
        <f>IF($A210="","",$X210*IFERROR($K210/$O210,0))</f>
        <v/>
      </c>
      <c r="AK210" s="0">
        <f>IF($A210="","",$Y210*IFERROR($G210/$L210,0)+$Z210*IFERROR($J210/$P210,0))</f>
        <v/>
      </c>
      <c r="AL210" s="0">
        <f>IF($A210="","",$AA210*IFERROR($AC210/$AD210,0))</f>
        <v/>
      </c>
      <c r="AM210" s="0">
        <f>IF($A210="","",$AB210*IFERROR($AG210/$AH210,0)*IFERROR($AE210/$AF210,0)*IFERROR($AC210/$AD210,0))</f>
        <v/>
      </c>
      <c r="AN210" s="0">
        <f>IF($A210="","",$I210-($AI210+$AJ210+$AK210+$AL210+$AM210+$AR210))</f>
        <v/>
      </c>
      <c r="AO210" s="0">
        <f>IF($A210="","",Allocation!CJ210)</f>
        <v/>
      </c>
      <c r="AP210" s="0">
        <f>IF($A210="","",IF(Allocation!$N$2="VOL_EFF",$Q210,IF(Allocation!$N$2="VOL_CLASS",$R210,$S210)))</f>
        <v/>
      </c>
      <c r="AQ210" s="0">
        <f>IF($A210="","",IF(Allocation!$N$2="VOL_EFF",$T210,IF(Allocation!$N$2="VOL_CLASS",$U210,$V210)))</f>
        <v/>
      </c>
      <c r="AR210" s="0">
        <f>IF($A210="","",$AO210*IFERROR($AP210/$AQ210,0)*IFERROR($AE210/$AF210,0)*IFERROR($AC210/$AD210,0))</f>
        <v/>
      </c>
      <c r="AS210" s="0">
        <f>IF($A210="","",$A210&amp;"|"&amp;Allocation!BG210)</f>
        <v/>
      </c>
    </row>
    <row r="211" ht="14.4975" customHeight="1" s="64">
      <c r="A211" s="0">
        <f>IF(Allocation!BI211="","",Allocation!BI211)</f>
        <v/>
      </c>
      <c r="B211" s="0">
        <f>IF(Allocation!BJ211="","",Allocation!BJ211)</f>
        <v/>
      </c>
      <c r="C211" s="0">
        <f>IF(Allocation!BK211="","",Allocation!BK211)</f>
        <v/>
      </c>
      <c r="D211" s="0">
        <f>IF(Allocation!BL211="","",Allocation!BL211)</f>
        <v/>
      </c>
      <c r="E211" s="0">
        <f>IF(Allocation!BM211="","",Allocation!BM211)</f>
        <v/>
      </c>
      <c r="F211" s="0">
        <f>IF(Allocation!BN211="","",Allocation!BN211)</f>
        <v/>
      </c>
      <c r="G211" s="0">
        <f>IF(Allocation!BO211="","",Allocation!BO211)</f>
        <v/>
      </c>
      <c r="H211" s="0">
        <f>IF(Allocation!BP211="","",Allocation!BP211)</f>
        <v/>
      </c>
      <c r="I211" s="0">
        <f>IF(Allocation!BQ211="","",Allocation!BQ211)</f>
        <v/>
      </c>
      <c r="J211" s="0">
        <f>IF(Allocation!CC211="","",Allocation!CC211)</f>
        <v/>
      </c>
      <c r="K211" s="0">
        <f>IF($A211="","",$H211*IF(AND(LEFT($D211,3)="BAC",$F211="INIT"),600,IF(LEFT($D211,3)="BAC",480,IF(AND(LEFT($D211,3)="MAS",$F211="INIT"),520,IF(LEFT($D211,3)="MAS",420,IF($F211="INIT",1000,700))))))</f>
        <v/>
      </c>
      <c r="L211" s="0">
        <f>IF($A211="","",SUMIFS($G$1:$G$349,$AS$1:$AS$349,$AS211,$B$1:$B$349,$B211))</f>
        <v/>
      </c>
      <c r="M211" s="0">
        <f>IF($A211="","",SUMIFS($H$1:$H$349,$AS$1:$AS$349,$AS211,$B$1:$B$349,$B211))</f>
        <v/>
      </c>
      <c r="N211" s="0">
        <f>IF($A211="","",SUMIFS($I$1:$I$349,$AS$1:$AS$349,$AS211,$B$1:$B$349,$B211))</f>
        <v/>
      </c>
      <c r="O211" s="0">
        <f>IF($A211="","",SUMIFS($K$1:$K$349,$AS$1:$AS$349,$AS211,$B$1:$B$349,$B211))</f>
        <v/>
      </c>
      <c r="P211" s="0">
        <f>IF($A211="","",SUMIFS($J$1:$J$349,$AS$1:$AS$349,$AS211,$B$1:$B$349,$B211))</f>
        <v/>
      </c>
      <c r="Q211" s="0">
        <f>IF($A211="","",SUMIFS($G$1:$G$349,$AS$1:$AS$349,$AS211,$C$1:$C$349,$C211))</f>
        <v/>
      </c>
      <c r="R211" s="0">
        <f>IF($A211="","",SUMIFS($H$1:$H$349,$AS$1:$AS$349,$AS211,$C$1:$C$349,$C211))</f>
        <v/>
      </c>
      <c r="S211" s="0">
        <f>IF($A211="","",SUMIFS($I$1:$I$349,$AS$1:$AS$349,$AS211,$C$1:$C$349,$C211))</f>
        <v/>
      </c>
      <c r="T211" s="0">
        <f>IF($A211="","",SUMIFS($G$1:$G$349,$AS$1:$AS$349,$AS211))</f>
        <v/>
      </c>
      <c r="U211" s="0">
        <f>IF($A211="","",SUMIFS($H$1:$H$349,$AS$1:$AS$349,$AS211))</f>
        <v/>
      </c>
      <c r="V211" s="0">
        <f>IF($A211="","",SUMIFS($I$1:$I$349,$AS$1:$AS$349,$AS211))</f>
        <v/>
      </c>
      <c r="W211" s="0">
        <f>IF($A211="","",Allocation!CD211)</f>
        <v/>
      </c>
      <c r="X211" s="0">
        <f>IF($A211="","",Allocation!CE211)</f>
        <v/>
      </c>
      <c r="Y211" s="0">
        <f>IF($A211="","",Allocation!CF211)</f>
        <v/>
      </c>
      <c r="Z211" s="0">
        <f>IF($A211="","",Allocation!CG211)</f>
        <v/>
      </c>
      <c r="AA211" s="0">
        <f>IF($A211="","",Allocation!CH211)</f>
        <v/>
      </c>
      <c r="AB211" s="0">
        <f>IF($A211="","",Allocation!CI211)</f>
        <v/>
      </c>
      <c r="AC211" s="0">
        <f>IF($A211="","",IF(Allocation!$N$4="VOL_EFF",$G211,IF(Allocation!$N$4="VOL_CLASS",$H211,$I211)))</f>
        <v/>
      </c>
      <c r="AD211" s="0">
        <f>IF($A211="","",IF(Allocation!$N$4="VOL_EFF",$L211,IF(Allocation!$N$4="VOL_CLASS",$M211,$N211)))</f>
        <v/>
      </c>
      <c r="AE211" s="0">
        <f>IF($A211="","",IF(Allocation!$N$3="VOL_EFF",$L211,IF(Allocation!$N$3="VOL_CLASS",$M211,$N211)))</f>
        <v/>
      </c>
      <c r="AF211" s="0">
        <f>IF($A211="","",IF(Allocation!$N$3="VOL_EFF",$Q211,IF(Allocation!$N$3="VOL_CLASS",$R211,$S211)))</f>
        <v/>
      </c>
      <c r="AG211" s="0">
        <f>IF($A211="","",IF(Allocation!$N$1="VOL_EFF",$Q211,IF(Allocation!$N$1="VOL_CLASS",$R211,$S211)))</f>
        <v/>
      </c>
      <c r="AH211" s="0">
        <f>IF($A211="","",IF(Allocation!$N$1="VOL_EFF",$T211,IF(Allocation!$N$1="VOL_CLASS",$U211,$V211)))</f>
        <v/>
      </c>
      <c r="AI211" s="0">
        <f>IF($A211="","",$W211*IFERROR($K211/$O211,0))</f>
        <v/>
      </c>
      <c r="AJ211" s="0">
        <f>IF($A211="","",$X211*IFERROR($K211/$O211,0))</f>
        <v/>
      </c>
      <c r="AK211" s="0">
        <f>IF($A211="","",$Y211*IFERROR($G211/$L211,0)+$Z211*IFERROR($J211/$P211,0))</f>
        <v/>
      </c>
      <c r="AL211" s="0">
        <f>IF($A211="","",$AA211*IFERROR($AC211/$AD211,0))</f>
        <v/>
      </c>
      <c r="AM211" s="0">
        <f>IF($A211="","",$AB211*IFERROR($AG211/$AH211,0)*IFERROR($AE211/$AF211,0)*IFERROR($AC211/$AD211,0))</f>
        <v/>
      </c>
      <c r="AN211" s="0">
        <f>IF($A211="","",$I211-($AI211+$AJ211+$AK211+$AL211+$AM211+$AR211))</f>
        <v/>
      </c>
      <c r="AO211" s="0">
        <f>IF($A211="","",Allocation!CJ211)</f>
        <v/>
      </c>
      <c r="AP211" s="0">
        <f>IF($A211="","",IF(Allocation!$N$2="VOL_EFF",$Q211,IF(Allocation!$N$2="VOL_CLASS",$R211,$S211)))</f>
        <v/>
      </c>
      <c r="AQ211" s="0">
        <f>IF($A211="","",IF(Allocation!$N$2="VOL_EFF",$T211,IF(Allocation!$N$2="VOL_CLASS",$U211,$V211)))</f>
        <v/>
      </c>
      <c r="AR211" s="0">
        <f>IF($A211="","",$AO211*IFERROR($AP211/$AQ211,0)*IFERROR($AE211/$AF211,0)*IFERROR($AC211/$AD211,0))</f>
        <v/>
      </c>
      <c r="AS211" s="0">
        <f>IF($A211="","",$A211&amp;"|"&amp;Allocation!BG211)</f>
        <v/>
      </c>
    </row>
    <row r="212" ht="14.4975" customHeight="1" s="64">
      <c r="A212" s="0">
        <f>IF(Allocation!BI212="","",Allocation!BI212)</f>
        <v/>
      </c>
      <c r="B212" s="0">
        <f>IF(Allocation!BJ212="","",Allocation!BJ212)</f>
        <v/>
      </c>
      <c r="C212" s="0">
        <f>IF(Allocation!BK212="","",Allocation!BK212)</f>
        <v/>
      </c>
      <c r="D212" s="0">
        <f>IF(Allocation!BL212="","",Allocation!BL212)</f>
        <v/>
      </c>
      <c r="E212" s="0">
        <f>IF(Allocation!BM212="","",Allocation!BM212)</f>
        <v/>
      </c>
      <c r="F212" s="0">
        <f>IF(Allocation!BN212="","",Allocation!BN212)</f>
        <v/>
      </c>
      <c r="G212" s="0">
        <f>IF(Allocation!BO212="","",Allocation!BO212)</f>
        <v/>
      </c>
      <c r="H212" s="0">
        <f>IF(Allocation!BP212="","",Allocation!BP212)</f>
        <v/>
      </c>
      <c r="I212" s="0">
        <f>IF(Allocation!BQ212="","",Allocation!BQ212)</f>
        <v/>
      </c>
      <c r="J212" s="0">
        <f>IF(Allocation!CC212="","",Allocation!CC212)</f>
        <v/>
      </c>
      <c r="K212" s="0">
        <f>IF($A212="","",$H212*IF(AND(LEFT($D212,3)="BAC",$F212="INIT"),600,IF(LEFT($D212,3)="BAC",480,IF(AND(LEFT($D212,3)="MAS",$F212="INIT"),520,IF(LEFT($D212,3)="MAS",420,IF($F212="INIT",1000,700))))))</f>
        <v/>
      </c>
      <c r="L212" s="0">
        <f>IF($A212="","",SUMIFS($G$1:$G$349,$AS$1:$AS$349,$AS212,$B$1:$B$349,$B212))</f>
        <v/>
      </c>
      <c r="M212" s="0">
        <f>IF($A212="","",SUMIFS($H$1:$H$349,$AS$1:$AS$349,$AS212,$B$1:$B$349,$B212))</f>
        <v/>
      </c>
      <c r="N212" s="0">
        <f>IF($A212="","",SUMIFS($I$1:$I$349,$AS$1:$AS$349,$AS212,$B$1:$B$349,$B212))</f>
        <v/>
      </c>
      <c r="O212" s="0">
        <f>IF($A212="","",SUMIFS($K$1:$K$349,$AS$1:$AS$349,$AS212,$B$1:$B$349,$B212))</f>
        <v/>
      </c>
      <c r="P212" s="0">
        <f>IF($A212="","",SUMIFS($J$1:$J$349,$AS$1:$AS$349,$AS212,$B$1:$B$349,$B212))</f>
        <v/>
      </c>
      <c r="Q212" s="0">
        <f>IF($A212="","",SUMIFS($G$1:$G$349,$AS$1:$AS$349,$AS212,$C$1:$C$349,$C212))</f>
        <v/>
      </c>
      <c r="R212" s="0">
        <f>IF($A212="","",SUMIFS($H$1:$H$349,$AS$1:$AS$349,$AS212,$C$1:$C$349,$C212))</f>
        <v/>
      </c>
      <c r="S212" s="0">
        <f>IF($A212="","",SUMIFS($I$1:$I$349,$AS$1:$AS$349,$AS212,$C$1:$C$349,$C212))</f>
        <v/>
      </c>
      <c r="T212" s="0">
        <f>IF($A212="","",SUMIFS($G$1:$G$349,$AS$1:$AS$349,$AS212))</f>
        <v/>
      </c>
      <c r="U212" s="0">
        <f>IF($A212="","",SUMIFS($H$1:$H$349,$AS$1:$AS$349,$AS212))</f>
        <v/>
      </c>
      <c r="V212" s="0">
        <f>IF($A212="","",SUMIFS($I$1:$I$349,$AS$1:$AS$349,$AS212))</f>
        <v/>
      </c>
      <c r="W212" s="0">
        <f>IF($A212="","",Allocation!CD212)</f>
        <v/>
      </c>
      <c r="X212" s="0">
        <f>IF($A212="","",Allocation!CE212)</f>
        <v/>
      </c>
      <c r="Y212" s="0">
        <f>IF($A212="","",Allocation!CF212)</f>
        <v/>
      </c>
      <c r="Z212" s="0">
        <f>IF($A212="","",Allocation!CG212)</f>
        <v/>
      </c>
      <c r="AA212" s="0">
        <f>IF($A212="","",Allocation!CH212)</f>
        <v/>
      </c>
      <c r="AB212" s="0">
        <f>IF($A212="","",Allocation!CI212)</f>
        <v/>
      </c>
      <c r="AC212" s="0">
        <f>IF($A212="","",IF(Allocation!$N$4="VOL_EFF",$G212,IF(Allocation!$N$4="VOL_CLASS",$H212,$I212)))</f>
        <v/>
      </c>
      <c r="AD212" s="0">
        <f>IF($A212="","",IF(Allocation!$N$4="VOL_EFF",$L212,IF(Allocation!$N$4="VOL_CLASS",$M212,$N212)))</f>
        <v/>
      </c>
      <c r="AE212" s="0">
        <f>IF($A212="","",IF(Allocation!$N$3="VOL_EFF",$L212,IF(Allocation!$N$3="VOL_CLASS",$M212,$N212)))</f>
        <v/>
      </c>
      <c r="AF212" s="0">
        <f>IF($A212="","",IF(Allocation!$N$3="VOL_EFF",$Q212,IF(Allocation!$N$3="VOL_CLASS",$R212,$S212)))</f>
        <v/>
      </c>
      <c r="AG212" s="0">
        <f>IF($A212="","",IF(Allocation!$N$1="VOL_EFF",$Q212,IF(Allocation!$N$1="VOL_CLASS",$R212,$S212)))</f>
        <v/>
      </c>
      <c r="AH212" s="0">
        <f>IF($A212="","",IF(Allocation!$N$1="VOL_EFF",$T212,IF(Allocation!$N$1="VOL_CLASS",$U212,$V212)))</f>
        <v/>
      </c>
      <c r="AI212" s="0">
        <f>IF($A212="","",$W212*IFERROR($K212/$O212,0))</f>
        <v/>
      </c>
      <c r="AJ212" s="0">
        <f>IF($A212="","",$X212*IFERROR($K212/$O212,0))</f>
        <v/>
      </c>
      <c r="AK212" s="0">
        <f>IF($A212="","",$Y212*IFERROR($G212/$L212,0)+$Z212*IFERROR($J212/$P212,0))</f>
        <v/>
      </c>
      <c r="AL212" s="0">
        <f>IF($A212="","",$AA212*IFERROR($AC212/$AD212,0))</f>
        <v/>
      </c>
      <c r="AM212" s="0">
        <f>IF($A212="","",$AB212*IFERROR($AG212/$AH212,0)*IFERROR($AE212/$AF212,0)*IFERROR($AC212/$AD212,0))</f>
        <v/>
      </c>
      <c r="AN212" s="0">
        <f>IF($A212="","",$I212-($AI212+$AJ212+$AK212+$AL212+$AM212+$AR212))</f>
        <v/>
      </c>
      <c r="AO212" s="0">
        <f>IF($A212="","",Allocation!CJ212)</f>
        <v/>
      </c>
      <c r="AP212" s="0">
        <f>IF($A212="","",IF(Allocation!$N$2="VOL_EFF",$Q212,IF(Allocation!$N$2="VOL_CLASS",$R212,$S212)))</f>
        <v/>
      </c>
      <c r="AQ212" s="0">
        <f>IF($A212="","",IF(Allocation!$N$2="VOL_EFF",$T212,IF(Allocation!$N$2="VOL_CLASS",$U212,$V212)))</f>
        <v/>
      </c>
      <c r="AR212" s="0">
        <f>IF($A212="","",$AO212*IFERROR($AP212/$AQ212,0)*IFERROR($AE212/$AF212,0)*IFERROR($AC212/$AD212,0))</f>
        <v/>
      </c>
      <c r="AS212" s="0">
        <f>IF($A212="","",$A212&amp;"|"&amp;Allocation!BG212)</f>
        <v/>
      </c>
    </row>
    <row r="213" ht="14.4975" customHeight="1" s="64">
      <c r="A213" s="0">
        <f>IF(Allocation!BI213="","",Allocation!BI213)</f>
        <v/>
      </c>
      <c r="B213" s="0">
        <f>IF(Allocation!BJ213="","",Allocation!BJ213)</f>
        <v/>
      </c>
      <c r="C213" s="0">
        <f>IF(Allocation!BK213="","",Allocation!BK213)</f>
        <v/>
      </c>
      <c r="D213" s="0">
        <f>IF(Allocation!BL213="","",Allocation!BL213)</f>
        <v/>
      </c>
      <c r="E213" s="0">
        <f>IF(Allocation!BM213="","",Allocation!BM213)</f>
        <v/>
      </c>
      <c r="F213" s="0">
        <f>IF(Allocation!BN213="","",Allocation!BN213)</f>
        <v/>
      </c>
      <c r="G213" s="0">
        <f>IF(Allocation!BO213="","",Allocation!BO213)</f>
        <v/>
      </c>
      <c r="H213" s="0">
        <f>IF(Allocation!BP213="","",Allocation!BP213)</f>
        <v/>
      </c>
      <c r="I213" s="0">
        <f>IF(Allocation!BQ213="","",Allocation!BQ213)</f>
        <v/>
      </c>
      <c r="J213" s="0">
        <f>IF(Allocation!CC213="","",Allocation!CC213)</f>
        <v/>
      </c>
      <c r="K213" s="0">
        <f>IF($A213="","",$H213*IF(AND(LEFT($D213,3)="BAC",$F213="INIT"),600,IF(LEFT($D213,3)="BAC",480,IF(AND(LEFT($D213,3)="MAS",$F213="INIT"),520,IF(LEFT($D213,3)="MAS",420,IF($F213="INIT",1000,700))))))</f>
        <v/>
      </c>
      <c r="L213" s="0">
        <f>IF($A213="","",SUMIFS($G$1:$G$349,$AS$1:$AS$349,$AS213,$B$1:$B$349,$B213))</f>
        <v/>
      </c>
      <c r="M213" s="0">
        <f>IF($A213="","",SUMIFS($H$1:$H$349,$AS$1:$AS$349,$AS213,$B$1:$B$349,$B213))</f>
        <v/>
      </c>
      <c r="N213" s="0">
        <f>IF($A213="","",SUMIFS($I$1:$I$349,$AS$1:$AS$349,$AS213,$B$1:$B$349,$B213))</f>
        <v/>
      </c>
      <c r="O213" s="0">
        <f>IF($A213="","",SUMIFS($K$1:$K$349,$AS$1:$AS$349,$AS213,$B$1:$B$349,$B213))</f>
        <v/>
      </c>
      <c r="P213" s="0">
        <f>IF($A213="","",SUMIFS($J$1:$J$349,$AS$1:$AS$349,$AS213,$B$1:$B$349,$B213))</f>
        <v/>
      </c>
      <c r="Q213" s="0">
        <f>IF($A213="","",SUMIFS($G$1:$G$349,$AS$1:$AS$349,$AS213,$C$1:$C$349,$C213))</f>
        <v/>
      </c>
      <c r="R213" s="0">
        <f>IF($A213="","",SUMIFS($H$1:$H$349,$AS$1:$AS$349,$AS213,$C$1:$C$349,$C213))</f>
        <v/>
      </c>
      <c r="S213" s="0">
        <f>IF($A213="","",SUMIFS($I$1:$I$349,$AS$1:$AS$349,$AS213,$C$1:$C$349,$C213))</f>
        <v/>
      </c>
      <c r="T213" s="0">
        <f>IF($A213="","",SUMIFS($G$1:$G$349,$AS$1:$AS$349,$AS213))</f>
        <v/>
      </c>
      <c r="U213" s="0">
        <f>IF($A213="","",SUMIFS($H$1:$H$349,$AS$1:$AS$349,$AS213))</f>
        <v/>
      </c>
      <c r="V213" s="0">
        <f>IF($A213="","",SUMIFS($I$1:$I$349,$AS$1:$AS$349,$AS213))</f>
        <v/>
      </c>
      <c r="W213" s="0">
        <f>IF($A213="","",Allocation!CD213)</f>
        <v/>
      </c>
      <c r="X213" s="0">
        <f>IF($A213="","",Allocation!CE213)</f>
        <v/>
      </c>
      <c r="Y213" s="0">
        <f>IF($A213="","",Allocation!CF213)</f>
        <v/>
      </c>
      <c r="Z213" s="0">
        <f>IF($A213="","",Allocation!CG213)</f>
        <v/>
      </c>
      <c r="AA213" s="0">
        <f>IF($A213="","",Allocation!CH213)</f>
        <v/>
      </c>
      <c r="AB213" s="0">
        <f>IF($A213="","",Allocation!CI213)</f>
        <v/>
      </c>
      <c r="AC213" s="0">
        <f>IF($A213="","",IF(Allocation!$N$4="VOL_EFF",$G213,IF(Allocation!$N$4="VOL_CLASS",$H213,$I213)))</f>
        <v/>
      </c>
      <c r="AD213" s="0">
        <f>IF($A213="","",IF(Allocation!$N$4="VOL_EFF",$L213,IF(Allocation!$N$4="VOL_CLASS",$M213,$N213)))</f>
        <v/>
      </c>
      <c r="AE213" s="0">
        <f>IF($A213="","",IF(Allocation!$N$3="VOL_EFF",$L213,IF(Allocation!$N$3="VOL_CLASS",$M213,$N213)))</f>
        <v/>
      </c>
      <c r="AF213" s="0">
        <f>IF($A213="","",IF(Allocation!$N$3="VOL_EFF",$Q213,IF(Allocation!$N$3="VOL_CLASS",$R213,$S213)))</f>
        <v/>
      </c>
      <c r="AG213" s="0">
        <f>IF($A213="","",IF(Allocation!$N$1="VOL_EFF",$Q213,IF(Allocation!$N$1="VOL_CLASS",$R213,$S213)))</f>
        <v/>
      </c>
      <c r="AH213" s="0">
        <f>IF($A213="","",IF(Allocation!$N$1="VOL_EFF",$T213,IF(Allocation!$N$1="VOL_CLASS",$U213,$V213)))</f>
        <v/>
      </c>
      <c r="AI213" s="0">
        <f>IF($A213="","",$W213*IFERROR($K213/$O213,0))</f>
        <v/>
      </c>
      <c r="AJ213" s="0">
        <f>IF($A213="","",$X213*IFERROR($K213/$O213,0))</f>
        <v/>
      </c>
      <c r="AK213" s="0">
        <f>IF($A213="","",$Y213*IFERROR($G213/$L213,0)+$Z213*IFERROR($J213/$P213,0))</f>
        <v/>
      </c>
      <c r="AL213" s="0">
        <f>IF($A213="","",$AA213*IFERROR($AC213/$AD213,0))</f>
        <v/>
      </c>
      <c r="AM213" s="0">
        <f>IF($A213="","",$AB213*IFERROR($AG213/$AH213,0)*IFERROR($AE213/$AF213,0)*IFERROR($AC213/$AD213,0))</f>
        <v/>
      </c>
      <c r="AN213" s="0">
        <f>IF($A213="","",$I213-($AI213+$AJ213+$AK213+$AL213+$AM213+$AR213))</f>
        <v/>
      </c>
      <c r="AO213" s="0">
        <f>IF($A213="","",Allocation!CJ213)</f>
        <v/>
      </c>
      <c r="AP213" s="0">
        <f>IF($A213="","",IF(Allocation!$N$2="VOL_EFF",$Q213,IF(Allocation!$N$2="VOL_CLASS",$R213,$S213)))</f>
        <v/>
      </c>
      <c r="AQ213" s="0">
        <f>IF($A213="","",IF(Allocation!$N$2="VOL_EFF",$T213,IF(Allocation!$N$2="VOL_CLASS",$U213,$V213)))</f>
        <v/>
      </c>
      <c r="AR213" s="0">
        <f>IF($A213="","",$AO213*IFERROR($AP213/$AQ213,0)*IFERROR($AE213/$AF213,0)*IFERROR($AC213/$AD213,0))</f>
        <v/>
      </c>
      <c r="AS213" s="0">
        <f>IF($A213="","",$A213&amp;"|"&amp;Allocation!BG213)</f>
        <v/>
      </c>
    </row>
    <row r="214" ht="14.4975" customHeight="1" s="64">
      <c r="A214" s="0">
        <f>IF(Allocation!BI214="","",Allocation!BI214)</f>
        <v/>
      </c>
      <c r="B214" s="0">
        <f>IF(Allocation!BJ214="","",Allocation!BJ214)</f>
        <v/>
      </c>
      <c r="C214" s="0">
        <f>IF(Allocation!BK214="","",Allocation!BK214)</f>
        <v/>
      </c>
      <c r="D214" s="0">
        <f>IF(Allocation!BL214="","",Allocation!BL214)</f>
        <v/>
      </c>
      <c r="E214" s="0">
        <f>IF(Allocation!BM214="","",Allocation!BM214)</f>
        <v/>
      </c>
      <c r="F214" s="0">
        <f>IF(Allocation!BN214="","",Allocation!BN214)</f>
        <v/>
      </c>
      <c r="G214" s="0">
        <f>IF(Allocation!BO214="","",Allocation!BO214)</f>
        <v/>
      </c>
      <c r="H214" s="0">
        <f>IF(Allocation!BP214="","",Allocation!BP214)</f>
        <v/>
      </c>
      <c r="I214" s="0">
        <f>IF(Allocation!BQ214="","",Allocation!BQ214)</f>
        <v/>
      </c>
      <c r="J214" s="0">
        <f>IF(Allocation!CC214="","",Allocation!CC214)</f>
        <v/>
      </c>
      <c r="K214" s="0">
        <f>IF($A214="","",$H214*IF(AND(LEFT($D214,3)="BAC",$F214="INIT"),600,IF(LEFT($D214,3)="BAC",480,IF(AND(LEFT($D214,3)="MAS",$F214="INIT"),520,IF(LEFT($D214,3)="MAS",420,IF($F214="INIT",1000,700))))))</f>
        <v/>
      </c>
      <c r="L214" s="0">
        <f>IF($A214="","",SUMIFS($G$1:$G$349,$AS$1:$AS$349,$AS214,$B$1:$B$349,$B214))</f>
        <v/>
      </c>
      <c r="M214" s="0">
        <f>IF($A214="","",SUMIFS($H$1:$H$349,$AS$1:$AS$349,$AS214,$B$1:$B$349,$B214))</f>
        <v/>
      </c>
      <c r="N214" s="0">
        <f>IF($A214="","",SUMIFS($I$1:$I$349,$AS$1:$AS$349,$AS214,$B$1:$B$349,$B214))</f>
        <v/>
      </c>
      <c r="O214" s="0">
        <f>IF($A214="","",SUMIFS($K$1:$K$349,$AS$1:$AS$349,$AS214,$B$1:$B$349,$B214))</f>
        <v/>
      </c>
      <c r="P214" s="0">
        <f>IF($A214="","",SUMIFS($J$1:$J$349,$AS$1:$AS$349,$AS214,$B$1:$B$349,$B214))</f>
        <v/>
      </c>
      <c r="Q214" s="0">
        <f>IF($A214="","",SUMIFS($G$1:$G$349,$AS$1:$AS$349,$AS214,$C$1:$C$349,$C214))</f>
        <v/>
      </c>
      <c r="R214" s="0">
        <f>IF($A214="","",SUMIFS($H$1:$H$349,$AS$1:$AS$349,$AS214,$C$1:$C$349,$C214))</f>
        <v/>
      </c>
      <c r="S214" s="0">
        <f>IF($A214="","",SUMIFS($I$1:$I$349,$AS$1:$AS$349,$AS214,$C$1:$C$349,$C214))</f>
        <v/>
      </c>
      <c r="T214" s="0">
        <f>IF($A214="","",SUMIFS($G$1:$G$349,$AS$1:$AS$349,$AS214))</f>
        <v/>
      </c>
      <c r="U214" s="0">
        <f>IF($A214="","",SUMIFS($H$1:$H$349,$AS$1:$AS$349,$AS214))</f>
        <v/>
      </c>
      <c r="V214" s="0">
        <f>IF($A214="","",SUMIFS($I$1:$I$349,$AS$1:$AS$349,$AS214))</f>
        <v/>
      </c>
      <c r="W214" s="0">
        <f>IF($A214="","",Allocation!CD214)</f>
        <v/>
      </c>
      <c r="X214" s="0">
        <f>IF($A214="","",Allocation!CE214)</f>
        <v/>
      </c>
      <c r="Y214" s="0">
        <f>IF($A214="","",Allocation!CF214)</f>
        <v/>
      </c>
      <c r="Z214" s="0">
        <f>IF($A214="","",Allocation!CG214)</f>
        <v/>
      </c>
      <c r="AA214" s="0">
        <f>IF($A214="","",Allocation!CH214)</f>
        <v/>
      </c>
      <c r="AB214" s="0">
        <f>IF($A214="","",Allocation!CI214)</f>
        <v/>
      </c>
      <c r="AC214" s="0">
        <f>IF($A214="","",IF(Allocation!$N$4="VOL_EFF",$G214,IF(Allocation!$N$4="VOL_CLASS",$H214,$I214)))</f>
        <v/>
      </c>
      <c r="AD214" s="0">
        <f>IF($A214="","",IF(Allocation!$N$4="VOL_EFF",$L214,IF(Allocation!$N$4="VOL_CLASS",$M214,$N214)))</f>
        <v/>
      </c>
      <c r="AE214" s="0">
        <f>IF($A214="","",IF(Allocation!$N$3="VOL_EFF",$L214,IF(Allocation!$N$3="VOL_CLASS",$M214,$N214)))</f>
        <v/>
      </c>
      <c r="AF214" s="0">
        <f>IF($A214="","",IF(Allocation!$N$3="VOL_EFF",$Q214,IF(Allocation!$N$3="VOL_CLASS",$R214,$S214)))</f>
        <v/>
      </c>
      <c r="AG214" s="0">
        <f>IF($A214="","",IF(Allocation!$N$1="VOL_EFF",$Q214,IF(Allocation!$N$1="VOL_CLASS",$R214,$S214)))</f>
        <v/>
      </c>
      <c r="AH214" s="0">
        <f>IF($A214="","",IF(Allocation!$N$1="VOL_EFF",$T214,IF(Allocation!$N$1="VOL_CLASS",$U214,$V214)))</f>
        <v/>
      </c>
      <c r="AI214" s="0">
        <f>IF($A214="","",$W214*IFERROR($K214/$O214,0))</f>
        <v/>
      </c>
      <c r="AJ214" s="0">
        <f>IF($A214="","",$X214*IFERROR($K214/$O214,0))</f>
        <v/>
      </c>
      <c r="AK214" s="0">
        <f>IF($A214="","",$Y214*IFERROR($G214/$L214,0)+$Z214*IFERROR($J214/$P214,0))</f>
        <v/>
      </c>
      <c r="AL214" s="0">
        <f>IF($A214="","",$AA214*IFERROR($AC214/$AD214,0))</f>
        <v/>
      </c>
      <c r="AM214" s="0">
        <f>IF($A214="","",$AB214*IFERROR($AG214/$AH214,0)*IFERROR($AE214/$AF214,0)*IFERROR($AC214/$AD214,0))</f>
        <v/>
      </c>
      <c r="AN214" s="0">
        <f>IF($A214="","",$I214-($AI214+$AJ214+$AK214+$AL214+$AM214+$AR214))</f>
        <v/>
      </c>
      <c r="AO214" s="0">
        <f>IF($A214="","",Allocation!CJ214)</f>
        <v/>
      </c>
      <c r="AP214" s="0">
        <f>IF($A214="","",IF(Allocation!$N$2="VOL_EFF",$Q214,IF(Allocation!$N$2="VOL_CLASS",$R214,$S214)))</f>
        <v/>
      </c>
      <c r="AQ214" s="0">
        <f>IF($A214="","",IF(Allocation!$N$2="VOL_EFF",$T214,IF(Allocation!$N$2="VOL_CLASS",$U214,$V214)))</f>
        <v/>
      </c>
      <c r="AR214" s="0">
        <f>IF($A214="","",$AO214*IFERROR($AP214/$AQ214,0)*IFERROR($AE214/$AF214,0)*IFERROR($AC214/$AD214,0))</f>
        <v/>
      </c>
      <c r="AS214" s="0">
        <f>IF($A214="","",$A214&amp;"|"&amp;Allocation!BG214)</f>
        <v/>
      </c>
    </row>
    <row r="215" ht="14.4975" customHeight="1" s="64">
      <c r="A215" s="0">
        <f>IF(Allocation!BI215="","",Allocation!BI215)</f>
        <v/>
      </c>
      <c r="B215" s="0">
        <f>IF(Allocation!BJ215="","",Allocation!BJ215)</f>
        <v/>
      </c>
      <c r="C215" s="0">
        <f>IF(Allocation!BK215="","",Allocation!BK215)</f>
        <v/>
      </c>
      <c r="D215" s="0">
        <f>IF(Allocation!BL215="","",Allocation!BL215)</f>
        <v/>
      </c>
      <c r="E215" s="0">
        <f>IF(Allocation!BM215="","",Allocation!BM215)</f>
        <v/>
      </c>
      <c r="F215" s="0">
        <f>IF(Allocation!BN215="","",Allocation!BN215)</f>
        <v/>
      </c>
      <c r="G215" s="0">
        <f>IF(Allocation!BO215="","",Allocation!BO215)</f>
        <v/>
      </c>
      <c r="H215" s="0">
        <f>IF(Allocation!BP215="","",Allocation!BP215)</f>
        <v/>
      </c>
      <c r="I215" s="0">
        <f>IF(Allocation!BQ215="","",Allocation!BQ215)</f>
        <v/>
      </c>
      <c r="J215" s="0">
        <f>IF(Allocation!CC215="","",Allocation!CC215)</f>
        <v/>
      </c>
      <c r="K215" s="0">
        <f>IF($A215="","",$H215*IF(AND(LEFT($D215,3)="BAC",$F215="INIT"),600,IF(LEFT($D215,3)="BAC",480,IF(AND(LEFT($D215,3)="MAS",$F215="INIT"),520,IF(LEFT($D215,3)="MAS",420,IF($F215="INIT",1000,700))))))</f>
        <v/>
      </c>
      <c r="L215" s="0">
        <f>IF($A215="","",SUMIFS($G$1:$G$349,$AS$1:$AS$349,$AS215,$B$1:$B$349,$B215))</f>
        <v/>
      </c>
      <c r="M215" s="0">
        <f>IF($A215="","",SUMIFS($H$1:$H$349,$AS$1:$AS$349,$AS215,$B$1:$B$349,$B215))</f>
        <v/>
      </c>
      <c r="N215" s="0">
        <f>IF($A215="","",SUMIFS($I$1:$I$349,$AS$1:$AS$349,$AS215,$B$1:$B$349,$B215))</f>
        <v/>
      </c>
      <c r="O215" s="0">
        <f>IF($A215="","",SUMIFS($K$1:$K$349,$AS$1:$AS$349,$AS215,$B$1:$B$349,$B215))</f>
        <v/>
      </c>
      <c r="P215" s="0">
        <f>IF($A215="","",SUMIFS($J$1:$J$349,$AS$1:$AS$349,$AS215,$B$1:$B$349,$B215))</f>
        <v/>
      </c>
      <c r="Q215" s="0">
        <f>IF($A215="","",SUMIFS($G$1:$G$349,$AS$1:$AS$349,$AS215,$C$1:$C$349,$C215))</f>
        <v/>
      </c>
      <c r="R215" s="0">
        <f>IF($A215="","",SUMIFS($H$1:$H$349,$AS$1:$AS$349,$AS215,$C$1:$C$349,$C215))</f>
        <v/>
      </c>
      <c r="S215" s="0">
        <f>IF($A215="","",SUMIFS($I$1:$I$349,$AS$1:$AS$349,$AS215,$C$1:$C$349,$C215))</f>
        <v/>
      </c>
      <c r="T215" s="0">
        <f>IF($A215="","",SUMIFS($G$1:$G$349,$AS$1:$AS$349,$AS215))</f>
        <v/>
      </c>
      <c r="U215" s="0">
        <f>IF($A215="","",SUMIFS($H$1:$H$349,$AS$1:$AS$349,$AS215))</f>
        <v/>
      </c>
      <c r="V215" s="0">
        <f>IF($A215="","",SUMIFS($I$1:$I$349,$AS$1:$AS$349,$AS215))</f>
        <v/>
      </c>
      <c r="W215" s="0">
        <f>IF($A215="","",Allocation!CD215)</f>
        <v/>
      </c>
      <c r="X215" s="0">
        <f>IF($A215="","",Allocation!CE215)</f>
        <v/>
      </c>
      <c r="Y215" s="0">
        <f>IF($A215="","",Allocation!CF215)</f>
        <v/>
      </c>
      <c r="Z215" s="0">
        <f>IF($A215="","",Allocation!CG215)</f>
        <v/>
      </c>
      <c r="AA215" s="0">
        <f>IF($A215="","",Allocation!CH215)</f>
        <v/>
      </c>
      <c r="AB215" s="0">
        <f>IF($A215="","",Allocation!CI215)</f>
        <v/>
      </c>
      <c r="AC215" s="0">
        <f>IF($A215="","",IF(Allocation!$N$4="VOL_EFF",$G215,IF(Allocation!$N$4="VOL_CLASS",$H215,$I215)))</f>
        <v/>
      </c>
      <c r="AD215" s="0">
        <f>IF($A215="","",IF(Allocation!$N$4="VOL_EFF",$L215,IF(Allocation!$N$4="VOL_CLASS",$M215,$N215)))</f>
        <v/>
      </c>
      <c r="AE215" s="0">
        <f>IF($A215="","",IF(Allocation!$N$3="VOL_EFF",$L215,IF(Allocation!$N$3="VOL_CLASS",$M215,$N215)))</f>
        <v/>
      </c>
      <c r="AF215" s="0">
        <f>IF($A215="","",IF(Allocation!$N$3="VOL_EFF",$Q215,IF(Allocation!$N$3="VOL_CLASS",$R215,$S215)))</f>
        <v/>
      </c>
      <c r="AG215" s="0">
        <f>IF($A215="","",IF(Allocation!$N$1="VOL_EFF",$Q215,IF(Allocation!$N$1="VOL_CLASS",$R215,$S215)))</f>
        <v/>
      </c>
      <c r="AH215" s="0">
        <f>IF($A215="","",IF(Allocation!$N$1="VOL_EFF",$T215,IF(Allocation!$N$1="VOL_CLASS",$U215,$V215)))</f>
        <v/>
      </c>
      <c r="AI215" s="0">
        <f>IF($A215="","",$W215*IFERROR($K215/$O215,0))</f>
        <v/>
      </c>
      <c r="AJ215" s="0">
        <f>IF($A215="","",$X215*IFERROR($K215/$O215,0))</f>
        <v/>
      </c>
      <c r="AK215" s="0">
        <f>IF($A215="","",$Y215*IFERROR($G215/$L215,0)+$Z215*IFERROR($J215/$P215,0))</f>
        <v/>
      </c>
      <c r="AL215" s="0">
        <f>IF($A215="","",$AA215*IFERROR($AC215/$AD215,0))</f>
        <v/>
      </c>
      <c r="AM215" s="0">
        <f>IF($A215="","",$AB215*IFERROR($AG215/$AH215,0)*IFERROR($AE215/$AF215,0)*IFERROR($AC215/$AD215,0))</f>
        <v/>
      </c>
      <c r="AN215" s="0">
        <f>IF($A215="","",$I215-($AI215+$AJ215+$AK215+$AL215+$AM215+$AR215))</f>
        <v/>
      </c>
      <c r="AO215" s="0">
        <f>IF($A215="","",Allocation!CJ215)</f>
        <v/>
      </c>
      <c r="AP215" s="0">
        <f>IF($A215="","",IF(Allocation!$N$2="VOL_EFF",$Q215,IF(Allocation!$N$2="VOL_CLASS",$R215,$S215)))</f>
        <v/>
      </c>
      <c r="AQ215" s="0">
        <f>IF($A215="","",IF(Allocation!$N$2="VOL_EFF",$T215,IF(Allocation!$N$2="VOL_CLASS",$U215,$V215)))</f>
        <v/>
      </c>
      <c r="AR215" s="0">
        <f>IF($A215="","",$AO215*IFERROR($AP215/$AQ215,0)*IFERROR($AE215/$AF215,0)*IFERROR($AC215/$AD215,0))</f>
        <v/>
      </c>
      <c r="AS215" s="0">
        <f>IF($A215="","",$A215&amp;"|"&amp;Allocation!BG215)</f>
        <v/>
      </c>
    </row>
    <row r="216" ht="14.4975" customHeight="1" s="64">
      <c r="A216" s="0">
        <f>IF(Allocation!BI216="","",Allocation!BI216)</f>
        <v/>
      </c>
      <c r="B216" s="0">
        <f>IF(Allocation!BJ216="","",Allocation!BJ216)</f>
        <v/>
      </c>
      <c r="C216" s="0">
        <f>IF(Allocation!BK216="","",Allocation!BK216)</f>
        <v/>
      </c>
      <c r="D216" s="0">
        <f>IF(Allocation!BL216="","",Allocation!BL216)</f>
        <v/>
      </c>
      <c r="E216" s="0">
        <f>IF(Allocation!BM216="","",Allocation!BM216)</f>
        <v/>
      </c>
      <c r="F216" s="0">
        <f>IF(Allocation!BN216="","",Allocation!BN216)</f>
        <v/>
      </c>
      <c r="G216" s="0">
        <f>IF(Allocation!BO216="","",Allocation!BO216)</f>
        <v/>
      </c>
      <c r="H216" s="0">
        <f>IF(Allocation!BP216="","",Allocation!BP216)</f>
        <v/>
      </c>
      <c r="I216" s="0">
        <f>IF(Allocation!BQ216="","",Allocation!BQ216)</f>
        <v/>
      </c>
      <c r="J216" s="0">
        <f>IF(Allocation!CC216="","",Allocation!CC216)</f>
        <v/>
      </c>
      <c r="K216" s="0">
        <f>IF($A216="","",$H216*IF(AND(LEFT($D216,3)="BAC",$F216="INIT"),600,IF(LEFT($D216,3)="BAC",480,IF(AND(LEFT($D216,3)="MAS",$F216="INIT"),520,IF(LEFT($D216,3)="MAS",420,IF($F216="INIT",1000,700))))))</f>
        <v/>
      </c>
      <c r="L216" s="0">
        <f>IF($A216="","",SUMIFS($G$1:$G$349,$AS$1:$AS$349,$AS216,$B$1:$B$349,$B216))</f>
        <v/>
      </c>
      <c r="M216" s="0">
        <f>IF($A216="","",SUMIFS($H$1:$H$349,$AS$1:$AS$349,$AS216,$B$1:$B$349,$B216))</f>
        <v/>
      </c>
      <c r="N216" s="0">
        <f>IF($A216="","",SUMIFS($I$1:$I$349,$AS$1:$AS$349,$AS216,$B$1:$B$349,$B216))</f>
        <v/>
      </c>
      <c r="O216" s="0">
        <f>IF($A216="","",SUMIFS($K$1:$K$349,$AS$1:$AS$349,$AS216,$B$1:$B$349,$B216))</f>
        <v/>
      </c>
      <c r="P216" s="0">
        <f>IF($A216="","",SUMIFS($J$1:$J$349,$AS$1:$AS$349,$AS216,$B$1:$B$349,$B216))</f>
        <v/>
      </c>
      <c r="Q216" s="0">
        <f>IF($A216="","",SUMIFS($G$1:$G$349,$AS$1:$AS$349,$AS216,$C$1:$C$349,$C216))</f>
        <v/>
      </c>
      <c r="R216" s="0">
        <f>IF($A216="","",SUMIFS($H$1:$H$349,$AS$1:$AS$349,$AS216,$C$1:$C$349,$C216))</f>
        <v/>
      </c>
      <c r="S216" s="0">
        <f>IF($A216="","",SUMIFS($I$1:$I$349,$AS$1:$AS$349,$AS216,$C$1:$C$349,$C216))</f>
        <v/>
      </c>
      <c r="T216" s="0">
        <f>IF($A216="","",SUMIFS($G$1:$G$349,$AS$1:$AS$349,$AS216))</f>
        <v/>
      </c>
      <c r="U216" s="0">
        <f>IF($A216="","",SUMIFS($H$1:$H$349,$AS$1:$AS$349,$AS216))</f>
        <v/>
      </c>
      <c r="V216" s="0">
        <f>IF($A216="","",SUMIFS($I$1:$I$349,$AS$1:$AS$349,$AS216))</f>
        <v/>
      </c>
      <c r="W216" s="0">
        <f>IF($A216="","",Allocation!CD216)</f>
        <v/>
      </c>
      <c r="X216" s="0">
        <f>IF($A216="","",Allocation!CE216)</f>
        <v/>
      </c>
      <c r="Y216" s="0">
        <f>IF($A216="","",Allocation!CF216)</f>
        <v/>
      </c>
      <c r="Z216" s="0">
        <f>IF($A216="","",Allocation!CG216)</f>
        <v/>
      </c>
      <c r="AA216" s="0">
        <f>IF($A216="","",Allocation!CH216)</f>
        <v/>
      </c>
      <c r="AB216" s="0">
        <f>IF($A216="","",Allocation!CI216)</f>
        <v/>
      </c>
      <c r="AC216" s="0">
        <f>IF($A216="","",IF(Allocation!$N$4="VOL_EFF",$G216,IF(Allocation!$N$4="VOL_CLASS",$H216,$I216)))</f>
        <v/>
      </c>
      <c r="AD216" s="0">
        <f>IF($A216="","",IF(Allocation!$N$4="VOL_EFF",$L216,IF(Allocation!$N$4="VOL_CLASS",$M216,$N216)))</f>
        <v/>
      </c>
      <c r="AE216" s="0">
        <f>IF($A216="","",IF(Allocation!$N$3="VOL_EFF",$L216,IF(Allocation!$N$3="VOL_CLASS",$M216,$N216)))</f>
        <v/>
      </c>
      <c r="AF216" s="0">
        <f>IF($A216="","",IF(Allocation!$N$3="VOL_EFF",$Q216,IF(Allocation!$N$3="VOL_CLASS",$R216,$S216)))</f>
        <v/>
      </c>
      <c r="AG216" s="0">
        <f>IF($A216="","",IF(Allocation!$N$1="VOL_EFF",$Q216,IF(Allocation!$N$1="VOL_CLASS",$R216,$S216)))</f>
        <v/>
      </c>
      <c r="AH216" s="0">
        <f>IF($A216="","",IF(Allocation!$N$1="VOL_EFF",$T216,IF(Allocation!$N$1="VOL_CLASS",$U216,$V216)))</f>
        <v/>
      </c>
      <c r="AI216" s="0">
        <f>IF($A216="","",$W216*IFERROR($K216/$O216,0))</f>
        <v/>
      </c>
      <c r="AJ216" s="0">
        <f>IF($A216="","",$X216*IFERROR($K216/$O216,0))</f>
        <v/>
      </c>
      <c r="AK216" s="0">
        <f>IF($A216="","",$Y216*IFERROR($G216/$L216,0)+$Z216*IFERROR($J216/$P216,0))</f>
        <v/>
      </c>
      <c r="AL216" s="0">
        <f>IF($A216="","",$AA216*IFERROR($AC216/$AD216,0))</f>
        <v/>
      </c>
      <c r="AM216" s="0">
        <f>IF($A216="","",$AB216*IFERROR($AG216/$AH216,0)*IFERROR($AE216/$AF216,0)*IFERROR($AC216/$AD216,0))</f>
        <v/>
      </c>
      <c r="AN216" s="0">
        <f>IF($A216="","",$I216-($AI216+$AJ216+$AK216+$AL216+$AM216+$AR216))</f>
        <v/>
      </c>
      <c r="AO216" s="0">
        <f>IF($A216="","",Allocation!CJ216)</f>
        <v/>
      </c>
      <c r="AP216" s="0">
        <f>IF($A216="","",IF(Allocation!$N$2="VOL_EFF",$Q216,IF(Allocation!$N$2="VOL_CLASS",$R216,$S216)))</f>
        <v/>
      </c>
      <c r="AQ216" s="0">
        <f>IF($A216="","",IF(Allocation!$N$2="VOL_EFF",$T216,IF(Allocation!$N$2="VOL_CLASS",$U216,$V216)))</f>
        <v/>
      </c>
      <c r="AR216" s="0">
        <f>IF($A216="","",$AO216*IFERROR($AP216/$AQ216,0)*IFERROR($AE216/$AF216,0)*IFERROR($AC216/$AD216,0))</f>
        <v/>
      </c>
      <c r="AS216" s="0">
        <f>IF($A216="","",$A216&amp;"|"&amp;Allocation!BG216)</f>
        <v/>
      </c>
    </row>
    <row r="217" ht="14.4975" customHeight="1" s="64">
      <c r="A217" s="0">
        <f>IF(Allocation!BI217="","",Allocation!BI217)</f>
        <v/>
      </c>
      <c r="B217" s="0">
        <f>IF(Allocation!BJ217="","",Allocation!BJ217)</f>
        <v/>
      </c>
      <c r="C217" s="0">
        <f>IF(Allocation!BK217="","",Allocation!BK217)</f>
        <v/>
      </c>
      <c r="D217" s="0">
        <f>IF(Allocation!BL217="","",Allocation!BL217)</f>
        <v/>
      </c>
      <c r="E217" s="0">
        <f>IF(Allocation!BM217="","",Allocation!BM217)</f>
        <v/>
      </c>
      <c r="F217" s="0">
        <f>IF(Allocation!BN217="","",Allocation!BN217)</f>
        <v/>
      </c>
      <c r="G217" s="0">
        <f>IF(Allocation!BO217="","",Allocation!BO217)</f>
        <v/>
      </c>
      <c r="H217" s="0">
        <f>IF(Allocation!BP217="","",Allocation!BP217)</f>
        <v/>
      </c>
      <c r="I217" s="0">
        <f>IF(Allocation!BQ217="","",Allocation!BQ217)</f>
        <v/>
      </c>
      <c r="J217" s="0">
        <f>IF(Allocation!CC217="","",Allocation!CC217)</f>
        <v/>
      </c>
      <c r="K217" s="0">
        <f>IF($A217="","",$H217*IF(AND(LEFT($D217,3)="BAC",$F217="INIT"),600,IF(LEFT($D217,3)="BAC",480,IF(AND(LEFT($D217,3)="MAS",$F217="INIT"),520,IF(LEFT($D217,3)="MAS",420,IF($F217="INIT",1000,700))))))</f>
        <v/>
      </c>
      <c r="L217" s="0">
        <f>IF($A217="","",SUMIFS($G$1:$G$349,$AS$1:$AS$349,$AS217,$B$1:$B$349,$B217))</f>
        <v/>
      </c>
      <c r="M217" s="0">
        <f>IF($A217="","",SUMIFS($H$1:$H$349,$AS$1:$AS$349,$AS217,$B$1:$B$349,$B217))</f>
        <v/>
      </c>
      <c r="N217" s="0">
        <f>IF($A217="","",SUMIFS($I$1:$I$349,$AS$1:$AS$349,$AS217,$B$1:$B$349,$B217))</f>
        <v/>
      </c>
      <c r="O217" s="0">
        <f>IF($A217="","",SUMIFS($K$1:$K$349,$AS$1:$AS$349,$AS217,$B$1:$B$349,$B217))</f>
        <v/>
      </c>
      <c r="P217" s="0">
        <f>IF($A217="","",SUMIFS($J$1:$J$349,$AS$1:$AS$349,$AS217,$B$1:$B$349,$B217))</f>
        <v/>
      </c>
      <c r="Q217" s="0">
        <f>IF($A217="","",SUMIFS($G$1:$G$349,$AS$1:$AS$349,$AS217,$C$1:$C$349,$C217))</f>
        <v/>
      </c>
      <c r="R217" s="0">
        <f>IF($A217="","",SUMIFS($H$1:$H$349,$AS$1:$AS$349,$AS217,$C$1:$C$349,$C217))</f>
        <v/>
      </c>
      <c r="S217" s="0">
        <f>IF($A217="","",SUMIFS($I$1:$I$349,$AS$1:$AS$349,$AS217,$C$1:$C$349,$C217))</f>
        <v/>
      </c>
      <c r="T217" s="0">
        <f>IF($A217="","",SUMIFS($G$1:$G$349,$AS$1:$AS$349,$AS217))</f>
        <v/>
      </c>
      <c r="U217" s="0">
        <f>IF($A217="","",SUMIFS($H$1:$H$349,$AS$1:$AS$349,$AS217))</f>
        <v/>
      </c>
      <c r="V217" s="0">
        <f>IF($A217="","",SUMIFS($I$1:$I$349,$AS$1:$AS$349,$AS217))</f>
        <v/>
      </c>
      <c r="W217" s="0">
        <f>IF($A217="","",Allocation!CD217)</f>
        <v/>
      </c>
      <c r="X217" s="0">
        <f>IF($A217="","",Allocation!CE217)</f>
        <v/>
      </c>
      <c r="Y217" s="0">
        <f>IF($A217="","",Allocation!CF217)</f>
        <v/>
      </c>
      <c r="Z217" s="0">
        <f>IF($A217="","",Allocation!CG217)</f>
        <v/>
      </c>
      <c r="AA217" s="0">
        <f>IF($A217="","",Allocation!CH217)</f>
        <v/>
      </c>
      <c r="AB217" s="0">
        <f>IF($A217="","",Allocation!CI217)</f>
        <v/>
      </c>
      <c r="AC217" s="0">
        <f>IF($A217="","",IF(Allocation!$N$4="VOL_EFF",$G217,IF(Allocation!$N$4="VOL_CLASS",$H217,$I217)))</f>
        <v/>
      </c>
      <c r="AD217" s="0">
        <f>IF($A217="","",IF(Allocation!$N$4="VOL_EFF",$L217,IF(Allocation!$N$4="VOL_CLASS",$M217,$N217)))</f>
        <v/>
      </c>
      <c r="AE217" s="0">
        <f>IF($A217="","",IF(Allocation!$N$3="VOL_EFF",$L217,IF(Allocation!$N$3="VOL_CLASS",$M217,$N217)))</f>
        <v/>
      </c>
      <c r="AF217" s="0">
        <f>IF($A217="","",IF(Allocation!$N$3="VOL_EFF",$Q217,IF(Allocation!$N$3="VOL_CLASS",$R217,$S217)))</f>
        <v/>
      </c>
      <c r="AG217" s="0">
        <f>IF($A217="","",IF(Allocation!$N$1="VOL_EFF",$Q217,IF(Allocation!$N$1="VOL_CLASS",$R217,$S217)))</f>
        <v/>
      </c>
      <c r="AH217" s="0">
        <f>IF($A217="","",IF(Allocation!$N$1="VOL_EFF",$T217,IF(Allocation!$N$1="VOL_CLASS",$U217,$V217)))</f>
        <v/>
      </c>
      <c r="AI217" s="0">
        <f>IF($A217="","",$W217*IFERROR($K217/$O217,0))</f>
        <v/>
      </c>
      <c r="AJ217" s="0">
        <f>IF($A217="","",$X217*IFERROR($K217/$O217,0))</f>
        <v/>
      </c>
      <c r="AK217" s="0">
        <f>IF($A217="","",$Y217*IFERROR($G217/$L217,0)+$Z217*IFERROR($J217/$P217,0))</f>
        <v/>
      </c>
      <c r="AL217" s="0">
        <f>IF($A217="","",$AA217*IFERROR($AC217/$AD217,0))</f>
        <v/>
      </c>
      <c r="AM217" s="0">
        <f>IF($A217="","",$AB217*IFERROR($AG217/$AH217,0)*IFERROR($AE217/$AF217,0)*IFERROR($AC217/$AD217,0))</f>
        <v/>
      </c>
      <c r="AN217" s="0">
        <f>IF($A217="","",$I217-($AI217+$AJ217+$AK217+$AL217+$AM217+$AR217))</f>
        <v/>
      </c>
      <c r="AO217" s="0">
        <f>IF($A217="","",Allocation!CJ217)</f>
        <v/>
      </c>
      <c r="AP217" s="0">
        <f>IF($A217="","",IF(Allocation!$N$2="VOL_EFF",$Q217,IF(Allocation!$N$2="VOL_CLASS",$R217,$S217)))</f>
        <v/>
      </c>
      <c r="AQ217" s="0">
        <f>IF($A217="","",IF(Allocation!$N$2="VOL_EFF",$T217,IF(Allocation!$N$2="VOL_CLASS",$U217,$V217)))</f>
        <v/>
      </c>
      <c r="AR217" s="0">
        <f>IF($A217="","",$AO217*IFERROR($AP217/$AQ217,0)*IFERROR($AE217/$AF217,0)*IFERROR($AC217/$AD217,0))</f>
        <v/>
      </c>
      <c r="AS217" s="0">
        <f>IF($A217="","",$A217&amp;"|"&amp;Allocation!BG217)</f>
        <v/>
      </c>
    </row>
    <row r="218" ht="14.4975" customHeight="1" s="64">
      <c r="A218" s="0">
        <f>IF(Allocation!BI218="","",Allocation!BI218)</f>
        <v/>
      </c>
      <c r="B218" s="0">
        <f>IF(Allocation!BJ218="","",Allocation!BJ218)</f>
        <v/>
      </c>
      <c r="C218" s="0">
        <f>IF(Allocation!BK218="","",Allocation!BK218)</f>
        <v/>
      </c>
      <c r="D218" s="0">
        <f>IF(Allocation!BL218="","",Allocation!BL218)</f>
        <v/>
      </c>
      <c r="E218" s="0">
        <f>IF(Allocation!BM218="","",Allocation!BM218)</f>
        <v/>
      </c>
      <c r="F218" s="0">
        <f>IF(Allocation!BN218="","",Allocation!BN218)</f>
        <v/>
      </c>
      <c r="G218" s="0">
        <f>IF(Allocation!BO218="","",Allocation!BO218)</f>
        <v/>
      </c>
      <c r="H218" s="0">
        <f>IF(Allocation!BP218="","",Allocation!BP218)</f>
        <v/>
      </c>
      <c r="I218" s="0">
        <f>IF(Allocation!BQ218="","",Allocation!BQ218)</f>
        <v/>
      </c>
      <c r="J218" s="0">
        <f>IF(Allocation!CC218="","",Allocation!CC218)</f>
        <v/>
      </c>
      <c r="K218" s="0">
        <f>IF($A218="","",$H218*IF(AND(LEFT($D218,3)="BAC",$F218="INIT"),600,IF(LEFT($D218,3)="BAC",480,IF(AND(LEFT($D218,3)="MAS",$F218="INIT"),520,IF(LEFT($D218,3)="MAS",420,IF($F218="INIT",1000,700))))))</f>
        <v/>
      </c>
      <c r="L218" s="0">
        <f>IF($A218="","",SUMIFS($G$1:$G$349,$AS$1:$AS$349,$AS218,$B$1:$B$349,$B218))</f>
        <v/>
      </c>
      <c r="M218" s="0">
        <f>IF($A218="","",SUMIFS($H$1:$H$349,$AS$1:$AS$349,$AS218,$B$1:$B$349,$B218))</f>
        <v/>
      </c>
      <c r="N218" s="0">
        <f>IF($A218="","",SUMIFS($I$1:$I$349,$AS$1:$AS$349,$AS218,$B$1:$B$349,$B218))</f>
        <v/>
      </c>
      <c r="O218" s="0">
        <f>IF($A218="","",SUMIFS($K$1:$K$349,$AS$1:$AS$349,$AS218,$B$1:$B$349,$B218))</f>
        <v/>
      </c>
      <c r="P218" s="0">
        <f>IF($A218="","",SUMIFS($J$1:$J$349,$AS$1:$AS$349,$AS218,$B$1:$B$349,$B218))</f>
        <v/>
      </c>
      <c r="Q218" s="0">
        <f>IF($A218="","",SUMIFS($G$1:$G$349,$AS$1:$AS$349,$AS218,$C$1:$C$349,$C218))</f>
        <v/>
      </c>
      <c r="R218" s="0">
        <f>IF($A218="","",SUMIFS($H$1:$H$349,$AS$1:$AS$349,$AS218,$C$1:$C$349,$C218))</f>
        <v/>
      </c>
      <c r="S218" s="0">
        <f>IF($A218="","",SUMIFS($I$1:$I$349,$AS$1:$AS$349,$AS218,$C$1:$C$349,$C218))</f>
        <v/>
      </c>
      <c r="T218" s="0">
        <f>IF($A218="","",SUMIFS($G$1:$G$349,$AS$1:$AS$349,$AS218))</f>
        <v/>
      </c>
      <c r="U218" s="0">
        <f>IF($A218="","",SUMIFS($H$1:$H$349,$AS$1:$AS$349,$AS218))</f>
        <v/>
      </c>
      <c r="V218" s="0">
        <f>IF($A218="","",SUMIFS($I$1:$I$349,$AS$1:$AS$349,$AS218))</f>
        <v/>
      </c>
      <c r="W218" s="0">
        <f>IF($A218="","",Allocation!CD218)</f>
        <v/>
      </c>
      <c r="X218" s="0">
        <f>IF($A218="","",Allocation!CE218)</f>
        <v/>
      </c>
      <c r="Y218" s="0">
        <f>IF($A218="","",Allocation!CF218)</f>
        <v/>
      </c>
      <c r="Z218" s="0">
        <f>IF($A218="","",Allocation!CG218)</f>
        <v/>
      </c>
      <c r="AA218" s="0">
        <f>IF($A218="","",Allocation!CH218)</f>
        <v/>
      </c>
      <c r="AB218" s="0">
        <f>IF($A218="","",Allocation!CI218)</f>
        <v/>
      </c>
      <c r="AC218" s="0">
        <f>IF($A218="","",IF(Allocation!$N$4="VOL_EFF",$G218,IF(Allocation!$N$4="VOL_CLASS",$H218,$I218)))</f>
        <v/>
      </c>
      <c r="AD218" s="0">
        <f>IF($A218="","",IF(Allocation!$N$4="VOL_EFF",$L218,IF(Allocation!$N$4="VOL_CLASS",$M218,$N218)))</f>
        <v/>
      </c>
      <c r="AE218" s="0">
        <f>IF($A218="","",IF(Allocation!$N$3="VOL_EFF",$L218,IF(Allocation!$N$3="VOL_CLASS",$M218,$N218)))</f>
        <v/>
      </c>
      <c r="AF218" s="0">
        <f>IF($A218="","",IF(Allocation!$N$3="VOL_EFF",$Q218,IF(Allocation!$N$3="VOL_CLASS",$R218,$S218)))</f>
        <v/>
      </c>
      <c r="AG218" s="0">
        <f>IF($A218="","",IF(Allocation!$N$1="VOL_EFF",$Q218,IF(Allocation!$N$1="VOL_CLASS",$R218,$S218)))</f>
        <v/>
      </c>
      <c r="AH218" s="0">
        <f>IF($A218="","",IF(Allocation!$N$1="VOL_EFF",$T218,IF(Allocation!$N$1="VOL_CLASS",$U218,$V218)))</f>
        <v/>
      </c>
      <c r="AI218" s="0">
        <f>IF($A218="","",$W218*IFERROR($K218/$O218,0))</f>
        <v/>
      </c>
      <c r="AJ218" s="0">
        <f>IF($A218="","",$X218*IFERROR($K218/$O218,0))</f>
        <v/>
      </c>
      <c r="AK218" s="0">
        <f>IF($A218="","",$Y218*IFERROR($G218/$L218,0)+$Z218*IFERROR($J218/$P218,0))</f>
        <v/>
      </c>
      <c r="AL218" s="0">
        <f>IF($A218="","",$AA218*IFERROR($AC218/$AD218,0))</f>
        <v/>
      </c>
      <c r="AM218" s="0">
        <f>IF($A218="","",$AB218*IFERROR($AG218/$AH218,0)*IFERROR($AE218/$AF218,0)*IFERROR($AC218/$AD218,0))</f>
        <v/>
      </c>
      <c r="AN218" s="0">
        <f>IF($A218="","",$I218-($AI218+$AJ218+$AK218+$AL218+$AM218+$AR218))</f>
        <v/>
      </c>
      <c r="AO218" s="0">
        <f>IF($A218="","",Allocation!CJ218)</f>
        <v/>
      </c>
      <c r="AP218" s="0">
        <f>IF($A218="","",IF(Allocation!$N$2="VOL_EFF",$Q218,IF(Allocation!$N$2="VOL_CLASS",$R218,$S218)))</f>
        <v/>
      </c>
      <c r="AQ218" s="0">
        <f>IF($A218="","",IF(Allocation!$N$2="VOL_EFF",$T218,IF(Allocation!$N$2="VOL_CLASS",$U218,$V218)))</f>
        <v/>
      </c>
      <c r="AR218" s="0">
        <f>IF($A218="","",$AO218*IFERROR($AP218/$AQ218,0)*IFERROR($AE218/$AF218,0)*IFERROR($AC218/$AD218,0))</f>
        <v/>
      </c>
      <c r="AS218" s="0">
        <f>IF($A218="","",$A218&amp;"|"&amp;Allocation!BG218)</f>
        <v/>
      </c>
    </row>
    <row r="219" ht="14.4975" customHeight="1" s="64">
      <c r="A219" s="0">
        <f>IF(Allocation!BI219="","",Allocation!BI219)</f>
        <v/>
      </c>
      <c r="B219" s="0">
        <f>IF(Allocation!BJ219="","",Allocation!BJ219)</f>
        <v/>
      </c>
      <c r="C219" s="0">
        <f>IF(Allocation!BK219="","",Allocation!BK219)</f>
        <v/>
      </c>
      <c r="D219" s="0">
        <f>IF(Allocation!BL219="","",Allocation!BL219)</f>
        <v/>
      </c>
      <c r="E219" s="0">
        <f>IF(Allocation!BM219="","",Allocation!BM219)</f>
        <v/>
      </c>
      <c r="F219" s="0">
        <f>IF(Allocation!BN219="","",Allocation!BN219)</f>
        <v/>
      </c>
      <c r="G219" s="0">
        <f>IF(Allocation!BO219="","",Allocation!BO219)</f>
        <v/>
      </c>
      <c r="H219" s="0">
        <f>IF(Allocation!BP219="","",Allocation!BP219)</f>
        <v/>
      </c>
      <c r="I219" s="0">
        <f>IF(Allocation!BQ219="","",Allocation!BQ219)</f>
        <v/>
      </c>
      <c r="J219" s="0">
        <f>IF(Allocation!CC219="","",Allocation!CC219)</f>
        <v/>
      </c>
      <c r="K219" s="0">
        <f>IF($A219="","",$H219*IF(AND(LEFT($D219,3)="BAC",$F219="INIT"),600,IF(LEFT($D219,3)="BAC",480,IF(AND(LEFT($D219,3)="MAS",$F219="INIT"),520,IF(LEFT($D219,3)="MAS",420,IF($F219="INIT",1000,700))))))</f>
        <v/>
      </c>
      <c r="L219" s="0">
        <f>IF($A219="","",SUMIFS($G$1:$G$349,$AS$1:$AS$349,$AS219,$B$1:$B$349,$B219))</f>
        <v/>
      </c>
      <c r="M219" s="0">
        <f>IF($A219="","",SUMIFS($H$1:$H$349,$AS$1:$AS$349,$AS219,$B$1:$B$349,$B219))</f>
        <v/>
      </c>
      <c r="N219" s="0">
        <f>IF($A219="","",SUMIFS($I$1:$I$349,$AS$1:$AS$349,$AS219,$B$1:$B$349,$B219))</f>
        <v/>
      </c>
      <c r="O219" s="0">
        <f>IF($A219="","",SUMIFS($K$1:$K$349,$AS$1:$AS$349,$AS219,$B$1:$B$349,$B219))</f>
        <v/>
      </c>
      <c r="P219" s="0">
        <f>IF($A219="","",SUMIFS($J$1:$J$349,$AS$1:$AS$349,$AS219,$B$1:$B$349,$B219))</f>
        <v/>
      </c>
      <c r="Q219" s="0">
        <f>IF($A219="","",SUMIFS($G$1:$G$349,$AS$1:$AS$349,$AS219,$C$1:$C$349,$C219))</f>
        <v/>
      </c>
      <c r="R219" s="0">
        <f>IF($A219="","",SUMIFS($H$1:$H$349,$AS$1:$AS$349,$AS219,$C$1:$C$349,$C219))</f>
        <v/>
      </c>
      <c r="S219" s="0">
        <f>IF($A219="","",SUMIFS($I$1:$I$349,$AS$1:$AS$349,$AS219,$C$1:$C$349,$C219))</f>
        <v/>
      </c>
      <c r="T219" s="0">
        <f>IF($A219="","",SUMIFS($G$1:$G$349,$AS$1:$AS$349,$AS219))</f>
        <v/>
      </c>
      <c r="U219" s="0">
        <f>IF($A219="","",SUMIFS($H$1:$H$349,$AS$1:$AS$349,$AS219))</f>
        <v/>
      </c>
      <c r="V219" s="0">
        <f>IF($A219="","",SUMIFS($I$1:$I$349,$AS$1:$AS$349,$AS219))</f>
        <v/>
      </c>
      <c r="W219" s="0">
        <f>IF($A219="","",Allocation!CD219)</f>
        <v/>
      </c>
      <c r="X219" s="0">
        <f>IF($A219="","",Allocation!CE219)</f>
        <v/>
      </c>
      <c r="Y219" s="0">
        <f>IF($A219="","",Allocation!CF219)</f>
        <v/>
      </c>
      <c r="Z219" s="0">
        <f>IF($A219="","",Allocation!CG219)</f>
        <v/>
      </c>
      <c r="AA219" s="0">
        <f>IF($A219="","",Allocation!CH219)</f>
        <v/>
      </c>
      <c r="AB219" s="0">
        <f>IF($A219="","",Allocation!CI219)</f>
        <v/>
      </c>
      <c r="AC219" s="0">
        <f>IF($A219="","",IF(Allocation!$N$4="VOL_EFF",$G219,IF(Allocation!$N$4="VOL_CLASS",$H219,$I219)))</f>
        <v/>
      </c>
      <c r="AD219" s="0">
        <f>IF($A219="","",IF(Allocation!$N$4="VOL_EFF",$L219,IF(Allocation!$N$4="VOL_CLASS",$M219,$N219)))</f>
        <v/>
      </c>
      <c r="AE219" s="0">
        <f>IF($A219="","",IF(Allocation!$N$3="VOL_EFF",$L219,IF(Allocation!$N$3="VOL_CLASS",$M219,$N219)))</f>
        <v/>
      </c>
      <c r="AF219" s="0">
        <f>IF($A219="","",IF(Allocation!$N$3="VOL_EFF",$Q219,IF(Allocation!$N$3="VOL_CLASS",$R219,$S219)))</f>
        <v/>
      </c>
      <c r="AG219" s="0">
        <f>IF($A219="","",IF(Allocation!$N$1="VOL_EFF",$Q219,IF(Allocation!$N$1="VOL_CLASS",$R219,$S219)))</f>
        <v/>
      </c>
      <c r="AH219" s="0">
        <f>IF($A219="","",IF(Allocation!$N$1="VOL_EFF",$T219,IF(Allocation!$N$1="VOL_CLASS",$U219,$V219)))</f>
        <v/>
      </c>
      <c r="AI219" s="0">
        <f>IF($A219="","",$W219*IFERROR($K219/$O219,0))</f>
        <v/>
      </c>
      <c r="AJ219" s="0">
        <f>IF($A219="","",$X219*IFERROR($K219/$O219,0))</f>
        <v/>
      </c>
      <c r="AK219" s="0">
        <f>IF($A219="","",$Y219*IFERROR($G219/$L219,0)+$Z219*IFERROR($J219/$P219,0))</f>
        <v/>
      </c>
      <c r="AL219" s="0">
        <f>IF($A219="","",$AA219*IFERROR($AC219/$AD219,0))</f>
        <v/>
      </c>
      <c r="AM219" s="0">
        <f>IF($A219="","",$AB219*IFERROR($AG219/$AH219,0)*IFERROR($AE219/$AF219,0)*IFERROR($AC219/$AD219,0))</f>
        <v/>
      </c>
      <c r="AN219" s="0">
        <f>IF($A219="","",$I219-($AI219+$AJ219+$AK219+$AL219+$AM219+$AR219))</f>
        <v/>
      </c>
      <c r="AO219" s="0">
        <f>IF($A219="","",Allocation!CJ219)</f>
        <v/>
      </c>
      <c r="AP219" s="0">
        <f>IF($A219="","",IF(Allocation!$N$2="VOL_EFF",$Q219,IF(Allocation!$N$2="VOL_CLASS",$R219,$S219)))</f>
        <v/>
      </c>
      <c r="AQ219" s="0">
        <f>IF($A219="","",IF(Allocation!$N$2="VOL_EFF",$T219,IF(Allocation!$N$2="VOL_CLASS",$U219,$V219)))</f>
        <v/>
      </c>
      <c r="AR219" s="0">
        <f>IF($A219="","",$AO219*IFERROR($AP219/$AQ219,0)*IFERROR($AE219/$AF219,0)*IFERROR($AC219/$AD219,0))</f>
        <v/>
      </c>
      <c r="AS219" s="0">
        <f>IF($A219="","",$A219&amp;"|"&amp;Allocation!BG219)</f>
        <v/>
      </c>
    </row>
    <row r="220" ht="14.4975" customHeight="1" s="64">
      <c r="A220" s="0">
        <f>IF(Allocation!BI220="","",Allocation!BI220)</f>
        <v/>
      </c>
      <c r="B220" s="0">
        <f>IF(Allocation!BJ220="","",Allocation!BJ220)</f>
        <v/>
      </c>
      <c r="C220" s="0">
        <f>IF(Allocation!BK220="","",Allocation!BK220)</f>
        <v/>
      </c>
      <c r="D220" s="0">
        <f>IF(Allocation!BL220="","",Allocation!BL220)</f>
        <v/>
      </c>
      <c r="E220" s="0">
        <f>IF(Allocation!BM220="","",Allocation!BM220)</f>
        <v/>
      </c>
      <c r="F220" s="0">
        <f>IF(Allocation!BN220="","",Allocation!BN220)</f>
        <v/>
      </c>
      <c r="G220" s="0">
        <f>IF(Allocation!BO220="","",Allocation!BO220)</f>
        <v/>
      </c>
      <c r="H220" s="0">
        <f>IF(Allocation!BP220="","",Allocation!BP220)</f>
        <v/>
      </c>
      <c r="I220" s="0">
        <f>IF(Allocation!BQ220="","",Allocation!BQ220)</f>
        <v/>
      </c>
      <c r="J220" s="0">
        <f>IF(Allocation!CC220="","",Allocation!CC220)</f>
        <v/>
      </c>
      <c r="K220" s="0">
        <f>IF($A220="","",$H220*IF(AND(LEFT($D220,3)="BAC",$F220="INIT"),600,IF(LEFT($D220,3)="BAC",480,IF(AND(LEFT($D220,3)="MAS",$F220="INIT"),520,IF(LEFT($D220,3)="MAS",420,IF($F220="INIT",1000,700))))))</f>
        <v/>
      </c>
      <c r="L220" s="0">
        <f>IF($A220="","",SUMIFS($G$1:$G$349,$AS$1:$AS$349,$AS220,$B$1:$B$349,$B220))</f>
        <v/>
      </c>
      <c r="M220" s="0">
        <f>IF($A220="","",SUMIFS($H$1:$H$349,$AS$1:$AS$349,$AS220,$B$1:$B$349,$B220))</f>
        <v/>
      </c>
      <c r="N220" s="0">
        <f>IF($A220="","",SUMIFS($I$1:$I$349,$AS$1:$AS$349,$AS220,$B$1:$B$349,$B220))</f>
        <v/>
      </c>
      <c r="O220" s="0">
        <f>IF($A220="","",SUMIFS($K$1:$K$349,$AS$1:$AS$349,$AS220,$B$1:$B$349,$B220))</f>
        <v/>
      </c>
      <c r="P220" s="0">
        <f>IF($A220="","",SUMIFS($J$1:$J$349,$AS$1:$AS$349,$AS220,$B$1:$B$349,$B220))</f>
        <v/>
      </c>
      <c r="Q220" s="0">
        <f>IF($A220="","",SUMIFS($G$1:$G$349,$AS$1:$AS$349,$AS220,$C$1:$C$349,$C220))</f>
        <v/>
      </c>
      <c r="R220" s="0">
        <f>IF($A220="","",SUMIFS($H$1:$H$349,$AS$1:$AS$349,$AS220,$C$1:$C$349,$C220))</f>
        <v/>
      </c>
      <c r="S220" s="0">
        <f>IF($A220="","",SUMIFS($I$1:$I$349,$AS$1:$AS$349,$AS220,$C$1:$C$349,$C220))</f>
        <v/>
      </c>
      <c r="T220" s="0">
        <f>IF($A220="","",SUMIFS($G$1:$G$349,$AS$1:$AS$349,$AS220))</f>
        <v/>
      </c>
      <c r="U220" s="0">
        <f>IF($A220="","",SUMIFS($H$1:$H$349,$AS$1:$AS$349,$AS220))</f>
        <v/>
      </c>
      <c r="V220" s="0">
        <f>IF($A220="","",SUMIFS($I$1:$I$349,$AS$1:$AS$349,$AS220))</f>
        <v/>
      </c>
      <c r="W220" s="0">
        <f>IF($A220="","",Allocation!CD220)</f>
        <v/>
      </c>
      <c r="X220" s="0">
        <f>IF($A220="","",Allocation!CE220)</f>
        <v/>
      </c>
      <c r="Y220" s="0">
        <f>IF($A220="","",Allocation!CF220)</f>
        <v/>
      </c>
      <c r="Z220" s="0">
        <f>IF($A220="","",Allocation!CG220)</f>
        <v/>
      </c>
      <c r="AA220" s="0">
        <f>IF($A220="","",Allocation!CH220)</f>
        <v/>
      </c>
      <c r="AB220" s="0">
        <f>IF($A220="","",Allocation!CI220)</f>
        <v/>
      </c>
      <c r="AC220" s="0">
        <f>IF($A220="","",IF(Allocation!$N$4="VOL_EFF",$G220,IF(Allocation!$N$4="VOL_CLASS",$H220,$I220)))</f>
        <v/>
      </c>
      <c r="AD220" s="0">
        <f>IF($A220="","",IF(Allocation!$N$4="VOL_EFF",$L220,IF(Allocation!$N$4="VOL_CLASS",$M220,$N220)))</f>
        <v/>
      </c>
      <c r="AE220" s="0">
        <f>IF($A220="","",IF(Allocation!$N$3="VOL_EFF",$L220,IF(Allocation!$N$3="VOL_CLASS",$M220,$N220)))</f>
        <v/>
      </c>
      <c r="AF220" s="0">
        <f>IF($A220="","",IF(Allocation!$N$3="VOL_EFF",$Q220,IF(Allocation!$N$3="VOL_CLASS",$R220,$S220)))</f>
        <v/>
      </c>
      <c r="AG220" s="0">
        <f>IF($A220="","",IF(Allocation!$N$1="VOL_EFF",$Q220,IF(Allocation!$N$1="VOL_CLASS",$R220,$S220)))</f>
        <v/>
      </c>
      <c r="AH220" s="0">
        <f>IF($A220="","",IF(Allocation!$N$1="VOL_EFF",$T220,IF(Allocation!$N$1="VOL_CLASS",$U220,$V220)))</f>
        <v/>
      </c>
      <c r="AI220" s="0">
        <f>IF($A220="","",$W220*IFERROR($K220/$O220,0))</f>
        <v/>
      </c>
      <c r="AJ220" s="0">
        <f>IF($A220="","",$X220*IFERROR($K220/$O220,0))</f>
        <v/>
      </c>
      <c r="AK220" s="0">
        <f>IF($A220="","",$Y220*IFERROR($G220/$L220,0)+$Z220*IFERROR($J220/$P220,0))</f>
        <v/>
      </c>
      <c r="AL220" s="0">
        <f>IF($A220="","",$AA220*IFERROR($AC220/$AD220,0))</f>
        <v/>
      </c>
      <c r="AM220" s="0">
        <f>IF($A220="","",$AB220*IFERROR($AG220/$AH220,0)*IFERROR($AE220/$AF220,0)*IFERROR($AC220/$AD220,0))</f>
        <v/>
      </c>
      <c r="AN220" s="0">
        <f>IF($A220="","",$I220-($AI220+$AJ220+$AK220+$AL220+$AM220+$AR220))</f>
        <v/>
      </c>
      <c r="AO220" s="0">
        <f>IF($A220="","",Allocation!CJ220)</f>
        <v/>
      </c>
      <c r="AP220" s="0">
        <f>IF($A220="","",IF(Allocation!$N$2="VOL_EFF",$Q220,IF(Allocation!$N$2="VOL_CLASS",$R220,$S220)))</f>
        <v/>
      </c>
      <c r="AQ220" s="0">
        <f>IF($A220="","",IF(Allocation!$N$2="VOL_EFF",$T220,IF(Allocation!$N$2="VOL_CLASS",$U220,$V220)))</f>
        <v/>
      </c>
      <c r="AR220" s="0">
        <f>IF($A220="","",$AO220*IFERROR($AP220/$AQ220,0)*IFERROR($AE220/$AF220,0)*IFERROR($AC220/$AD220,0))</f>
        <v/>
      </c>
      <c r="AS220" s="0">
        <f>IF($A220="","",$A220&amp;"|"&amp;Allocation!BG220)</f>
        <v/>
      </c>
    </row>
    <row r="221" ht="14.4975" customHeight="1" s="64">
      <c r="A221" s="0">
        <f>IF(Allocation!BI221="","",Allocation!BI221)</f>
        <v/>
      </c>
      <c r="B221" s="0">
        <f>IF(Allocation!BJ221="","",Allocation!BJ221)</f>
        <v/>
      </c>
      <c r="C221" s="0">
        <f>IF(Allocation!BK221="","",Allocation!BK221)</f>
        <v/>
      </c>
      <c r="D221" s="0">
        <f>IF(Allocation!BL221="","",Allocation!BL221)</f>
        <v/>
      </c>
      <c r="E221" s="0">
        <f>IF(Allocation!BM221="","",Allocation!BM221)</f>
        <v/>
      </c>
      <c r="F221" s="0">
        <f>IF(Allocation!BN221="","",Allocation!BN221)</f>
        <v/>
      </c>
      <c r="G221" s="0">
        <f>IF(Allocation!BO221="","",Allocation!BO221)</f>
        <v/>
      </c>
      <c r="H221" s="0">
        <f>IF(Allocation!BP221="","",Allocation!BP221)</f>
        <v/>
      </c>
      <c r="I221" s="0">
        <f>IF(Allocation!BQ221="","",Allocation!BQ221)</f>
        <v/>
      </c>
      <c r="J221" s="0">
        <f>IF(Allocation!CC221="","",Allocation!CC221)</f>
        <v/>
      </c>
      <c r="K221" s="0">
        <f>IF($A221="","",$H221*IF(AND(LEFT($D221,3)="BAC",$F221="INIT"),600,IF(LEFT($D221,3)="BAC",480,IF(AND(LEFT($D221,3)="MAS",$F221="INIT"),520,IF(LEFT($D221,3)="MAS",420,IF($F221="INIT",1000,700))))))</f>
        <v/>
      </c>
      <c r="L221" s="0">
        <f>IF($A221="","",SUMIFS($G$1:$G$349,$AS$1:$AS$349,$AS221,$B$1:$B$349,$B221))</f>
        <v/>
      </c>
      <c r="M221" s="0">
        <f>IF($A221="","",SUMIFS($H$1:$H$349,$AS$1:$AS$349,$AS221,$B$1:$B$349,$B221))</f>
        <v/>
      </c>
      <c r="N221" s="0">
        <f>IF($A221="","",SUMIFS($I$1:$I$349,$AS$1:$AS$349,$AS221,$B$1:$B$349,$B221))</f>
        <v/>
      </c>
      <c r="O221" s="0">
        <f>IF($A221="","",SUMIFS($K$1:$K$349,$AS$1:$AS$349,$AS221,$B$1:$B$349,$B221))</f>
        <v/>
      </c>
      <c r="P221" s="0">
        <f>IF($A221="","",SUMIFS($J$1:$J$349,$AS$1:$AS$349,$AS221,$B$1:$B$349,$B221))</f>
        <v/>
      </c>
      <c r="Q221" s="0">
        <f>IF($A221="","",SUMIFS($G$1:$G$349,$AS$1:$AS$349,$AS221,$C$1:$C$349,$C221))</f>
        <v/>
      </c>
      <c r="R221" s="0">
        <f>IF($A221="","",SUMIFS($H$1:$H$349,$AS$1:$AS$349,$AS221,$C$1:$C$349,$C221))</f>
        <v/>
      </c>
      <c r="S221" s="0">
        <f>IF($A221="","",SUMIFS($I$1:$I$349,$AS$1:$AS$349,$AS221,$C$1:$C$349,$C221))</f>
        <v/>
      </c>
      <c r="T221" s="0">
        <f>IF($A221="","",SUMIFS($G$1:$G$349,$AS$1:$AS$349,$AS221))</f>
        <v/>
      </c>
      <c r="U221" s="0">
        <f>IF($A221="","",SUMIFS($H$1:$H$349,$AS$1:$AS$349,$AS221))</f>
        <v/>
      </c>
      <c r="V221" s="0">
        <f>IF($A221="","",SUMIFS($I$1:$I$349,$AS$1:$AS$349,$AS221))</f>
        <v/>
      </c>
      <c r="W221" s="0">
        <f>IF($A221="","",Allocation!CD221)</f>
        <v/>
      </c>
      <c r="X221" s="0">
        <f>IF($A221="","",Allocation!CE221)</f>
        <v/>
      </c>
      <c r="Y221" s="0">
        <f>IF($A221="","",Allocation!CF221)</f>
        <v/>
      </c>
      <c r="Z221" s="0">
        <f>IF($A221="","",Allocation!CG221)</f>
        <v/>
      </c>
      <c r="AA221" s="0">
        <f>IF($A221="","",Allocation!CH221)</f>
        <v/>
      </c>
      <c r="AB221" s="0">
        <f>IF($A221="","",Allocation!CI221)</f>
        <v/>
      </c>
      <c r="AC221" s="0">
        <f>IF($A221="","",IF(Allocation!$N$4="VOL_EFF",$G221,IF(Allocation!$N$4="VOL_CLASS",$H221,$I221)))</f>
        <v/>
      </c>
      <c r="AD221" s="0">
        <f>IF($A221="","",IF(Allocation!$N$4="VOL_EFF",$L221,IF(Allocation!$N$4="VOL_CLASS",$M221,$N221)))</f>
        <v/>
      </c>
      <c r="AE221" s="0">
        <f>IF($A221="","",IF(Allocation!$N$3="VOL_EFF",$L221,IF(Allocation!$N$3="VOL_CLASS",$M221,$N221)))</f>
        <v/>
      </c>
      <c r="AF221" s="0">
        <f>IF($A221="","",IF(Allocation!$N$3="VOL_EFF",$Q221,IF(Allocation!$N$3="VOL_CLASS",$R221,$S221)))</f>
        <v/>
      </c>
      <c r="AG221" s="0">
        <f>IF($A221="","",IF(Allocation!$N$1="VOL_EFF",$Q221,IF(Allocation!$N$1="VOL_CLASS",$R221,$S221)))</f>
        <v/>
      </c>
      <c r="AH221" s="0">
        <f>IF($A221="","",IF(Allocation!$N$1="VOL_EFF",$T221,IF(Allocation!$N$1="VOL_CLASS",$U221,$V221)))</f>
        <v/>
      </c>
      <c r="AI221" s="0">
        <f>IF($A221="","",$W221*IFERROR($K221/$O221,0))</f>
        <v/>
      </c>
      <c r="AJ221" s="0">
        <f>IF($A221="","",$X221*IFERROR($K221/$O221,0))</f>
        <v/>
      </c>
      <c r="AK221" s="0">
        <f>IF($A221="","",$Y221*IFERROR($G221/$L221,0)+$Z221*IFERROR($J221/$P221,0))</f>
        <v/>
      </c>
      <c r="AL221" s="0">
        <f>IF($A221="","",$AA221*IFERROR($AC221/$AD221,0))</f>
        <v/>
      </c>
      <c r="AM221" s="0">
        <f>IF($A221="","",$AB221*IFERROR($AG221/$AH221,0)*IFERROR($AE221/$AF221,0)*IFERROR($AC221/$AD221,0))</f>
        <v/>
      </c>
      <c r="AN221" s="0">
        <f>IF($A221="","",$I221-($AI221+$AJ221+$AK221+$AL221+$AM221+$AR221))</f>
        <v/>
      </c>
      <c r="AO221" s="0">
        <f>IF($A221="","",Allocation!CJ221)</f>
        <v/>
      </c>
      <c r="AP221" s="0">
        <f>IF($A221="","",IF(Allocation!$N$2="VOL_EFF",$Q221,IF(Allocation!$N$2="VOL_CLASS",$R221,$S221)))</f>
        <v/>
      </c>
      <c r="AQ221" s="0">
        <f>IF($A221="","",IF(Allocation!$N$2="VOL_EFF",$T221,IF(Allocation!$N$2="VOL_CLASS",$U221,$V221)))</f>
        <v/>
      </c>
      <c r="AR221" s="0">
        <f>IF($A221="","",$AO221*IFERROR($AP221/$AQ221,0)*IFERROR($AE221/$AF221,0)*IFERROR($AC221/$AD221,0))</f>
        <v/>
      </c>
      <c r="AS221" s="0">
        <f>IF($A221="","",$A221&amp;"|"&amp;Allocation!BG221)</f>
        <v/>
      </c>
    </row>
    <row r="222" ht="14.4975" customHeight="1" s="64">
      <c r="A222" s="0">
        <f>IF(Allocation!BI222="","",Allocation!BI222)</f>
        <v/>
      </c>
      <c r="B222" s="0">
        <f>IF(Allocation!BJ222="","",Allocation!BJ222)</f>
        <v/>
      </c>
      <c r="C222" s="0">
        <f>IF(Allocation!BK222="","",Allocation!BK222)</f>
        <v/>
      </c>
      <c r="D222" s="0">
        <f>IF(Allocation!BL222="","",Allocation!BL222)</f>
        <v/>
      </c>
      <c r="E222" s="0">
        <f>IF(Allocation!BM222="","",Allocation!BM222)</f>
        <v/>
      </c>
      <c r="F222" s="0">
        <f>IF(Allocation!BN222="","",Allocation!BN222)</f>
        <v/>
      </c>
      <c r="G222" s="0">
        <f>IF(Allocation!BO222="","",Allocation!BO222)</f>
        <v/>
      </c>
      <c r="H222" s="0">
        <f>IF(Allocation!BP222="","",Allocation!BP222)</f>
        <v/>
      </c>
      <c r="I222" s="0">
        <f>IF(Allocation!BQ222="","",Allocation!BQ222)</f>
        <v/>
      </c>
      <c r="J222" s="0">
        <f>IF(Allocation!CC222="","",Allocation!CC222)</f>
        <v/>
      </c>
      <c r="K222" s="0">
        <f>IF($A222="","",$H222*IF(AND(LEFT($D222,3)="BAC",$F222="INIT"),600,IF(LEFT($D222,3)="BAC",480,IF(AND(LEFT($D222,3)="MAS",$F222="INIT"),520,IF(LEFT($D222,3)="MAS",420,IF($F222="INIT",1000,700))))))</f>
        <v/>
      </c>
      <c r="L222" s="0">
        <f>IF($A222="","",SUMIFS($G$1:$G$349,$AS$1:$AS$349,$AS222,$B$1:$B$349,$B222))</f>
        <v/>
      </c>
      <c r="M222" s="0">
        <f>IF($A222="","",SUMIFS($H$1:$H$349,$AS$1:$AS$349,$AS222,$B$1:$B$349,$B222))</f>
        <v/>
      </c>
      <c r="N222" s="0">
        <f>IF($A222="","",SUMIFS($I$1:$I$349,$AS$1:$AS$349,$AS222,$B$1:$B$349,$B222))</f>
        <v/>
      </c>
      <c r="O222" s="0">
        <f>IF($A222="","",SUMIFS($K$1:$K$349,$AS$1:$AS$349,$AS222,$B$1:$B$349,$B222))</f>
        <v/>
      </c>
      <c r="P222" s="0">
        <f>IF($A222="","",SUMIFS($J$1:$J$349,$AS$1:$AS$349,$AS222,$B$1:$B$349,$B222))</f>
        <v/>
      </c>
      <c r="Q222" s="0">
        <f>IF($A222="","",SUMIFS($G$1:$G$349,$AS$1:$AS$349,$AS222,$C$1:$C$349,$C222))</f>
        <v/>
      </c>
      <c r="R222" s="0">
        <f>IF($A222="","",SUMIFS($H$1:$H$349,$AS$1:$AS$349,$AS222,$C$1:$C$349,$C222))</f>
        <v/>
      </c>
      <c r="S222" s="0">
        <f>IF($A222="","",SUMIFS($I$1:$I$349,$AS$1:$AS$349,$AS222,$C$1:$C$349,$C222))</f>
        <v/>
      </c>
      <c r="T222" s="0">
        <f>IF($A222="","",SUMIFS($G$1:$G$349,$AS$1:$AS$349,$AS222))</f>
        <v/>
      </c>
      <c r="U222" s="0">
        <f>IF($A222="","",SUMIFS($H$1:$H$349,$AS$1:$AS$349,$AS222))</f>
        <v/>
      </c>
      <c r="V222" s="0">
        <f>IF($A222="","",SUMIFS($I$1:$I$349,$AS$1:$AS$349,$AS222))</f>
        <v/>
      </c>
      <c r="W222" s="0">
        <f>IF($A222="","",Allocation!CD222)</f>
        <v/>
      </c>
      <c r="X222" s="0">
        <f>IF($A222="","",Allocation!CE222)</f>
        <v/>
      </c>
      <c r="Y222" s="0">
        <f>IF($A222="","",Allocation!CF222)</f>
        <v/>
      </c>
      <c r="Z222" s="0">
        <f>IF($A222="","",Allocation!CG222)</f>
        <v/>
      </c>
      <c r="AA222" s="0">
        <f>IF($A222="","",Allocation!CH222)</f>
        <v/>
      </c>
      <c r="AB222" s="0">
        <f>IF($A222="","",Allocation!CI222)</f>
        <v/>
      </c>
      <c r="AC222" s="0">
        <f>IF($A222="","",IF(Allocation!$N$4="VOL_EFF",$G222,IF(Allocation!$N$4="VOL_CLASS",$H222,$I222)))</f>
        <v/>
      </c>
      <c r="AD222" s="0">
        <f>IF($A222="","",IF(Allocation!$N$4="VOL_EFF",$L222,IF(Allocation!$N$4="VOL_CLASS",$M222,$N222)))</f>
        <v/>
      </c>
      <c r="AE222" s="0">
        <f>IF($A222="","",IF(Allocation!$N$3="VOL_EFF",$L222,IF(Allocation!$N$3="VOL_CLASS",$M222,$N222)))</f>
        <v/>
      </c>
      <c r="AF222" s="0">
        <f>IF($A222="","",IF(Allocation!$N$3="VOL_EFF",$Q222,IF(Allocation!$N$3="VOL_CLASS",$R222,$S222)))</f>
        <v/>
      </c>
      <c r="AG222" s="0">
        <f>IF($A222="","",IF(Allocation!$N$1="VOL_EFF",$Q222,IF(Allocation!$N$1="VOL_CLASS",$R222,$S222)))</f>
        <v/>
      </c>
      <c r="AH222" s="0">
        <f>IF($A222="","",IF(Allocation!$N$1="VOL_EFF",$T222,IF(Allocation!$N$1="VOL_CLASS",$U222,$V222)))</f>
        <v/>
      </c>
      <c r="AI222" s="0">
        <f>IF($A222="","",$W222*IFERROR($K222/$O222,0))</f>
        <v/>
      </c>
      <c r="AJ222" s="0">
        <f>IF($A222="","",$X222*IFERROR($K222/$O222,0))</f>
        <v/>
      </c>
      <c r="AK222" s="0">
        <f>IF($A222="","",$Y222*IFERROR($G222/$L222,0)+$Z222*IFERROR($J222/$P222,0))</f>
        <v/>
      </c>
      <c r="AL222" s="0">
        <f>IF($A222="","",$AA222*IFERROR($AC222/$AD222,0))</f>
        <v/>
      </c>
      <c r="AM222" s="0">
        <f>IF($A222="","",$AB222*IFERROR($AG222/$AH222,0)*IFERROR($AE222/$AF222,0)*IFERROR($AC222/$AD222,0))</f>
        <v/>
      </c>
      <c r="AN222" s="0">
        <f>IF($A222="","",$I222-($AI222+$AJ222+$AK222+$AL222+$AM222+$AR222))</f>
        <v/>
      </c>
      <c r="AO222" s="0">
        <f>IF($A222="","",Allocation!CJ222)</f>
        <v/>
      </c>
      <c r="AP222" s="0">
        <f>IF($A222="","",IF(Allocation!$N$2="VOL_EFF",$Q222,IF(Allocation!$N$2="VOL_CLASS",$R222,$S222)))</f>
        <v/>
      </c>
      <c r="AQ222" s="0">
        <f>IF($A222="","",IF(Allocation!$N$2="VOL_EFF",$T222,IF(Allocation!$N$2="VOL_CLASS",$U222,$V222)))</f>
        <v/>
      </c>
      <c r="AR222" s="0">
        <f>IF($A222="","",$AO222*IFERROR($AP222/$AQ222,0)*IFERROR($AE222/$AF222,0)*IFERROR($AC222/$AD222,0))</f>
        <v/>
      </c>
      <c r="AS222" s="0">
        <f>IF($A222="","",$A222&amp;"|"&amp;Allocation!BG222)</f>
        <v/>
      </c>
    </row>
    <row r="223" ht="14.4975" customHeight="1" s="64">
      <c r="A223" s="0">
        <f>IF(Allocation!BI223="","",Allocation!BI223)</f>
        <v/>
      </c>
      <c r="B223" s="0">
        <f>IF(Allocation!BJ223="","",Allocation!BJ223)</f>
        <v/>
      </c>
      <c r="C223" s="0">
        <f>IF(Allocation!BK223="","",Allocation!BK223)</f>
        <v/>
      </c>
      <c r="D223" s="0">
        <f>IF(Allocation!BL223="","",Allocation!BL223)</f>
        <v/>
      </c>
      <c r="E223" s="0">
        <f>IF(Allocation!BM223="","",Allocation!BM223)</f>
        <v/>
      </c>
      <c r="F223" s="0">
        <f>IF(Allocation!BN223="","",Allocation!BN223)</f>
        <v/>
      </c>
      <c r="G223" s="0">
        <f>IF(Allocation!BO223="","",Allocation!BO223)</f>
        <v/>
      </c>
      <c r="H223" s="0">
        <f>IF(Allocation!BP223="","",Allocation!BP223)</f>
        <v/>
      </c>
      <c r="I223" s="0">
        <f>IF(Allocation!BQ223="","",Allocation!BQ223)</f>
        <v/>
      </c>
      <c r="J223" s="0">
        <f>IF(Allocation!CC223="","",Allocation!CC223)</f>
        <v/>
      </c>
      <c r="K223" s="0">
        <f>IF($A223="","",$H223*IF(AND(LEFT($D223,3)="BAC",$F223="INIT"),600,IF(LEFT($D223,3)="BAC",480,IF(AND(LEFT($D223,3)="MAS",$F223="INIT"),520,IF(LEFT($D223,3)="MAS",420,IF($F223="INIT",1000,700))))))</f>
        <v/>
      </c>
      <c r="L223" s="0">
        <f>IF($A223="","",SUMIFS($G$1:$G$349,$AS$1:$AS$349,$AS223,$B$1:$B$349,$B223))</f>
        <v/>
      </c>
      <c r="M223" s="0">
        <f>IF($A223="","",SUMIFS($H$1:$H$349,$AS$1:$AS$349,$AS223,$B$1:$B$349,$B223))</f>
        <v/>
      </c>
      <c r="N223" s="0">
        <f>IF($A223="","",SUMIFS($I$1:$I$349,$AS$1:$AS$349,$AS223,$B$1:$B$349,$B223))</f>
        <v/>
      </c>
      <c r="O223" s="0">
        <f>IF($A223="","",SUMIFS($K$1:$K$349,$AS$1:$AS$349,$AS223,$B$1:$B$349,$B223))</f>
        <v/>
      </c>
      <c r="P223" s="0">
        <f>IF($A223="","",SUMIFS($J$1:$J$349,$AS$1:$AS$349,$AS223,$B$1:$B$349,$B223))</f>
        <v/>
      </c>
      <c r="Q223" s="0">
        <f>IF($A223="","",SUMIFS($G$1:$G$349,$AS$1:$AS$349,$AS223,$C$1:$C$349,$C223))</f>
        <v/>
      </c>
      <c r="R223" s="0">
        <f>IF($A223="","",SUMIFS($H$1:$H$349,$AS$1:$AS$349,$AS223,$C$1:$C$349,$C223))</f>
        <v/>
      </c>
      <c r="S223" s="0">
        <f>IF($A223="","",SUMIFS($I$1:$I$349,$AS$1:$AS$349,$AS223,$C$1:$C$349,$C223))</f>
        <v/>
      </c>
      <c r="T223" s="0">
        <f>IF($A223="","",SUMIFS($G$1:$G$349,$AS$1:$AS$349,$AS223))</f>
        <v/>
      </c>
      <c r="U223" s="0">
        <f>IF($A223="","",SUMIFS($H$1:$H$349,$AS$1:$AS$349,$AS223))</f>
        <v/>
      </c>
      <c r="V223" s="0">
        <f>IF($A223="","",SUMIFS($I$1:$I$349,$AS$1:$AS$349,$AS223))</f>
        <v/>
      </c>
      <c r="W223" s="0">
        <f>IF($A223="","",Allocation!CD223)</f>
        <v/>
      </c>
      <c r="X223" s="0">
        <f>IF($A223="","",Allocation!CE223)</f>
        <v/>
      </c>
      <c r="Y223" s="0">
        <f>IF($A223="","",Allocation!CF223)</f>
        <v/>
      </c>
      <c r="Z223" s="0">
        <f>IF($A223="","",Allocation!CG223)</f>
        <v/>
      </c>
      <c r="AA223" s="0">
        <f>IF($A223="","",Allocation!CH223)</f>
        <v/>
      </c>
      <c r="AB223" s="0">
        <f>IF($A223="","",Allocation!CI223)</f>
        <v/>
      </c>
      <c r="AC223" s="0">
        <f>IF($A223="","",IF(Allocation!$N$4="VOL_EFF",$G223,IF(Allocation!$N$4="VOL_CLASS",$H223,$I223)))</f>
        <v/>
      </c>
      <c r="AD223" s="0">
        <f>IF($A223="","",IF(Allocation!$N$4="VOL_EFF",$L223,IF(Allocation!$N$4="VOL_CLASS",$M223,$N223)))</f>
        <v/>
      </c>
      <c r="AE223" s="0">
        <f>IF($A223="","",IF(Allocation!$N$3="VOL_EFF",$L223,IF(Allocation!$N$3="VOL_CLASS",$M223,$N223)))</f>
        <v/>
      </c>
      <c r="AF223" s="0">
        <f>IF($A223="","",IF(Allocation!$N$3="VOL_EFF",$Q223,IF(Allocation!$N$3="VOL_CLASS",$R223,$S223)))</f>
        <v/>
      </c>
      <c r="AG223" s="0">
        <f>IF($A223="","",IF(Allocation!$N$1="VOL_EFF",$Q223,IF(Allocation!$N$1="VOL_CLASS",$R223,$S223)))</f>
        <v/>
      </c>
      <c r="AH223" s="0">
        <f>IF($A223="","",IF(Allocation!$N$1="VOL_EFF",$T223,IF(Allocation!$N$1="VOL_CLASS",$U223,$V223)))</f>
        <v/>
      </c>
      <c r="AI223" s="0">
        <f>IF($A223="","",$W223*IFERROR($K223/$O223,0))</f>
        <v/>
      </c>
      <c r="AJ223" s="0">
        <f>IF($A223="","",$X223*IFERROR($K223/$O223,0))</f>
        <v/>
      </c>
      <c r="AK223" s="0">
        <f>IF($A223="","",$Y223*IFERROR($G223/$L223,0)+$Z223*IFERROR($J223/$P223,0))</f>
        <v/>
      </c>
      <c r="AL223" s="0">
        <f>IF($A223="","",$AA223*IFERROR($AC223/$AD223,0))</f>
        <v/>
      </c>
      <c r="AM223" s="0">
        <f>IF($A223="","",$AB223*IFERROR($AG223/$AH223,0)*IFERROR($AE223/$AF223,0)*IFERROR($AC223/$AD223,0))</f>
        <v/>
      </c>
      <c r="AN223" s="0">
        <f>IF($A223="","",$I223-($AI223+$AJ223+$AK223+$AL223+$AM223+$AR223))</f>
        <v/>
      </c>
      <c r="AO223" s="0">
        <f>IF($A223="","",Allocation!CJ223)</f>
        <v/>
      </c>
      <c r="AP223" s="0">
        <f>IF($A223="","",IF(Allocation!$N$2="VOL_EFF",$Q223,IF(Allocation!$N$2="VOL_CLASS",$R223,$S223)))</f>
        <v/>
      </c>
      <c r="AQ223" s="0">
        <f>IF($A223="","",IF(Allocation!$N$2="VOL_EFF",$T223,IF(Allocation!$N$2="VOL_CLASS",$U223,$V223)))</f>
        <v/>
      </c>
      <c r="AR223" s="0">
        <f>IF($A223="","",$AO223*IFERROR($AP223/$AQ223,0)*IFERROR($AE223/$AF223,0)*IFERROR($AC223/$AD223,0))</f>
        <v/>
      </c>
      <c r="AS223" s="0">
        <f>IF($A223="","",$A223&amp;"|"&amp;Allocation!BG223)</f>
        <v/>
      </c>
    </row>
    <row r="224" ht="14.4975" customHeight="1" s="64">
      <c r="A224" s="0">
        <f>IF(Allocation!BI224="","",Allocation!BI224)</f>
        <v/>
      </c>
      <c r="B224" s="0">
        <f>IF(Allocation!BJ224="","",Allocation!BJ224)</f>
        <v/>
      </c>
      <c r="C224" s="0">
        <f>IF(Allocation!BK224="","",Allocation!BK224)</f>
        <v/>
      </c>
      <c r="D224" s="0">
        <f>IF(Allocation!BL224="","",Allocation!BL224)</f>
        <v/>
      </c>
      <c r="E224" s="0">
        <f>IF(Allocation!BM224="","",Allocation!BM224)</f>
        <v/>
      </c>
      <c r="F224" s="0">
        <f>IF(Allocation!BN224="","",Allocation!BN224)</f>
        <v/>
      </c>
      <c r="G224" s="0">
        <f>IF(Allocation!BO224="","",Allocation!BO224)</f>
        <v/>
      </c>
      <c r="H224" s="0">
        <f>IF(Allocation!BP224="","",Allocation!BP224)</f>
        <v/>
      </c>
      <c r="I224" s="0">
        <f>IF(Allocation!BQ224="","",Allocation!BQ224)</f>
        <v/>
      </c>
      <c r="J224" s="0">
        <f>IF(Allocation!CC224="","",Allocation!CC224)</f>
        <v/>
      </c>
      <c r="K224" s="0">
        <f>IF($A224="","",$H224*IF(AND(LEFT($D224,3)="BAC",$F224="INIT"),600,IF(LEFT($D224,3)="BAC",480,IF(AND(LEFT($D224,3)="MAS",$F224="INIT"),520,IF(LEFT($D224,3)="MAS",420,IF($F224="INIT",1000,700))))))</f>
        <v/>
      </c>
      <c r="L224" s="0">
        <f>IF($A224="","",SUMIFS($G$1:$G$349,$AS$1:$AS$349,$AS224,$B$1:$B$349,$B224))</f>
        <v/>
      </c>
      <c r="M224" s="0">
        <f>IF($A224="","",SUMIFS($H$1:$H$349,$AS$1:$AS$349,$AS224,$B$1:$B$349,$B224))</f>
        <v/>
      </c>
      <c r="N224" s="0">
        <f>IF($A224="","",SUMIFS($I$1:$I$349,$AS$1:$AS$349,$AS224,$B$1:$B$349,$B224))</f>
        <v/>
      </c>
      <c r="O224" s="0">
        <f>IF($A224="","",SUMIFS($K$1:$K$349,$AS$1:$AS$349,$AS224,$B$1:$B$349,$B224))</f>
        <v/>
      </c>
      <c r="P224" s="0">
        <f>IF($A224="","",SUMIFS($J$1:$J$349,$AS$1:$AS$349,$AS224,$B$1:$B$349,$B224))</f>
        <v/>
      </c>
      <c r="Q224" s="0">
        <f>IF($A224="","",SUMIFS($G$1:$G$349,$AS$1:$AS$349,$AS224,$C$1:$C$349,$C224))</f>
        <v/>
      </c>
      <c r="R224" s="0">
        <f>IF($A224="","",SUMIFS($H$1:$H$349,$AS$1:$AS$349,$AS224,$C$1:$C$349,$C224))</f>
        <v/>
      </c>
      <c r="S224" s="0">
        <f>IF($A224="","",SUMIFS($I$1:$I$349,$AS$1:$AS$349,$AS224,$C$1:$C$349,$C224))</f>
        <v/>
      </c>
      <c r="T224" s="0">
        <f>IF($A224="","",SUMIFS($G$1:$G$349,$AS$1:$AS$349,$AS224))</f>
        <v/>
      </c>
      <c r="U224" s="0">
        <f>IF($A224="","",SUMIFS($H$1:$H$349,$AS$1:$AS$349,$AS224))</f>
        <v/>
      </c>
      <c r="V224" s="0">
        <f>IF($A224="","",SUMIFS($I$1:$I$349,$AS$1:$AS$349,$AS224))</f>
        <v/>
      </c>
      <c r="W224" s="0">
        <f>IF($A224="","",Allocation!CD224)</f>
        <v/>
      </c>
      <c r="X224" s="0">
        <f>IF($A224="","",Allocation!CE224)</f>
        <v/>
      </c>
      <c r="Y224" s="0">
        <f>IF($A224="","",Allocation!CF224)</f>
        <v/>
      </c>
      <c r="Z224" s="0">
        <f>IF($A224="","",Allocation!CG224)</f>
        <v/>
      </c>
      <c r="AA224" s="0">
        <f>IF($A224="","",Allocation!CH224)</f>
        <v/>
      </c>
      <c r="AB224" s="0">
        <f>IF($A224="","",Allocation!CI224)</f>
        <v/>
      </c>
      <c r="AC224" s="0">
        <f>IF($A224="","",IF(Allocation!$N$4="VOL_EFF",$G224,IF(Allocation!$N$4="VOL_CLASS",$H224,$I224)))</f>
        <v/>
      </c>
      <c r="AD224" s="0">
        <f>IF($A224="","",IF(Allocation!$N$4="VOL_EFF",$L224,IF(Allocation!$N$4="VOL_CLASS",$M224,$N224)))</f>
        <v/>
      </c>
      <c r="AE224" s="0">
        <f>IF($A224="","",IF(Allocation!$N$3="VOL_EFF",$L224,IF(Allocation!$N$3="VOL_CLASS",$M224,$N224)))</f>
        <v/>
      </c>
      <c r="AF224" s="0">
        <f>IF($A224="","",IF(Allocation!$N$3="VOL_EFF",$Q224,IF(Allocation!$N$3="VOL_CLASS",$R224,$S224)))</f>
        <v/>
      </c>
      <c r="AG224" s="0">
        <f>IF($A224="","",IF(Allocation!$N$1="VOL_EFF",$Q224,IF(Allocation!$N$1="VOL_CLASS",$R224,$S224)))</f>
        <v/>
      </c>
      <c r="AH224" s="0">
        <f>IF($A224="","",IF(Allocation!$N$1="VOL_EFF",$T224,IF(Allocation!$N$1="VOL_CLASS",$U224,$V224)))</f>
        <v/>
      </c>
      <c r="AI224" s="0">
        <f>IF($A224="","",$W224*IFERROR($K224/$O224,0))</f>
        <v/>
      </c>
      <c r="AJ224" s="0">
        <f>IF($A224="","",$X224*IFERROR($K224/$O224,0))</f>
        <v/>
      </c>
      <c r="AK224" s="0">
        <f>IF($A224="","",$Y224*IFERROR($G224/$L224,0)+$Z224*IFERROR($J224/$P224,0))</f>
        <v/>
      </c>
      <c r="AL224" s="0">
        <f>IF($A224="","",$AA224*IFERROR($AC224/$AD224,0))</f>
        <v/>
      </c>
      <c r="AM224" s="0">
        <f>IF($A224="","",$AB224*IFERROR($AG224/$AH224,0)*IFERROR($AE224/$AF224,0)*IFERROR($AC224/$AD224,0))</f>
        <v/>
      </c>
      <c r="AN224" s="0">
        <f>IF($A224="","",$I224-($AI224+$AJ224+$AK224+$AL224+$AM224+$AR224))</f>
        <v/>
      </c>
      <c r="AO224" s="0">
        <f>IF($A224="","",Allocation!CJ224)</f>
        <v/>
      </c>
      <c r="AP224" s="0">
        <f>IF($A224="","",IF(Allocation!$N$2="VOL_EFF",$Q224,IF(Allocation!$N$2="VOL_CLASS",$R224,$S224)))</f>
        <v/>
      </c>
      <c r="AQ224" s="0">
        <f>IF($A224="","",IF(Allocation!$N$2="VOL_EFF",$T224,IF(Allocation!$N$2="VOL_CLASS",$U224,$V224)))</f>
        <v/>
      </c>
      <c r="AR224" s="0">
        <f>IF($A224="","",$AO224*IFERROR($AP224/$AQ224,0)*IFERROR($AE224/$AF224,0)*IFERROR($AC224/$AD224,0))</f>
        <v/>
      </c>
      <c r="AS224" s="0">
        <f>IF($A224="","",$A224&amp;"|"&amp;Allocation!BG224)</f>
        <v/>
      </c>
    </row>
    <row r="225" ht="14.4975" customHeight="1" s="64">
      <c r="A225" s="0">
        <f>IF(Allocation!BI225="","",Allocation!BI225)</f>
        <v/>
      </c>
      <c r="B225" s="0">
        <f>IF(Allocation!BJ225="","",Allocation!BJ225)</f>
        <v/>
      </c>
      <c r="C225" s="0">
        <f>IF(Allocation!BK225="","",Allocation!BK225)</f>
        <v/>
      </c>
      <c r="D225" s="0">
        <f>IF(Allocation!BL225="","",Allocation!BL225)</f>
        <v/>
      </c>
      <c r="E225" s="0">
        <f>IF(Allocation!BM225="","",Allocation!BM225)</f>
        <v/>
      </c>
      <c r="F225" s="0">
        <f>IF(Allocation!BN225="","",Allocation!BN225)</f>
        <v/>
      </c>
      <c r="G225" s="0">
        <f>IF(Allocation!BO225="","",Allocation!BO225)</f>
        <v/>
      </c>
      <c r="H225" s="0">
        <f>IF(Allocation!BP225="","",Allocation!BP225)</f>
        <v/>
      </c>
      <c r="I225" s="0">
        <f>IF(Allocation!BQ225="","",Allocation!BQ225)</f>
        <v/>
      </c>
      <c r="J225" s="0">
        <f>IF(Allocation!CC225="","",Allocation!CC225)</f>
        <v/>
      </c>
      <c r="K225" s="0">
        <f>IF($A225="","",$H225*IF(AND(LEFT($D225,3)="BAC",$F225="INIT"),600,IF(LEFT($D225,3)="BAC",480,IF(AND(LEFT($D225,3)="MAS",$F225="INIT"),520,IF(LEFT($D225,3)="MAS",420,IF($F225="INIT",1000,700))))))</f>
        <v/>
      </c>
      <c r="L225" s="0">
        <f>IF($A225="","",SUMIFS($G$1:$G$349,$AS$1:$AS$349,$AS225,$B$1:$B$349,$B225))</f>
        <v/>
      </c>
      <c r="M225" s="0">
        <f>IF($A225="","",SUMIFS($H$1:$H$349,$AS$1:$AS$349,$AS225,$B$1:$B$349,$B225))</f>
        <v/>
      </c>
      <c r="N225" s="0">
        <f>IF($A225="","",SUMIFS($I$1:$I$349,$AS$1:$AS$349,$AS225,$B$1:$B$349,$B225))</f>
        <v/>
      </c>
      <c r="O225" s="0">
        <f>IF($A225="","",SUMIFS($K$1:$K$349,$AS$1:$AS$349,$AS225,$B$1:$B$349,$B225))</f>
        <v/>
      </c>
      <c r="P225" s="0">
        <f>IF($A225="","",SUMIFS($J$1:$J$349,$AS$1:$AS$349,$AS225,$B$1:$B$349,$B225))</f>
        <v/>
      </c>
      <c r="Q225" s="0">
        <f>IF($A225="","",SUMIFS($G$1:$G$349,$AS$1:$AS$349,$AS225,$C$1:$C$349,$C225))</f>
        <v/>
      </c>
      <c r="R225" s="0">
        <f>IF($A225="","",SUMIFS($H$1:$H$349,$AS$1:$AS$349,$AS225,$C$1:$C$349,$C225))</f>
        <v/>
      </c>
      <c r="S225" s="0">
        <f>IF($A225="","",SUMIFS($I$1:$I$349,$AS$1:$AS$349,$AS225,$C$1:$C$349,$C225))</f>
        <v/>
      </c>
      <c r="T225" s="0">
        <f>IF($A225="","",SUMIFS($G$1:$G$349,$AS$1:$AS$349,$AS225))</f>
        <v/>
      </c>
      <c r="U225" s="0">
        <f>IF($A225="","",SUMIFS($H$1:$H$349,$AS$1:$AS$349,$AS225))</f>
        <v/>
      </c>
      <c r="V225" s="0">
        <f>IF($A225="","",SUMIFS($I$1:$I$349,$AS$1:$AS$349,$AS225))</f>
        <v/>
      </c>
      <c r="W225" s="0">
        <f>IF($A225="","",Allocation!CD225)</f>
        <v/>
      </c>
      <c r="X225" s="0">
        <f>IF($A225="","",Allocation!CE225)</f>
        <v/>
      </c>
      <c r="Y225" s="0">
        <f>IF($A225="","",Allocation!CF225)</f>
        <v/>
      </c>
      <c r="Z225" s="0">
        <f>IF($A225="","",Allocation!CG225)</f>
        <v/>
      </c>
      <c r="AA225" s="0">
        <f>IF($A225="","",Allocation!CH225)</f>
        <v/>
      </c>
      <c r="AB225" s="0">
        <f>IF($A225="","",Allocation!CI225)</f>
        <v/>
      </c>
      <c r="AC225" s="0">
        <f>IF($A225="","",IF(Allocation!$N$4="VOL_EFF",$G225,IF(Allocation!$N$4="VOL_CLASS",$H225,$I225)))</f>
        <v/>
      </c>
      <c r="AD225" s="0">
        <f>IF($A225="","",IF(Allocation!$N$4="VOL_EFF",$L225,IF(Allocation!$N$4="VOL_CLASS",$M225,$N225)))</f>
        <v/>
      </c>
      <c r="AE225" s="0">
        <f>IF($A225="","",IF(Allocation!$N$3="VOL_EFF",$L225,IF(Allocation!$N$3="VOL_CLASS",$M225,$N225)))</f>
        <v/>
      </c>
      <c r="AF225" s="0">
        <f>IF($A225="","",IF(Allocation!$N$3="VOL_EFF",$Q225,IF(Allocation!$N$3="VOL_CLASS",$R225,$S225)))</f>
        <v/>
      </c>
      <c r="AG225" s="0">
        <f>IF($A225="","",IF(Allocation!$N$1="VOL_EFF",$Q225,IF(Allocation!$N$1="VOL_CLASS",$R225,$S225)))</f>
        <v/>
      </c>
      <c r="AH225" s="0">
        <f>IF($A225="","",IF(Allocation!$N$1="VOL_EFF",$T225,IF(Allocation!$N$1="VOL_CLASS",$U225,$V225)))</f>
        <v/>
      </c>
      <c r="AI225" s="0">
        <f>IF($A225="","",$W225*IFERROR($K225/$O225,0))</f>
        <v/>
      </c>
      <c r="AJ225" s="0">
        <f>IF($A225="","",$X225*IFERROR($K225/$O225,0))</f>
        <v/>
      </c>
      <c r="AK225" s="0">
        <f>IF($A225="","",$Y225*IFERROR($G225/$L225,0)+$Z225*IFERROR($J225/$P225,0))</f>
        <v/>
      </c>
      <c r="AL225" s="0">
        <f>IF($A225="","",$AA225*IFERROR($AC225/$AD225,0))</f>
        <v/>
      </c>
      <c r="AM225" s="0">
        <f>IF($A225="","",$AB225*IFERROR($AG225/$AH225,0)*IFERROR($AE225/$AF225,0)*IFERROR($AC225/$AD225,0))</f>
        <v/>
      </c>
      <c r="AN225" s="0">
        <f>IF($A225="","",$I225-($AI225+$AJ225+$AK225+$AL225+$AM225+$AR225))</f>
        <v/>
      </c>
      <c r="AO225" s="0">
        <f>IF($A225="","",Allocation!CJ225)</f>
        <v/>
      </c>
      <c r="AP225" s="0">
        <f>IF($A225="","",IF(Allocation!$N$2="VOL_EFF",$Q225,IF(Allocation!$N$2="VOL_CLASS",$R225,$S225)))</f>
        <v/>
      </c>
      <c r="AQ225" s="0">
        <f>IF($A225="","",IF(Allocation!$N$2="VOL_EFF",$T225,IF(Allocation!$N$2="VOL_CLASS",$U225,$V225)))</f>
        <v/>
      </c>
      <c r="AR225" s="0">
        <f>IF($A225="","",$AO225*IFERROR($AP225/$AQ225,0)*IFERROR($AE225/$AF225,0)*IFERROR($AC225/$AD225,0))</f>
        <v/>
      </c>
      <c r="AS225" s="0">
        <f>IF($A225="","",$A225&amp;"|"&amp;Allocation!BG225)</f>
        <v/>
      </c>
    </row>
    <row r="226" ht="14.4975" customHeight="1" s="64">
      <c r="A226" s="0">
        <f>IF(Allocation!BI226="","",Allocation!BI226)</f>
        <v/>
      </c>
      <c r="B226" s="0">
        <f>IF(Allocation!BJ226="","",Allocation!BJ226)</f>
        <v/>
      </c>
      <c r="C226" s="0">
        <f>IF(Allocation!BK226="","",Allocation!BK226)</f>
        <v/>
      </c>
      <c r="D226" s="0">
        <f>IF(Allocation!BL226="","",Allocation!BL226)</f>
        <v/>
      </c>
      <c r="E226" s="0">
        <f>IF(Allocation!BM226="","",Allocation!BM226)</f>
        <v/>
      </c>
      <c r="F226" s="0">
        <f>IF(Allocation!BN226="","",Allocation!BN226)</f>
        <v/>
      </c>
      <c r="G226" s="0">
        <f>IF(Allocation!BO226="","",Allocation!BO226)</f>
        <v/>
      </c>
      <c r="H226" s="0">
        <f>IF(Allocation!BP226="","",Allocation!BP226)</f>
        <v/>
      </c>
      <c r="I226" s="0">
        <f>IF(Allocation!BQ226="","",Allocation!BQ226)</f>
        <v/>
      </c>
      <c r="J226" s="0">
        <f>IF(Allocation!CC226="","",Allocation!CC226)</f>
        <v/>
      </c>
      <c r="K226" s="0">
        <f>IF($A226="","",$H226*IF(AND(LEFT($D226,3)="BAC",$F226="INIT"),600,IF(LEFT($D226,3)="BAC",480,IF(AND(LEFT($D226,3)="MAS",$F226="INIT"),520,IF(LEFT($D226,3)="MAS",420,IF($F226="INIT",1000,700))))))</f>
        <v/>
      </c>
      <c r="L226" s="0">
        <f>IF($A226="","",SUMIFS($G$1:$G$349,$AS$1:$AS$349,$AS226,$B$1:$B$349,$B226))</f>
        <v/>
      </c>
      <c r="M226" s="0">
        <f>IF($A226="","",SUMIFS($H$1:$H$349,$AS$1:$AS$349,$AS226,$B$1:$B$349,$B226))</f>
        <v/>
      </c>
      <c r="N226" s="0">
        <f>IF($A226="","",SUMIFS($I$1:$I$349,$AS$1:$AS$349,$AS226,$B$1:$B$349,$B226))</f>
        <v/>
      </c>
      <c r="O226" s="0">
        <f>IF($A226="","",SUMIFS($K$1:$K$349,$AS$1:$AS$349,$AS226,$B$1:$B$349,$B226))</f>
        <v/>
      </c>
      <c r="P226" s="0">
        <f>IF($A226="","",SUMIFS($J$1:$J$349,$AS$1:$AS$349,$AS226,$B$1:$B$349,$B226))</f>
        <v/>
      </c>
      <c r="Q226" s="0">
        <f>IF($A226="","",SUMIFS($G$1:$G$349,$AS$1:$AS$349,$AS226,$C$1:$C$349,$C226))</f>
        <v/>
      </c>
      <c r="R226" s="0">
        <f>IF($A226="","",SUMIFS($H$1:$H$349,$AS$1:$AS$349,$AS226,$C$1:$C$349,$C226))</f>
        <v/>
      </c>
      <c r="S226" s="0">
        <f>IF($A226="","",SUMIFS($I$1:$I$349,$AS$1:$AS$349,$AS226,$C$1:$C$349,$C226))</f>
        <v/>
      </c>
      <c r="T226" s="0">
        <f>IF($A226="","",SUMIFS($G$1:$G$349,$AS$1:$AS$349,$AS226))</f>
        <v/>
      </c>
      <c r="U226" s="0">
        <f>IF($A226="","",SUMIFS($H$1:$H$349,$AS$1:$AS$349,$AS226))</f>
        <v/>
      </c>
      <c r="V226" s="0">
        <f>IF($A226="","",SUMIFS($I$1:$I$349,$AS$1:$AS$349,$AS226))</f>
        <v/>
      </c>
      <c r="W226" s="0">
        <f>IF($A226="","",Allocation!CD226)</f>
        <v/>
      </c>
      <c r="X226" s="0">
        <f>IF($A226="","",Allocation!CE226)</f>
        <v/>
      </c>
      <c r="Y226" s="0">
        <f>IF($A226="","",Allocation!CF226)</f>
        <v/>
      </c>
      <c r="Z226" s="0">
        <f>IF($A226="","",Allocation!CG226)</f>
        <v/>
      </c>
      <c r="AA226" s="0">
        <f>IF($A226="","",Allocation!CH226)</f>
        <v/>
      </c>
      <c r="AB226" s="0">
        <f>IF($A226="","",Allocation!CI226)</f>
        <v/>
      </c>
      <c r="AC226" s="0">
        <f>IF($A226="","",IF(Allocation!$N$4="VOL_EFF",$G226,IF(Allocation!$N$4="VOL_CLASS",$H226,$I226)))</f>
        <v/>
      </c>
      <c r="AD226" s="0">
        <f>IF($A226="","",IF(Allocation!$N$4="VOL_EFF",$L226,IF(Allocation!$N$4="VOL_CLASS",$M226,$N226)))</f>
        <v/>
      </c>
      <c r="AE226" s="0">
        <f>IF($A226="","",IF(Allocation!$N$3="VOL_EFF",$L226,IF(Allocation!$N$3="VOL_CLASS",$M226,$N226)))</f>
        <v/>
      </c>
      <c r="AF226" s="0">
        <f>IF($A226="","",IF(Allocation!$N$3="VOL_EFF",$Q226,IF(Allocation!$N$3="VOL_CLASS",$R226,$S226)))</f>
        <v/>
      </c>
      <c r="AG226" s="0">
        <f>IF($A226="","",IF(Allocation!$N$1="VOL_EFF",$Q226,IF(Allocation!$N$1="VOL_CLASS",$R226,$S226)))</f>
        <v/>
      </c>
      <c r="AH226" s="0">
        <f>IF($A226="","",IF(Allocation!$N$1="VOL_EFF",$T226,IF(Allocation!$N$1="VOL_CLASS",$U226,$V226)))</f>
        <v/>
      </c>
      <c r="AI226" s="0">
        <f>IF($A226="","",$W226*IFERROR($K226/$O226,0))</f>
        <v/>
      </c>
      <c r="AJ226" s="0">
        <f>IF($A226="","",$X226*IFERROR($K226/$O226,0))</f>
        <v/>
      </c>
      <c r="AK226" s="0">
        <f>IF($A226="","",$Y226*IFERROR($G226/$L226,0)+$Z226*IFERROR($J226/$P226,0))</f>
        <v/>
      </c>
      <c r="AL226" s="0">
        <f>IF($A226="","",$AA226*IFERROR($AC226/$AD226,0))</f>
        <v/>
      </c>
      <c r="AM226" s="0">
        <f>IF($A226="","",$AB226*IFERROR($AG226/$AH226,0)*IFERROR($AE226/$AF226,0)*IFERROR($AC226/$AD226,0))</f>
        <v/>
      </c>
      <c r="AN226" s="0">
        <f>IF($A226="","",$I226-($AI226+$AJ226+$AK226+$AL226+$AM226+$AR226))</f>
        <v/>
      </c>
      <c r="AO226" s="0">
        <f>IF($A226="","",Allocation!CJ226)</f>
        <v/>
      </c>
      <c r="AP226" s="0">
        <f>IF($A226="","",IF(Allocation!$N$2="VOL_EFF",$Q226,IF(Allocation!$N$2="VOL_CLASS",$R226,$S226)))</f>
        <v/>
      </c>
      <c r="AQ226" s="0">
        <f>IF($A226="","",IF(Allocation!$N$2="VOL_EFF",$T226,IF(Allocation!$N$2="VOL_CLASS",$U226,$V226)))</f>
        <v/>
      </c>
      <c r="AR226" s="0">
        <f>IF($A226="","",$AO226*IFERROR($AP226/$AQ226,0)*IFERROR($AE226/$AF226,0)*IFERROR($AC226/$AD226,0))</f>
        <v/>
      </c>
      <c r="AS226" s="0">
        <f>IF($A226="","",$A226&amp;"|"&amp;Allocation!BG226)</f>
        <v/>
      </c>
    </row>
    <row r="227" ht="14.4975" customHeight="1" s="64">
      <c r="A227" s="0">
        <f>IF(Allocation!BI227="","",Allocation!BI227)</f>
        <v/>
      </c>
      <c r="B227" s="0">
        <f>IF(Allocation!BJ227="","",Allocation!BJ227)</f>
        <v/>
      </c>
      <c r="C227" s="0">
        <f>IF(Allocation!BK227="","",Allocation!BK227)</f>
        <v/>
      </c>
      <c r="D227" s="0">
        <f>IF(Allocation!BL227="","",Allocation!BL227)</f>
        <v/>
      </c>
      <c r="E227" s="0">
        <f>IF(Allocation!BM227="","",Allocation!BM227)</f>
        <v/>
      </c>
      <c r="F227" s="0">
        <f>IF(Allocation!BN227="","",Allocation!BN227)</f>
        <v/>
      </c>
      <c r="G227" s="0">
        <f>IF(Allocation!BO227="","",Allocation!BO227)</f>
        <v/>
      </c>
      <c r="H227" s="0">
        <f>IF(Allocation!BP227="","",Allocation!BP227)</f>
        <v/>
      </c>
      <c r="I227" s="0">
        <f>IF(Allocation!BQ227="","",Allocation!BQ227)</f>
        <v/>
      </c>
      <c r="J227" s="0">
        <f>IF(Allocation!CC227="","",Allocation!CC227)</f>
        <v/>
      </c>
      <c r="K227" s="0">
        <f>IF($A227="","",$H227*IF(AND(LEFT($D227,3)="BAC",$F227="INIT"),600,IF(LEFT($D227,3)="BAC",480,IF(AND(LEFT($D227,3)="MAS",$F227="INIT"),520,IF(LEFT($D227,3)="MAS",420,IF($F227="INIT",1000,700))))))</f>
        <v/>
      </c>
      <c r="L227" s="0">
        <f>IF($A227="","",SUMIFS($G$1:$G$349,$AS$1:$AS$349,$AS227,$B$1:$B$349,$B227))</f>
        <v/>
      </c>
      <c r="M227" s="0">
        <f>IF($A227="","",SUMIFS($H$1:$H$349,$AS$1:$AS$349,$AS227,$B$1:$B$349,$B227))</f>
        <v/>
      </c>
      <c r="N227" s="0">
        <f>IF($A227="","",SUMIFS($I$1:$I$349,$AS$1:$AS$349,$AS227,$B$1:$B$349,$B227))</f>
        <v/>
      </c>
      <c r="O227" s="0">
        <f>IF($A227="","",SUMIFS($K$1:$K$349,$AS$1:$AS$349,$AS227,$B$1:$B$349,$B227))</f>
        <v/>
      </c>
      <c r="P227" s="0">
        <f>IF($A227="","",SUMIFS($J$1:$J$349,$AS$1:$AS$349,$AS227,$B$1:$B$349,$B227))</f>
        <v/>
      </c>
      <c r="Q227" s="0">
        <f>IF($A227="","",SUMIFS($G$1:$G$349,$AS$1:$AS$349,$AS227,$C$1:$C$349,$C227))</f>
        <v/>
      </c>
      <c r="R227" s="0">
        <f>IF($A227="","",SUMIFS($H$1:$H$349,$AS$1:$AS$349,$AS227,$C$1:$C$349,$C227))</f>
        <v/>
      </c>
      <c r="S227" s="0">
        <f>IF($A227="","",SUMIFS($I$1:$I$349,$AS$1:$AS$349,$AS227,$C$1:$C$349,$C227))</f>
        <v/>
      </c>
      <c r="T227" s="0">
        <f>IF($A227="","",SUMIFS($G$1:$G$349,$AS$1:$AS$349,$AS227))</f>
        <v/>
      </c>
      <c r="U227" s="0">
        <f>IF($A227="","",SUMIFS($H$1:$H$349,$AS$1:$AS$349,$AS227))</f>
        <v/>
      </c>
      <c r="V227" s="0">
        <f>IF($A227="","",SUMIFS($I$1:$I$349,$AS$1:$AS$349,$AS227))</f>
        <v/>
      </c>
      <c r="W227" s="0">
        <f>IF($A227="","",Allocation!CD227)</f>
        <v/>
      </c>
      <c r="X227" s="0">
        <f>IF($A227="","",Allocation!CE227)</f>
        <v/>
      </c>
      <c r="Y227" s="0">
        <f>IF($A227="","",Allocation!CF227)</f>
        <v/>
      </c>
      <c r="Z227" s="0">
        <f>IF($A227="","",Allocation!CG227)</f>
        <v/>
      </c>
      <c r="AA227" s="0">
        <f>IF($A227="","",Allocation!CH227)</f>
        <v/>
      </c>
      <c r="AB227" s="0">
        <f>IF($A227="","",Allocation!CI227)</f>
        <v/>
      </c>
      <c r="AC227" s="0">
        <f>IF($A227="","",IF(Allocation!$N$4="VOL_EFF",$G227,IF(Allocation!$N$4="VOL_CLASS",$H227,$I227)))</f>
        <v/>
      </c>
      <c r="AD227" s="0">
        <f>IF($A227="","",IF(Allocation!$N$4="VOL_EFF",$L227,IF(Allocation!$N$4="VOL_CLASS",$M227,$N227)))</f>
        <v/>
      </c>
      <c r="AE227" s="0">
        <f>IF($A227="","",IF(Allocation!$N$3="VOL_EFF",$L227,IF(Allocation!$N$3="VOL_CLASS",$M227,$N227)))</f>
        <v/>
      </c>
      <c r="AF227" s="0">
        <f>IF($A227="","",IF(Allocation!$N$3="VOL_EFF",$Q227,IF(Allocation!$N$3="VOL_CLASS",$R227,$S227)))</f>
        <v/>
      </c>
      <c r="AG227" s="0">
        <f>IF($A227="","",IF(Allocation!$N$1="VOL_EFF",$Q227,IF(Allocation!$N$1="VOL_CLASS",$R227,$S227)))</f>
        <v/>
      </c>
      <c r="AH227" s="0">
        <f>IF($A227="","",IF(Allocation!$N$1="VOL_EFF",$T227,IF(Allocation!$N$1="VOL_CLASS",$U227,$V227)))</f>
        <v/>
      </c>
      <c r="AI227" s="0">
        <f>IF($A227="","",$W227*IFERROR($K227/$O227,0))</f>
        <v/>
      </c>
      <c r="AJ227" s="0">
        <f>IF($A227="","",$X227*IFERROR($K227/$O227,0))</f>
        <v/>
      </c>
      <c r="AK227" s="0">
        <f>IF($A227="","",$Y227*IFERROR($G227/$L227,0)+$Z227*IFERROR($J227/$P227,0))</f>
        <v/>
      </c>
      <c r="AL227" s="0">
        <f>IF($A227="","",$AA227*IFERROR($AC227/$AD227,0))</f>
        <v/>
      </c>
      <c r="AM227" s="0">
        <f>IF($A227="","",$AB227*IFERROR($AG227/$AH227,0)*IFERROR($AE227/$AF227,0)*IFERROR($AC227/$AD227,0))</f>
        <v/>
      </c>
      <c r="AN227" s="0">
        <f>IF($A227="","",$I227-($AI227+$AJ227+$AK227+$AL227+$AM227+$AR227))</f>
        <v/>
      </c>
      <c r="AO227" s="0">
        <f>IF($A227="","",Allocation!CJ227)</f>
        <v/>
      </c>
      <c r="AP227" s="0">
        <f>IF($A227="","",IF(Allocation!$N$2="VOL_EFF",$Q227,IF(Allocation!$N$2="VOL_CLASS",$R227,$S227)))</f>
        <v/>
      </c>
      <c r="AQ227" s="0">
        <f>IF($A227="","",IF(Allocation!$N$2="VOL_EFF",$T227,IF(Allocation!$N$2="VOL_CLASS",$U227,$V227)))</f>
        <v/>
      </c>
      <c r="AR227" s="0">
        <f>IF($A227="","",$AO227*IFERROR($AP227/$AQ227,0)*IFERROR($AE227/$AF227,0)*IFERROR($AC227/$AD227,0))</f>
        <v/>
      </c>
      <c r="AS227" s="0">
        <f>IF($A227="","",$A227&amp;"|"&amp;Allocation!BG227)</f>
        <v/>
      </c>
    </row>
    <row r="228" ht="14.4975" customHeight="1" s="64">
      <c r="A228" s="0">
        <f>IF(Allocation!BI228="","",Allocation!BI228)</f>
        <v/>
      </c>
      <c r="B228" s="0">
        <f>IF(Allocation!BJ228="","",Allocation!BJ228)</f>
        <v/>
      </c>
      <c r="C228" s="0">
        <f>IF(Allocation!BK228="","",Allocation!BK228)</f>
        <v/>
      </c>
      <c r="D228" s="0">
        <f>IF(Allocation!BL228="","",Allocation!BL228)</f>
        <v/>
      </c>
      <c r="E228" s="0">
        <f>IF(Allocation!BM228="","",Allocation!BM228)</f>
        <v/>
      </c>
      <c r="F228" s="0">
        <f>IF(Allocation!BN228="","",Allocation!BN228)</f>
        <v/>
      </c>
      <c r="G228" s="0">
        <f>IF(Allocation!BO228="","",Allocation!BO228)</f>
        <v/>
      </c>
      <c r="H228" s="0">
        <f>IF(Allocation!BP228="","",Allocation!BP228)</f>
        <v/>
      </c>
      <c r="I228" s="0">
        <f>IF(Allocation!BQ228="","",Allocation!BQ228)</f>
        <v/>
      </c>
      <c r="J228" s="0">
        <f>IF(Allocation!CC228="","",Allocation!CC228)</f>
        <v/>
      </c>
      <c r="K228" s="0">
        <f>IF($A228="","",$H228*IF(AND(LEFT($D228,3)="BAC",$F228="INIT"),600,IF(LEFT($D228,3)="BAC",480,IF(AND(LEFT($D228,3)="MAS",$F228="INIT"),520,IF(LEFT($D228,3)="MAS",420,IF($F228="INIT",1000,700))))))</f>
        <v/>
      </c>
      <c r="L228" s="0">
        <f>IF($A228="","",SUMIFS($G$1:$G$349,$AS$1:$AS$349,$AS228,$B$1:$B$349,$B228))</f>
        <v/>
      </c>
      <c r="M228" s="0">
        <f>IF($A228="","",SUMIFS($H$1:$H$349,$AS$1:$AS$349,$AS228,$B$1:$B$349,$B228))</f>
        <v/>
      </c>
      <c r="N228" s="0">
        <f>IF($A228="","",SUMIFS($I$1:$I$349,$AS$1:$AS$349,$AS228,$B$1:$B$349,$B228))</f>
        <v/>
      </c>
      <c r="O228" s="0">
        <f>IF($A228="","",SUMIFS($K$1:$K$349,$AS$1:$AS$349,$AS228,$B$1:$B$349,$B228))</f>
        <v/>
      </c>
      <c r="P228" s="0">
        <f>IF($A228="","",SUMIFS($J$1:$J$349,$AS$1:$AS$349,$AS228,$B$1:$B$349,$B228))</f>
        <v/>
      </c>
      <c r="Q228" s="0">
        <f>IF($A228="","",SUMIFS($G$1:$G$349,$AS$1:$AS$349,$AS228,$C$1:$C$349,$C228))</f>
        <v/>
      </c>
      <c r="R228" s="0">
        <f>IF($A228="","",SUMIFS($H$1:$H$349,$AS$1:$AS$349,$AS228,$C$1:$C$349,$C228))</f>
        <v/>
      </c>
      <c r="S228" s="0">
        <f>IF($A228="","",SUMIFS($I$1:$I$349,$AS$1:$AS$349,$AS228,$C$1:$C$349,$C228))</f>
        <v/>
      </c>
      <c r="T228" s="0">
        <f>IF($A228="","",SUMIFS($G$1:$G$349,$AS$1:$AS$349,$AS228))</f>
        <v/>
      </c>
      <c r="U228" s="0">
        <f>IF($A228="","",SUMIFS($H$1:$H$349,$AS$1:$AS$349,$AS228))</f>
        <v/>
      </c>
      <c r="V228" s="0">
        <f>IF($A228="","",SUMIFS($I$1:$I$349,$AS$1:$AS$349,$AS228))</f>
        <v/>
      </c>
      <c r="W228" s="0">
        <f>IF($A228="","",Allocation!CD228)</f>
        <v/>
      </c>
      <c r="X228" s="0">
        <f>IF($A228="","",Allocation!CE228)</f>
        <v/>
      </c>
      <c r="Y228" s="0">
        <f>IF($A228="","",Allocation!CF228)</f>
        <v/>
      </c>
      <c r="Z228" s="0">
        <f>IF($A228="","",Allocation!CG228)</f>
        <v/>
      </c>
      <c r="AA228" s="0">
        <f>IF($A228="","",Allocation!CH228)</f>
        <v/>
      </c>
      <c r="AB228" s="0">
        <f>IF($A228="","",Allocation!CI228)</f>
        <v/>
      </c>
      <c r="AC228" s="0">
        <f>IF($A228="","",IF(Allocation!$N$4="VOL_EFF",$G228,IF(Allocation!$N$4="VOL_CLASS",$H228,$I228)))</f>
        <v/>
      </c>
      <c r="AD228" s="0">
        <f>IF($A228="","",IF(Allocation!$N$4="VOL_EFF",$L228,IF(Allocation!$N$4="VOL_CLASS",$M228,$N228)))</f>
        <v/>
      </c>
      <c r="AE228" s="0">
        <f>IF($A228="","",IF(Allocation!$N$3="VOL_EFF",$L228,IF(Allocation!$N$3="VOL_CLASS",$M228,$N228)))</f>
        <v/>
      </c>
      <c r="AF228" s="0">
        <f>IF($A228="","",IF(Allocation!$N$3="VOL_EFF",$Q228,IF(Allocation!$N$3="VOL_CLASS",$R228,$S228)))</f>
        <v/>
      </c>
      <c r="AG228" s="0">
        <f>IF($A228="","",IF(Allocation!$N$1="VOL_EFF",$Q228,IF(Allocation!$N$1="VOL_CLASS",$R228,$S228)))</f>
        <v/>
      </c>
      <c r="AH228" s="0">
        <f>IF($A228="","",IF(Allocation!$N$1="VOL_EFF",$T228,IF(Allocation!$N$1="VOL_CLASS",$U228,$V228)))</f>
        <v/>
      </c>
      <c r="AI228" s="0">
        <f>IF($A228="","",$W228*IFERROR($K228/$O228,0))</f>
        <v/>
      </c>
      <c r="AJ228" s="0">
        <f>IF($A228="","",$X228*IFERROR($K228/$O228,0))</f>
        <v/>
      </c>
      <c r="AK228" s="0">
        <f>IF($A228="","",$Y228*IFERROR($G228/$L228,0)+$Z228*IFERROR($J228/$P228,0))</f>
        <v/>
      </c>
      <c r="AL228" s="0">
        <f>IF($A228="","",$AA228*IFERROR($AC228/$AD228,0))</f>
        <v/>
      </c>
      <c r="AM228" s="0">
        <f>IF($A228="","",$AB228*IFERROR($AG228/$AH228,0)*IFERROR($AE228/$AF228,0)*IFERROR($AC228/$AD228,0))</f>
        <v/>
      </c>
      <c r="AN228" s="0">
        <f>IF($A228="","",$I228-($AI228+$AJ228+$AK228+$AL228+$AM228+$AR228))</f>
        <v/>
      </c>
      <c r="AO228" s="0">
        <f>IF($A228="","",Allocation!CJ228)</f>
        <v/>
      </c>
      <c r="AP228" s="0">
        <f>IF($A228="","",IF(Allocation!$N$2="VOL_EFF",$Q228,IF(Allocation!$N$2="VOL_CLASS",$R228,$S228)))</f>
        <v/>
      </c>
      <c r="AQ228" s="0">
        <f>IF($A228="","",IF(Allocation!$N$2="VOL_EFF",$T228,IF(Allocation!$N$2="VOL_CLASS",$U228,$V228)))</f>
        <v/>
      </c>
      <c r="AR228" s="0">
        <f>IF($A228="","",$AO228*IFERROR($AP228/$AQ228,0)*IFERROR($AE228/$AF228,0)*IFERROR($AC228/$AD228,0))</f>
        <v/>
      </c>
      <c r="AS228" s="0">
        <f>IF($A228="","",$A228&amp;"|"&amp;Allocation!BG228)</f>
        <v/>
      </c>
    </row>
    <row r="229" ht="14.4975" customHeight="1" s="64">
      <c r="A229" s="0">
        <f>IF(Allocation!BI229="","",Allocation!BI229)</f>
        <v/>
      </c>
      <c r="B229" s="0">
        <f>IF(Allocation!BJ229="","",Allocation!BJ229)</f>
        <v/>
      </c>
      <c r="C229" s="0">
        <f>IF(Allocation!BK229="","",Allocation!BK229)</f>
        <v/>
      </c>
      <c r="D229" s="0">
        <f>IF(Allocation!BL229="","",Allocation!BL229)</f>
        <v/>
      </c>
      <c r="E229" s="0">
        <f>IF(Allocation!BM229="","",Allocation!BM229)</f>
        <v/>
      </c>
      <c r="F229" s="0">
        <f>IF(Allocation!BN229="","",Allocation!BN229)</f>
        <v/>
      </c>
      <c r="G229" s="0">
        <f>IF(Allocation!BO229="","",Allocation!BO229)</f>
        <v/>
      </c>
      <c r="H229" s="0">
        <f>IF(Allocation!BP229="","",Allocation!BP229)</f>
        <v/>
      </c>
      <c r="I229" s="0">
        <f>IF(Allocation!BQ229="","",Allocation!BQ229)</f>
        <v/>
      </c>
      <c r="J229" s="0">
        <f>IF(Allocation!CC229="","",Allocation!CC229)</f>
        <v/>
      </c>
      <c r="K229" s="0">
        <f>IF($A229="","",$H229*IF(AND(LEFT($D229,3)="BAC",$F229="INIT"),600,IF(LEFT($D229,3)="BAC",480,IF(AND(LEFT($D229,3)="MAS",$F229="INIT"),520,IF(LEFT($D229,3)="MAS",420,IF($F229="INIT",1000,700))))))</f>
        <v/>
      </c>
      <c r="L229" s="0">
        <f>IF($A229="","",SUMIFS($G$1:$G$349,$AS$1:$AS$349,$AS229,$B$1:$B$349,$B229))</f>
        <v/>
      </c>
      <c r="M229" s="0">
        <f>IF($A229="","",SUMIFS($H$1:$H$349,$AS$1:$AS$349,$AS229,$B$1:$B$349,$B229))</f>
        <v/>
      </c>
      <c r="N229" s="0">
        <f>IF($A229="","",SUMIFS($I$1:$I$349,$AS$1:$AS$349,$AS229,$B$1:$B$349,$B229))</f>
        <v/>
      </c>
      <c r="O229" s="0">
        <f>IF($A229="","",SUMIFS($K$1:$K$349,$AS$1:$AS$349,$AS229,$B$1:$B$349,$B229))</f>
        <v/>
      </c>
      <c r="P229" s="0">
        <f>IF($A229="","",SUMIFS($J$1:$J$349,$AS$1:$AS$349,$AS229,$B$1:$B$349,$B229))</f>
        <v/>
      </c>
      <c r="Q229" s="0">
        <f>IF($A229="","",SUMIFS($G$1:$G$349,$AS$1:$AS$349,$AS229,$C$1:$C$349,$C229))</f>
        <v/>
      </c>
      <c r="R229" s="0">
        <f>IF($A229="","",SUMIFS($H$1:$H$349,$AS$1:$AS$349,$AS229,$C$1:$C$349,$C229))</f>
        <v/>
      </c>
      <c r="S229" s="0">
        <f>IF($A229="","",SUMIFS($I$1:$I$349,$AS$1:$AS$349,$AS229,$C$1:$C$349,$C229))</f>
        <v/>
      </c>
      <c r="T229" s="0">
        <f>IF($A229="","",SUMIFS($G$1:$G$349,$AS$1:$AS$349,$AS229))</f>
        <v/>
      </c>
      <c r="U229" s="0">
        <f>IF($A229="","",SUMIFS($H$1:$H$349,$AS$1:$AS$349,$AS229))</f>
        <v/>
      </c>
      <c r="V229" s="0">
        <f>IF($A229="","",SUMIFS($I$1:$I$349,$AS$1:$AS$349,$AS229))</f>
        <v/>
      </c>
      <c r="W229" s="0">
        <f>IF($A229="","",Allocation!CD229)</f>
        <v/>
      </c>
      <c r="X229" s="0">
        <f>IF($A229="","",Allocation!CE229)</f>
        <v/>
      </c>
      <c r="Y229" s="0">
        <f>IF($A229="","",Allocation!CF229)</f>
        <v/>
      </c>
      <c r="Z229" s="0">
        <f>IF($A229="","",Allocation!CG229)</f>
        <v/>
      </c>
      <c r="AA229" s="0">
        <f>IF($A229="","",Allocation!CH229)</f>
        <v/>
      </c>
      <c r="AB229" s="0">
        <f>IF($A229="","",Allocation!CI229)</f>
        <v/>
      </c>
      <c r="AC229" s="0">
        <f>IF($A229="","",IF(Allocation!$N$4="VOL_EFF",$G229,IF(Allocation!$N$4="VOL_CLASS",$H229,$I229)))</f>
        <v/>
      </c>
      <c r="AD229" s="0">
        <f>IF($A229="","",IF(Allocation!$N$4="VOL_EFF",$L229,IF(Allocation!$N$4="VOL_CLASS",$M229,$N229)))</f>
        <v/>
      </c>
      <c r="AE229" s="0">
        <f>IF($A229="","",IF(Allocation!$N$3="VOL_EFF",$L229,IF(Allocation!$N$3="VOL_CLASS",$M229,$N229)))</f>
        <v/>
      </c>
      <c r="AF229" s="0">
        <f>IF($A229="","",IF(Allocation!$N$3="VOL_EFF",$Q229,IF(Allocation!$N$3="VOL_CLASS",$R229,$S229)))</f>
        <v/>
      </c>
      <c r="AG229" s="0">
        <f>IF($A229="","",IF(Allocation!$N$1="VOL_EFF",$Q229,IF(Allocation!$N$1="VOL_CLASS",$R229,$S229)))</f>
        <v/>
      </c>
      <c r="AH229" s="0">
        <f>IF($A229="","",IF(Allocation!$N$1="VOL_EFF",$T229,IF(Allocation!$N$1="VOL_CLASS",$U229,$V229)))</f>
        <v/>
      </c>
      <c r="AI229" s="0">
        <f>IF($A229="","",$W229*IFERROR($K229/$O229,0))</f>
        <v/>
      </c>
      <c r="AJ229" s="0">
        <f>IF($A229="","",$X229*IFERROR($K229/$O229,0))</f>
        <v/>
      </c>
      <c r="AK229" s="0">
        <f>IF($A229="","",$Y229*IFERROR($G229/$L229,0)+$Z229*IFERROR($J229/$P229,0))</f>
        <v/>
      </c>
      <c r="AL229" s="0">
        <f>IF($A229="","",$AA229*IFERROR($AC229/$AD229,0))</f>
        <v/>
      </c>
      <c r="AM229" s="0">
        <f>IF($A229="","",$AB229*IFERROR($AG229/$AH229,0)*IFERROR($AE229/$AF229,0)*IFERROR($AC229/$AD229,0))</f>
        <v/>
      </c>
      <c r="AN229" s="0">
        <f>IF($A229="","",$I229-($AI229+$AJ229+$AK229+$AL229+$AM229+$AR229))</f>
        <v/>
      </c>
      <c r="AO229" s="0">
        <f>IF($A229="","",Allocation!CJ229)</f>
        <v/>
      </c>
      <c r="AP229" s="0">
        <f>IF($A229="","",IF(Allocation!$N$2="VOL_EFF",$Q229,IF(Allocation!$N$2="VOL_CLASS",$R229,$S229)))</f>
        <v/>
      </c>
      <c r="AQ229" s="0">
        <f>IF($A229="","",IF(Allocation!$N$2="VOL_EFF",$T229,IF(Allocation!$N$2="VOL_CLASS",$U229,$V229)))</f>
        <v/>
      </c>
      <c r="AR229" s="0">
        <f>IF($A229="","",$AO229*IFERROR($AP229/$AQ229,0)*IFERROR($AE229/$AF229,0)*IFERROR($AC229/$AD229,0))</f>
        <v/>
      </c>
      <c r="AS229" s="0">
        <f>IF($A229="","",$A229&amp;"|"&amp;Allocation!BG229)</f>
        <v/>
      </c>
    </row>
    <row r="230" ht="14.4975" customHeight="1" s="64">
      <c r="A230" s="0">
        <f>IF(Allocation!BI230="","",Allocation!BI230)</f>
        <v/>
      </c>
      <c r="B230" s="0">
        <f>IF(Allocation!BJ230="","",Allocation!BJ230)</f>
        <v/>
      </c>
      <c r="C230" s="0">
        <f>IF(Allocation!BK230="","",Allocation!BK230)</f>
        <v/>
      </c>
      <c r="D230" s="0">
        <f>IF(Allocation!BL230="","",Allocation!BL230)</f>
        <v/>
      </c>
      <c r="E230" s="0">
        <f>IF(Allocation!BM230="","",Allocation!BM230)</f>
        <v/>
      </c>
      <c r="F230" s="0">
        <f>IF(Allocation!BN230="","",Allocation!BN230)</f>
        <v/>
      </c>
      <c r="G230" s="0">
        <f>IF(Allocation!BO230="","",Allocation!BO230)</f>
        <v/>
      </c>
      <c r="H230" s="0">
        <f>IF(Allocation!BP230="","",Allocation!BP230)</f>
        <v/>
      </c>
      <c r="I230" s="0">
        <f>IF(Allocation!BQ230="","",Allocation!BQ230)</f>
        <v/>
      </c>
      <c r="J230" s="0">
        <f>IF(Allocation!CC230="","",Allocation!CC230)</f>
        <v/>
      </c>
      <c r="K230" s="0">
        <f>IF($A230="","",$H230*IF(AND(LEFT($D230,3)="BAC",$F230="INIT"),600,IF(LEFT($D230,3)="BAC",480,IF(AND(LEFT($D230,3)="MAS",$F230="INIT"),520,IF(LEFT($D230,3)="MAS",420,IF($F230="INIT",1000,700))))))</f>
        <v/>
      </c>
      <c r="L230" s="0">
        <f>IF($A230="","",SUMIFS($G$1:$G$349,$AS$1:$AS$349,$AS230,$B$1:$B$349,$B230))</f>
        <v/>
      </c>
      <c r="M230" s="0">
        <f>IF($A230="","",SUMIFS($H$1:$H$349,$AS$1:$AS$349,$AS230,$B$1:$B$349,$B230))</f>
        <v/>
      </c>
      <c r="N230" s="0">
        <f>IF($A230="","",SUMIFS($I$1:$I$349,$AS$1:$AS$349,$AS230,$B$1:$B$349,$B230))</f>
        <v/>
      </c>
      <c r="O230" s="0">
        <f>IF($A230="","",SUMIFS($K$1:$K$349,$AS$1:$AS$349,$AS230,$B$1:$B$349,$B230))</f>
        <v/>
      </c>
      <c r="P230" s="0">
        <f>IF($A230="","",SUMIFS($J$1:$J$349,$AS$1:$AS$349,$AS230,$B$1:$B$349,$B230))</f>
        <v/>
      </c>
      <c r="Q230" s="0">
        <f>IF($A230="","",SUMIFS($G$1:$G$349,$AS$1:$AS$349,$AS230,$C$1:$C$349,$C230))</f>
        <v/>
      </c>
      <c r="R230" s="0">
        <f>IF($A230="","",SUMIFS($H$1:$H$349,$AS$1:$AS$349,$AS230,$C$1:$C$349,$C230))</f>
        <v/>
      </c>
      <c r="S230" s="0">
        <f>IF($A230="","",SUMIFS($I$1:$I$349,$AS$1:$AS$349,$AS230,$C$1:$C$349,$C230))</f>
        <v/>
      </c>
      <c r="T230" s="0">
        <f>IF($A230="","",SUMIFS($G$1:$G$349,$AS$1:$AS$349,$AS230))</f>
        <v/>
      </c>
      <c r="U230" s="0">
        <f>IF($A230="","",SUMIFS($H$1:$H$349,$AS$1:$AS$349,$AS230))</f>
        <v/>
      </c>
      <c r="V230" s="0">
        <f>IF($A230="","",SUMIFS($I$1:$I$349,$AS$1:$AS$349,$AS230))</f>
        <v/>
      </c>
      <c r="W230" s="0">
        <f>IF($A230="","",Allocation!CD230)</f>
        <v/>
      </c>
      <c r="X230" s="0">
        <f>IF($A230="","",Allocation!CE230)</f>
        <v/>
      </c>
      <c r="Y230" s="0">
        <f>IF($A230="","",Allocation!CF230)</f>
        <v/>
      </c>
      <c r="Z230" s="0">
        <f>IF($A230="","",Allocation!CG230)</f>
        <v/>
      </c>
      <c r="AA230" s="0">
        <f>IF($A230="","",Allocation!CH230)</f>
        <v/>
      </c>
      <c r="AB230" s="0">
        <f>IF($A230="","",Allocation!CI230)</f>
        <v/>
      </c>
      <c r="AC230" s="0">
        <f>IF($A230="","",IF(Allocation!$N$4="VOL_EFF",$G230,IF(Allocation!$N$4="VOL_CLASS",$H230,$I230)))</f>
        <v/>
      </c>
      <c r="AD230" s="0">
        <f>IF($A230="","",IF(Allocation!$N$4="VOL_EFF",$L230,IF(Allocation!$N$4="VOL_CLASS",$M230,$N230)))</f>
        <v/>
      </c>
      <c r="AE230" s="0">
        <f>IF($A230="","",IF(Allocation!$N$3="VOL_EFF",$L230,IF(Allocation!$N$3="VOL_CLASS",$M230,$N230)))</f>
        <v/>
      </c>
      <c r="AF230" s="0">
        <f>IF($A230="","",IF(Allocation!$N$3="VOL_EFF",$Q230,IF(Allocation!$N$3="VOL_CLASS",$R230,$S230)))</f>
        <v/>
      </c>
      <c r="AG230" s="0">
        <f>IF($A230="","",IF(Allocation!$N$1="VOL_EFF",$Q230,IF(Allocation!$N$1="VOL_CLASS",$R230,$S230)))</f>
        <v/>
      </c>
      <c r="AH230" s="0">
        <f>IF($A230="","",IF(Allocation!$N$1="VOL_EFF",$T230,IF(Allocation!$N$1="VOL_CLASS",$U230,$V230)))</f>
        <v/>
      </c>
      <c r="AI230" s="0">
        <f>IF($A230="","",$W230*IFERROR($K230/$O230,0))</f>
        <v/>
      </c>
      <c r="AJ230" s="0">
        <f>IF($A230="","",$X230*IFERROR($K230/$O230,0))</f>
        <v/>
      </c>
      <c r="AK230" s="0">
        <f>IF($A230="","",$Y230*IFERROR($G230/$L230,0)+$Z230*IFERROR($J230/$P230,0))</f>
        <v/>
      </c>
      <c r="AL230" s="0">
        <f>IF($A230="","",$AA230*IFERROR($AC230/$AD230,0))</f>
        <v/>
      </c>
      <c r="AM230" s="0">
        <f>IF($A230="","",$AB230*IFERROR($AG230/$AH230,0)*IFERROR($AE230/$AF230,0)*IFERROR($AC230/$AD230,0))</f>
        <v/>
      </c>
      <c r="AN230" s="0">
        <f>IF($A230="","",$I230-($AI230+$AJ230+$AK230+$AL230+$AM230+$AR230))</f>
        <v/>
      </c>
      <c r="AO230" s="0">
        <f>IF($A230="","",Allocation!CJ230)</f>
        <v/>
      </c>
      <c r="AP230" s="0">
        <f>IF($A230="","",IF(Allocation!$N$2="VOL_EFF",$Q230,IF(Allocation!$N$2="VOL_CLASS",$R230,$S230)))</f>
        <v/>
      </c>
      <c r="AQ230" s="0">
        <f>IF($A230="","",IF(Allocation!$N$2="VOL_EFF",$T230,IF(Allocation!$N$2="VOL_CLASS",$U230,$V230)))</f>
        <v/>
      </c>
      <c r="AR230" s="0">
        <f>IF($A230="","",$AO230*IFERROR($AP230/$AQ230,0)*IFERROR($AE230/$AF230,0)*IFERROR($AC230/$AD230,0))</f>
        <v/>
      </c>
      <c r="AS230" s="0">
        <f>IF($A230="","",$A230&amp;"|"&amp;Allocation!BG230)</f>
        <v/>
      </c>
    </row>
    <row r="231" ht="14.4975" customHeight="1" s="64">
      <c r="A231" s="0">
        <f>IF(Allocation!BI231="","",Allocation!BI231)</f>
        <v/>
      </c>
      <c r="B231" s="0">
        <f>IF(Allocation!BJ231="","",Allocation!BJ231)</f>
        <v/>
      </c>
      <c r="C231" s="0">
        <f>IF(Allocation!BK231="","",Allocation!BK231)</f>
        <v/>
      </c>
      <c r="D231" s="0">
        <f>IF(Allocation!BL231="","",Allocation!BL231)</f>
        <v/>
      </c>
      <c r="E231" s="0">
        <f>IF(Allocation!BM231="","",Allocation!BM231)</f>
        <v/>
      </c>
      <c r="F231" s="0">
        <f>IF(Allocation!BN231="","",Allocation!BN231)</f>
        <v/>
      </c>
      <c r="G231" s="0">
        <f>IF(Allocation!BO231="","",Allocation!BO231)</f>
        <v/>
      </c>
      <c r="H231" s="0">
        <f>IF(Allocation!BP231="","",Allocation!BP231)</f>
        <v/>
      </c>
      <c r="I231" s="0">
        <f>IF(Allocation!BQ231="","",Allocation!BQ231)</f>
        <v/>
      </c>
      <c r="J231" s="0">
        <f>IF(Allocation!CC231="","",Allocation!CC231)</f>
        <v/>
      </c>
      <c r="K231" s="0">
        <f>IF($A231="","",$H231*IF(AND(LEFT($D231,3)="BAC",$F231="INIT"),600,IF(LEFT($D231,3)="BAC",480,IF(AND(LEFT($D231,3)="MAS",$F231="INIT"),520,IF(LEFT($D231,3)="MAS",420,IF($F231="INIT",1000,700))))))</f>
        <v/>
      </c>
      <c r="L231" s="0">
        <f>IF($A231="","",SUMIFS($G$1:$G$349,$AS$1:$AS$349,$AS231,$B$1:$B$349,$B231))</f>
        <v/>
      </c>
      <c r="M231" s="0">
        <f>IF($A231="","",SUMIFS($H$1:$H$349,$AS$1:$AS$349,$AS231,$B$1:$B$349,$B231))</f>
        <v/>
      </c>
      <c r="N231" s="0">
        <f>IF($A231="","",SUMIFS($I$1:$I$349,$AS$1:$AS$349,$AS231,$B$1:$B$349,$B231))</f>
        <v/>
      </c>
      <c r="O231" s="0">
        <f>IF($A231="","",SUMIFS($K$1:$K$349,$AS$1:$AS$349,$AS231,$B$1:$B$349,$B231))</f>
        <v/>
      </c>
      <c r="P231" s="0">
        <f>IF($A231="","",SUMIFS($J$1:$J$349,$AS$1:$AS$349,$AS231,$B$1:$B$349,$B231))</f>
        <v/>
      </c>
      <c r="Q231" s="0">
        <f>IF($A231="","",SUMIFS($G$1:$G$349,$AS$1:$AS$349,$AS231,$C$1:$C$349,$C231))</f>
        <v/>
      </c>
      <c r="R231" s="0">
        <f>IF($A231="","",SUMIFS($H$1:$H$349,$AS$1:$AS$349,$AS231,$C$1:$C$349,$C231))</f>
        <v/>
      </c>
      <c r="S231" s="0">
        <f>IF($A231="","",SUMIFS($I$1:$I$349,$AS$1:$AS$349,$AS231,$C$1:$C$349,$C231))</f>
        <v/>
      </c>
      <c r="T231" s="0">
        <f>IF($A231="","",SUMIFS($G$1:$G$349,$AS$1:$AS$349,$AS231))</f>
        <v/>
      </c>
      <c r="U231" s="0">
        <f>IF($A231="","",SUMIFS($H$1:$H$349,$AS$1:$AS$349,$AS231))</f>
        <v/>
      </c>
      <c r="V231" s="0">
        <f>IF($A231="","",SUMIFS($I$1:$I$349,$AS$1:$AS$349,$AS231))</f>
        <v/>
      </c>
      <c r="W231" s="0">
        <f>IF($A231="","",Allocation!CD231)</f>
        <v/>
      </c>
      <c r="X231" s="0">
        <f>IF($A231="","",Allocation!CE231)</f>
        <v/>
      </c>
      <c r="Y231" s="0">
        <f>IF($A231="","",Allocation!CF231)</f>
        <v/>
      </c>
      <c r="Z231" s="0">
        <f>IF($A231="","",Allocation!CG231)</f>
        <v/>
      </c>
      <c r="AA231" s="0">
        <f>IF($A231="","",Allocation!CH231)</f>
        <v/>
      </c>
      <c r="AB231" s="0">
        <f>IF($A231="","",Allocation!CI231)</f>
        <v/>
      </c>
      <c r="AC231" s="0">
        <f>IF($A231="","",IF(Allocation!$N$4="VOL_EFF",$G231,IF(Allocation!$N$4="VOL_CLASS",$H231,$I231)))</f>
        <v/>
      </c>
      <c r="AD231" s="0">
        <f>IF($A231="","",IF(Allocation!$N$4="VOL_EFF",$L231,IF(Allocation!$N$4="VOL_CLASS",$M231,$N231)))</f>
        <v/>
      </c>
      <c r="AE231" s="0">
        <f>IF($A231="","",IF(Allocation!$N$3="VOL_EFF",$L231,IF(Allocation!$N$3="VOL_CLASS",$M231,$N231)))</f>
        <v/>
      </c>
      <c r="AF231" s="0">
        <f>IF($A231="","",IF(Allocation!$N$3="VOL_EFF",$Q231,IF(Allocation!$N$3="VOL_CLASS",$R231,$S231)))</f>
        <v/>
      </c>
      <c r="AG231" s="0">
        <f>IF($A231="","",IF(Allocation!$N$1="VOL_EFF",$Q231,IF(Allocation!$N$1="VOL_CLASS",$R231,$S231)))</f>
        <v/>
      </c>
      <c r="AH231" s="0">
        <f>IF($A231="","",IF(Allocation!$N$1="VOL_EFF",$T231,IF(Allocation!$N$1="VOL_CLASS",$U231,$V231)))</f>
        <v/>
      </c>
      <c r="AI231" s="0">
        <f>IF($A231="","",$W231*IFERROR($K231/$O231,0))</f>
        <v/>
      </c>
      <c r="AJ231" s="0">
        <f>IF($A231="","",$X231*IFERROR($K231/$O231,0))</f>
        <v/>
      </c>
      <c r="AK231" s="0">
        <f>IF($A231="","",$Y231*IFERROR($G231/$L231,0)+$Z231*IFERROR($J231/$P231,0))</f>
        <v/>
      </c>
      <c r="AL231" s="0">
        <f>IF($A231="","",$AA231*IFERROR($AC231/$AD231,0))</f>
        <v/>
      </c>
      <c r="AM231" s="0">
        <f>IF($A231="","",$AB231*IFERROR($AG231/$AH231,0)*IFERROR($AE231/$AF231,0)*IFERROR($AC231/$AD231,0))</f>
        <v/>
      </c>
      <c r="AN231" s="0">
        <f>IF($A231="","",$I231-($AI231+$AJ231+$AK231+$AL231+$AM231+$AR231))</f>
        <v/>
      </c>
      <c r="AO231" s="0">
        <f>IF($A231="","",Allocation!CJ231)</f>
        <v/>
      </c>
      <c r="AP231" s="0">
        <f>IF($A231="","",IF(Allocation!$N$2="VOL_EFF",$Q231,IF(Allocation!$N$2="VOL_CLASS",$R231,$S231)))</f>
        <v/>
      </c>
      <c r="AQ231" s="0">
        <f>IF($A231="","",IF(Allocation!$N$2="VOL_EFF",$T231,IF(Allocation!$N$2="VOL_CLASS",$U231,$V231)))</f>
        <v/>
      </c>
      <c r="AR231" s="0">
        <f>IF($A231="","",$AO231*IFERROR($AP231/$AQ231,0)*IFERROR($AE231/$AF231,0)*IFERROR($AC231/$AD231,0))</f>
        <v/>
      </c>
      <c r="AS231" s="0">
        <f>IF($A231="","",$A231&amp;"|"&amp;Allocation!BG231)</f>
        <v/>
      </c>
    </row>
    <row r="232" ht="14.4975" customHeight="1" s="64">
      <c r="A232" s="0">
        <f>IF(Allocation!BI232="","",Allocation!BI232)</f>
        <v/>
      </c>
      <c r="B232" s="0">
        <f>IF(Allocation!BJ232="","",Allocation!BJ232)</f>
        <v/>
      </c>
      <c r="C232" s="0">
        <f>IF(Allocation!BK232="","",Allocation!BK232)</f>
        <v/>
      </c>
      <c r="D232" s="0">
        <f>IF(Allocation!BL232="","",Allocation!BL232)</f>
        <v/>
      </c>
      <c r="E232" s="0">
        <f>IF(Allocation!BM232="","",Allocation!BM232)</f>
        <v/>
      </c>
      <c r="F232" s="0">
        <f>IF(Allocation!BN232="","",Allocation!BN232)</f>
        <v/>
      </c>
      <c r="G232" s="0">
        <f>IF(Allocation!BO232="","",Allocation!BO232)</f>
        <v/>
      </c>
      <c r="H232" s="0">
        <f>IF(Allocation!BP232="","",Allocation!BP232)</f>
        <v/>
      </c>
      <c r="I232" s="0">
        <f>IF(Allocation!BQ232="","",Allocation!BQ232)</f>
        <v/>
      </c>
      <c r="J232" s="0">
        <f>IF(Allocation!CC232="","",Allocation!CC232)</f>
        <v/>
      </c>
      <c r="K232" s="0">
        <f>IF($A232="","",$H232*IF(AND(LEFT($D232,3)="BAC",$F232="INIT"),600,IF(LEFT($D232,3)="BAC",480,IF(AND(LEFT($D232,3)="MAS",$F232="INIT"),520,IF(LEFT($D232,3)="MAS",420,IF($F232="INIT",1000,700))))))</f>
        <v/>
      </c>
      <c r="L232" s="0">
        <f>IF($A232="","",SUMIFS($G$1:$G$349,$AS$1:$AS$349,$AS232,$B$1:$B$349,$B232))</f>
        <v/>
      </c>
      <c r="M232" s="0">
        <f>IF($A232="","",SUMIFS($H$1:$H$349,$AS$1:$AS$349,$AS232,$B$1:$B$349,$B232))</f>
        <v/>
      </c>
      <c r="N232" s="0">
        <f>IF($A232="","",SUMIFS($I$1:$I$349,$AS$1:$AS$349,$AS232,$B$1:$B$349,$B232))</f>
        <v/>
      </c>
      <c r="O232" s="0">
        <f>IF($A232="","",SUMIFS($K$1:$K$349,$AS$1:$AS$349,$AS232,$B$1:$B$349,$B232))</f>
        <v/>
      </c>
      <c r="P232" s="0">
        <f>IF($A232="","",SUMIFS($J$1:$J$349,$AS$1:$AS$349,$AS232,$B$1:$B$349,$B232))</f>
        <v/>
      </c>
      <c r="Q232" s="0">
        <f>IF($A232="","",SUMIFS($G$1:$G$349,$AS$1:$AS$349,$AS232,$C$1:$C$349,$C232))</f>
        <v/>
      </c>
      <c r="R232" s="0">
        <f>IF($A232="","",SUMIFS($H$1:$H$349,$AS$1:$AS$349,$AS232,$C$1:$C$349,$C232))</f>
        <v/>
      </c>
      <c r="S232" s="0">
        <f>IF($A232="","",SUMIFS($I$1:$I$349,$AS$1:$AS$349,$AS232,$C$1:$C$349,$C232))</f>
        <v/>
      </c>
      <c r="T232" s="0">
        <f>IF($A232="","",SUMIFS($G$1:$G$349,$AS$1:$AS$349,$AS232))</f>
        <v/>
      </c>
      <c r="U232" s="0">
        <f>IF($A232="","",SUMIFS($H$1:$H$349,$AS$1:$AS$349,$AS232))</f>
        <v/>
      </c>
      <c r="V232" s="0">
        <f>IF($A232="","",SUMIFS($I$1:$I$349,$AS$1:$AS$349,$AS232))</f>
        <v/>
      </c>
      <c r="W232" s="0">
        <f>IF($A232="","",Allocation!CD232)</f>
        <v/>
      </c>
      <c r="X232" s="0">
        <f>IF($A232="","",Allocation!CE232)</f>
        <v/>
      </c>
      <c r="Y232" s="0">
        <f>IF($A232="","",Allocation!CF232)</f>
        <v/>
      </c>
      <c r="Z232" s="0">
        <f>IF($A232="","",Allocation!CG232)</f>
        <v/>
      </c>
      <c r="AA232" s="0">
        <f>IF($A232="","",Allocation!CH232)</f>
        <v/>
      </c>
      <c r="AB232" s="0">
        <f>IF($A232="","",Allocation!CI232)</f>
        <v/>
      </c>
      <c r="AC232" s="0">
        <f>IF($A232="","",IF(Allocation!$N$4="VOL_EFF",$G232,IF(Allocation!$N$4="VOL_CLASS",$H232,$I232)))</f>
        <v/>
      </c>
      <c r="AD232" s="0">
        <f>IF($A232="","",IF(Allocation!$N$4="VOL_EFF",$L232,IF(Allocation!$N$4="VOL_CLASS",$M232,$N232)))</f>
        <v/>
      </c>
      <c r="AE232" s="0">
        <f>IF($A232="","",IF(Allocation!$N$3="VOL_EFF",$L232,IF(Allocation!$N$3="VOL_CLASS",$M232,$N232)))</f>
        <v/>
      </c>
      <c r="AF232" s="0">
        <f>IF($A232="","",IF(Allocation!$N$3="VOL_EFF",$Q232,IF(Allocation!$N$3="VOL_CLASS",$R232,$S232)))</f>
        <v/>
      </c>
      <c r="AG232" s="0">
        <f>IF($A232="","",IF(Allocation!$N$1="VOL_EFF",$Q232,IF(Allocation!$N$1="VOL_CLASS",$R232,$S232)))</f>
        <v/>
      </c>
      <c r="AH232" s="0">
        <f>IF($A232="","",IF(Allocation!$N$1="VOL_EFF",$T232,IF(Allocation!$N$1="VOL_CLASS",$U232,$V232)))</f>
        <v/>
      </c>
      <c r="AI232" s="0">
        <f>IF($A232="","",$W232*IFERROR($K232/$O232,0))</f>
        <v/>
      </c>
      <c r="AJ232" s="0">
        <f>IF($A232="","",$X232*IFERROR($K232/$O232,0))</f>
        <v/>
      </c>
      <c r="AK232" s="0">
        <f>IF($A232="","",$Y232*IFERROR($G232/$L232,0)+$Z232*IFERROR($J232/$P232,0))</f>
        <v/>
      </c>
      <c r="AL232" s="0">
        <f>IF($A232="","",$AA232*IFERROR($AC232/$AD232,0))</f>
        <v/>
      </c>
      <c r="AM232" s="0">
        <f>IF($A232="","",$AB232*IFERROR($AG232/$AH232,0)*IFERROR($AE232/$AF232,0)*IFERROR($AC232/$AD232,0))</f>
        <v/>
      </c>
      <c r="AN232" s="0">
        <f>IF($A232="","",$I232-($AI232+$AJ232+$AK232+$AL232+$AM232+$AR232))</f>
        <v/>
      </c>
      <c r="AO232" s="0">
        <f>IF($A232="","",Allocation!CJ232)</f>
        <v/>
      </c>
      <c r="AP232" s="0">
        <f>IF($A232="","",IF(Allocation!$N$2="VOL_EFF",$Q232,IF(Allocation!$N$2="VOL_CLASS",$R232,$S232)))</f>
        <v/>
      </c>
      <c r="AQ232" s="0">
        <f>IF($A232="","",IF(Allocation!$N$2="VOL_EFF",$T232,IF(Allocation!$N$2="VOL_CLASS",$U232,$V232)))</f>
        <v/>
      </c>
      <c r="AR232" s="0">
        <f>IF($A232="","",$AO232*IFERROR($AP232/$AQ232,0)*IFERROR($AE232/$AF232,0)*IFERROR($AC232/$AD232,0))</f>
        <v/>
      </c>
      <c r="AS232" s="0">
        <f>IF($A232="","",$A232&amp;"|"&amp;Allocation!BG232)</f>
        <v/>
      </c>
    </row>
    <row r="233" ht="14.4975" customHeight="1" s="64">
      <c r="A233" s="0">
        <f>IF(Allocation!BI233="","",Allocation!BI233)</f>
        <v/>
      </c>
      <c r="B233" s="0">
        <f>IF(Allocation!BJ233="","",Allocation!BJ233)</f>
        <v/>
      </c>
      <c r="C233" s="0">
        <f>IF(Allocation!BK233="","",Allocation!BK233)</f>
        <v/>
      </c>
      <c r="D233" s="0">
        <f>IF(Allocation!BL233="","",Allocation!BL233)</f>
        <v/>
      </c>
      <c r="E233" s="0">
        <f>IF(Allocation!BM233="","",Allocation!BM233)</f>
        <v/>
      </c>
      <c r="F233" s="0">
        <f>IF(Allocation!BN233="","",Allocation!BN233)</f>
        <v/>
      </c>
      <c r="G233" s="0">
        <f>IF(Allocation!BO233="","",Allocation!BO233)</f>
        <v/>
      </c>
      <c r="H233" s="0">
        <f>IF(Allocation!BP233="","",Allocation!BP233)</f>
        <v/>
      </c>
      <c r="I233" s="0">
        <f>IF(Allocation!BQ233="","",Allocation!BQ233)</f>
        <v/>
      </c>
      <c r="J233" s="0">
        <f>IF(Allocation!CC233="","",Allocation!CC233)</f>
        <v/>
      </c>
      <c r="K233" s="0">
        <f>IF($A233="","",$H233*IF(AND(LEFT($D233,3)="BAC",$F233="INIT"),600,IF(LEFT($D233,3)="BAC",480,IF(AND(LEFT($D233,3)="MAS",$F233="INIT"),520,IF(LEFT($D233,3)="MAS",420,IF($F233="INIT",1000,700))))))</f>
        <v/>
      </c>
      <c r="L233" s="0">
        <f>IF($A233="","",SUMIFS($G$1:$G$349,$AS$1:$AS$349,$AS233,$B$1:$B$349,$B233))</f>
        <v/>
      </c>
      <c r="M233" s="0">
        <f>IF($A233="","",SUMIFS($H$1:$H$349,$AS$1:$AS$349,$AS233,$B$1:$B$349,$B233))</f>
        <v/>
      </c>
      <c r="N233" s="0">
        <f>IF($A233="","",SUMIFS($I$1:$I$349,$AS$1:$AS$349,$AS233,$B$1:$B$349,$B233))</f>
        <v/>
      </c>
      <c r="O233" s="0">
        <f>IF($A233="","",SUMIFS($K$1:$K$349,$AS$1:$AS$349,$AS233,$B$1:$B$349,$B233))</f>
        <v/>
      </c>
      <c r="P233" s="0">
        <f>IF($A233="","",SUMIFS($J$1:$J$349,$AS$1:$AS$349,$AS233,$B$1:$B$349,$B233))</f>
        <v/>
      </c>
      <c r="Q233" s="0">
        <f>IF($A233="","",SUMIFS($G$1:$G$349,$AS$1:$AS$349,$AS233,$C$1:$C$349,$C233))</f>
        <v/>
      </c>
      <c r="R233" s="0">
        <f>IF($A233="","",SUMIFS($H$1:$H$349,$AS$1:$AS$349,$AS233,$C$1:$C$349,$C233))</f>
        <v/>
      </c>
      <c r="S233" s="0">
        <f>IF($A233="","",SUMIFS($I$1:$I$349,$AS$1:$AS$349,$AS233,$C$1:$C$349,$C233))</f>
        <v/>
      </c>
      <c r="T233" s="0">
        <f>IF($A233="","",SUMIFS($G$1:$G$349,$AS$1:$AS$349,$AS233))</f>
        <v/>
      </c>
      <c r="U233" s="0">
        <f>IF($A233="","",SUMIFS($H$1:$H$349,$AS$1:$AS$349,$AS233))</f>
        <v/>
      </c>
      <c r="V233" s="0">
        <f>IF($A233="","",SUMIFS($I$1:$I$349,$AS$1:$AS$349,$AS233))</f>
        <v/>
      </c>
      <c r="W233" s="0">
        <f>IF($A233="","",Allocation!CD233)</f>
        <v/>
      </c>
      <c r="X233" s="0">
        <f>IF($A233="","",Allocation!CE233)</f>
        <v/>
      </c>
      <c r="Y233" s="0">
        <f>IF($A233="","",Allocation!CF233)</f>
        <v/>
      </c>
      <c r="Z233" s="0">
        <f>IF($A233="","",Allocation!CG233)</f>
        <v/>
      </c>
      <c r="AA233" s="0">
        <f>IF($A233="","",Allocation!CH233)</f>
        <v/>
      </c>
      <c r="AB233" s="0">
        <f>IF($A233="","",Allocation!CI233)</f>
        <v/>
      </c>
      <c r="AC233" s="0">
        <f>IF($A233="","",IF(Allocation!$N$4="VOL_EFF",$G233,IF(Allocation!$N$4="VOL_CLASS",$H233,$I233)))</f>
        <v/>
      </c>
      <c r="AD233" s="0">
        <f>IF($A233="","",IF(Allocation!$N$4="VOL_EFF",$L233,IF(Allocation!$N$4="VOL_CLASS",$M233,$N233)))</f>
        <v/>
      </c>
      <c r="AE233" s="0">
        <f>IF($A233="","",IF(Allocation!$N$3="VOL_EFF",$L233,IF(Allocation!$N$3="VOL_CLASS",$M233,$N233)))</f>
        <v/>
      </c>
      <c r="AF233" s="0">
        <f>IF($A233="","",IF(Allocation!$N$3="VOL_EFF",$Q233,IF(Allocation!$N$3="VOL_CLASS",$R233,$S233)))</f>
        <v/>
      </c>
      <c r="AG233" s="0">
        <f>IF($A233="","",IF(Allocation!$N$1="VOL_EFF",$Q233,IF(Allocation!$N$1="VOL_CLASS",$R233,$S233)))</f>
        <v/>
      </c>
      <c r="AH233" s="0">
        <f>IF($A233="","",IF(Allocation!$N$1="VOL_EFF",$T233,IF(Allocation!$N$1="VOL_CLASS",$U233,$V233)))</f>
        <v/>
      </c>
      <c r="AI233" s="0">
        <f>IF($A233="","",$W233*IFERROR($K233/$O233,0))</f>
        <v/>
      </c>
      <c r="AJ233" s="0">
        <f>IF($A233="","",$X233*IFERROR($K233/$O233,0))</f>
        <v/>
      </c>
      <c r="AK233" s="0">
        <f>IF($A233="","",$Y233*IFERROR($G233/$L233,0)+$Z233*IFERROR($J233/$P233,0))</f>
        <v/>
      </c>
      <c r="AL233" s="0">
        <f>IF($A233="","",$AA233*IFERROR($AC233/$AD233,0))</f>
        <v/>
      </c>
      <c r="AM233" s="0">
        <f>IF($A233="","",$AB233*IFERROR($AG233/$AH233,0)*IFERROR($AE233/$AF233,0)*IFERROR($AC233/$AD233,0))</f>
        <v/>
      </c>
      <c r="AN233" s="0">
        <f>IF($A233="","",$I233-($AI233+$AJ233+$AK233+$AL233+$AM233+$AR233))</f>
        <v/>
      </c>
      <c r="AO233" s="0">
        <f>IF($A233="","",Allocation!CJ233)</f>
        <v/>
      </c>
      <c r="AP233" s="0">
        <f>IF($A233="","",IF(Allocation!$N$2="VOL_EFF",$Q233,IF(Allocation!$N$2="VOL_CLASS",$R233,$S233)))</f>
        <v/>
      </c>
      <c r="AQ233" s="0">
        <f>IF($A233="","",IF(Allocation!$N$2="VOL_EFF",$T233,IF(Allocation!$N$2="VOL_CLASS",$U233,$V233)))</f>
        <v/>
      </c>
      <c r="AR233" s="0">
        <f>IF($A233="","",$AO233*IFERROR($AP233/$AQ233,0)*IFERROR($AE233/$AF233,0)*IFERROR($AC233/$AD233,0))</f>
        <v/>
      </c>
      <c r="AS233" s="0">
        <f>IF($A233="","",$A233&amp;"|"&amp;Allocation!BG233)</f>
        <v/>
      </c>
    </row>
    <row r="234" ht="14.4975" customHeight="1" s="64">
      <c r="A234" s="0">
        <f>IF(Allocation!BI234="","",Allocation!BI234)</f>
        <v/>
      </c>
      <c r="B234" s="0">
        <f>IF(Allocation!BJ234="","",Allocation!BJ234)</f>
        <v/>
      </c>
      <c r="C234" s="0">
        <f>IF(Allocation!BK234="","",Allocation!BK234)</f>
        <v/>
      </c>
      <c r="D234" s="0">
        <f>IF(Allocation!BL234="","",Allocation!BL234)</f>
        <v/>
      </c>
      <c r="E234" s="0">
        <f>IF(Allocation!BM234="","",Allocation!BM234)</f>
        <v/>
      </c>
      <c r="F234" s="0">
        <f>IF(Allocation!BN234="","",Allocation!BN234)</f>
        <v/>
      </c>
      <c r="G234" s="0">
        <f>IF(Allocation!BO234="","",Allocation!BO234)</f>
        <v/>
      </c>
      <c r="H234" s="0">
        <f>IF(Allocation!BP234="","",Allocation!BP234)</f>
        <v/>
      </c>
      <c r="I234" s="0">
        <f>IF(Allocation!BQ234="","",Allocation!BQ234)</f>
        <v/>
      </c>
      <c r="J234" s="0">
        <f>IF(Allocation!CC234="","",Allocation!CC234)</f>
        <v/>
      </c>
      <c r="K234" s="0">
        <f>IF($A234="","",$H234*IF(AND(LEFT($D234,3)="BAC",$F234="INIT"),600,IF(LEFT($D234,3)="BAC",480,IF(AND(LEFT($D234,3)="MAS",$F234="INIT"),520,IF(LEFT($D234,3)="MAS",420,IF($F234="INIT",1000,700))))))</f>
        <v/>
      </c>
      <c r="L234" s="0">
        <f>IF($A234="","",SUMIFS($G$1:$G$349,$AS$1:$AS$349,$AS234,$B$1:$B$349,$B234))</f>
        <v/>
      </c>
      <c r="M234" s="0">
        <f>IF($A234="","",SUMIFS($H$1:$H$349,$AS$1:$AS$349,$AS234,$B$1:$B$349,$B234))</f>
        <v/>
      </c>
      <c r="N234" s="0">
        <f>IF($A234="","",SUMIFS($I$1:$I$349,$AS$1:$AS$349,$AS234,$B$1:$B$349,$B234))</f>
        <v/>
      </c>
      <c r="O234" s="0">
        <f>IF($A234="","",SUMIFS($K$1:$K$349,$AS$1:$AS$349,$AS234,$B$1:$B$349,$B234))</f>
        <v/>
      </c>
      <c r="P234" s="0">
        <f>IF($A234="","",SUMIFS($J$1:$J$349,$AS$1:$AS$349,$AS234,$B$1:$B$349,$B234))</f>
        <v/>
      </c>
      <c r="Q234" s="0">
        <f>IF($A234="","",SUMIFS($G$1:$G$349,$AS$1:$AS$349,$AS234,$C$1:$C$349,$C234))</f>
        <v/>
      </c>
      <c r="R234" s="0">
        <f>IF($A234="","",SUMIFS($H$1:$H$349,$AS$1:$AS$349,$AS234,$C$1:$C$349,$C234))</f>
        <v/>
      </c>
      <c r="S234" s="0">
        <f>IF($A234="","",SUMIFS($I$1:$I$349,$AS$1:$AS$349,$AS234,$C$1:$C$349,$C234))</f>
        <v/>
      </c>
      <c r="T234" s="0">
        <f>IF($A234="","",SUMIFS($G$1:$G$349,$AS$1:$AS$349,$AS234))</f>
        <v/>
      </c>
      <c r="U234" s="0">
        <f>IF($A234="","",SUMIFS($H$1:$H$349,$AS$1:$AS$349,$AS234))</f>
        <v/>
      </c>
      <c r="V234" s="0">
        <f>IF($A234="","",SUMIFS($I$1:$I$349,$AS$1:$AS$349,$AS234))</f>
        <v/>
      </c>
      <c r="W234" s="0">
        <f>IF($A234="","",Allocation!CD234)</f>
        <v/>
      </c>
      <c r="X234" s="0">
        <f>IF($A234="","",Allocation!CE234)</f>
        <v/>
      </c>
      <c r="Y234" s="0">
        <f>IF($A234="","",Allocation!CF234)</f>
        <v/>
      </c>
      <c r="Z234" s="0">
        <f>IF($A234="","",Allocation!CG234)</f>
        <v/>
      </c>
      <c r="AA234" s="0">
        <f>IF($A234="","",Allocation!CH234)</f>
        <v/>
      </c>
      <c r="AB234" s="0">
        <f>IF($A234="","",Allocation!CI234)</f>
        <v/>
      </c>
      <c r="AC234" s="0">
        <f>IF($A234="","",IF(Allocation!$N$4="VOL_EFF",$G234,IF(Allocation!$N$4="VOL_CLASS",$H234,$I234)))</f>
        <v/>
      </c>
      <c r="AD234" s="0">
        <f>IF($A234="","",IF(Allocation!$N$4="VOL_EFF",$L234,IF(Allocation!$N$4="VOL_CLASS",$M234,$N234)))</f>
        <v/>
      </c>
      <c r="AE234" s="0">
        <f>IF($A234="","",IF(Allocation!$N$3="VOL_EFF",$L234,IF(Allocation!$N$3="VOL_CLASS",$M234,$N234)))</f>
        <v/>
      </c>
      <c r="AF234" s="0">
        <f>IF($A234="","",IF(Allocation!$N$3="VOL_EFF",$Q234,IF(Allocation!$N$3="VOL_CLASS",$R234,$S234)))</f>
        <v/>
      </c>
      <c r="AG234" s="0">
        <f>IF($A234="","",IF(Allocation!$N$1="VOL_EFF",$Q234,IF(Allocation!$N$1="VOL_CLASS",$R234,$S234)))</f>
        <v/>
      </c>
      <c r="AH234" s="0">
        <f>IF($A234="","",IF(Allocation!$N$1="VOL_EFF",$T234,IF(Allocation!$N$1="VOL_CLASS",$U234,$V234)))</f>
        <v/>
      </c>
      <c r="AI234" s="0">
        <f>IF($A234="","",$W234*IFERROR($K234/$O234,0))</f>
        <v/>
      </c>
      <c r="AJ234" s="0">
        <f>IF($A234="","",$X234*IFERROR($K234/$O234,0))</f>
        <v/>
      </c>
      <c r="AK234" s="0">
        <f>IF($A234="","",$Y234*IFERROR($G234/$L234,0)+$Z234*IFERROR($J234/$P234,0))</f>
        <v/>
      </c>
      <c r="AL234" s="0">
        <f>IF($A234="","",$AA234*IFERROR($AC234/$AD234,0))</f>
        <v/>
      </c>
      <c r="AM234" s="0">
        <f>IF($A234="","",$AB234*IFERROR($AG234/$AH234,0)*IFERROR($AE234/$AF234,0)*IFERROR($AC234/$AD234,0))</f>
        <v/>
      </c>
      <c r="AN234" s="0">
        <f>IF($A234="","",$I234-($AI234+$AJ234+$AK234+$AL234+$AM234+$AR234))</f>
        <v/>
      </c>
      <c r="AO234" s="0">
        <f>IF($A234="","",Allocation!CJ234)</f>
        <v/>
      </c>
      <c r="AP234" s="0">
        <f>IF($A234="","",IF(Allocation!$N$2="VOL_EFF",$Q234,IF(Allocation!$N$2="VOL_CLASS",$R234,$S234)))</f>
        <v/>
      </c>
      <c r="AQ234" s="0">
        <f>IF($A234="","",IF(Allocation!$N$2="VOL_EFF",$T234,IF(Allocation!$N$2="VOL_CLASS",$U234,$V234)))</f>
        <v/>
      </c>
      <c r="AR234" s="0">
        <f>IF($A234="","",$AO234*IFERROR($AP234/$AQ234,0)*IFERROR($AE234/$AF234,0)*IFERROR($AC234/$AD234,0))</f>
        <v/>
      </c>
      <c r="AS234" s="0">
        <f>IF($A234="","",$A234&amp;"|"&amp;Allocation!BG234)</f>
        <v/>
      </c>
    </row>
    <row r="235" ht="14.4975" customHeight="1" s="64">
      <c r="A235" s="0">
        <f>IF(Allocation!BI235="","",Allocation!BI235)</f>
        <v/>
      </c>
      <c r="B235" s="0">
        <f>IF(Allocation!BJ235="","",Allocation!BJ235)</f>
        <v/>
      </c>
      <c r="C235" s="0">
        <f>IF(Allocation!BK235="","",Allocation!BK235)</f>
        <v/>
      </c>
      <c r="D235" s="0">
        <f>IF(Allocation!BL235="","",Allocation!BL235)</f>
        <v/>
      </c>
      <c r="E235" s="0">
        <f>IF(Allocation!BM235="","",Allocation!BM235)</f>
        <v/>
      </c>
      <c r="F235" s="0">
        <f>IF(Allocation!BN235="","",Allocation!BN235)</f>
        <v/>
      </c>
      <c r="G235" s="0">
        <f>IF(Allocation!BO235="","",Allocation!BO235)</f>
        <v/>
      </c>
      <c r="H235" s="0">
        <f>IF(Allocation!BP235="","",Allocation!BP235)</f>
        <v/>
      </c>
      <c r="I235" s="0">
        <f>IF(Allocation!BQ235="","",Allocation!BQ235)</f>
        <v/>
      </c>
      <c r="J235" s="0">
        <f>IF(Allocation!CC235="","",Allocation!CC235)</f>
        <v/>
      </c>
      <c r="K235" s="0">
        <f>IF($A235="","",$H235*IF(AND(LEFT($D235,3)="BAC",$F235="INIT"),600,IF(LEFT($D235,3)="BAC",480,IF(AND(LEFT($D235,3)="MAS",$F235="INIT"),520,IF(LEFT($D235,3)="MAS",420,IF($F235="INIT",1000,700))))))</f>
        <v/>
      </c>
      <c r="L235" s="0">
        <f>IF($A235="","",SUMIFS($G$1:$G$349,$AS$1:$AS$349,$AS235,$B$1:$B$349,$B235))</f>
        <v/>
      </c>
      <c r="M235" s="0">
        <f>IF($A235="","",SUMIFS($H$1:$H$349,$AS$1:$AS$349,$AS235,$B$1:$B$349,$B235))</f>
        <v/>
      </c>
      <c r="N235" s="0">
        <f>IF($A235="","",SUMIFS($I$1:$I$349,$AS$1:$AS$349,$AS235,$B$1:$B$349,$B235))</f>
        <v/>
      </c>
      <c r="O235" s="0">
        <f>IF($A235="","",SUMIFS($K$1:$K$349,$AS$1:$AS$349,$AS235,$B$1:$B$349,$B235))</f>
        <v/>
      </c>
      <c r="P235" s="0">
        <f>IF($A235="","",SUMIFS($J$1:$J$349,$AS$1:$AS$349,$AS235,$B$1:$B$349,$B235))</f>
        <v/>
      </c>
      <c r="Q235" s="0">
        <f>IF($A235="","",SUMIFS($G$1:$G$349,$AS$1:$AS$349,$AS235,$C$1:$C$349,$C235))</f>
        <v/>
      </c>
      <c r="R235" s="0">
        <f>IF($A235="","",SUMIFS($H$1:$H$349,$AS$1:$AS$349,$AS235,$C$1:$C$349,$C235))</f>
        <v/>
      </c>
      <c r="S235" s="0">
        <f>IF($A235="","",SUMIFS($I$1:$I$349,$AS$1:$AS$349,$AS235,$C$1:$C$349,$C235))</f>
        <v/>
      </c>
      <c r="T235" s="0">
        <f>IF($A235="","",SUMIFS($G$1:$G$349,$AS$1:$AS$349,$AS235))</f>
        <v/>
      </c>
      <c r="U235" s="0">
        <f>IF($A235="","",SUMIFS($H$1:$H$349,$AS$1:$AS$349,$AS235))</f>
        <v/>
      </c>
      <c r="V235" s="0">
        <f>IF($A235="","",SUMIFS($I$1:$I$349,$AS$1:$AS$349,$AS235))</f>
        <v/>
      </c>
      <c r="W235" s="0">
        <f>IF($A235="","",Allocation!CD235)</f>
        <v/>
      </c>
      <c r="X235" s="0">
        <f>IF($A235="","",Allocation!CE235)</f>
        <v/>
      </c>
      <c r="Y235" s="0">
        <f>IF($A235="","",Allocation!CF235)</f>
        <v/>
      </c>
      <c r="Z235" s="0">
        <f>IF($A235="","",Allocation!CG235)</f>
        <v/>
      </c>
      <c r="AA235" s="0">
        <f>IF($A235="","",Allocation!CH235)</f>
        <v/>
      </c>
      <c r="AB235" s="0">
        <f>IF($A235="","",Allocation!CI235)</f>
        <v/>
      </c>
      <c r="AC235" s="0">
        <f>IF($A235="","",IF(Allocation!$N$4="VOL_EFF",$G235,IF(Allocation!$N$4="VOL_CLASS",$H235,$I235)))</f>
        <v/>
      </c>
      <c r="AD235" s="0">
        <f>IF($A235="","",IF(Allocation!$N$4="VOL_EFF",$L235,IF(Allocation!$N$4="VOL_CLASS",$M235,$N235)))</f>
        <v/>
      </c>
      <c r="AE235" s="0">
        <f>IF($A235="","",IF(Allocation!$N$3="VOL_EFF",$L235,IF(Allocation!$N$3="VOL_CLASS",$M235,$N235)))</f>
        <v/>
      </c>
      <c r="AF235" s="0">
        <f>IF($A235="","",IF(Allocation!$N$3="VOL_EFF",$Q235,IF(Allocation!$N$3="VOL_CLASS",$R235,$S235)))</f>
        <v/>
      </c>
      <c r="AG235" s="0">
        <f>IF($A235="","",IF(Allocation!$N$1="VOL_EFF",$Q235,IF(Allocation!$N$1="VOL_CLASS",$R235,$S235)))</f>
        <v/>
      </c>
      <c r="AH235" s="0">
        <f>IF($A235="","",IF(Allocation!$N$1="VOL_EFF",$T235,IF(Allocation!$N$1="VOL_CLASS",$U235,$V235)))</f>
        <v/>
      </c>
      <c r="AI235" s="0">
        <f>IF($A235="","",$W235*IFERROR($K235/$O235,0))</f>
        <v/>
      </c>
      <c r="AJ235" s="0">
        <f>IF($A235="","",$X235*IFERROR($K235/$O235,0))</f>
        <v/>
      </c>
      <c r="AK235" s="0">
        <f>IF($A235="","",$Y235*IFERROR($G235/$L235,0)+$Z235*IFERROR($J235/$P235,0))</f>
        <v/>
      </c>
      <c r="AL235" s="0">
        <f>IF($A235="","",$AA235*IFERROR($AC235/$AD235,0))</f>
        <v/>
      </c>
      <c r="AM235" s="0">
        <f>IF($A235="","",$AB235*IFERROR($AG235/$AH235,0)*IFERROR($AE235/$AF235,0)*IFERROR($AC235/$AD235,0))</f>
        <v/>
      </c>
      <c r="AN235" s="0">
        <f>IF($A235="","",$I235-($AI235+$AJ235+$AK235+$AL235+$AM235+$AR235))</f>
        <v/>
      </c>
      <c r="AO235" s="0">
        <f>IF($A235="","",Allocation!CJ235)</f>
        <v/>
      </c>
      <c r="AP235" s="0">
        <f>IF($A235="","",IF(Allocation!$N$2="VOL_EFF",$Q235,IF(Allocation!$N$2="VOL_CLASS",$R235,$S235)))</f>
        <v/>
      </c>
      <c r="AQ235" s="0">
        <f>IF($A235="","",IF(Allocation!$N$2="VOL_EFF",$T235,IF(Allocation!$N$2="VOL_CLASS",$U235,$V235)))</f>
        <v/>
      </c>
      <c r="AR235" s="0">
        <f>IF($A235="","",$AO235*IFERROR($AP235/$AQ235,0)*IFERROR($AE235/$AF235,0)*IFERROR($AC235/$AD235,0))</f>
        <v/>
      </c>
      <c r="AS235" s="0">
        <f>IF($A235="","",$A235&amp;"|"&amp;Allocation!BG235)</f>
        <v/>
      </c>
    </row>
    <row r="236" ht="14.4975" customHeight="1" s="64">
      <c r="A236" s="0">
        <f>IF(Allocation!BI236="","",Allocation!BI236)</f>
        <v/>
      </c>
      <c r="B236" s="0">
        <f>IF(Allocation!BJ236="","",Allocation!BJ236)</f>
        <v/>
      </c>
      <c r="C236" s="0">
        <f>IF(Allocation!BK236="","",Allocation!BK236)</f>
        <v/>
      </c>
      <c r="D236" s="0">
        <f>IF(Allocation!BL236="","",Allocation!BL236)</f>
        <v/>
      </c>
      <c r="E236" s="0">
        <f>IF(Allocation!BM236="","",Allocation!BM236)</f>
        <v/>
      </c>
      <c r="F236" s="0">
        <f>IF(Allocation!BN236="","",Allocation!BN236)</f>
        <v/>
      </c>
      <c r="G236" s="0">
        <f>IF(Allocation!BO236="","",Allocation!BO236)</f>
        <v/>
      </c>
      <c r="H236" s="0">
        <f>IF(Allocation!BP236="","",Allocation!BP236)</f>
        <v/>
      </c>
      <c r="I236" s="0">
        <f>IF(Allocation!BQ236="","",Allocation!BQ236)</f>
        <v/>
      </c>
      <c r="J236" s="0">
        <f>IF(Allocation!CC236="","",Allocation!CC236)</f>
        <v/>
      </c>
      <c r="K236" s="0">
        <f>IF($A236="","",$H236*IF(AND(LEFT($D236,3)="BAC",$F236="INIT"),600,IF(LEFT($D236,3)="BAC",480,IF(AND(LEFT($D236,3)="MAS",$F236="INIT"),520,IF(LEFT($D236,3)="MAS",420,IF($F236="INIT",1000,700))))))</f>
        <v/>
      </c>
      <c r="L236" s="0">
        <f>IF($A236="","",SUMIFS($G$1:$G$349,$AS$1:$AS$349,$AS236,$B$1:$B$349,$B236))</f>
        <v/>
      </c>
      <c r="M236" s="0">
        <f>IF($A236="","",SUMIFS($H$1:$H$349,$AS$1:$AS$349,$AS236,$B$1:$B$349,$B236))</f>
        <v/>
      </c>
      <c r="N236" s="0">
        <f>IF($A236="","",SUMIFS($I$1:$I$349,$AS$1:$AS$349,$AS236,$B$1:$B$349,$B236))</f>
        <v/>
      </c>
      <c r="O236" s="0">
        <f>IF($A236="","",SUMIFS($K$1:$K$349,$AS$1:$AS$349,$AS236,$B$1:$B$349,$B236))</f>
        <v/>
      </c>
      <c r="P236" s="0">
        <f>IF($A236="","",SUMIFS($J$1:$J$349,$AS$1:$AS$349,$AS236,$B$1:$B$349,$B236))</f>
        <v/>
      </c>
      <c r="Q236" s="0">
        <f>IF($A236="","",SUMIFS($G$1:$G$349,$AS$1:$AS$349,$AS236,$C$1:$C$349,$C236))</f>
        <v/>
      </c>
      <c r="R236" s="0">
        <f>IF($A236="","",SUMIFS($H$1:$H$349,$AS$1:$AS$349,$AS236,$C$1:$C$349,$C236))</f>
        <v/>
      </c>
      <c r="S236" s="0">
        <f>IF($A236="","",SUMIFS($I$1:$I$349,$AS$1:$AS$349,$AS236,$C$1:$C$349,$C236))</f>
        <v/>
      </c>
      <c r="T236" s="0">
        <f>IF($A236="","",SUMIFS($G$1:$G$349,$AS$1:$AS$349,$AS236))</f>
        <v/>
      </c>
      <c r="U236" s="0">
        <f>IF($A236="","",SUMIFS($H$1:$H$349,$AS$1:$AS$349,$AS236))</f>
        <v/>
      </c>
      <c r="V236" s="0">
        <f>IF($A236="","",SUMIFS($I$1:$I$349,$AS$1:$AS$349,$AS236))</f>
        <v/>
      </c>
      <c r="W236" s="0">
        <f>IF($A236="","",Allocation!CD236)</f>
        <v/>
      </c>
      <c r="X236" s="0">
        <f>IF($A236="","",Allocation!CE236)</f>
        <v/>
      </c>
      <c r="Y236" s="0">
        <f>IF($A236="","",Allocation!CF236)</f>
        <v/>
      </c>
      <c r="Z236" s="0">
        <f>IF($A236="","",Allocation!CG236)</f>
        <v/>
      </c>
      <c r="AA236" s="0">
        <f>IF($A236="","",Allocation!CH236)</f>
        <v/>
      </c>
      <c r="AB236" s="0">
        <f>IF($A236="","",Allocation!CI236)</f>
        <v/>
      </c>
      <c r="AC236" s="0">
        <f>IF($A236="","",IF(Allocation!$N$4="VOL_EFF",$G236,IF(Allocation!$N$4="VOL_CLASS",$H236,$I236)))</f>
        <v/>
      </c>
      <c r="AD236" s="0">
        <f>IF($A236="","",IF(Allocation!$N$4="VOL_EFF",$L236,IF(Allocation!$N$4="VOL_CLASS",$M236,$N236)))</f>
        <v/>
      </c>
      <c r="AE236" s="0">
        <f>IF($A236="","",IF(Allocation!$N$3="VOL_EFF",$L236,IF(Allocation!$N$3="VOL_CLASS",$M236,$N236)))</f>
        <v/>
      </c>
      <c r="AF236" s="0">
        <f>IF($A236="","",IF(Allocation!$N$3="VOL_EFF",$Q236,IF(Allocation!$N$3="VOL_CLASS",$R236,$S236)))</f>
        <v/>
      </c>
      <c r="AG236" s="0">
        <f>IF($A236="","",IF(Allocation!$N$1="VOL_EFF",$Q236,IF(Allocation!$N$1="VOL_CLASS",$R236,$S236)))</f>
        <v/>
      </c>
      <c r="AH236" s="0">
        <f>IF($A236="","",IF(Allocation!$N$1="VOL_EFF",$T236,IF(Allocation!$N$1="VOL_CLASS",$U236,$V236)))</f>
        <v/>
      </c>
      <c r="AI236" s="0">
        <f>IF($A236="","",$W236*IFERROR($K236/$O236,0))</f>
        <v/>
      </c>
      <c r="AJ236" s="0">
        <f>IF($A236="","",$X236*IFERROR($K236/$O236,0))</f>
        <v/>
      </c>
      <c r="AK236" s="0">
        <f>IF($A236="","",$Y236*IFERROR($G236/$L236,0)+$Z236*IFERROR($J236/$P236,0))</f>
        <v/>
      </c>
      <c r="AL236" s="0">
        <f>IF($A236="","",$AA236*IFERROR($AC236/$AD236,0))</f>
        <v/>
      </c>
      <c r="AM236" s="0">
        <f>IF($A236="","",$AB236*IFERROR($AG236/$AH236,0)*IFERROR($AE236/$AF236,0)*IFERROR($AC236/$AD236,0))</f>
        <v/>
      </c>
      <c r="AN236" s="0">
        <f>IF($A236="","",$I236-($AI236+$AJ236+$AK236+$AL236+$AM236+$AR236))</f>
        <v/>
      </c>
      <c r="AO236" s="0">
        <f>IF($A236="","",Allocation!CJ236)</f>
        <v/>
      </c>
      <c r="AP236" s="0">
        <f>IF($A236="","",IF(Allocation!$N$2="VOL_EFF",$Q236,IF(Allocation!$N$2="VOL_CLASS",$R236,$S236)))</f>
        <v/>
      </c>
      <c r="AQ236" s="0">
        <f>IF($A236="","",IF(Allocation!$N$2="VOL_EFF",$T236,IF(Allocation!$N$2="VOL_CLASS",$U236,$V236)))</f>
        <v/>
      </c>
      <c r="AR236" s="0">
        <f>IF($A236="","",$AO236*IFERROR($AP236/$AQ236,0)*IFERROR($AE236/$AF236,0)*IFERROR($AC236/$AD236,0))</f>
        <v/>
      </c>
      <c r="AS236" s="0">
        <f>IF($A236="","",$A236&amp;"|"&amp;Allocation!BG236)</f>
        <v/>
      </c>
    </row>
    <row r="237" ht="14.4975" customHeight="1" s="64">
      <c r="A237" s="0">
        <f>IF(Allocation!BI237="","",Allocation!BI237)</f>
        <v/>
      </c>
      <c r="B237" s="0">
        <f>IF(Allocation!BJ237="","",Allocation!BJ237)</f>
        <v/>
      </c>
      <c r="C237" s="0">
        <f>IF(Allocation!BK237="","",Allocation!BK237)</f>
        <v/>
      </c>
      <c r="D237" s="0">
        <f>IF(Allocation!BL237="","",Allocation!BL237)</f>
        <v/>
      </c>
      <c r="E237" s="0">
        <f>IF(Allocation!BM237="","",Allocation!BM237)</f>
        <v/>
      </c>
      <c r="F237" s="0">
        <f>IF(Allocation!BN237="","",Allocation!BN237)</f>
        <v/>
      </c>
      <c r="G237" s="0">
        <f>IF(Allocation!BO237="","",Allocation!BO237)</f>
        <v/>
      </c>
      <c r="H237" s="0">
        <f>IF(Allocation!BP237="","",Allocation!BP237)</f>
        <v/>
      </c>
      <c r="I237" s="0">
        <f>IF(Allocation!BQ237="","",Allocation!BQ237)</f>
        <v/>
      </c>
      <c r="J237" s="0">
        <f>IF(Allocation!CC237="","",Allocation!CC237)</f>
        <v/>
      </c>
      <c r="K237" s="0">
        <f>IF($A237="","",$H237*IF(AND(LEFT($D237,3)="BAC",$F237="INIT"),600,IF(LEFT($D237,3)="BAC",480,IF(AND(LEFT($D237,3)="MAS",$F237="INIT"),520,IF(LEFT($D237,3)="MAS",420,IF($F237="INIT",1000,700))))))</f>
        <v/>
      </c>
      <c r="L237" s="0">
        <f>IF($A237="","",SUMIFS($G$1:$G$349,$AS$1:$AS$349,$AS237,$B$1:$B$349,$B237))</f>
        <v/>
      </c>
      <c r="M237" s="0">
        <f>IF($A237="","",SUMIFS($H$1:$H$349,$AS$1:$AS$349,$AS237,$B$1:$B$349,$B237))</f>
        <v/>
      </c>
      <c r="N237" s="0">
        <f>IF($A237="","",SUMIFS($I$1:$I$349,$AS$1:$AS$349,$AS237,$B$1:$B$349,$B237))</f>
        <v/>
      </c>
      <c r="O237" s="0">
        <f>IF($A237="","",SUMIFS($K$1:$K$349,$AS$1:$AS$349,$AS237,$B$1:$B$349,$B237))</f>
        <v/>
      </c>
      <c r="P237" s="0">
        <f>IF($A237="","",SUMIFS($J$1:$J$349,$AS$1:$AS$349,$AS237,$B$1:$B$349,$B237))</f>
        <v/>
      </c>
      <c r="Q237" s="0">
        <f>IF($A237="","",SUMIFS($G$1:$G$349,$AS$1:$AS$349,$AS237,$C$1:$C$349,$C237))</f>
        <v/>
      </c>
      <c r="R237" s="0">
        <f>IF($A237="","",SUMIFS($H$1:$H$349,$AS$1:$AS$349,$AS237,$C$1:$C$349,$C237))</f>
        <v/>
      </c>
      <c r="S237" s="0">
        <f>IF($A237="","",SUMIFS($I$1:$I$349,$AS$1:$AS$349,$AS237,$C$1:$C$349,$C237))</f>
        <v/>
      </c>
      <c r="T237" s="0">
        <f>IF($A237="","",SUMIFS($G$1:$G$349,$AS$1:$AS$349,$AS237))</f>
        <v/>
      </c>
      <c r="U237" s="0">
        <f>IF($A237="","",SUMIFS($H$1:$H$349,$AS$1:$AS$349,$AS237))</f>
        <v/>
      </c>
      <c r="V237" s="0">
        <f>IF($A237="","",SUMIFS($I$1:$I$349,$AS$1:$AS$349,$AS237))</f>
        <v/>
      </c>
      <c r="W237" s="0">
        <f>IF($A237="","",Allocation!CD237)</f>
        <v/>
      </c>
      <c r="X237" s="0">
        <f>IF($A237="","",Allocation!CE237)</f>
        <v/>
      </c>
      <c r="Y237" s="0">
        <f>IF($A237="","",Allocation!CF237)</f>
        <v/>
      </c>
      <c r="Z237" s="0">
        <f>IF($A237="","",Allocation!CG237)</f>
        <v/>
      </c>
      <c r="AA237" s="0">
        <f>IF($A237="","",Allocation!CH237)</f>
        <v/>
      </c>
      <c r="AB237" s="0">
        <f>IF($A237="","",Allocation!CI237)</f>
        <v/>
      </c>
      <c r="AC237" s="0">
        <f>IF($A237="","",IF(Allocation!$N$4="VOL_EFF",$G237,IF(Allocation!$N$4="VOL_CLASS",$H237,$I237)))</f>
        <v/>
      </c>
      <c r="AD237" s="0">
        <f>IF($A237="","",IF(Allocation!$N$4="VOL_EFF",$L237,IF(Allocation!$N$4="VOL_CLASS",$M237,$N237)))</f>
        <v/>
      </c>
      <c r="AE237" s="0">
        <f>IF($A237="","",IF(Allocation!$N$3="VOL_EFF",$L237,IF(Allocation!$N$3="VOL_CLASS",$M237,$N237)))</f>
        <v/>
      </c>
      <c r="AF237" s="0">
        <f>IF($A237="","",IF(Allocation!$N$3="VOL_EFF",$Q237,IF(Allocation!$N$3="VOL_CLASS",$R237,$S237)))</f>
        <v/>
      </c>
      <c r="AG237" s="0">
        <f>IF($A237="","",IF(Allocation!$N$1="VOL_EFF",$Q237,IF(Allocation!$N$1="VOL_CLASS",$R237,$S237)))</f>
        <v/>
      </c>
      <c r="AH237" s="0">
        <f>IF($A237="","",IF(Allocation!$N$1="VOL_EFF",$T237,IF(Allocation!$N$1="VOL_CLASS",$U237,$V237)))</f>
        <v/>
      </c>
      <c r="AI237" s="0">
        <f>IF($A237="","",$W237*IFERROR($K237/$O237,0))</f>
        <v/>
      </c>
      <c r="AJ237" s="0">
        <f>IF($A237="","",$X237*IFERROR($K237/$O237,0))</f>
        <v/>
      </c>
      <c r="AK237" s="0">
        <f>IF($A237="","",$Y237*IFERROR($G237/$L237,0)+$Z237*IFERROR($J237/$P237,0))</f>
        <v/>
      </c>
      <c r="AL237" s="0">
        <f>IF($A237="","",$AA237*IFERROR($AC237/$AD237,0))</f>
        <v/>
      </c>
      <c r="AM237" s="0">
        <f>IF($A237="","",$AB237*IFERROR($AG237/$AH237,0)*IFERROR($AE237/$AF237,0)*IFERROR($AC237/$AD237,0))</f>
        <v/>
      </c>
      <c r="AN237" s="0">
        <f>IF($A237="","",$I237-($AI237+$AJ237+$AK237+$AL237+$AM237+$AR237))</f>
        <v/>
      </c>
      <c r="AO237" s="0">
        <f>IF($A237="","",Allocation!CJ237)</f>
        <v/>
      </c>
      <c r="AP237" s="0">
        <f>IF($A237="","",IF(Allocation!$N$2="VOL_EFF",$Q237,IF(Allocation!$N$2="VOL_CLASS",$R237,$S237)))</f>
        <v/>
      </c>
      <c r="AQ237" s="0">
        <f>IF($A237="","",IF(Allocation!$N$2="VOL_EFF",$T237,IF(Allocation!$N$2="VOL_CLASS",$U237,$V237)))</f>
        <v/>
      </c>
      <c r="AR237" s="0">
        <f>IF($A237="","",$AO237*IFERROR($AP237/$AQ237,0)*IFERROR($AE237/$AF237,0)*IFERROR($AC237/$AD237,0))</f>
        <v/>
      </c>
      <c r="AS237" s="0">
        <f>IF($A237="","",$A237&amp;"|"&amp;Allocation!BG237)</f>
        <v/>
      </c>
    </row>
    <row r="238" ht="14.4975" customHeight="1" s="64">
      <c r="A238" s="0">
        <f>IF(Allocation!BI238="","",Allocation!BI238)</f>
        <v/>
      </c>
      <c r="B238" s="0">
        <f>IF(Allocation!BJ238="","",Allocation!BJ238)</f>
        <v/>
      </c>
      <c r="C238" s="0">
        <f>IF(Allocation!BK238="","",Allocation!BK238)</f>
        <v/>
      </c>
      <c r="D238" s="0">
        <f>IF(Allocation!BL238="","",Allocation!BL238)</f>
        <v/>
      </c>
      <c r="E238" s="0">
        <f>IF(Allocation!BM238="","",Allocation!BM238)</f>
        <v/>
      </c>
      <c r="F238" s="0">
        <f>IF(Allocation!BN238="","",Allocation!BN238)</f>
        <v/>
      </c>
      <c r="G238" s="0">
        <f>IF(Allocation!BO238="","",Allocation!BO238)</f>
        <v/>
      </c>
      <c r="H238" s="0">
        <f>IF(Allocation!BP238="","",Allocation!BP238)</f>
        <v/>
      </c>
      <c r="I238" s="0">
        <f>IF(Allocation!BQ238="","",Allocation!BQ238)</f>
        <v/>
      </c>
      <c r="J238" s="0">
        <f>IF(Allocation!CC238="","",Allocation!CC238)</f>
        <v/>
      </c>
      <c r="K238" s="0">
        <f>IF($A238="","",$H238*IF(AND(LEFT($D238,3)="BAC",$F238="INIT"),600,IF(LEFT($D238,3)="BAC",480,IF(AND(LEFT($D238,3)="MAS",$F238="INIT"),520,IF(LEFT($D238,3)="MAS",420,IF($F238="INIT",1000,700))))))</f>
        <v/>
      </c>
      <c r="L238" s="0">
        <f>IF($A238="","",SUMIFS($G$1:$G$349,$AS$1:$AS$349,$AS238,$B$1:$B$349,$B238))</f>
        <v/>
      </c>
      <c r="M238" s="0">
        <f>IF($A238="","",SUMIFS($H$1:$H$349,$AS$1:$AS$349,$AS238,$B$1:$B$349,$B238))</f>
        <v/>
      </c>
      <c r="N238" s="0">
        <f>IF($A238="","",SUMIFS($I$1:$I$349,$AS$1:$AS$349,$AS238,$B$1:$B$349,$B238))</f>
        <v/>
      </c>
      <c r="O238" s="0">
        <f>IF($A238="","",SUMIFS($K$1:$K$349,$AS$1:$AS$349,$AS238,$B$1:$B$349,$B238))</f>
        <v/>
      </c>
      <c r="P238" s="0">
        <f>IF($A238="","",SUMIFS($J$1:$J$349,$AS$1:$AS$349,$AS238,$B$1:$B$349,$B238))</f>
        <v/>
      </c>
      <c r="Q238" s="0">
        <f>IF($A238="","",SUMIFS($G$1:$G$349,$AS$1:$AS$349,$AS238,$C$1:$C$349,$C238))</f>
        <v/>
      </c>
      <c r="R238" s="0">
        <f>IF($A238="","",SUMIFS($H$1:$H$349,$AS$1:$AS$349,$AS238,$C$1:$C$349,$C238))</f>
        <v/>
      </c>
      <c r="S238" s="0">
        <f>IF($A238="","",SUMIFS($I$1:$I$349,$AS$1:$AS$349,$AS238,$C$1:$C$349,$C238))</f>
        <v/>
      </c>
      <c r="T238" s="0">
        <f>IF($A238="","",SUMIFS($G$1:$G$349,$AS$1:$AS$349,$AS238))</f>
        <v/>
      </c>
      <c r="U238" s="0">
        <f>IF($A238="","",SUMIFS($H$1:$H$349,$AS$1:$AS$349,$AS238))</f>
        <v/>
      </c>
      <c r="V238" s="0">
        <f>IF($A238="","",SUMIFS($I$1:$I$349,$AS$1:$AS$349,$AS238))</f>
        <v/>
      </c>
      <c r="W238" s="0">
        <f>IF($A238="","",Allocation!CD238)</f>
        <v/>
      </c>
      <c r="X238" s="0">
        <f>IF($A238="","",Allocation!CE238)</f>
        <v/>
      </c>
      <c r="Y238" s="0">
        <f>IF($A238="","",Allocation!CF238)</f>
        <v/>
      </c>
      <c r="Z238" s="0">
        <f>IF($A238="","",Allocation!CG238)</f>
        <v/>
      </c>
      <c r="AA238" s="0">
        <f>IF($A238="","",Allocation!CH238)</f>
        <v/>
      </c>
      <c r="AB238" s="0">
        <f>IF($A238="","",Allocation!CI238)</f>
        <v/>
      </c>
      <c r="AC238" s="0">
        <f>IF($A238="","",IF(Allocation!$N$4="VOL_EFF",$G238,IF(Allocation!$N$4="VOL_CLASS",$H238,$I238)))</f>
        <v/>
      </c>
      <c r="AD238" s="0">
        <f>IF($A238="","",IF(Allocation!$N$4="VOL_EFF",$L238,IF(Allocation!$N$4="VOL_CLASS",$M238,$N238)))</f>
        <v/>
      </c>
      <c r="AE238" s="0">
        <f>IF($A238="","",IF(Allocation!$N$3="VOL_EFF",$L238,IF(Allocation!$N$3="VOL_CLASS",$M238,$N238)))</f>
        <v/>
      </c>
      <c r="AF238" s="0">
        <f>IF($A238="","",IF(Allocation!$N$3="VOL_EFF",$Q238,IF(Allocation!$N$3="VOL_CLASS",$R238,$S238)))</f>
        <v/>
      </c>
      <c r="AG238" s="0">
        <f>IF($A238="","",IF(Allocation!$N$1="VOL_EFF",$Q238,IF(Allocation!$N$1="VOL_CLASS",$R238,$S238)))</f>
        <v/>
      </c>
      <c r="AH238" s="0">
        <f>IF($A238="","",IF(Allocation!$N$1="VOL_EFF",$T238,IF(Allocation!$N$1="VOL_CLASS",$U238,$V238)))</f>
        <v/>
      </c>
      <c r="AI238" s="0">
        <f>IF($A238="","",$W238*IFERROR($K238/$O238,0))</f>
        <v/>
      </c>
      <c r="AJ238" s="0">
        <f>IF($A238="","",$X238*IFERROR($K238/$O238,0))</f>
        <v/>
      </c>
      <c r="AK238" s="0">
        <f>IF($A238="","",$Y238*IFERROR($G238/$L238,0)+$Z238*IFERROR($J238/$P238,0))</f>
        <v/>
      </c>
      <c r="AL238" s="0">
        <f>IF($A238="","",$AA238*IFERROR($AC238/$AD238,0))</f>
        <v/>
      </c>
      <c r="AM238" s="0">
        <f>IF($A238="","",$AB238*IFERROR($AG238/$AH238,0)*IFERROR($AE238/$AF238,0)*IFERROR($AC238/$AD238,0))</f>
        <v/>
      </c>
      <c r="AN238" s="0">
        <f>IF($A238="","",$I238-($AI238+$AJ238+$AK238+$AL238+$AM238+$AR238))</f>
        <v/>
      </c>
      <c r="AO238" s="0">
        <f>IF($A238="","",Allocation!CJ238)</f>
        <v/>
      </c>
      <c r="AP238" s="0">
        <f>IF($A238="","",IF(Allocation!$N$2="VOL_EFF",$Q238,IF(Allocation!$N$2="VOL_CLASS",$R238,$S238)))</f>
        <v/>
      </c>
      <c r="AQ238" s="0">
        <f>IF($A238="","",IF(Allocation!$N$2="VOL_EFF",$T238,IF(Allocation!$N$2="VOL_CLASS",$U238,$V238)))</f>
        <v/>
      </c>
      <c r="AR238" s="0">
        <f>IF($A238="","",$AO238*IFERROR($AP238/$AQ238,0)*IFERROR($AE238/$AF238,0)*IFERROR($AC238/$AD238,0))</f>
        <v/>
      </c>
      <c r="AS238" s="0">
        <f>IF($A238="","",$A238&amp;"|"&amp;Allocation!BG238)</f>
        <v/>
      </c>
    </row>
    <row r="239" ht="14.4975" customHeight="1" s="64">
      <c r="A239" s="0">
        <f>IF(Allocation!BI239="","",Allocation!BI239)</f>
        <v/>
      </c>
      <c r="B239" s="0">
        <f>IF(Allocation!BJ239="","",Allocation!BJ239)</f>
        <v/>
      </c>
      <c r="C239" s="0">
        <f>IF(Allocation!BK239="","",Allocation!BK239)</f>
        <v/>
      </c>
      <c r="D239" s="0">
        <f>IF(Allocation!BL239="","",Allocation!BL239)</f>
        <v/>
      </c>
      <c r="E239" s="0">
        <f>IF(Allocation!BM239="","",Allocation!BM239)</f>
        <v/>
      </c>
      <c r="F239" s="0">
        <f>IF(Allocation!BN239="","",Allocation!BN239)</f>
        <v/>
      </c>
      <c r="G239" s="0">
        <f>IF(Allocation!BO239="","",Allocation!BO239)</f>
        <v/>
      </c>
      <c r="H239" s="0">
        <f>IF(Allocation!BP239="","",Allocation!BP239)</f>
        <v/>
      </c>
      <c r="I239" s="0">
        <f>IF(Allocation!BQ239="","",Allocation!BQ239)</f>
        <v/>
      </c>
      <c r="J239" s="0">
        <f>IF(Allocation!CC239="","",Allocation!CC239)</f>
        <v/>
      </c>
      <c r="K239" s="0">
        <f>IF($A239="","",$H239*IF(AND(LEFT($D239,3)="BAC",$F239="INIT"),600,IF(LEFT($D239,3)="BAC",480,IF(AND(LEFT($D239,3)="MAS",$F239="INIT"),520,IF(LEFT($D239,3)="MAS",420,IF($F239="INIT",1000,700))))))</f>
        <v/>
      </c>
      <c r="L239" s="0">
        <f>IF($A239="","",SUMIFS($G$1:$G$349,$AS$1:$AS$349,$AS239,$B$1:$B$349,$B239))</f>
        <v/>
      </c>
      <c r="M239" s="0">
        <f>IF($A239="","",SUMIFS($H$1:$H$349,$AS$1:$AS$349,$AS239,$B$1:$B$349,$B239))</f>
        <v/>
      </c>
      <c r="N239" s="0">
        <f>IF($A239="","",SUMIFS($I$1:$I$349,$AS$1:$AS$349,$AS239,$B$1:$B$349,$B239))</f>
        <v/>
      </c>
      <c r="O239" s="0">
        <f>IF($A239="","",SUMIFS($K$1:$K$349,$AS$1:$AS$349,$AS239,$B$1:$B$349,$B239))</f>
        <v/>
      </c>
      <c r="P239" s="0">
        <f>IF($A239="","",SUMIFS($J$1:$J$349,$AS$1:$AS$349,$AS239,$B$1:$B$349,$B239))</f>
        <v/>
      </c>
      <c r="Q239" s="0">
        <f>IF($A239="","",SUMIFS($G$1:$G$349,$AS$1:$AS$349,$AS239,$C$1:$C$349,$C239))</f>
        <v/>
      </c>
      <c r="R239" s="0">
        <f>IF($A239="","",SUMIFS($H$1:$H$349,$AS$1:$AS$349,$AS239,$C$1:$C$349,$C239))</f>
        <v/>
      </c>
      <c r="S239" s="0">
        <f>IF($A239="","",SUMIFS($I$1:$I$349,$AS$1:$AS$349,$AS239,$C$1:$C$349,$C239))</f>
        <v/>
      </c>
      <c r="T239" s="0">
        <f>IF($A239="","",SUMIFS($G$1:$G$349,$AS$1:$AS$349,$AS239))</f>
        <v/>
      </c>
      <c r="U239" s="0">
        <f>IF($A239="","",SUMIFS($H$1:$H$349,$AS$1:$AS$349,$AS239))</f>
        <v/>
      </c>
      <c r="V239" s="0">
        <f>IF($A239="","",SUMIFS($I$1:$I$349,$AS$1:$AS$349,$AS239))</f>
        <v/>
      </c>
      <c r="W239" s="0">
        <f>IF($A239="","",Allocation!CD239)</f>
        <v/>
      </c>
      <c r="X239" s="0">
        <f>IF($A239="","",Allocation!CE239)</f>
        <v/>
      </c>
      <c r="Y239" s="0">
        <f>IF($A239="","",Allocation!CF239)</f>
        <v/>
      </c>
      <c r="Z239" s="0">
        <f>IF($A239="","",Allocation!CG239)</f>
        <v/>
      </c>
      <c r="AA239" s="0">
        <f>IF($A239="","",Allocation!CH239)</f>
        <v/>
      </c>
      <c r="AB239" s="0">
        <f>IF($A239="","",Allocation!CI239)</f>
        <v/>
      </c>
      <c r="AC239" s="0">
        <f>IF($A239="","",IF(Allocation!$N$4="VOL_EFF",$G239,IF(Allocation!$N$4="VOL_CLASS",$H239,$I239)))</f>
        <v/>
      </c>
      <c r="AD239" s="0">
        <f>IF($A239="","",IF(Allocation!$N$4="VOL_EFF",$L239,IF(Allocation!$N$4="VOL_CLASS",$M239,$N239)))</f>
        <v/>
      </c>
      <c r="AE239" s="0">
        <f>IF($A239="","",IF(Allocation!$N$3="VOL_EFF",$L239,IF(Allocation!$N$3="VOL_CLASS",$M239,$N239)))</f>
        <v/>
      </c>
      <c r="AF239" s="0">
        <f>IF($A239="","",IF(Allocation!$N$3="VOL_EFF",$Q239,IF(Allocation!$N$3="VOL_CLASS",$R239,$S239)))</f>
        <v/>
      </c>
      <c r="AG239" s="0">
        <f>IF($A239="","",IF(Allocation!$N$1="VOL_EFF",$Q239,IF(Allocation!$N$1="VOL_CLASS",$R239,$S239)))</f>
        <v/>
      </c>
      <c r="AH239" s="0">
        <f>IF($A239="","",IF(Allocation!$N$1="VOL_EFF",$T239,IF(Allocation!$N$1="VOL_CLASS",$U239,$V239)))</f>
        <v/>
      </c>
      <c r="AI239" s="0">
        <f>IF($A239="","",$W239*IFERROR($K239/$O239,0))</f>
        <v/>
      </c>
      <c r="AJ239" s="0">
        <f>IF($A239="","",$X239*IFERROR($K239/$O239,0))</f>
        <v/>
      </c>
      <c r="AK239" s="0">
        <f>IF($A239="","",$Y239*IFERROR($G239/$L239,0)+$Z239*IFERROR($J239/$P239,0))</f>
        <v/>
      </c>
      <c r="AL239" s="0">
        <f>IF($A239="","",$AA239*IFERROR($AC239/$AD239,0))</f>
        <v/>
      </c>
      <c r="AM239" s="0">
        <f>IF($A239="","",$AB239*IFERROR($AG239/$AH239,0)*IFERROR($AE239/$AF239,0)*IFERROR($AC239/$AD239,0))</f>
        <v/>
      </c>
      <c r="AN239" s="0">
        <f>IF($A239="","",$I239-($AI239+$AJ239+$AK239+$AL239+$AM239+$AR239))</f>
        <v/>
      </c>
      <c r="AO239" s="0">
        <f>IF($A239="","",Allocation!CJ239)</f>
        <v/>
      </c>
      <c r="AP239" s="0">
        <f>IF($A239="","",IF(Allocation!$N$2="VOL_EFF",$Q239,IF(Allocation!$N$2="VOL_CLASS",$R239,$S239)))</f>
        <v/>
      </c>
      <c r="AQ239" s="0">
        <f>IF($A239="","",IF(Allocation!$N$2="VOL_EFF",$T239,IF(Allocation!$N$2="VOL_CLASS",$U239,$V239)))</f>
        <v/>
      </c>
      <c r="AR239" s="0">
        <f>IF($A239="","",$AO239*IFERROR($AP239/$AQ239,0)*IFERROR($AE239/$AF239,0)*IFERROR($AC239/$AD239,0))</f>
        <v/>
      </c>
      <c r="AS239" s="0">
        <f>IF($A239="","",$A239&amp;"|"&amp;Allocation!BG239)</f>
        <v/>
      </c>
    </row>
    <row r="240" ht="14.4975" customHeight="1" s="64">
      <c r="A240" s="0">
        <f>IF(Allocation!BI240="","",Allocation!BI240)</f>
        <v/>
      </c>
      <c r="B240" s="0">
        <f>IF(Allocation!BJ240="","",Allocation!BJ240)</f>
        <v/>
      </c>
      <c r="C240" s="0">
        <f>IF(Allocation!BK240="","",Allocation!BK240)</f>
        <v/>
      </c>
      <c r="D240" s="0">
        <f>IF(Allocation!BL240="","",Allocation!BL240)</f>
        <v/>
      </c>
      <c r="E240" s="0">
        <f>IF(Allocation!BM240="","",Allocation!BM240)</f>
        <v/>
      </c>
      <c r="F240" s="0">
        <f>IF(Allocation!BN240="","",Allocation!BN240)</f>
        <v/>
      </c>
      <c r="G240" s="0">
        <f>IF(Allocation!BO240="","",Allocation!BO240)</f>
        <v/>
      </c>
      <c r="H240" s="0">
        <f>IF(Allocation!BP240="","",Allocation!BP240)</f>
        <v/>
      </c>
      <c r="I240" s="0">
        <f>IF(Allocation!BQ240="","",Allocation!BQ240)</f>
        <v/>
      </c>
      <c r="J240" s="0">
        <f>IF(Allocation!CC240="","",Allocation!CC240)</f>
        <v/>
      </c>
      <c r="K240" s="0">
        <f>IF($A240="","",$H240*IF(AND(LEFT($D240,3)="BAC",$F240="INIT"),600,IF(LEFT($D240,3)="BAC",480,IF(AND(LEFT($D240,3)="MAS",$F240="INIT"),520,IF(LEFT($D240,3)="MAS",420,IF($F240="INIT",1000,700))))))</f>
        <v/>
      </c>
      <c r="L240" s="0">
        <f>IF($A240="","",SUMIFS($G$1:$G$349,$AS$1:$AS$349,$AS240,$B$1:$B$349,$B240))</f>
        <v/>
      </c>
      <c r="M240" s="0">
        <f>IF($A240="","",SUMIFS($H$1:$H$349,$AS$1:$AS$349,$AS240,$B$1:$B$349,$B240))</f>
        <v/>
      </c>
      <c r="N240" s="0">
        <f>IF($A240="","",SUMIFS($I$1:$I$349,$AS$1:$AS$349,$AS240,$B$1:$B$349,$B240))</f>
        <v/>
      </c>
      <c r="O240" s="0">
        <f>IF($A240="","",SUMIFS($K$1:$K$349,$AS$1:$AS$349,$AS240,$B$1:$B$349,$B240))</f>
        <v/>
      </c>
      <c r="P240" s="0">
        <f>IF($A240="","",SUMIFS($J$1:$J$349,$AS$1:$AS$349,$AS240,$B$1:$B$349,$B240))</f>
        <v/>
      </c>
      <c r="Q240" s="0">
        <f>IF($A240="","",SUMIFS($G$1:$G$349,$AS$1:$AS$349,$AS240,$C$1:$C$349,$C240))</f>
        <v/>
      </c>
      <c r="R240" s="0">
        <f>IF($A240="","",SUMIFS($H$1:$H$349,$AS$1:$AS$349,$AS240,$C$1:$C$349,$C240))</f>
        <v/>
      </c>
      <c r="S240" s="0">
        <f>IF($A240="","",SUMIFS($I$1:$I$349,$AS$1:$AS$349,$AS240,$C$1:$C$349,$C240))</f>
        <v/>
      </c>
      <c r="T240" s="0">
        <f>IF($A240="","",SUMIFS($G$1:$G$349,$AS$1:$AS$349,$AS240))</f>
        <v/>
      </c>
      <c r="U240" s="0">
        <f>IF($A240="","",SUMIFS($H$1:$H$349,$AS$1:$AS$349,$AS240))</f>
        <v/>
      </c>
      <c r="V240" s="0">
        <f>IF($A240="","",SUMIFS($I$1:$I$349,$AS$1:$AS$349,$AS240))</f>
        <v/>
      </c>
      <c r="W240" s="0">
        <f>IF($A240="","",Allocation!CD240)</f>
        <v/>
      </c>
      <c r="X240" s="0">
        <f>IF($A240="","",Allocation!CE240)</f>
        <v/>
      </c>
      <c r="Y240" s="0">
        <f>IF($A240="","",Allocation!CF240)</f>
        <v/>
      </c>
      <c r="Z240" s="0">
        <f>IF($A240="","",Allocation!CG240)</f>
        <v/>
      </c>
      <c r="AA240" s="0">
        <f>IF($A240="","",Allocation!CH240)</f>
        <v/>
      </c>
      <c r="AB240" s="0">
        <f>IF($A240="","",Allocation!CI240)</f>
        <v/>
      </c>
      <c r="AC240" s="0">
        <f>IF($A240="","",IF(Allocation!$N$4="VOL_EFF",$G240,IF(Allocation!$N$4="VOL_CLASS",$H240,$I240)))</f>
        <v/>
      </c>
      <c r="AD240" s="0">
        <f>IF($A240="","",IF(Allocation!$N$4="VOL_EFF",$L240,IF(Allocation!$N$4="VOL_CLASS",$M240,$N240)))</f>
        <v/>
      </c>
      <c r="AE240" s="0">
        <f>IF($A240="","",IF(Allocation!$N$3="VOL_EFF",$L240,IF(Allocation!$N$3="VOL_CLASS",$M240,$N240)))</f>
        <v/>
      </c>
      <c r="AF240" s="0">
        <f>IF($A240="","",IF(Allocation!$N$3="VOL_EFF",$Q240,IF(Allocation!$N$3="VOL_CLASS",$R240,$S240)))</f>
        <v/>
      </c>
      <c r="AG240" s="0">
        <f>IF($A240="","",IF(Allocation!$N$1="VOL_EFF",$Q240,IF(Allocation!$N$1="VOL_CLASS",$R240,$S240)))</f>
        <v/>
      </c>
      <c r="AH240" s="0">
        <f>IF($A240="","",IF(Allocation!$N$1="VOL_EFF",$T240,IF(Allocation!$N$1="VOL_CLASS",$U240,$V240)))</f>
        <v/>
      </c>
      <c r="AI240" s="0">
        <f>IF($A240="","",$W240*IFERROR($K240/$O240,0))</f>
        <v/>
      </c>
      <c r="AJ240" s="0">
        <f>IF($A240="","",$X240*IFERROR($K240/$O240,0))</f>
        <v/>
      </c>
      <c r="AK240" s="0">
        <f>IF($A240="","",$Y240*IFERROR($G240/$L240,0)+$Z240*IFERROR($J240/$P240,0))</f>
        <v/>
      </c>
      <c r="AL240" s="0">
        <f>IF($A240="","",$AA240*IFERROR($AC240/$AD240,0))</f>
        <v/>
      </c>
      <c r="AM240" s="0">
        <f>IF($A240="","",$AB240*IFERROR($AG240/$AH240,0)*IFERROR($AE240/$AF240,0)*IFERROR($AC240/$AD240,0))</f>
        <v/>
      </c>
      <c r="AN240" s="0">
        <f>IF($A240="","",$I240-($AI240+$AJ240+$AK240+$AL240+$AM240+$AR240))</f>
        <v/>
      </c>
      <c r="AO240" s="0">
        <f>IF($A240="","",Allocation!CJ240)</f>
        <v/>
      </c>
      <c r="AP240" s="0">
        <f>IF($A240="","",IF(Allocation!$N$2="VOL_EFF",$Q240,IF(Allocation!$N$2="VOL_CLASS",$R240,$S240)))</f>
        <v/>
      </c>
      <c r="AQ240" s="0">
        <f>IF($A240="","",IF(Allocation!$N$2="VOL_EFF",$T240,IF(Allocation!$N$2="VOL_CLASS",$U240,$V240)))</f>
        <v/>
      </c>
      <c r="AR240" s="0">
        <f>IF($A240="","",$AO240*IFERROR($AP240/$AQ240,0)*IFERROR($AE240/$AF240,0)*IFERROR($AC240/$AD240,0))</f>
        <v/>
      </c>
      <c r="AS240" s="0">
        <f>IF($A240="","",$A240&amp;"|"&amp;Allocation!BG240)</f>
        <v/>
      </c>
    </row>
    <row r="241" ht="14.4975" customHeight="1" s="64">
      <c r="A241" s="0">
        <f>IF(Allocation!BI241="","",Allocation!BI241)</f>
        <v/>
      </c>
      <c r="B241" s="0">
        <f>IF(Allocation!BJ241="","",Allocation!BJ241)</f>
        <v/>
      </c>
      <c r="C241" s="0">
        <f>IF(Allocation!BK241="","",Allocation!BK241)</f>
        <v/>
      </c>
      <c r="D241" s="0">
        <f>IF(Allocation!BL241="","",Allocation!BL241)</f>
        <v/>
      </c>
      <c r="E241" s="0">
        <f>IF(Allocation!BM241="","",Allocation!BM241)</f>
        <v/>
      </c>
      <c r="F241" s="0">
        <f>IF(Allocation!BN241="","",Allocation!BN241)</f>
        <v/>
      </c>
      <c r="G241" s="0">
        <f>IF(Allocation!BO241="","",Allocation!BO241)</f>
        <v/>
      </c>
      <c r="H241" s="0">
        <f>IF(Allocation!BP241="","",Allocation!BP241)</f>
        <v/>
      </c>
      <c r="I241" s="0">
        <f>IF(Allocation!BQ241="","",Allocation!BQ241)</f>
        <v/>
      </c>
      <c r="J241" s="0">
        <f>IF(Allocation!CC241="","",Allocation!CC241)</f>
        <v/>
      </c>
      <c r="K241" s="0">
        <f>IF($A241="","",$H241*IF(AND(LEFT($D241,3)="BAC",$F241="INIT"),600,IF(LEFT($D241,3)="BAC",480,IF(AND(LEFT($D241,3)="MAS",$F241="INIT"),520,IF(LEFT($D241,3)="MAS",420,IF($F241="INIT",1000,700))))))</f>
        <v/>
      </c>
      <c r="L241" s="0">
        <f>IF($A241="","",SUMIFS($G$1:$G$349,$AS$1:$AS$349,$AS241,$B$1:$B$349,$B241))</f>
        <v/>
      </c>
      <c r="M241" s="0">
        <f>IF($A241="","",SUMIFS($H$1:$H$349,$AS$1:$AS$349,$AS241,$B$1:$B$349,$B241))</f>
        <v/>
      </c>
      <c r="N241" s="0">
        <f>IF($A241="","",SUMIFS($I$1:$I$349,$AS$1:$AS$349,$AS241,$B$1:$B$349,$B241))</f>
        <v/>
      </c>
      <c r="O241" s="0">
        <f>IF($A241="","",SUMIFS($K$1:$K$349,$AS$1:$AS$349,$AS241,$B$1:$B$349,$B241))</f>
        <v/>
      </c>
      <c r="P241" s="0">
        <f>IF($A241="","",SUMIFS($J$1:$J$349,$AS$1:$AS$349,$AS241,$B$1:$B$349,$B241))</f>
        <v/>
      </c>
      <c r="Q241" s="0">
        <f>IF($A241="","",SUMIFS($G$1:$G$349,$AS$1:$AS$349,$AS241,$C$1:$C$349,$C241))</f>
        <v/>
      </c>
      <c r="R241" s="0">
        <f>IF($A241="","",SUMIFS($H$1:$H$349,$AS$1:$AS$349,$AS241,$C$1:$C$349,$C241))</f>
        <v/>
      </c>
      <c r="S241" s="0">
        <f>IF($A241="","",SUMIFS($I$1:$I$349,$AS$1:$AS$349,$AS241,$C$1:$C$349,$C241))</f>
        <v/>
      </c>
      <c r="T241" s="0">
        <f>IF($A241="","",SUMIFS($G$1:$G$349,$AS$1:$AS$349,$AS241))</f>
        <v/>
      </c>
      <c r="U241" s="0">
        <f>IF($A241="","",SUMIFS($H$1:$H$349,$AS$1:$AS$349,$AS241))</f>
        <v/>
      </c>
      <c r="V241" s="0">
        <f>IF($A241="","",SUMIFS($I$1:$I$349,$AS$1:$AS$349,$AS241))</f>
        <v/>
      </c>
      <c r="W241" s="0">
        <f>IF($A241="","",Allocation!CD241)</f>
        <v/>
      </c>
      <c r="X241" s="0">
        <f>IF($A241="","",Allocation!CE241)</f>
        <v/>
      </c>
      <c r="Y241" s="0">
        <f>IF($A241="","",Allocation!CF241)</f>
        <v/>
      </c>
      <c r="Z241" s="0">
        <f>IF($A241="","",Allocation!CG241)</f>
        <v/>
      </c>
      <c r="AA241" s="0">
        <f>IF($A241="","",Allocation!CH241)</f>
        <v/>
      </c>
      <c r="AB241" s="0">
        <f>IF($A241="","",Allocation!CI241)</f>
        <v/>
      </c>
      <c r="AC241" s="0">
        <f>IF($A241="","",IF(Allocation!$N$4="VOL_EFF",$G241,IF(Allocation!$N$4="VOL_CLASS",$H241,$I241)))</f>
        <v/>
      </c>
      <c r="AD241" s="0">
        <f>IF($A241="","",IF(Allocation!$N$4="VOL_EFF",$L241,IF(Allocation!$N$4="VOL_CLASS",$M241,$N241)))</f>
        <v/>
      </c>
      <c r="AE241" s="0">
        <f>IF($A241="","",IF(Allocation!$N$3="VOL_EFF",$L241,IF(Allocation!$N$3="VOL_CLASS",$M241,$N241)))</f>
        <v/>
      </c>
      <c r="AF241" s="0">
        <f>IF($A241="","",IF(Allocation!$N$3="VOL_EFF",$Q241,IF(Allocation!$N$3="VOL_CLASS",$R241,$S241)))</f>
        <v/>
      </c>
      <c r="AG241" s="0">
        <f>IF($A241="","",IF(Allocation!$N$1="VOL_EFF",$Q241,IF(Allocation!$N$1="VOL_CLASS",$R241,$S241)))</f>
        <v/>
      </c>
      <c r="AH241" s="0">
        <f>IF($A241="","",IF(Allocation!$N$1="VOL_EFF",$T241,IF(Allocation!$N$1="VOL_CLASS",$U241,$V241)))</f>
        <v/>
      </c>
      <c r="AI241" s="0">
        <f>IF($A241="","",$W241*IFERROR($K241/$O241,0))</f>
        <v/>
      </c>
      <c r="AJ241" s="0">
        <f>IF($A241="","",$X241*IFERROR($K241/$O241,0))</f>
        <v/>
      </c>
      <c r="AK241" s="0">
        <f>IF($A241="","",$Y241*IFERROR($G241/$L241,0)+$Z241*IFERROR($J241/$P241,0))</f>
        <v/>
      </c>
      <c r="AL241" s="0">
        <f>IF($A241="","",$AA241*IFERROR($AC241/$AD241,0))</f>
        <v/>
      </c>
      <c r="AM241" s="0">
        <f>IF($A241="","",$AB241*IFERROR($AG241/$AH241,0)*IFERROR($AE241/$AF241,0)*IFERROR($AC241/$AD241,0))</f>
        <v/>
      </c>
      <c r="AN241" s="0">
        <f>IF($A241="","",$I241-($AI241+$AJ241+$AK241+$AL241+$AM241+$AR241))</f>
        <v/>
      </c>
      <c r="AO241" s="0">
        <f>IF($A241="","",Allocation!CJ241)</f>
        <v/>
      </c>
      <c r="AP241" s="0">
        <f>IF($A241="","",IF(Allocation!$N$2="VOL_EFF",$Q241,IF(Allocation!$N$2="VOL_CLASS",$R241,$S241)))</f>
        <v/>
      </c>
      <c r="AQ241" s="0">
        <f>IF($A241="","",IF(Allocation!$N$2="VOL_EFF",$T241,IF(Allocation!$N$2="VOL_CLASS",$U241,$V241)))</f>
        <v/>
      </c>
      <c r="AR241" s="0">
        <f>IF($A241="","",$AO241*IFERROR($AP241/$AQ241,0)*IFERROR($AE241/$AF241,0)*IFERROR($AC241/$AD241,0))</f>
        <v/>
      </c>
      <c r="AS241" s="0">
        <f>IF($A241="","",$A241&amp;"|"&amp;Allocation!BG241)</f>
        <v/>
      </c>
    </row>
    <row r="242" ht="14.4975" customHeight="1" s="64">
      <c r="A242" s="0">
        <f>IF(Allocation!BI242="","",Allocation!BI242)</f>
        <v/>
      </c>
      <c r="B242" s="0">
        <f>IF(Allocation!BJ242="","",Allocation!BJ242)</f>
        <v/>
      </c>
      <c r="C242" s="0">
        <f>IF(Allocation!BK242="","",Allocation!BK242)</f>
        <v/>
      </c>
      <c r="D242" s="0">
        <f>IF(Allocation!BL242="","",Allocation!BL242)</f>
        <v/>
      </c>
      <c r="E242" s="0">
        <f>IF(Allocation!BM242="","",Allocation!BM242)</f>
        <v/>
      </c>
      <c r="F242" s="0">
        <f>IF(Allocation!BN242="","",Allocation!BN242)</f>
        <v/>
      </c>
      <c r="G242" s="0">
        <f>IF(Allocation!BO242="","",Allocation!BO242)</f>
        <v/>
      </c>
      <c r="H242" s="0">
        <f>IF(Allocation!BP242="","",Allocation!BP242)</f>
        <v/>
      </c>
      <c r="I242" s="0">
        <f>IF(Allocation!BQ242="","",Allocation!BQ242)</f>
        <v/>
      </c>
      <c r="J242" s="0">
        <f>IF(Allocation!CC242="","",Allocation!CC242)</f>
        <v/>
      </c>
      <c r="K242" s="0">
        <f>IF($A242="","",$H242*IF(AND(LEFT($D242,3)="BAC",$F242="INIT"),600,IF(LEFT($D242,3)="BAC",480,IF(AND(LEFT($D242,3)="MAS",$F242="INIT"),520,IF(LEFT($D242,3)="MAS",420,IF($F242="INIT",1000,700))))))</f>
        <v/>
      </c>
      <c r="L242" s="0">
        <f>IF($A242="","",SUMIFS($G$1:$G$349,$AS$1:$AS$349,$AS242,$B$1:$B$349,$B242))</f>
        <v/>
      </c>
      <c r="M242" s="0">
        <f>IF($A242="","",SUMIFS($H$1:$H$349,$AS$1:$AS$349,$AS242,$B$1:$B$349,$B242))</f>
        <v/>
      </c>
      <c r="N242" s="0">
        <f>IF($A242="","",SUMIFS($I$1:$I$349,$AS$1:$AS$349,$AS242,$B$1:$B$349,$B242))</f>
        <v/>
      </c>
      <c r="O242" s="0">
        <f>IF($A242="","",SUMIFS($K$1:$K$349,$AS$1:$AS$349,$AS242,$B$1:$B$349,$B242))</f>
        <v/>
      </c>
      <c r="P242" s="0">
        <f>IF($A242="","",SUMIFS($J$1:$J$349,$AS$1:$AS$349,$AS242,$B$1:$B$349,$B242))</f>
        <v/>
      </c>
      <c r="Q242" s="0">
        <f>IF($A242="","",SUMIFS($G$1:$G$349,$AS$1:$AS$349,$AS242,$C$1:$C$349,$C242))</f>
        <v/>
      </c>
      <c r="R242" s="0">
        <f>IF($A242="","",SUMIFS($H$1:$H$349,$AS$1:$AS$349,$AS242,$C$1:$C$349,$C242))</f>
        <v/>
      </c>
      <c r="S242" s="0">
        <f>IF($A242="","",SUMIFS($I$1:$I$349,$AS$1:$AS$349,$AS242,$C$1:$C$349,$C242))</f>
        <v/>
      </c>
      <c r="T242" s="0">
        <f>IF($A242="","",SUMIFS($G$1:$G$349,$AS$1:$AS$349,$AS242))</f>
        <v/>
      </c>
      <c r="U242" s="0">
        <f>IF($A242="","",SUMIFS($H$1:$H$349,$AS$1:$AS$349,$AS242))</f>
        <v/>
      </c>
      <c r="V242" s="0">
        <f>IF($A242="","",SUMIFS($I$1:$I$349,$AS$1:$AS$349,$AS242))</f>
        <v/>
      </c>
      <c r="W242" s="0">
        <f>IF($A242="","",Allocation!CD242)</f>
        <v/>
      </c>
      <c r="X242" s="0">
        <f>IF($A242="","",Allocation!CE242)</f>
        <v/>
      </c>
      <c r="Y242" s="0">
        <f>IF($A242="","",Allocation!CF242)</f>
        <v/>
      </c>
      <c r="Z242" s="0">
        <f>IF($A242="","",Allocation!CG242)</f>
        <v/>
      </c>
      <c r="AA242" s="0">
        <f>IF($A242="","",Allocation!CH242)</f>
        <v/>
      </c>
      <c r="AB242" s="0">
        <f>IF($A242="","",Allocation!CI242)</f>
        <v/>
      </c>
      <c r="AC242" s="0">
        <f>IF($A242="","",IF(Allocation!$N$4="VOL_EFF",$G242,IF(Allocation!$N$4="VOL_CLASS",$H242,$I242)))</f>
        <v/>
      </c>
      <c r="AD242" s="0">
        <f>IF($A242="","",IF(Allocation!$N$4="VOL_EFF",$L242,IF(Allocation!$N$4="VOL_CLASS",$M242,$N242)))</f>
        <v/>
      </c>
      <c r="AE242" s="0">
        <f>IF($A242="","",IF(Allocation!$N$3="VOL_EFF",$L242,IF(Allocation!$N$3="VOL_CLASS",$M242,$N242)))</f>
        <v/>
      </c>
      <c r="AF242" s="0">
        <f>IF($A242="","",IF(Allocation!$N$3="VOL_EFF",$Q242,IF(Allocation!$N$3="VOL_CLASS",$R242,$S242)))</f>
        <v/>
      </c>
      <c r="AG242" s="0">
        <f>IF($A242="","",IF(Allocation!$N$1="VOL_EFF",$Q242,IF(Allocation!$N$1="VOL_CLASS",$R242,$S242)))</f>
        <v/>
      </c>
      <c r="AH242" s="0">
        <f>IF($A242="","",IF(Allocation!$N$1="VOL_EFF",$T242,IF(Allocation!$N$1="VOL_CLASS",$U242,$V242)))</f>
        <v/>
      </c>
      <c r="AI242" s="0">
        <f>IF($A242="","",$W242*IFERROR($K242/$O242,0))</f>
        <v/>
      </c>
      <c r="AJ242" s="0">
        <f>IF($A242="","",$X242*IFERROR($K242/$O242,0))</f>
        <v/>
      </c>
      <c r="AK242" s="0">
        <f>IF($A242="","",$Y242*IFERROR($G242/$L242,0)+$Z242*IFERROR($J242/$P242,0))</f>
        <v/>
      </c>
      <c r="AL242" s="0">
        <f>IF($A242="","",$AA242*IFERROR($AC242/$AD242,0))</f>
        <v/>
      </c>
      <c r="AM242" s="0">
        <f>IF($A242="","",$AB242*IFERROR($AG242/$AH242,0)*IFERROR($AE242/$AF242,0)*IFERROR($AC242/$AD242,0))</f>
        <v/>
      </c>
      <c r="AN242" s="0">
        <f>IF($A242="","",$I242-($AI242+$AJ242+$AK242+$AL242+$AM242+$AR242))</f>
        <v/>
      </c>
      <c r="AO242" s="0">
        <f>IF($A242="","",Allocation!CJ242)</f>
        <v/>
      </c>
      <c r="AP242" s="0">
        <f>IF($A242="","",IF(Allocation!$N$2="VOL_EFF",$Q242,IF(Allocation!$N$2="VOL_CLASS",$R242,$S242)))</f>
        <v/>
      </c>
      <c r="AQ242" s="0">
        <f>IF($A242="","",IF(Allocation!$N$2="VOL_EFF",$T242,IF(Allocation!$N$2="VOL_CLASS",$U242,$V242)))</f>
        <v/>
      </c>
      <c r="AR242" s="0">
        <f>IF($A242="","",$AO242*IFERROR($AP242/$AQ242,0)*IFERROR($AE242/$AF242,0)*IFERROR($AC242/$AD242,0))</f>
        <v/>
      </c>
      <c r="AS242" s="0">
        <f>IF($A242="","",$A242&amp;"|"&amp;Allocation!BG242)</f>
        <v/>
      </c>
    </row>
    <row r="243" ht="14.4975" customHeight="1" s="64">
      <c r="A243" s="0">
        <f>IF(Allocation!BI243="","",Allocation!BI243)</f>
        <v/>
      </c>
      <c r="B243" s="0">
        <f>IF(Allocation!BJ243="","",Allocation!BJ243)</f>
        <v/>
      </c>
      <c r="C243" s="0">
        <f>IF(Allocation!BK243="","",Allocation!BK243)</f>
        <v/>
      </c>
      <c r="D243" s="0">
        <f>IF(Allocation!BL243="","",Allocation!BL243)</f>
        <v/>
      </c>
      <c r="E243" s="0">
        <f>IF(Allocation!BM243="","",Allocation!BM243)</f>
        <v/>
      </c>
      <c r="F243" s="0">
        <f>IF(Allocation!BN243="","",Allocation!BN243)</f>
        <v/>
      </c>
      <c r="G243" s="0">
        <f>IF(Allocation!BO243="","",Allocation!BO243)</f>
        <v/>
      </c>
      <c r="H243" s="0">
        <f>IF(Allocation!BP243="","",Allocation!BP243)</f>
        <v/>
      </c>
      <c r="I243" s="0">
        <f>IF(Allocation!BQ243="","",Allocation!BQ243)</f>
        <v/>
      </c>
      <c r="J243" s="0">
        <f>IF(Allocation!CC243="","",Allocation!CC243)</f>
        <v/>
      </c>
      <c r="K243" s="0">
        <f>IF($A243="","",$H243*IF(AND(LEFT($D243,3)="BAC",$F243="INIT"),600,IF(LEFT($D243,3)="BAC",480,IF(AND(LEFT($D243,3)="MAS",$F243="INIT"),520,IF(LEFT($D243,3)="MAS",420,IF($F243="INIT",1000,700))))))</f>
        <v/>
      </c>
      <c r="L243" s="0">
        <f>IF($A243="","",SUMIFS($G$1:$G$349,$AS$1:$AS$349,$AS243,$B$1:$B$349,$B243))</f>
        <v/>
      </c>
      <c r="M243" s="0">
        <f>IF($A243="","",SUMIFS($H$1:$H$349,$AS$1:$AS$349,$AS243,$B$1:$B$349,$B243))</f>
        <v/>
      </c>
      <c r="N243" s="0">
        <f>IF($A243="","",SUMIFS($I$1:$I$349,$AS$1:$AS$349,$AS243,$B$1:$B$349,$B243))</f>
        <v/>
      </c>
      <c r="O243" s="0">
        <f>IF($A243="","",SUMIFS($K$1:$K$349,$AS$1:$AS$349,$AS243,$B$1:$B$349,$B243))</f>
        <v/>
      </c>
      <c r="P243" s="0">
        <f>IF($A243="","",SUMIFS($J$1:$J$349,$AS$1:$AS$349,$AS243,$B$1:$B$349,$B243))</f>
        <v/>
      </c>
      <c r="Q243" s="0">
        <f>IF($A243="","",SUMIFS($G$1:$G$349,$AS$1:$AS$349,$AS243,$C$1:$C$349,$C243))</f>
        <v/>
      </c>
      <c r="R243" s="0">
        <f>IF($A243="","",SUMIFS($H$1:$H$349,$AS$1:$AS$349,$AS243,$C$1:$C$349,$C243))</f>
        <v/>
      </c>
      <c r="S243" s="0">
        <f>IF($A243="","",SUMIFS($I$1:$I$349,$AS$1:$AS$349,$AS243,$C$1:$C$349,$C243))</f>
        <v/>
      </c>
      <c r="T243" s="0">
        <f>IF($A243="","",SUMIFS($G$1:$G$349,$AS$1:$AS$349,$AS243))</f>
        <v/>
      </c>
      <c r="U243" s="0">
        <f>IF($A243="","",SUMIFS($H$1:$H$349,$AS$1:$AS$349,$AS243))</f>
        <v/>
      </c>
      <c r="V243" s="0">
        <f>IF($A243="","",SUMIFS($I$1:$I$349,$AS$1:$AS$349,$AS243))</f>
        <v/>
      </c>
      <c r="W243" s="0">
        <f>IF($A243="","",Allocation!CD243)</f>
        <v/>
      </c>
      <c r="X243" s="0">
        <f>IF($A243="","",Allocation!CE243)</f>
        <v/>
      </c>
      <c r="Y243" s="0">
        <f>IF($A243="","",Allocation!CF243)</f>
        <v/>
      </c>
      <c r="Z243" s="0">
        <f>IF($A243="","",Allocation!CG243)</f>
        <v/>
      </c>
      <c r="AA243" s="0">
        <f>IF($A243="","",Allocation!CH243)</f>
        <v/>
      </c>
      <c r="AB243" s="0">
        <f>IF($A243="","",Allocation!CI243)</f>
        <v/>
      </c>
      <c r="AC243" s="0">
        <f>IF($A243="","",IF(Allocation!$N$4="VOL_EFF",$G243,IF(Allocation!$N$4="VOL_CLASS",$H243,$I243)))</f>
        <v/>
      </c>
      <c r="AD243" s="0">
        <f>IF($A243="","",IF(Allocation!$N$4="VOL_EFF",$L243,IF(Allocation!$N$4="VOL_CLASS",$M243,$N243)))</f>
        <v/>
      </c>
      <c r="AE243" s="0">
        <f>IF($A243="","",IF(Allocation!$N$3="VOL_EFF",$L243,IF(Allocation!$N$3="VOL_CLASS",$M243,$N243)))</f>
        <v/>
      </c>
      <c r="AF243" s="0">
        <f>IF($A243="","",IF(Allocation!$N$3="VOL_EFF",$Q243,IF(Allocation!$N$3="VOL_CLASS",$R243,$S243)))</f>
        <v/>
      </c>
      <c r="AG243" s="0">
        <f>IF($A243="","",IF(Allocation!$N$1="VOL_EFF",$Q243,IF(Allocation!$N$1="VOL_CLASS",$R243,$S243)))</f>
        <v/>
      </c>
      <c r="AH243" s="0">
        <f>IF($A243="","",IF(Allocation!$N$1="VOL_EFF",$T243,IF(Allocation!$N$1="VOL_CLASS",$U243,$V243)))</f>
        <v/>
      </c>
      <c r="AI243" s="0">
        <f>IF($A243="","",$W243*IFERROR($K243/$O243,0))</f>
        <v/>
      </c>
      <c r="AJ243" s="0">
        <f>IF($A243="","",$X243*IFERROR($K243/$O243,0))</f>
        <v/>
      </c>
      <c r="AK243" s="0">
        <f>IF($A243="","",$Y243*IFERROR($G243/$L243,0)+$Z243*IFERROR($J243/$P243,0))</f>
        <v/>
      </c>
      <c r="AL243" s="0">
        <f>IF($A243="","",$AA243*IFERROR($AC243/$AD243,0))</f>
        <v/>
      </c>
      <c r="AM243" s="0">
        <f>IF($A243="","",$AB243*IFERROR($AG243/$AH243,0)*IFERROR($AE243/$AF243,0)*IFERROR($AC243/$AD243,0))</f>
        <v/>
      </c>
      <c r="AN243" s="0">
        <f>IF($A243="","",$I243-($AI243+$AJ243+$AK243+$AL243+$AM243+$AR243))</f>
        <v/>
      </c>
      <c r="AO243" s="0">
        <f>IF($A243="","",Allocation!CJ243)</f>
        <v/>
      </c>
      <c r="AP243" s="0">
        <f>IF($A243="","",IF(Allocation!$N$2="VOL_EFF",$Q243,IF(Allocation!$N$2="VOL_CLASS",$R243,$S243)))</f>
        <v/>
      </c>
      <c r="AQ243" s="0">
        <f>IF($A243="","",IF(Allocation!$N$2="VOL_EFF",$T243,IF(Allocation!$N$2="VOL_CLASS",$U243,$V243)))</f>
        <v/>
      </c>
      <c r="AR243" s="0">
        <f>IF($A243="","",$AO243*IFERROR($AP243/$AQ243,0)*IFERROR($AE243/$AF243,0)*IFERROR($AC243/$AD243,0))</f>
        <v/>
      </c>
      <c r="AS243" s="0">
        <f>IF($A243="","",$A243&amp;"|"&amp;Allocation!BG243)</f>
        <v/>
      </c>
    </row>
    <row r="244" ht="14.4975" customHeight="1" s="64">
      <c r="A244" s="0">
        <f>IF(Allocation!BI244="","",Allocation!BI244)</f>
        <v/>
      </c>
      <c r="B244" s="0">
        <f>IF(Allocation!BJ244="","",Allocation!BJ244)</f>
        <v/>
      </c>
      <c r="C244" s="0">
        <f>IF(Allocation!BK244="","",Allocation!BK244)</f>
        <v/>
      </c>
      <c r="D244" s="0">
        <f>IF(Allocation!BL244="","",Allocation!BL244)</f>
        <v/>
      </c>
      <c r="E244" s="0">
        <f>IF(Allocation!BM244="","",Allocation!BM244)</f>
        <v/>
      </c>
      <c r="F244" s="0">
        <f>IF(Allocation!BN244="","",Allocation!BN244)</f>
        <v/>
      </c>
      <c r="G244" s="0">
        <f>IF(Allocation!BO244="","",Allocation!BO244)</f>
        <v/>
      </c>
      <c r="H244" s="0">
        <f>IF(Allocation!BP244="","",Allocation!BP244)</f>
        <v/>
      </c>
      <c r="I244" s="0">
        <f>IF(Allocation!BQ244="","",Allocation!BQ244)</f>
        <v/>
      </c>
      <c r="J244" s="0">
        <f>IF(Allocation!CC244="","",Allocation!CC244)</f>
        <v/>
      </c>
      <c r="K244" s="0">
        <f>IF($A244="","",$H244*IF(AND(LEFT($D244,3)="BAC",$F244="INIT"),600,IF(LEFT($D244,3)="BAC",480,IF(AND(LEFT($D244,3)="MAS",$F244="INIT"),520,IF(LEFT($D244,3)="MAS",420,IF($F244="INIT",1000,700))))))</f>
        <v/>
      </c>
      <c r="L244" s="0">
        <f>IF($A244="","",SUMIFS($G$1:$G$349,$AS$1:$AS$349,$AS244,$B$1:$B$349,$B244))</f>
        <v/>
      </c>
      <c r="M244" s="0">
        <f>IF($A244="","",SUMIFS($H$1:$H$349,$AS$1:$AS$349,$AS244,$B$1:$B$349,$B244))</f>
        <v/>
      </c>
      <c r="N244" s="0">
        <f>IF($A244="","",SUMIFS($I$1:$I$349,$AS$1:$AS$349,$AS244,$B$1:$B$349,$B244))</f>
        <v/>
      </c>
      <c r="O244" s="0">
        <f>IF($A244="","",SUMIFS($K$1:$K$349,$AS$1:$AS$349,$AS244,$B$1:$B$349,$B244))</f>
        <v/>
      </c>
      <c r="P244" s="0">
        <f>IF($A244="","",SUMIFS($J$1:$J$349,$AS$1:$AS$349,$AS244,$B$1:$B$349,$B244))</f>
        <v/>
      </c>
      <c r="Q244" s="0">
        <f>IF($A244="","",SUMIFS($G$1:$G$349,$AS$1:$AS$349,$AS244,$C$1:$C$349,$C244))</f>
        <v/>
      </c>
      <c r="R244" s="0">
        <f>IF($A244="","",SUMIFS($H$1:$H$349,$AS$1:$AS$349,$AS244,$C$1:$C$349,$C244))</f>
        <v/>
      </c>
      <c r="S244" s="0">
        <f>IF($A244="","",SUMIFS($I$1:$I$349,$AS$1:$AS$349,$AS244,$C$1:$C$349,$C244))</f>
        <v/>
      </c>
      <c r="T244" s="0">
        <f>IF($A244="","",SUMIFS($G$1:$G$349,$AS$1:$AS$349,$AS244))</f>
        <v/>
      </c>
      <c r="U244" s="0">
        <f>IF($A244="","",SUMIFS($H$1:$H$349,$AS$1:$AS$349,$AS244))</f>
        <v/>
      </c>
      <c r="V244" s="0">
        <f>IF($A244="","",SUMIFS($I$1:$I$349,$AS$1:$AS$349,$AS244))</f>
        <v/>
      </c>
      <c r="W244" s="0">
        <f>IF($A244="","",Allocation!CD244)</f>
        <v/>
      </c>
      <c r="X244" s="0">
        <f>IF($A244="","",Allocation!CE244)</f>
        <v/>
      </c>
      <c r="Y244" s="0">
        <f>IF($A244="","",Allocation!CF244)</f>
        <v/>
      </c>
      <c r="Z244" s="0">
        <f>IF($A244="","",Allocation!CG244)</f>
        <v/>
      </c>
      <c r="AA244" s="0">
        <f>IF($A244="","",Allocation!CH244)</f>
        <v/>
      </c>
      <c r="AB244" s="0">
        <f>IF($A244="","",Allocation!CI244)</f>
        <v/>
      </c>
      <c r="AC244" s="0">
        <f>IF($A244="","",IF(Allocation!$N$4="VOL_EFF",$G244,IF(Allocation!$N$4="VOL_CLASS",$H244,$I244)))</f>
        <v/>
      </c>
      <c r="AD244" s="0">
        <f>IF($A244="","",IF(Allocation!$N$4="VOL_EFF",$L244,IF(Allocation!$N$4="VOL_CLASS",$M244,$N244)))</f>
        <v/>
      </c>
      <c r="AE244" s="0">
        <f>IF($A244="","",IF(Allocation!$N$3="VOL_EFF",$L244,IF(Allocation!$N$3="VOL_CLASS",$M244,$N244)))</f>
        <v/>
      </c>
      <c r="AF244" s="0">
        <f>IF($A244="","",IF(Allocation!$N$3="VOL_EFF",$Q244,IF(Allocation!$N$3="VOL_CLASS",$R244,$S244)))</f>
        <v/>
      </c>
      <c r="AG244" s="0">
        <f>IF($A244="","",IF(Allocation!$N$1="VOL_EFF",$Q244,IF(Allocation!$N$1="VOL_CLASS",$R244,$S244)))</f>
        <v/>
      </c>
      <c r="AH244" s="0">
        <f>IF($A244="","",IF(Allocation!$N$1="VOL_EFF",$T244,IF(Allocation!$N$1="VOL_CLASS",$U244,$V244)))</f>
        <v/>
      </c>
      <c r="AI244" s="0">
        <f>IF($A244="","",$W244*IFERROR($K244/$O244,0))</f>
        <v/>
      </c>
      <c r="AJ244" s="0">
        <f>IF($A244="","",$X244*IFERROR($K244/$O244,0))</f>
        <v/>
      </c>
      <c r="AK244" s="0">
        <f>IF($A244="","",$Y244*IFERROR($G244/$L244,0)+$Z244*IFERROR($J244/$P244,0))</f>
        <v/>
      </c>
      <c r="AL244" s="0">
        <f>IF($A244="","",$AA244*IFERROR($AC244/$AD244,0))</f>
        <v/>
      </c>
      <c r="AM244" s="0">
        <f>IF($A244="","",$AB244*IFERROR($AG244/$AH244,0)*IFERROR($AE244/$AF244,0)*IFERROR($AC244/$AD244,0))</f>
        <v/>
      </c>
      <c r="AN244" s="0">
        <f>IF($A244="","",$I244-($AI244+$AJ244+$AK244+$AL244+$AM244+$AR244))</f>
        <v/>
      </c>
      <c r="AO244" s="0">
        <f>IF($A244="","",Allocation!CJ244)</f>
        <v/>
      </c>
      <c r="AP244" s="0">
        <f>IF($A244="","",IF(Allocation!$N$2="VOL_EFF",$Q244,IF(Allocation!$N$2="VOL_CLASS",$R244,$S244)))</f>
        <v/>
      </c>
      <c r="AQ244" s="0">
        <f>IF($A244="","",IF(Allocation!$N$2="VOL_EFF",$T244,IF(Allocation!$N$2="VOL_CLASS",$U244,$V244)))</f>
        <v/>
      </c>
      <c r="AR244" s="0">
        <f>IF($A244="","",$AO244*IFERROR($AP244/$AQ244,0)*IFERROR($AE244/$AF244,0)*IFERROR($AC244/$AD244,0))</f>
        <v/>
      </c>
      <c r="AS244" s="0">
        <f>IF($A244="","",$A244&amp;"|"&amp;Allocation!BG244)</f>
        <v/>
      </c>
    </row>
    <row r="245" ht="14.4975" customHeight="1" s="64">
      <c r="A245" s="0">
        <f>IF(Allocation!BI245="","",Allocation!BI245)</f>
        <v/>
      </c>
      <c r="B245" s="0">
        <f>IF(Allocation!BJ245="","",Allocation!BJ245)</f>
        <v/>
      </c>
      <c r="C245" s="0">
        <f>IF(Allocation!BK245="","",Allocation!BK245)</f>
        <v/>
      </c>
      <c r="D245" s="0">
        <f>IF(Allocation!BL245="","",Allocation!BL245)</f>
        <v/>
      </c>
      <c r="E245" s="0">
        <f>IF(Allocation!BM245="","",Allocation!BM245)</f>
        <v/>
      </c>
      <c r="F245" s="0">
        <f>IF(Allocation!BN245="","",Allocation!BN245)</f>
        <v/>
      </c>
      <c r="G245" s="0">
        <f>IF(Allocation!BO245="","",Allocation!BO245)</f>
        <v/>
      </c>
      <c r="H245" s="0">
        <f>IF(Allocation!BP245="","",Allocation!BP245)</f>
        <v/>
      </c>
      <c r="I245" s="0">
        <f>IF(Allocation!BQ245="","",Allocation!BQ245)</f>
        <v/>
      </c>
      <c r="J245" s="0">
        <f>IF(Allocation!CC245="","",Allocation!CC245)</f>
        <v/>
      </c>
      <c r="K245" s="0">
        <f>IF($A245="","",$H245*IF(AND(LEFT($D245,3)="BAC",$F245="INIT"),600,IF(LEFT($D245,3)="BAC",480,IF(AND(LEFT($D245,3)="MAS",$F245="INIT"),520,IF(LEFT($D245,3)="MAS",420,IF($F245="INIT",1000,700))))))</f>
        <v/>
      </c>
      <c r="L245" s="0">
        <f>IF($A245="","",SUMIFS($G$1:$G$349,$AS$1:$AS$349,$AS245,$B$1:$B$349,$B245))</f>
        <v/>
      </c>
      <c r="M245" s="0">
        <f>IF($A245="","",SUMIFS($H$1:$H$349,$AS$1:$AS$349,$AS245,$B$1:$B$349,$B245))</f>
        <v/>
      </c>
      <c r="N245" s="0">
        <f>IF($A245="","",SUMIFS($I$1:$I$349,$AS$1:$AS$349,$AS245,$B$1:$B$349,$B245))</f>
        <v/>
      </c>
      <c r="O245" s="0">
        <f>IF($A245="","",SUMIFS($K$1:$K$349,$AS$1:$AS$349,$AS245,$B$1:$B$349,$B245))</f>
        <v/>
      </c>
      <c r="P245" s="0">
        <f>IF($A245="","",SUMIFS($J$1:$J$349,$AS$1:$AS$349,$AS245,$B$1:$B$349,$B245))</f>
        <v/>
      </c>
      <c r="Q245" s="0">
        <f>IF($A245="","",SUMIFS($G$1:$G$349,$AS$1:$AS$349,$AS245,$C$1:$C$349,$C245))</f>
        <v/>
      </c>
      <c r="R245" s="0">
        <f>IF($A245="","",SUMIFS($H$1:$H$349,$AS$1:$AS$349,$AS245,$C$1:$C$349,$C245))</f>
        <v/>
      </c>
      <c r="S245" s="0">
        <f>IF($A245="","",SUMIFS($I$1:$I$349,$AS$1:$AS$349,$AS245,$C$1:$C$349,$C245))</f>
        <v/>
      </c>
      <c r="T245" s="0">
        <f>IF($A245="","",SUMIFS($G$1:$G$349,$AS$1:$AS$349,$AS245))</f>
        <v/>
      </c>
      <c r="U245" s="0">
        <f>IF($A245="","",SUMIFS($H$1:$H$349,$AS$1:$AS$349,$AS245))</f>
        <v/>
      </c>
      <c r="V245" s="0">
        <f>IF($A245="","",SUMIFS($I$1:$I$349,$AS$1:$AS$349,$AS245))</f>
        <v/>
      </c>
      <c r="W245" s="0">
        <f>IF($A245="","",Allocation!CD245)</f>
        <v/>
      </c>
      <c r="X245" s="0">
        <f>IF($A245="","",Allocation!CE245)</f>
        <v/>
      </c>
      <c r="Y245" s="0">
        <f>IF($A245="","",Allocation!CF245)</f>
        <v/>
      </c>
      <c r="Z245" s="0">
        <f>IF($A245="","",Allocation!CG245)</f>
        <v/>
      </c>
      <c r="AA245" s="0">
        <f>IF($A245="","",Allocation!CH245)</f>
        <v/>
      </c>
      <c r="AB245" s="0">
        <f>IF($A245="","",Allocation!CI245)</f>
        <v/>
      </c>
      <c r="AC245" s="0">
        <f>IF($A245="","",IF(Allocation!$N$4="VOL_EFF",$G245,IF(Allocation!$N$4="VOL_CLASS",$H245,$I245)))</f>
        <v/>
      </c>
      <c r="AD245" s="0">
        <f>IF($A245="","",IF(Allocation!$N$4="VOL_EFF",$L245,IF(Allocation!$N$4="VOL_CLASS",$M245,$N245)))</f>
        <v/>
      </c>
      <c r="AE245" s="0">
        <f>IF($A245="","",IF(Allocation!$N$3="VOL_EFF",$L245,IF(Allocation!$N$3="VOL_CLASS",$M245,$N245)))</f>
        <v/>
      </c>
      <c r="AF245" s="0">
        <f>IF($A245="","",IF(Allocation!$N$3="VOL_EFF",$Q245,IF(Allocation!$N$3="VOL_CLASS",$R245,$S245)))</f>
        <v/>
      </c>
      <c r="AG245" s="0">
        <f>IF($A245="","",IF(Allocation!$N$1="VOL_EFF",$Q245,IF(Allocation!$N$1="VOL_CLASS",$R245,$S245)))</f>
        <v/>
      </c>
      <c r="AH245" s="0">
        <f>IF($A245="","",IF(Allocation!$N$1="VOL_EFF",$T245,IF(Allocation!$N$1="VOL_CLASS",$U245,$V245)))</f>
        <v/>
      </c>
      <c r="AI245" s="0">
        <f>IF($A245="","",$W245*IFERROR($K245/$O245,0))</f>
        <v/>
      </c>
      <c r="AJ245" s="0">
        <f>IF($A245="","",$X245*IFERROR($K245/$O245,0))</f>
        <v/>
      </c>
      <c r="AK245" s="0">
        <f>IF($A245="","",$Y245*IFERROR($G245/$L245,0)+$Z245*IFERROR($J245/$P245,0))</f>
        <v/>
      </c>
      <c r="AL245" s="0">
        <f>IF($A245="","",$AA245*IFERROR($AC245/$AD245,0))</f>
        <v/>
      </c>
      <c r="AM245" s="0">
        <f>IF($A245="","",$AB245*IFERROR($AG245/$AH245,0)*IFERROR($AE245/$AF245,0)*IFERROR($AC245/$AD245,0))</f>
        <v/>
      </c>
      <c r="AN245" s="0">
        <f>IF($A245="","",$I245-($AI245+$AJ245+$AK245+$AL245+$AM245+$AR245))</f>
        <v/>
      </c>
      <c r="AO245" s="0">
        <f>IF($A245="","",Allocation!CJ245)</f>
        <v/>
      </c>
      <c r="AP245" s="0">
        <f>IF($A245="","",IF(Allocation!$N$2="VOL_EFF",$Q245,IF(Allocation!$N$2="VOL_CLASS",$R245,$S245)))</f>
        <v/>
      </c>
      <c r="AQ245" s="0">
        <f>IF($A245="","",IF(Allocation!$N$2="VOL_EFF",$T245,IF(Allocation!$N$2="VOL_CLASS",$U245,$V245)))</f>
        <v/>
      </c>
      <c r="AR245" s="0">
        <f>IF($A245="","",$AO245*IFERROR($AP245/$AQ245,0)*IFERROR($AE245/$AF245,0)*IFERROR($AC245/$AD245,0))</f>
        <v/>
      </c>
      <c r="AS245" s="0">
        <f>IF($A245="","",$A245&amp;"|"&amp;Allocation!BG245)</f>
        <v/>
      </c>
    </row>
    <row r="246" ht="14.4975" customHeight="1" s="64">
      <c r="A246" s="0">
        <f>IF(Allocation!BI246="","",Allocation!BI246)</f>
        <v/>
      </c>
      <c r="B246" s="0">
        <f>IF(Allocation!BJ246="","",Allocation!BJ246)</f>
        <v/>
      </c>
      <c r="C246" s="0">
        <f>IF(Allocation!BK246="","",Allocation!BK246)</f>
        <v/>
      </c>
      <c r="D246" s="0">
        <f>IF(Allocation!BL246="","",Allocation!BL246)</f>
        <v/>
      </c>
      <c r="E246" s="0">
        <f>IF(Allocation!BM246="","",Allocation!BM246)</f>
        <v/>
      </c>
      <c r="F246" s="0">
        <f>IF(Allocation!BN246="","",Allocation!BN246)</f>
        <v/>
      </c>
      <c r="G246" s="0">
        <f>IF(Allocation!BO246="","",Allocation!BO246)</f>
        <v/>
      </c>
      <c r="H246" s="0">
        <f>IF(Allocation!BP246="","",Allocation!BP246)</f>
        <v/>
      </c>
      <c r="I246" s="0">
        <f>IF(Allocation!BQ246="","",Allocation!BQ246)</f>
        <v/>
      </c>
      <c r="J246" s="0">
        <f>IF(Allocation!CC246="","",Allocation!CC246)</f>
        <v/>
      </c>
      <c r="K246" s="0">
        <f>IF($A246="","",$H246*IF(AND(LEFT($D246,3)="BAC",$F246="INIT"),600,IF(LEFT($D246,3)="BAC",480,IF(AND(LEFT($D246,3)="MAS",$F246="INIT"),520,IF(LEFT($D246,3)="MAS",420,IF($F246="INIT",1000,700))))))</f>
        <v/>
      </c>
      <c r="L246" s="0">
        <f>IF($A246="","",SUMIFS($G$1:$G$349,$AS$1:$AS$349,$AS246,$B$1:$B$349,$B246))</f>
        <v/>
      </c>
      <c r="M246" s="0">
        <f>IF($A246="","",SUMIFS($H$1:$H$349,$AS$1:$AS$349,$AS246,$B$1:$B$349,$B246))</f>
        <v/>
      </c>
      <c r="N246" s="0">
        <f>IF($A246="","",SUMIFS($I$1:$I$349,$AS$1:$AS$349,$AS246,$B$1:$B$349,$B246))</f>
        <v/>
      </c>
      <c r="O246" s="0">
        <f>IF($A246="","",SUMIFS($K$1:$K$349,$AS$1:$AS$349,$AS246,$B$1:$B$349,$B246))</f>
        <v/>
      </c>
      <c r="P246" s="0">
        <f>IF($A246="","",SUMIFS($J$1:$J$349,$AS$1:$AS$349,$AS246,$B$1:$B$349,$B246))</f>
        <v/>
      </c>
      <c r="Q246" s="0">
        <f>IF($A246="","",SUMIFS($G$1:$G$349,$AS$1:$AS$349,$AS246,$C$1:$C$349,$C246))</f>
        <v/>
      </c>
      <c r="R246" s="0">
        <f>IF($A246="","",SUMIFS($H$1:$H$349,$AS$1:$AS$349,$AS246,$C$1:$C$349,$C246))</f>
        <v/>
      </c>
      <c r="S246" s="0">
        <f>IF($A246="","",SUMIFS($I$1:$I$349,$AS$1:$AS$349,$AS246,$C$1:$C$349,$C246))</f>
        <v/>
      </c>
      <c r="T246" s="0">
        <f>IF($A246="","",SUMIFS($G$1:$G$349,$AS$1:$AS$349,$AS246))</f>
        <v/>
      </c>
      <c r="U246" s="0">
        <f>IF($A246="","",SUMIFS($H$1:$H$349,$AS$1:$AS$349,$AS246))</f>
        <v/>
      </c>
      <c r="V246" s="0">
        <f>IF($A246="","",SUMIFS($I$1:$I$349,$AS$1:$AS$349,$AS246))</f>
        <v/>
      </c>
      <c r="W246" s="0">
        <f>IF($A246="","",Allocation!CD246)</f>
        <v/>
      </c>
      <c r="X246" s="0">
        <f>IF($A246="","",Allocation!CE246)</f>
        <v/>
      </c>
      <c r="Y246" s="0">
        <f>IF($A246="","",Allocation!CF246)</f>
        <v/>
      </c>
      <c r="Z246" s="0">
        <f>IF($A246="","",Allocation!CG246)</f>
        <v/>
      </c>
      <c r="AA246" s="0">
        <f>IF($A246="","",Allocation!CH246)</f>
        <v/>
      </c>
      <c r="AB246" s="0">
        <f>IF($A246="","",Allocation!CI246)</f>
        <v/>
      </c>
      <c r="AC246" s="0">
        <f>IF($A246="","",IF(Allocation!$N$4="VOL_EFF",$G246,IF(Allocation!$N$4="VOL_CLASS",$H246,$I246)))</f>
        <v/>
      </c>
      <c r="AD246" s="0">
        <f>IF($A246="","",IF(Allocation!$N$4="VOL_EFF",$L246,IF(Allocation!$N$4="VOL_CLASS",$M246,$N246)))</f>
        <v/>
      </c>
      <c r="AE246" s="0">
        <f>IF($A246="","",IF(Allocation!$N$3="VOL_EFF",$L246,IF(Allocation!$N$3="VOL_CLASS",$M246,$N246)))</f>
        <v/>
      </c>
      <c r="AF246" s="0">
        <f>IF($A246="","",IF(Allocation!$N$3="VOL_EFF",$Q246,IF(Allocation!$N$3="VOL_CLASS",$R246,$S246)))</f>
        <v/>
      </c>
      <c r="AG246" s="0">
        <f>IF($A246="","",IF(Allocation!$N$1="VOL_EFF",$Q246,IF(Allocation!$N$1="VOL_CLASS",$R246,$S246)))</f>
        <v/>
      </c>
      <c r="AH246" s="0">
        <f>IF($A246="","",IF(Allocation!$N$1="VOL_EFF",$T246,IF(Allocation!$N$1="VOL_CLASS",$U246,$V246)))</f>
        <v/>
      </c>
      <c r="AI246" s="0">
        <f>IF($A246="","",$W246*IFERROR($K246/$O246,0))</f>
        <v/>
      </c>
      <c r="AJ246" s="0">
        <f>IF($A246="","",$X246*IFERROR($K246/$O246,0))</f>
        <v/>
      </c>
      <c r="AK246" s="0">
        <f>IF($A246="","",$Y246*IFERROR($G246/$L246,0)+$Z246*IFERROR($J246/$P246,0))</f>
        <v/>
      </c>
      <c r="AL246" s="0">
        <f>IF($A246="","",$AA246*IFERROR($AC246/$AD246,0))</f>
        <v/>
      </c>
      <c r="AM246" s="0">
        <f>IF($A246="","",$AB246*IFERROR($AG246/$AH246,0)*IFERROR($AE246/$AF246,0)*IFERROR($AC246/$AD246,0))</f>
        <v/>
      </c>
      <c r="AN246" s="0">
        <f>IF($A246="","",$I246-($AI246+$AJ246+$AK246+$AL246+$AM246+$AR246))</f>
        <v/>
      </c>
      <c r="AO246" s="0">
        <f>IF($A246="","",Allocation!CJ246)</f>
        <v/>
      </c>
      <c r="AP246" s="0">
        <f>IF($A246="","",IF(Allocation!$N$2="VOL_EFF",$Q246,IF(Allocation!$N$2="VOL_CLASS",$R246,$S246)))</f>
        <v/>
      </c>
      <c r="AQ246" s="0">
        <f>IF($A246="","",IF(Allocation!$N$2="VOL_EFF",$T246,IF(Allocation!$N$2="VOL_CLASS",$U246,$V246)))</f>
        <v/>
      </c>
      <c r="AR246" s="0">
        <f>IF($A246="","",$AO246*IFERROR($AP246/$AQ246,0)*IFERROR($AE246/$AF246,0)*IFERROR($AC246/$AD246,0))</f>
        <v/>
      </c>
      <c r="AS246" s="0">
        <f>IF($A246="","",$A246&amp;"|"&amp;Allocation!BG246)</f>
        <v/>
      </c>
    </row>
    <row r="247" ht="14.4975" customHeight="1" s="64">
      <c r="A247" s="0">
        <f>IF(Allocation!BI247="","",Allocation!BI247)</f>
        <v/>
      </c>
      <c r="B247" s="0">
        <f>IF(Allocation!BJ247="","",Allocation!BJ247)</f>
        <v/>
      </c>
      <c r="C247" s="0">
        <f>IF(Allocation!BK247="","",Allocation!BK247)</f>
        <v/>
      </c>
      <c r="D247" s="0">
        <f>IF(Allocation!BL247="","",Allocation!BL247)</f>
        <v/>
      </c>
      <c r="E247" s="0">
        <f>IF(Allocation!BM247="","",Allocation!BM247)</f>
        <v/>
      </c>
      <c r="F247" s="0">
        <f>IF(Allocation!BN247="","",Allocation!BN247)</f>
        <v/>
      </c>
      <c r="G247" s="0">
        <f>IF(Allocation!BO247="","",Allocation!BO247)</f>
        <v/>
      </c>
      <c r="H247" s="0">
        <f>IF(Allocation!BP247="","",Allocation!BP247)</f>
        <v/>
      </c>
      <c r="I247" s="0">
        <f>IF(Allocation!BQ247="","",Allocation!BQ247)</f>
        <v/>
      </c>
      <c r="J247" s="0">
        <f>IF(Allocation!CC247="","",Allocation!CC247)</f>
        <v/>
      </c>
      <c r="K247" s="0">
        <f>IF($A247="","",$H247*IF(AND(LEFT($D247,3)="BAC",$F247="INIT"),600,IF(LEFT($D247,3)="BAC",480,IF(AND(LEFT($D247,3)="MAS",$F247="INIT"),520,IF(LEFT($D247,3)="MAS",420,IF($F247="INIT",1000,700))))))</f>
        <v/>
      </c>
      <c r="L247" s="0">
        <f>IF($A247="","",SUMIFS($G$1:$G$349,$AS$1:$AS$349,$AS247,$B$1:$B$349,$B247))</f>
        <v/>
      </c>
      <c r="M247" s="0">
        <f>IF($A247="","",SUMIFS($H$1:$H$349,$AS$1:$AS$349,$AS247,$B$1:$B$349,$B247))</f>
        <v/>
      </c>
      <c r="N247" s="0">
        <f>IF($A247="","",SUMIFS($I$1:$I$349,$AS$1:$AS$349,$AS247,$B$1:$B$349,$B247))</f>
        <v/>
      </c>
      <c r="O247" s="0">
        <f>IF($A247="","",SUMIFS($K$1:$K$349,$AS$1:$AS$349,$AS247,$B$1:$B$349,$B247))</f>
        <v/>
      </c>
      <c r="P247" s="0">
        <f>IF($A247="","",SUMIFS($J$1:$J$349,$AS$1:$AS$349,$AS247,$B$1:$B$349,$B247))</f>
        <v/>
      </c>
      <c r="Q247" s="0">
        <f>IF($A247="","",SUMIFS($G$1:$G$349,$AS$1:$AS$349,$AS247,$C$1:$C$349,$C247))</f>
        <v/>
      </c>
      <c r="R247" s="0">
        <f>IF($A247="","",SUMIFS($H$1:$H$349,$AS$1:$AS$349,$AS247,$C$1:$C$349,$C247))</f>
        <v/>
      </c>
      <c r="S247" s="0">
        <f>IF($A247="","",SUMIFS($I$1:$I$349,$AS$1:$AS$349,$AS247,$C$1:$C$349,$C247))</f>
        <v/>
      </c>
      <c r="T247" s="0">
        <f>IF($A247="","",SUMIFS($G$1:$G$349,$AS$1:$AS$349,$AS247))</f>
        <v/>
      </c>
      <c r="U247" s="0">
        <f>IF($A247="","",SUMIFS($H$1:$H$349,$AS$1:$AS$349,$AS247))</f>
        <v/>
      </c>
      <c r="V247" s="0">
        <f>IF($A247="","",SUMIFS($I$1:$I$349,$AS$1:$AS$349,$AS247))</f>
        <v/>
      </c>
      <c r="W247" s="0">
        <f>IF($A247="","",Allocation!CD247)</f>
        <v/>
      </c>
      <c r="X247" s="0">
        <f>IF($A247="","",Allocation!CE247)</f>
        <v/>
      </c>
      <c r="Y247" s="0">
        <f>IF($A247="","",Allocation!CF247)</f>
        <v/>
      </c>
      <c r="Z247" s="0">
        <f>IF($A247="","",Allocation!CG247)</f>
        <v/>
      </c>
      <c r="AA247" s="0">
        <f>IF($A247="","",Allocation!CH247)</f>
        <v/>
      </c>
      <c r="AB247" s="0">
        <f>IF($A247="","",Allocation!CI247)</f>
        <v/>
      </c>
      <c r="AC247" s="0">
        <f>IF($A247="","",IF(Allocation!$N$4="VOL_EFF",$G247,IF(Allocation!$N$4="VOL_CLASS",$H247,$I247)))</f>
        <v/>
      </c>
      <c r="AD247" s="0">
        <f>IF($A247="","",IF(Allocation!$N$4="VOL_EFF",$L247,IF(Allocation!$N$4="VOL_CLASS",$M247,$N247)))</f>
        <v/>
      </c>
      <c r="AE247" s="0">
        <f>IF($A247="","",IF(Allocation!$N$3="VOL_EFF",$L247,IF(Allocation!$N$3="VOL_CLASS",$M247,$N247)))</f>
        <v/>
      </c>
      <c r="AF247" s="0">
        <f>IF($A247="","",IF(Allocation!$N$3="VOL_EFF",$Q247,IF(Allocation!$N$3="VOL_CLASS",$R247,$S247)))</f>
        <v/>
      </c>
      <c r="AG247" s="0">
        <f>IF($A247="","",IF(Allocation!$N$1="VOL_EFF",$Q247,IF(Allocation!$N$1="VOL_CLASS",$R247,$S247)))</f>
        <v/>
      </c>
      <c r="AH247" s="0">
        <f>IF($A247="","",IF(Allocation!$N$1="VOL_EFF",$T247,IF(Allocation!$N$1="VOL_CLASS",$U247,$V247)))</f>
        <v/>
      </c>
      <c r="AI247" s="0">
        <f>IF($A247="","",$W247*IFERROR($K247/$O247,0))</f>
        <v/>
      </c>
      <c r="AJ247" s="0">
        <f>IF($A247="","",$X247*IFERROR($K247/$O247,0))</f>
        <v/>
      </c>
      <c r="AK247" s="0">
        <f>IF($A247="","",$Y247*IFERROR($G247/$L247,0)+$Z247*IFERROR($J247/$P247,0))</f>
        <v/>
      </c>
      <c r="AL247" s="0">
        <f>IF($A247="","",$AA247*IFERROR($AC247/$AD247,0))</f>
        <v/>
      </c>
      <c r="AM247" s="0">
        <f>IF($A247="","",$AB247*IFERROR($AG247/$AH247,0)*IFERROR($AE247/$AF247,0)*IFERROR($AC247/$AD247,0))</f>
        <v/>
      </c>
      <c r="AN247" s="0">
        <f>IF($A247="","",$I247-($AI247+$AJ247+$AK247+$AL247+$AM247+$AR247))</f>
        <v/>
      </c>
      <c r="AO247" s="0">
        <f>IF($A247="","",Allocation!CJ247)</f>
        <v/>
      </c>
      <c r="AP247" s="0">
        <f>IF($A247="","",IF(Allocation!$N$2="VOL_EFF",$Q247,IF(Allocation!$N$2="VOL_CLASS",$R247,$S247)))</f>
        <v/>
      </c>
      <c r="AQ247" s="0">
        <f>IF($A247="","",IF(Allocation!$N$2="VOL_EFF",$T247,IF(Allocation!$N$2="VOL_CLASS",$U247,$V247)))</f>
        <v/>
      </c>
      <c r="AR247" s="0">
        <f>IF($A247="","",$AO247*IFERROR($AP247/$AQ247,0)*IFERROR($AE247/$AF247,0)*IFERROR($AC247/$AD247,0))</f>
        <v/>
      </c>
      <c r="AS247" s="0">
        <f>IF($A247="","",$A247&amp;"|"&amp;Allocation!BG247)</f>
        <v/>
      </c>
    </row>
    <row r="248" ht="14.4975" customHeight="1" s="64">
      <c r="A248" s="0">
        <f>IF(Allocation!BI248="","",Allocation!BI248)</f>
        <v/>
      </c>
      <c r="B248" s="0">
        <f>IF(Allocation!BJ248="","",Allocation!BJ248)</f>
        <v/>
      </c>
      <c r="C248" s="0">
        <f>IF(Allocation!BK248="","",Allocation!BK248)</f>
        <v/>
      </c>
      <c r="D248" s="0">
        <f>IF(Allocation!BL248="","",Allocation!BL248)</f>
        <v/>
      </c>
      <c r="E248" s="0">
        <f>IF(Allocation!BM248="","",Allocation!BM248)</f>
        <v/>
      </c>
      <c r="F248" s="0">
        <f>IF(Allocation!BN248="","",Allocation!BN248)</f>
        <v/>
      </c>
      <c r="G248" s="0">
        <f>IF(Allocation!BO248="","",Allocation!BO248)</f>
        <v/>
      </c>
      <c r="H248" s="0">
        <f>IF(Allocation!BP248="","",Allocation!BP248)</f>
        <v/>
      </c>
      <c r="I248" s="0">
        <f>IF(Allocation!BQ248="","",Allocation!BQ248)</f>
        <v/>
      </c>
      <c r="J248" s="0">
        <f>IF(Allocation!CC248="","",Allocation!CC248)</f>
        <v/>
      </c>
      <c r="K248" s="0">
        <f>IF($A248="","",$H248*IF(AND(LEFT($D248,3)="BAC",$F248="INIT"),600,IF(LEFT($D248,3)="BAC",480,IF(AND(LEFT($D248,3)="MAS",$F248="INIT"),520,IF(LEFT($D248,3)="MAS",420,IF($F248="INIT",1000,700))))))</f>
        <v/>
      </c>
      <c r="L248" s="0">
        <f>IF($A248="","",SUMIFS($G$1:$G$349,$AS$1:$AS$349,$AS248,$B$1:$B$349,$B248))</f>
        <v/>
      </c>
      <c r="M248" s="0">
        <f>IF($A248="","",SUMIFS($H$1:$H$349,$AS$1:$AS$349,$AS248,$B$1:$B$349,$B248))</f>
        <v/>
      </c>
      <c r="N248" s="0">
        <f>IF($A248="","",SUMIFS($I$1:$I$349,$AS$1:$AS$349,$AS248,$B$1:$B$349,$B248))</f>
        <v/>
      </c>
      <c r="O248" s="0">
        <f>IF($A248="","",SUMIFS($K$1:$K$349,$AS$1:$AS$349,$AS248,$B$1:$B$349,$B248))</f>
        <v/>
      </c>
      <c r="P248" s="0">
        <f>IF($A248="","",SUMIFS($J$1:$J$349,$AS$1:$AS$349,$AS248,$B$1:$B$349,$B248))</f>
        <v/>
      </c>
      <c r="Q248" s="0">
        <f>IF($A248="","",SUMIFS($G$1:$G$349,$AS$1:$AS$349,$AS248,$C$1:$C$349,$C248))</f>
        <v/>
      </c>
      <c r="R248" s="0">
        <f>IF($A248="","",SUMIFS($H$1:$H$349,$AS$1:$AS$349,$AS248,$C$1:$C$349,$C248))</f>
        <v/>
      </c>
      <c r="S248" s="0">
        <f>IF($A248="","",SUMIFS($I$1:$I$349,$AS$1:$AS$349,$AS248,$C$1:$C$349,$C248))</f>
        <v/>
      </c>
      <c r="T248" s="0">
        <f>IF($A248="","",SUMIFS($G$1:$G$349,$AS$1:$AS$349,$AS248))</f>
        <v/>
      </c>
      <c r="U248" s="0">
        <f>IF($A248="","",SUMIFS($H$1:$H$349,$AS$1:$AS$349,$AS248))</f>
        <v/>
      </c>
      <c r="V248" s="0">
        <f>IF($A248="","",SUMIFS($I$1:$I$349,$AS$1:$AS$349,$AS248))</f>
        <v/>
      </c>
      <c r="W248" s="0">
        <f>IF($A248="","",Allocation!CD248)</f>
        <v/>
      </c>
      <c r="X248" s="0">
        <f>IF($A248="","",Allocation!CE248)</f>
        <v/>
      </c>
      <c r="Y248" s="0">
        <f>IF($A248="","",Allocation!CF248)</f>
        <v/>
      </c>
      <c r="Z248" s="0">
        <f>IF($A248="","",Allocation!CG248)</f>
        <v/>
      </c>
      <c r="AA248" s="0">
        <f>IF($A248="","",Allocation!CH248)</f>
        <v/>
      </c>
      <c r="AB248" s="0">
        <f>IF($A248="","",Allocation!CI248)</f>
        <v/>
      </c>
      <c r="AC248" s="0">
        <f>IF($A248="","",IF(Allocation!$N$4="VOL_EFF",$G248,IF(Allocation!$N$4="VOL_CLASS",$H248,$I248)))</f>
        <v/>
      </c>
      <c r="AD248" s="0">
        <f>IF($A248="","",IF(Allocation!$N$4="VOL_EFF",$L248,IF(Allocation!$N$4="VOL_CLASS",$M248,$N248)))</f>
        <v/>
      </c>
      <c r="AE248" s="0">
        <f>IF($A248="","",IF(Allocation!$N$3="VOL_EFF",$L248,IF(Allocation!$N$3="VOL_CLASS",$M248,$N248)))</f>
        <v/>
      </c>
      <c r="AF248" s="0">
        <f>IF($A248="","",IF(Allocation!$N$3="VOL_EFF",$Q248,IF(Allocation!$N$3="VOL_CLASS",$R248,$S248)))</f>
        <v/>
      </c>
      <c r="AG248" s="0">
        <f>IF($A248="","",IF(Allocation!$N$1="VOL_EFF",$Q248,IF(Allocation!$N$1="VOL_CLASS",$R248,$S248)))</f>
        <v/>
      </c>
      <c r="AH248" s="0">
        <f>IF($A248="","",IF(Allocation!$N$1="VOL_EFF",$T248,IF(Allocation!$N$1="VOL_CLASS",$U248,$V248)))</f>
        <v/>
      </c>
      <c r="AI248" s="0">
        <f>IF($A248="","",$W248*IFERROR($K248/$O248,0))</f>
        <v/>
      </c>
      <c r="AJ248" s="0">
        <f>IF($A248="","",$X248*IFERROR($K248/$O248,0))</f>
        <v/>
      </c>
      <c r="AK248" s="0">
        <f>IF($A248="","",$Y248*IFERROR($G248/$L248,0)+$Z248*IFERROR($J248/$P248,0))</f>
        <v/>
      </c>
      <c r="AL248" s="0">
        <f>IF($A248="","",$AA248*IFERROR($AC248/$AD248,0))</f>
        <v/>
      </c>
      <c r="AM248" s="0">
        <f>IF($A248="","",$AB248*IFERROR($AG248/$AH248,0)*IFERROR($AE248/$AF248,0)*IFERROR($AC248/$AD248,0))</f>
        <v/>
      </c>
      <c r="AN248" s="0">
        <f>IF($A248="","",$I248-($AI248+$AJ248+$AK248+$AL248+$AM248+$AR248))</f>
        <v/>
      </c>
      <c r="AO248" s="0">
        <f>IF($A248="","",Allocation!CJ248)</f>
        <v/>
      </c>
      <c r="AP248" s="0">
        <f>IF($A248="","",IF(Allocation!$N$2="VOL_EFF",$Q248,IF(Allocation!$N$2="VOL_CLASS",$R248,$S248)))</f>
        <v/>
      </c>
      <c r="AQ248" s="0">
        <f>IF($A248="","",IF(Allocation!$N$2="VOL_EFF",$T248,IF(Allocation!$N$2="VOL_CLASS",$U248,$V248)))</f>
        <v/>
      </c>
      <c r="AR248" s="0">
        <f>IF($A248="","",$AO248*IFERROR($AP248/$AQ248,0)*IFERROR($AE248/$AF248,0)*IFERROR($AC248/$AD248,0))</f>
        <v/>
      </c>
      <c r="AS248" s="0">
        <f>IF($A248="","",$A248&amp;"|"&amp;Allocation!BG248)</f>
        <v/>
      </c>
    </row>
    <row r="249" ht="14.4975" customHeight="1" s="64">
      <c r="A249" s="0">
        <f>IF(Allocation!BI249="","",Allocation!BI249)</f>
        <v/>
      </c>
      <c r="B249" s="0">
        <f>IF(Allocation!BJ249="","",Allocation!BJ249)</f>
        <v/>
      </c>
      <c r="C249" s="0">
        <f>IF(Allocation!BK249="","",Allocation!BK249)</f>
        <v/>
      </c>
      <c r="D249" s="0">
        <f>IF(Allocation!BL249="","",Allocation!BL249)</f>
        <v/>
      </c>
      <c r="E249" s="0">
        <f>IF(Allocation!BM249="","",Allocation!BM249)</f>
        <v/>
      </c>
      <c r="F249" s="0">
        <f>IF(Allocation!BN249="","",Allocation!BN249)</f>
        <v/>
      </c>
      <c r="G249" s="0">
        <f>IF(Allocation!BO249="","",Allocation!BO249)</f>
        <v/>
      </c>
      <c r="H249" s="0">
        <f>IF(Allocation!BP249="","",Allocation!BP249)</f>
        <v/>
      </c>
      <c r="I249" s="0">
        <f>IF(Allocation!BQ249="","",Allocation!BQ249)</f>
        <v/>
      </c>
      <c r="J249" s="0">
        <f>IF(Allocation!CC249="","",Allocation!CC249)</f>
        <v/>
      </c>
      <c r="K249" s="0">
        <f>IF($A249="","",$H249*IF(AND(LEFT($D249,3)="BAC",$F249="INIT"),600,IF(LEFT($D249,3)="BAC",480,IF(AND(LEFT($D249,3)="MAS",$F249="INIT"),520,IF(LEFT($D249,3)="MAS",420,IF($F249="INIT",1000,700))))))</f>
        <v/>
      </c>
      <c r="L249" s="0">
        <f>IF($A249="","",SUMIFS($G$1:$G$349,$AS$1:$AS$349,$AS249,$B$1:$B$349,$B249))</f>
        <v/>
      </c>
      <c r="M249" s="0">
        <f>IF($A249="","",SUMIFS($H$1:$H$349,$AS$1:$AS$349,$AS249,$B$1:$B$349,$B249))</f>
        <v/>
      </c>
      <c r="N249" s="0">
        <f>IF($A249="","",SUMIFS($I$1:$I$349,$AS$1:$AS$349,$AS249,$B$1:$B$349,$B249))</f>
        <v/>
      </c>
      <c r="O249" s="0">
        <f>IF($A249="","",SUMIFS($K$1:$K$349,$AS$1:$AS$349,$AS249,$B$1:$B$349,$B249))</f>
        <v/>
      </c>
      <c r="P249" s="0">
        <f>IF($A249="","",SUMIFS($J$1:$J$349,$AS$1:$AS$349,$AS249,$B$1:$B$349,$B249))</f>
        <v/>
      </c>
      <c r="Q249" s="0">
        <f>IF($A249="","",SUMIFS($G$1:$G$349,$AS$1:$AS$349,$AS249,$C$1:$C$349,$C249))</f>
        <v/>
      </c>
      <c r="R249" s="0">
        <f>IF($A249="","",SUMIFS($H$1:$H$349,$AS$1:$AS$349,$AS249,$C$1:$C$349,$C249))</f>
        <v/>
      </c>
      <c r="S249" s="0">
        <f>IF($A249="","",SUMIFS($I$1:$I$349,$AS$1:$AS$349,$AS249,$C$1:$C$349,$C249))</f>
        <v/>
      </c>
      <c r="T249" s="0">
        <f>IF($A249="","",SUMIFS($G$1:$G$349,$AS$1:$AS$349,$AS249))</f>
        <v/>
      </c>
      <c r="U249" s="0">
        <f>IF($A249="","",SUMIFS($H$1:$H$349,$AS$1:$AS$349,$AS249))</f>
        <v/>
      </c>
      <c r="V249" s="0">
        <f>IF($A249="","",SUMIFS($I$1:$I$349,$AS$1:$AS$349,$AS249))</f>
        <v/>
      </c>
      <c r="W249" s="0">
        <f>IF($A249="","",Allocation!CD249)</f>
        <v/>
      </c>
      <c r="X249" s="0">
        <f>IF($A249="","",Allocation!CE249)</f>
        <v/>
      </c>
      <c r="Y249" s="0">
        <f>IF($A249="","",Allocation!CF249)</f>
        <v/>
      </c>
      <c r="Z249" s="0">
        <f>IF($A249="","",Allocation!CG249)</f>
        <v/>
      </c>
      <c r="AA249" s="0">
        <f>IF($A249="","",Allocation!CH249)</f>
        <v/>
      </c>
      <c r="AB249" s="0">
        <f>IF($A249="","",Allocation!CI249)</f>
        <v/>
      </c>
      <c r="AC249" s="0">
        <f>IF($A249="","",IF(Allocation!$N$4="VOL_EFF",$G249,IF(Allocation!$N$4="VOL_CLASS",$H249,$I249)))</f>
        <v/>
      </c>
      <c r="AD249" s="0">
        <f>IF($A249="","",IF(Allocation!$N$4="VOL_EFF",$L249,IF(Allocation!$N$4="VOL_CLASS",$M249,$N249)))</f>
        <v/>
      </c>
      <c r="AE249" s="0">
        <f>IF($A249="","",IF(Allocation!$N$3="VOL_EFF",$L249,IF(Allocation!$N$3="VOL_CLASS",$M249,$N249)))</f>
        <v/>
      </c>
      <c r="AF249" s="0">
        <f>IF($A249="","",IF(Allocation!$N$3="VOL_EFF",$Q249,IF(Allocation!$N$3="VOL_CLASS",$R249,$S249)))</f>
        <v/>
      </c>
      <c r="AG249" s="0">
        <f>IF($A249="","",IF(Allocation!$N$1="VOL_EFF",$Q249,IF(Allocation!$N$1="VOL_CLASS",$R249,$S249)))</f>
        <v/>
      </c>
      <c r="AH249" s="0">
        <f>IF($A249="","",IF(Allocation!$N$1="VOL_EFF",$T249,IF(Allocation!$N$1="VOL_CLASS",$U249,$V249)))</f>
        <v/>
      </c>
      <c r="AI249" s="0">
        <f>IF($A249="","",$W249*IFERROR($K249/$O249,0))</f>
        <v/>
      </c>
      <c r="AJ249" s="0">
        <f>IF($A249="","",$X249*IFERROR($K249/$O249,0))</f>
        <v/>
      </c>
      <c r="AK249" s="0">
        <f>IF($A249="","",$Y249*IFERROR($G249/$L249,0)+$Z249*IFERROR($J249/$P249,0))</f>
        <v/>
      </c>
      <c r="AL249" s="0">
        <f>IF($A249="","",$AA249*IFERROR($AC249/$AD249,0))</f>
        <v/>
      </c>
      <c r="AM249" s="0">
        <f>IF($A249="","",$AB249*IFERROR($AG249/$AH249,0)*IFERROR($AE249/$AF249,0)*IFERROR($AC249/$AD249,0))</f>
        <v/>
      </c>
      <c r="AN249" s="0">
        <f>IF($A249="","",$I249-($AI249+$AJ249+$AK249+$AL249+$AM249+$AR249))</f>
        <v/>
      </c>
      <c r="AO249" s="0">
        <f>IF($A249="","",Allocation!CJ249)</f>
        <v/>
      </c>
      <c r="AP249" s="0">
        <f>IF($A249="","",IF(Allocation!$N$2="VOL_EFF",$Q249,IF(Allocation!$N$2="VOL_CLASS",$R249,$S249)))</f>
        <v/>
      </c>
      <c r="AQ249" s="0">
        <f>IF($A249="","",IF(Allocation!$N$2="VOL_EFF",$T249,IF(Allocation!$N$2="VOL_CLASS",$U249,$V249)))</f>
        <v/>
      </c>
      <c r="AR249" s="0">
        <f>IF($A249="","",$AO249*IFERROR($AP249/$AQ249,0)*IFERROR($AE249/$AF249,0)*IFERROR($AC249/$AD249,0))</f>
        <v/>
      </c>
      <c r="AS249" s="0">
        <f>IF($A249="","",$A249&amp;"|"&amp;Allocation!BG249)</f>
        <v/>
      </c>
    </row>
    <row r="250" ht="14.4975" customHeight="1" s="64">
      <c r="A250" s="0">
        <f>IF(Allocation!BI250="","",Allocation!BI250)</f>
        <v/>
      </c>
      <c r="B250" s="0">
        <f>IF(Allocation!BJ250="","",Allocation!BJ250)</f>
        <v/>
      </c>
      <c r="C250" s="0">
        <f>IF(Allocation!BK250="","",Allocation!BK250)</f>
        <v/>
      </c>
      <c r="D250" s="0">
        <f>IF(Allocation!BL250="","",Allocation!BL250)</f>
        <v/>
      </c>
      <c r="E250" s="0">
        <f>IF(Allocation!BM250="","",Allocation!BM250)</f>
        <v/>
      </c>
      <c r="F250" s="0">
        <f>IF(Allocation!BN250="","",Allocation!BN250)</f>
        <v/>
      </c>
      <c r="G250" s="0">
        <f>IF(Allocation!BO250="","",Allocation!BO250)</f>
        <v/>
      </c>
      <c r="H250" s="0">
        <f>IF(Allocation!BP250="","",Allocation!BP250)</f>
        <v/>
      </c>
      <c r="I250" s="0">
        <f>IF(Allocation!BQ250="","",Allocation!BQ250)</f>
        <v/>
      </c>
      <c r="J250" s="0">
        <f>IF(Allocation!CC250="","",Allocation!CC250)</f>
        <v/>
      </c>
      <c r="K250" s="0">
        <f>IF($A250="","",$H250*IF(AND(LEFT($D250,3)="BAC",$F250="INIT"),600,IF(LEFT($D250,3)="BAC",480,IF(AND(LEFT($D250,3)="MAS",$F250="INIT"),520,IF(LEFT($D250,3)="MAS",420,IF($F250="INIT",1000,700))))))</f>
        <v/>
      </c>
      <c r="L250" s="0">
        <f>IF($A250="","",SUMIFS($G$1:$G$349,$AS$1:$AS$349,$AS250,$B$1:$B$349,$B250))</f>
        <v/>
      </c>
      <c r="M250" s="0">
        <f>IF($A250="","",SUMIFS($H$1:$H$349,$AS$1:$AS$349,$AS250,$B$1:$B$349,$B250))</f>
        <v/>
      </c>
      <c r="N250" s="0">
        <f>IF($A250="","",SUMIFS($I$1:$I$349,$AS$1:$AS$349,$AS250,$B$1:$B$349,$B250))</f>
        <v/>
      </c>
      <c r="O250" s="0">
        <f>IF($A250="","",SUMIFS($K$1:$K$349,$AS$1:$AS$349,$AS250,$B$1:$B$349,$B250))</f>
        <v/>
      </c>
      <c r="P250" s="0">
        <f>IF($A250="","",SUMIFS($J$1:$J$349,$AS$1:$AS$349,$AS250,$B$1:$B$349,$B250))</f>
        <v/>
      </c>
      <c r="Q250" s="0">
        <f>IF($A250="","",SUMIFS($G$1:$G$349,$AS$1:$AS$349,$AS250,$C$1:$C$349,$C250))</f>
        <v/>
      </c>
      <c r="R250" s="0">
        <f>IF($A250="","",SUMIFS($H$1:$H$349,$AS$1:$AS$349,$AS250,$C$1:$C$349,$C250))</f>
        <v/>
      </c>
      <c r="S250" s="0">
        <f>IF($A250="","",SUMIFS($I$1:$I$349,$AS$1:$AS$349,$AS250,$C$1:$C$349,$C250))</f>
        <v/>
      </c>
      <c r="T250" s="0">
        <f>IF($A250="","",SUMIFS($G$1:$G$349,$AS$1:$AS$349,$AS250))</f>
        <v/>
      </c>
      <c r="U250" s="0">
        <f>IF($A250="","",SUMIFS($H$1:$H$349,$AS$1:$AS$349,$AS250))</f>
        <v/>
      </c>
      <c r="V250" s="0">
        <f>IF($A250="","",SUMIFS($I$1:$I$349,$AS$1:$AS$349,$AS250))</f>
        <v/>
      </c>
      <c r="W250" s="0">
        <f>IF($A250="","",Allocation!CD250)</f>
        <v/>
      </c>
      <c r="X250" s="0">
        <f>IF($A250="","",Allocation!CE250)</f>
        <v/>
      </c>
      <c r="Y250" s="0">
        <f>IF($A250="","",Allocation!CF250)</f>
        <v/>
      </c>
      <c r="Z250" s="0">
        <f>IF($A250="","",Allocation!CG250)</f>
        <v/>
      </c>
      <c r="AA250" s="0">
        <f>IF($A250="","",Allocation!CH250)</f>
        <v/>
      </c>
      <c r="AB250" s="0">
        <f>IF($A250="","",Allocation!CI250)</f>
        <v/>
      </c>
      <c r="AC250" s="0">
        <f>IF($A250="","",IF(Allocation!$N$4="VOL_EFF",$G250,IF(Allocation!$N$4="VOL_CLASS",$H250,$I250)))</f>
        <v/>
      </c>
      <c r="AD250" s="0">
        <f>IF($A250="","",IF(Allocation!$N$4="VOL_EFF",$L250,IF(Allocation!$N$4="VOL_CLASS",$M250,$N250)))</f>
        <v/>
      </c>
      <c r="AE250" s="0">
        <f>IF($A250="","",IF(Allocation!$N$3="VOL_EFF",$L250,IF(Allocation!$N$3="VOL_CLASS",$M250,$N250)))</f>
        <v/>
      </c>
      <c r="AF250" s="0">
        <f>IF($A250="","",IF(Allocation!$N$3="VOL_EFF",$Q250,IF(Allocation!$N$3="VOL_CLASS",$R250,$S250)))</f>
        <v/>
      </c>
      <c r="AG250" s="0">
        <f>IF($A250="","",IF(Allocation!$N$1="VOL_EFF",$Q250,IF(Allocation!$N$1="VOL_CLASS",$R250,$S250)))</f>
        <v/>
      </c>
      <c r="AH250" s="0">
        <f>IF($A250="","",IF(Allocation!$N$1="VOL_EFF",$T250,IF(Allocation!$N$1="VOL_CLASS",$U250,$V250)))</f>
        <v/>
      </c>
      <c r="AI250" s="0">
        <f>IF($A250="","",$W250*IFERROR($K250/$O250,0))</f>
        <v/>
      </c>
      <c r="AJ250" s="0">
        <f>IF($A250="","",$X250*IFERROR($K250/$O250,0))</f>
        <v/>
      </c>
      <c r="AK250" s="0">
        <f>IF($A250="","",$Y250*IFERROR($G250/$L250,0)+$Z250*IFERROR($J250/$P250,0))</f>
        <v/>
      </c>
      <c r="AL250" s="0">
        <f>IF($A250="","",$AA250*IFERROR($AC250/$AD250,0))</f>
        <v/>
      </c>
      <c r="AM250" s="0">
        <f>IF($A250="","",$AB250*IFERROR($AG250/$AH250,0)*IFERROR($AE250/$AF250,0)*IFERROR($AC250/$AD250,0))</f>
        <v/>
      </c>
      <c r="AN250" s="0">
        <f>IF($A250="","",$I250-($AI250+$AJ250+$AK250+$AL250+$AM250+$AR250))</f>
        <v/>
      </c>
      <c r="AO250" s="0">
        <f>IF($A250="","",Allocation!CJ250)</f>
        <v/>
      </c>
      <c r="AP250" s="0">
        <f>IF($A250="","",IF(Allocation!$N$2="VOL_EFF",$Q250,IF(Allocation!$N$2="VOL_CLASS",$R250,$S250)))</f>
        <v/>
      </c>
      <c r="AQ250" s="0">
        <f>IF($A250="","",IF(Allocation!$N$2="VOL_EFF",$T250,IF(Allocation!$N$2="VOL_CLASS",$U250,$V250)))</f>
        <v/>
      </c>
      <c r="AR250" s="0">
        <f>IF($A250="","",$AO250*IFERROR($AP250/$AQ250,0)*IFERROR($AE250/$AF250,0)*IFERROR($AC250/$AD250,0))</f>
        <v/>
      </c>
      <c r="AS250" s="0">
        <f>IF($A250="","",$A250&amp;"|"&amp;Allocation!BG250)</f>
        <v/>
      </c>
    </row>
    <row r="251" ht="14.4975" customHeight="1" s="64">
      <c r="A251" s="0">
        <f>IF(Allocation!BI251="","",Allocation!BI251)</f>
        <v/>
      </c>
      <c r="B251" s="0">
        <f>IF(Allocation!BJ251="","",Allocation!BJ251)</f>
        <v/>
      </c>
      <c r="C251" s="0">
        <f>IF(Allocation!BK251="","",Allocation!BK251)</f>
        <v/>
      </c>
      <c r="D251" s="0">
        <f>IF(Allocation!BL251="","",Allocation!BL251)</f>
        <v/>
      </c>
      <c r="E251" s="0">
        <f>IF(Allocation!BM251="","",Allocation!BM251)</f>
        <v/>
      </c>
      <c r="F251" s="0">
        <f>IF(Allocation!BN251="","",Allocation!BN251)</f>
        <v/>
      </c>
      <c r="G251" s="0">
        <f>IF(Allocation!BO251="","",Allocation!BO251)</f>
        <v/>
      </c>
      <c r="H251" s="0">
        <f>IF(Allocation!BP251="","",Allocation!BP251)</f>
        <v/>
      </c>
      <c r="I251" s="0">
        <f>IF(Allocation!BQ251="","",Allocation!BQ251)</f>
        <v/>
      </c>
      <c r="J251" s="0">
        <f>IF(Allocation!CC251="","",Allocation!CC251)</f>
        <v/>
      </c>
      <c r="K251" s="0">
        <f>IF($A251="","",$H251*IF(AND(LEFT($D251,3)="BAC",$F251="INIT"),600,IF(LEFT($D251,3)="BAC",480,IF(AND(LEFT($D251,3)="MAS",$F251="INIT"),520,IF(LEFT($D251,3)="MAS",420,IF($F251="INIT",1000,700))))))</f>
        <v/>
      </c>
      <c r="L251" s="0">
        <f>IF($A251="","",SUMIFS($G$1:$G$349,$AS$1:$AS$349,$AS251,$B$1:$B$349,$B251))</f>
        <v/>
      </c>
      <c r="M251" s="0">
        <f>IF($A251="","",SUMIFS($H$1:$H$349,$AS$1:$AS$349,$AS251,$B$1:$B$349,$B251))</f>
        <v/>
      </c>
      <c r="N251" s="0">
        <f>IF($A251="","",SUMIFS($I$1:$I$349,$AS$1:$AS$349,$AS251,$B$1:$B$349,$B251))</f>
        <v/>
      </c>
      <c r="O251" s="0">
        <f>IF($A251="","",SUMIFS($K$1:$K$349,$AS$1:$AS$349,$AS251,$B$1:$B$349,$B251))</f>
        <v/>
      </c>
      <c r="P251" s="0">
        <f>IF($A251="","",SUMIFS($J$1:$J$349,$AS$1:$AS$349,$AS251,$B$1:$B$349,$B251))</f>
        <v/>
      </c>
      <c r="Q251" s="0">
        <f>IF($A251="","",SUMIFS($G$1:$G$349,$AS$1:$AS$349,$AS251,$C$1:$C$349,$C251))</f>
        <v/>
      </c>
      <c r="R251" s="0">
        <f>IF($A251="","",SUMIFS($H$1:$H$349,$AS$1:$AS$349,$AS251,$C$1:$C$349,$C251))</f>
        <v/>
      </c>
      <c r="S251" s="0">
        <f>IF($A251="","",SUMIFS($I$1:$I$349,$AS$1:$AS$349,$AS251,$C$1:$C$349,$C251))</f>
        <v/>
      </c>
      <c r="T251" s="0">
        <f>IF($A251="","",SUMIFS($G$1:$G$349,$AS$1:$AS$349,$AS251))</f>
        <v/>
      </c>
      <c r="U251" s="0">
        <f>IF($A251="","",SUMIFS($H$1:$H$349,$AS$1:$AS$349,$AS251))</f>
        <v/>
      </c>
      <c r="V251" s="0">
        <f>IF($A251="","",SUMIFS($I$1:$I$349,$AS$1:$AS$349,$AS251))</f>
        <v/>
      </c>
      <c r="W251" s="0">
        <f>IF($A251="","",Allocation!CD251)</f>
        <v/>
      </c>
      <c r="X251" s="0">
        <f>IF($A251="","",Allocation!CE251)</f>
        <v/>
      </c>
      <c r="Y251" s="0">
        <f>IF($A251="","",Allocation!CF251)</f>
        <v/>
      </c>
      <c r="Z251" s="0">
        <f>IF($A251="","",Allocation!CG251)</f>
        <v/>
      </c>
      <c r="AA251" s="0">
        <f>IF($A251="","",Allocation!CH251)</f>
        <v/>
      </c>
      <c r="AB251" s="0">
        <f>IF($A251="","",Allocation!CI251)</f>
        <v/>
      </c>
      <c r="AC251" s="0">
        <f>IF($A251="","",IF(Allocation!$N$4="VOL_EFF",$G251,IF(Allocation!$N$4="VOL_CLASS",$H251,$I251)))</f>
        <v/>
      </c>
      <c r="AD251" s="0">
        <f>IF($A251="","",IF(Allocation!$N$4="VOL_EFF",$L251,IF(Allocation!$N$4="VOL_CLASS",$M251,$N251)))</f>
        <v/>
      </c>
      <c r="AE251" s="0">
        <f>IF($A251="","",IF(Allocation!$N$3="VOL_EFF",$L251,IF(Allocation!$N$3="VOL_CLASS",$M251,$N251)))</f>
        <v/>
      </c>
      <c r="AF251" s="0">
        <f>IF($A251="","",IF(Allocation!$N$3="VOL_EFF",$Q251,IF(Allocation!$N$3="VOL_CLASS",$R251,$S251)))</f>
        <v/>
      </c>
      <c r="AG251" s="0">
        <f>IF($A251="","",IF(Allocation!$N$1="VOL_EFF",$Q251,IF(Allocation!$N$1="VOL_CLASS",$R251,$S251)))</f>
        <v/>
      </c>
      <c r="AH251" s="0">
        <f>IF($A251="","",IF(Allocation!$N$1="VOL_EFF",$T251,IF(Allocation!$N$1="VOL_CLASS",$U251,$V251)))</f>
        <v/>
      </c>
      <c r="AI251" s="0">
        <f>IF($A251="","",$W251*IFERROR($K251/$O251,0))</f>
        <v/>
      </c>
      <c r="AJ251" s="0">
        <f>IF($A251="","",$X251*IFERROR($K251/$O251,0))</f>
        <v/>
      </c>
      <c r="AK251" s="0">
        <f>IF($A251="","",$Y251*IFERROR($G251/$L251,0)+$Z251*IFERROR($J251/$P251,0))</f>
        <v/>
      </c>
      <c r="AL251" s="0">
        <f>IF($A251="","",$AA251*IFERROR($AC251/$AD251,0))</f>
        <v/>
      </c>
      <c r="AM251" s="0">
        <f>IF($A251="","",$AB251*IFERROR($AG251/$AH251,0)*IFERROR($AE251/$AF251,0)*IFERROR($AC251/$AD251,0))</f>
        <v/>
      </c>
      <c r="AN251" s="0">
        <f>IF($A251="","",$I251-($AI251+$AJ251+$AK251+$AL251+$AM251+$AR251))</f>
        <v/>
      </c>
      <c r="AO251" s="0">
        <f>IF($A251="","",Allocation!CJ251)</f>
        <v/>
      </c>
      <c r="AP251" s="0">
        <f>IF($A251="","",IF(Allocation!$N$2="VOL_EFF",$Q251,IF(Allocation!$N$2="VOL_CLASS",$R251,$S251)))</f>
        <v/>
      </c>
      <c r="AQ251" s="0">
        <f>IF($A251="","",IF(Allocation!$N$2="VOL_EFF",$T251,IF(Allocation!$N$2="VOL_CLASS",$U251,$V251)))</f>
        <v/>
      </c>
      <c r="AR251" s="0">
        <f>IF($A251="","",$AO251*IFERROR($AP251/$AQ251,0)*IFERROR($AE251/$AF251,0)*IFERROR($AC251/$AD251,0))</f>
        <v/>
      </c>
      <c r="AS251" s="0">
        <f>IF($A251="","",$A251&amp;"|"&amp;Allocation!BG251)</f>
        <v/>
      </c>
    </row>
    <row r="252" ht="14.4975" customHeight="1" s="64">
      <c r="A252" s="0">
        <f>IF(Allocation!BI252="","",Allocation!BI252)</f>
        <v/>
      </c>
      <c r="B252" s="0">
        <f>IF(Allocation!BJ252="","",Allocation!BJ252)</f>
        <v/>
      </c>
      <c r="C252" s="0">
        <f>IF(Allocation!BK252="","",Allocation!BK252)</f>
        <v/>
      </c>
      <c r="D252" s="0">
        <f>IF(Allocation!BL252="","",Allocation!BL252)</f>
        <v/>
      </c>
      <c r="E252" s="0">
        <f>IF(Allocation!BM252="","",Allocation!BM252)</f>
        <v/>
      </c>
      <c r="F252" s="0">
        <f>IF(Allocation!BN252="","",Allocation!BN252)</f>
        <v/>
      </c>
      <c r="G252" s="0">
        <f>IF(Allocation!BO252="","",Allocation!BO252)</f>
        <v/>
      </c>
      <c r="H252" s="0">
        <f>IF(Allocation!BP252="","",Allocation!BP252)</f>
        <v/>
      </c>
      <c r="I252" s="0">
        <f>IF(Allocation!BQ252="","",Allocation!BQ252)</f>
        <v/>
      </c>
      <c r="J252" s="0">
        <f>IF(Allocation!CC252="","",Allocation!CC252)</f>
        <v/>
      </c>
      <c r="K252" s="0">
        <f>IF($A252="","",$H252*IF(AND(LEFT($D252,3)="BAC",$F252="INIT"),600,IF(LEFT($D252,3)="BAC",480,IF(AND(LEFT($D252,3)="MAS",$F252="INIT"),520,IF(LEFT($D252,3)="MAS",420,IF($F252="INIT",1000,700))))))</f>
        <v/>
      </c>
      <c r="L252" s="0">
        <f>IF($A252="","",SUMIFS($G$1:$G$349,$AS$1:$AS$349,$AS252,$B$1:$B$349,$B252))</f>
        <v/>
      </c>
      <c r="M252" s="0">
        <f>IF($A252="","",SUMIFS($H$1:$H$349,$AS$1:$AS$349,$AS252,$B$1:$B$349,$B252))</f>
        <v/>
      </c>
      <c r="N252" s="0">
        <f>IF($A252="","",SUMIFS($I$1:$I$349,$AS$1:$AS$349,$AS252,$B$1:$B$349,$B252))</f>
        <v/>
      </c>
      <c r="O252" s="0">
        <f>IF($A252="","",SUMIFS($K$1:$K$349,$AS$1:$AS$349,$AS252,$B$1:$B$349,$B252))</f>
        <v/>
      </c>
      <c r="P252" s="0">
        <f>IF($A252="","",SUMIFS($J$1:$J$349,$AS$1:$AS$349,$AS252,$B$1:$B$349,$B252))</f>
        <v/>
      </c>
      <c r="Q252" s="0">
        <f>IF($A252="","",SUMIFS($G$1:$G$349,$AS$1:$AS$349,$AS252,$C$1:$C$349,$C252))</f>
        <v/>
      </c>
      <c r="R252" s="0">
        <f>IF($A252="","",SUMIFS($H$1:$H$349,$AS$1:$AS$349,$AS252,$C$1:$C$349,$C252))</f>
        <v/>
      </c>
      <c r="S252" s="0">
        <f>IF($A252="","",SUMIFS($I$1:$I$349,$AS$1:$AS$349,$AS252,$C$1:$C$349,$C252))</f>
        <v/>
      </c>
      <c r="T252" s="0">
        <f>IF($A252="","",SUMIFS($G$1:$G$349,$AS$1:$AS$349,$AS252))</f>
        <v/>
      </c>
      <c r="U252" s="0">
        <f>IF($A252="","",SUMIFS($H$1:$H$349,$AS$1:$AS$349,$AS252))</f>
        <v/>
      </c>
      <c r="V252" s="0">
        <f>IF($A252="","",SUMIFS($I$1:$I$349,$AS$1:$AS$349,$AS252))</f>
        <v/>
      </c>
      <c r="W252" s="0">
        <f>IF($A252="","",Allocation!CD252)</f>
        <v/>
      </c>
      <c r="X252" s="0">
        <f>IF($A252="","",Allocation!CE252)</f>
        <v/>
      </c>
      <c r="Y252" s="0">
        <f>IF($A252="","",Allocation!CF252)</f>
        <v/>
      </c>
      <c r="Z252" s="0">
        <f>IF($A252="","",Allocation!CG252)</f>
        <v/>
      </c>
      <c r="AA252" s="0">
        <f>IF($A252="","",Allocation!CH252)</f>
        <v/>
      </c>
      <c r="AB252" s="0">
        <f>IF($A252="","",Allocation!CI252)</f>
        <v/>
      </c>
      <c r="AC252" s="0">
        <f>IF($A252="","",IF(Allocation!$N$4="VOL_EFF",$G252,IF(Allocation!$N$4="VOL_CLASS",$H252,$I252)))</f>
        <v/>
      </c>
      <c r="AD252" s="0">
        <f>IF($A252="","",IF(Allocation!$N$4="VOL_EFF",$L252,IF(Allocation!$N$4="VOL_CLASS",$M252,$N252)))</f>
        <v/>
      </c>
      <c r="AE252" s="0">
        <f>IF($A252="","",IF(Allocation!$N$3="VOL_EFF",$L252,IF(Allocation!$N$3="VOL_CLASS",$M252,$N252)))</f>
        <v/>
      </c>
      <c r="AF252" s="0">
        <f>IF($A252="","",IF(Allocation!$N$3="VOL_EFF",$Q252,IF(Allocation!$N$3="VOL_CLASS",$R252,$S252)))</f>
        <v/>
      </c>
      <c r="AG252" s="0">
        <f>IF($A252="","",IF(Allocation!$N$1="VOL_EFF",$Q252,IF(Allocation!$N$1="VOL_CLASS",$R252,$S252)))</f>
        <v/>
      </c>
      <c r="AH252" s="0">
        <f>IF($A252="","",IF(Allocation!$N$1="VOL_EFF",$T252,IF(Allocation!$N$1="VOL_CLASS",$U252,$V252)))</f>
        <v/>
      </c>
      <c r="AI252" s="0">
        <f>IF($A252="","",$W252*IFERROR($K252/$O252,0))</f>
        <v/>
      </c>
      <c r="AJ252" s="0">
        <f>IF($A252="","",$X252*IFERROR($K252/$O252,0))</f>
        <v/>
      </c>
      <c r="AK252" s="0">
        <f>IF($A252="","",$Y252*IFERROR($G252/$L252,0)+$Z252*IFERROR($J252/$P252,0))</f>
        <v/>
      </c>
      <c r="AL252" s="0">
        <f>IF($A252="","",$AA252*IFERROR($AC252/$AD252,0))</f>
        <v/>
      </c>
      <c r="AM252" s="0">
        <f>IF($A252="","",$AB252*IFERROR($AG252/$AH252,0)*IFERROR($AE252/$AF252,0)*IFERROR($AC252/$AD252,0))</f>
        <v/>
      </c>
      <c r="AN252" s="0">
        <f>IF($A252="","",$I252-($AI252+$AJ252+$AK252+$AL252+$AM252+$AR252))</f>
        <v/>
      </c>
      <c r="AO252" s="0">
        <f>IF($A252="","",Allocation!CJ252)</f>
        <v/>
      </c>
      <c r="AP252" s="0">
        <f>IF($A252="","",IF(Allocation!$N$2="VOL_EFF",$Q252,IF(Allocation!$N$2="VOL_CLASS",$R252,$S252)))</f>
        <v/>
      </c>
      <c r="AQ252" s="0">
        <f>IF($A252="","",IF(Allocation!$N$2="VOL_EFF",$T252,IF(Allocation!$N$2="VOL_CLASS",$U252,$V252)))</f>
        <v/>
      </c>
      <c r="AR252" s="0">
        <f>IF($A252="","",$AO252*IFERROR($AP252/$AQ252,0)*IFERROR($AE252/$AF252,0)*IFERROR($AC252/$AD252,0))</f>
        <v/>
      </c>
      <c r="AS252" s="0">
        <f>IF($A252="","",$A252&amp;"|"&amp;Allocation!BG252)</f>
        <v/>
      </c>
    </row>
    <row r="253" ht="14.4975" customHeight="1" s="64">
      <c r="A253" s="0">
        <f>IF(Allocation!BI253="","",Allocation!BI253)</f>
        <v/>
      </c>
      <c r="B253" s="0">
        <f>IF(Allocation!BJ253="","",Allocation!BJ253)</f>
        <v/>
      </c>
      <c r="C253" s="0">
        <f>IF(Allocation!BK253="","",Allocation!BK253)</f>
        <v/>
      </c>
      <c r="D253" s="0">
        <f>IF(Allocation!BL253="","",Allocation!BL253)</f>
        <v/>
      </c>
      <c r="E253" s="0">
        <f>IF(Allocation!BM253="","",Allocation!BM253)</f>
        <v/>
      </c>
      <c r="F253" s="0">
        <f>IF(Allocation!BN253="","",Allocation!BN253)</f>
        <v/>
      </c>
      <c r="G253" s="0">
        <f>IF(Allocation!BO253="","",Allocation!BO253)</f>
        <v/>
      </c>
      <c r="H253" s="0">
        <f>IF(Allocation!BP253="","",Allocation!BP253)</f>
        <v/>
      </c>
      <c r="I253" s="0">
        <f>IF(Allocation!BQ253="","",Allocation!BQ253)</f>
        <v/>
      </c>
      <c r="J253" s="0">
        <f>IF(Allocation!CC253="","",Allocation!CC253)</f>
        <v/>
      </c>
      <c r="K253" s="0">
        <f>IF($A253="","",$H253*IF(AND(LEFT($D253,3)="BAC",$F253="INIT"),600,IF(LEFT($D253,3)="BAC",480,IF(AND(LEFT($D253,3)="MAS",$F253="INIT"),520,IF(LEFT($D253,3)="MAS",420,IF($F253="INIT",1000,700))))))</f>
        <v/>
      </c>
      <c r="L253" s="0">
        <f>IF($A253="","",SUMIFS($G$1:$G$349,$AS$1:$AS$349,$AS253,$B$1:$B$349,$B253))</f>
        <v/>
      </c>
      <c r="M253" s="0">
        <f>IF($A253="","",SUMIFS($H$1:$H$349,$AS$1:$AS$349,$AS253,$B$1:$B$349,$B253))</f>
        <v/>
      </c>
      <c r="N253" s="0">
        <f>IF($A253="","",SUMIFS($I$1:$I$349,$AS$1:$AS$349,$AS253,$B$1:$B$349,$B253))</f>
        <v/>
      </c>
      <c r="O253" s="0">
        <f>IF($A253="","",SUMIFS($K$1:$K$349,$AS$1:$AS$349,$AS253,$B$1:$B$349,$B253))</f>
        <v/>
      </c>
      <c r="P253" s="0">
        <f>IF($A253="","",SUMIFS($J$1:$J$349,$AS$1:$AS$349,$AS253,$B$1:$B$349,$B253))</f>
        <v/>
      </c>
      <c r="Q253" s="0">
        <f>IF($A253="","",SUMIFS($G$1:$G$349,$AS$1:$AS$349,$AS253,$C$1:$C$349,$C253))</f>
        <v/>
      </c>
      <c r="R253" s="0">
        <f>IF($A253="","",SUMIFS($H$1:$H$349,$AS$1:$AS$349,$AS253,$C$1:$C$349,$C253))</f>
        <v/>
      </c>
      <c r="S253" s="0">
        <f>IF($A253="","",SUMIFS($I$1:$I$349,$AS$1:$AS$349,$AS253,$C$1:$C$349,$C253))</f>
        <v/>
      </c>
      <c r="T253" s="0">
        <f>IF($A253="","",SUMIFS($G$1:$G$349,$AS$1:$AS$349,$AS253))</f>
        <v/>
      </c>
      <c r="U253" s="0">
        <f>IF($A253="","",SUMIFS($H$1:$H$349,$AS$1:$AS$349,$AS253))</f>
        <v/>
      </c>
      <c r="V253" s="0">
        <f>IF($A253="","",SUMIFS($I$1:$I$349,$AS$1:$AS$349,$AS253))</f>
        <v/>
      </c>
      <c r="W253" s="0">
        <f>IF($A253="","",Allocation!CD253)</f>
        <v/>
      </c>
      <c r="X253" s="0">
        <f>IF($A253="","",Allocation!CE253)</f>
        <v/>
      </c>
      <c r="Y253" s="0">
        <f>IF($A253="","",Allocation!CF253)</f>
        <v/>
      </c>
      <c r="Z253" s="0">
        <f>IF($A253="","",Allocation!CG253)</f>
        <v/>
      </c>
      <c r="AA253" s="0">
        <f>IF($A253="","",Allocation!CH253)</f>
        <v/>
      </c>
      <c r="AB253" s="0">
        <f>IF($A253="","",Allocation!CI253)</f>
        <v/>
      </c>
      <c r="AC253" s="0">
        <f>IF($A253="","",IF(Allocation!$N$4="VOL_EFF",$G253,IF(Allocation!$N$4="VOL_CLASS",$H253,$I253)))</f>
        <v/>
      </c>
      <c r="AD253" s="0">
        <f>IF($A253="","",IF(Allocation!$N$4="VOL_EFF",$L253,IF(Allocation!$N$4="VOL_CLASS",$M253,$N253)))</f>
        <v/>
      </c>
      <c r="AE253" s="0">
        <f>IF($A253="","",IF(Allocation!$N$3="VOL_EFF",$L253,IF(Allocation!$N$3="VOL_CLASS",$M253,$N253)))</f>
        <v/>
      </c>
      <c r="AF253" s="0">
        <f>IF($A253="","",IF(Allocation!$N$3="VOL_EFF",$Q253,IF(Allocation!$N$3="VOL_CLASS",$R253,$S253)))</f>
        <v/>
      </c>
      <c r="AG253" s="0">
        <f>IF($A253="","",IF(Allocation!$N$1="VOL_EFF",$Q253,IF(Allocation!$N$1="VOL_CLASS",$R253,$S253)))</f>
        <v/>
      </c>
      <c r="AH253" s="0">
        <f>IF($A253="","",IF(Allocation!$N$1="VOL_EFF",$T253,IF(Allocation!$N$1="VOL_CLASS",$U253,$V253)))</f>
        <v/>
      </c>
      <c r="AI253" s="0">
        <f>IF($A253="","",$W253*IFERROR($K253/$O253,0))</f>
        <v/>
      </c>
      <c r="AJ253" s="0">
        <f>IF($A253="","",$X253*IFERROR($K253/$O253,0))</f>
        <v/>
      </c>
      <c r="AK253" s="0">
        <f>IF($A253="","",$Y253*IFERROR($G253/$L253,0)+$Z253*IFERROR($J253/$P253,0))</f>
        <v/>
      </c>
      <c r="AL253" s="0">
        <f>IF($A253="","",$AA253*IFERROR($AC253/$AD253,0))</f>
        <v/>
      </c>
      <c r="AM253" s="0">
        <f>IF($A253="","",$AB253*IFERROR($AG253/$AH253,0)*IFERROR($AE253/$AF253,0)*IFERROR($AC253/$AD253,0))</f>
        <v/>
      </c>
      <c r="AN253" s="0">
        <f>IF($A253="","",$I253-($AI253+$AJ253+$AK253+$AL253+$AM253+$AR253))</f>
        <v/>
      </c>
      <c r="AO253" s="0">
        <f>IF($A253="","",Allocation!CJ253)</f>
        <v/>
      </c>
      <c r="AP253" s="0">
        <f>IF($A253="","",IF(Allocation!$N$2="VOL_EFF",$Q253,IF(Allocation!$N$2="VOL_CLASS",$R253,$S253)))</f>
        <v/>
      </c>
      <c r="AQ253" s="0">
        <f>IF($A253="","",IF(Allocation!$N$2="VOL_EFF",$T253,IF(Allocation!$N$2="VOL_CLASS",$U253,$V253)))</f>
        <v/>
      </c>
      <c r="AR253" s="0">
        <f>IF($A253="","",$AO253*IFERROR($AP253/$AQ253,0)*IFERROR($AE253/$AF253,0)*IFERROR($AC253/$AD253,0))</f>
        <v/>
      </c>
      <c r="AS253" s="0">
        <f>IF($A253="","",$A253&amp;"|"&amp;Allocation!BG253)</f>
        <v/>
      </c>
    </row>
    <row r="254" ht="14.4975" customHeight="1" s="64">
      <c r="A254" s="0">
        <f>IF(Allocation!BI254="","",Allocation!BI254)</f>
        <v/>
      </c>
      <c r="B254" s="0">
        <f>IF(Allocation!BJ254="","",Allocation!BJ254)</f>
        <v/>
      </c>
      <c r="C254" s="0">
        <f>IF(Allocation!BK254="","",Allocation!BK254)</f>
        <v/>
      </c>
      <c r="D254" s="0">
        <f>IF(Allocation!BL254="","",Allocation!BL254)</f>
        <v/>
      </c>
      <c r="E254" s="0">
        <f>IF(Allocation!BM254="","",Allocation!BM254)</f>
        <v/>
      </c>
      <c r="F254" s="0">
        <f>IF(Allocation!BN254="","",Allocation!BN254)</f>
        <v/>
      </c>
      <c r="G254" s="0">
        <f>IF(Allocation!BO254="","",Allocation!BO254)</f>
        <v/>
      </c>
      <c r="H254" s="0">
        <f>IF(Allocation!BP254="","",Allocation!BP254)</f>
        <v/>
      </c>
      <c r="I254" s="0">
        <f>IF(Allocation!BQ254="","",Allocation!BQ254)</f>
        <v/>
      </c>
      <c r="J254" s="0">
        <f>IF(Allocation!CC254="","",Allocation!CC254)</f>
        <v/>
      </c>
      <c r="K254" s="0">
        <f>IF($A254="","",$H254*IF(AND(LEFT($D254,3)="BAC",$F254="INIT"),600,IF(LEFT($D254,3)="BAC",480,IF(AND(LEFT($D254,3)="MAS",$F254="INIT"),520,IF(LEFT($D254,3)="MAS",420,IF($F254="INIT",1000,700))))))</f>
        <v/>
      </c>
      <c r="L254" s="0">
        <f>IF($A254="","",SUMIFS($G$1:$G$349,$AS$1:$AS$349,$AS254,$B$1:$B$349,$B254))</f>
        <v/>
      </c>
      <c r="M254" s="0">
        <f>IF($A254="","",SUMIFS($H$1:$H$349,$AS$1:$AS$349,$AS254,$B$1:$B$349,$B254))</f>
        <v/>
      </c>
      <c r="N254" s="0">
        <f>IF($A254="","",SUMIFS($I$1:$I$349,$AS$1:$AS$349,$AS254,$B$1:$B$349,$B254))</f>
        <v/>
      </c>
      <c r="O254" s="0">
        <f>IF($A254="","",SUMIFS($K$1:$K$349,$AS$1:$AS$349,$AS254,$B$1:$B$349,$B254))</f>
        <v/>
      </c>
      <c r="P254" s="0">
        <f>IF($A254="","",SUMIFS($J$1:$J$349,$AS$1:$AS$349,$AS254,$B$1:$B$349,$B254))</f>
        <v/>
      </c>
      <c r="Q254" s="0">
        <f>IF($A254="","",SUMIFS($G$1:$G$349,$AS$1:$AS$349,$AS254,$C$1:$C$349,$C254))</f>
        <v/>
      </c>
      <c r="R254" s="0">
        <f>IF($A254="","",SUMIFS($H$1:$H$349,$AS$1:$AS$349,$AS254,$C$1:$C$349,$C254))</f>
        <v/>
      </c>
      <c r="S254" s="0">
        <f>IF($A254="","",SUMIFS($I$1:$I$349,$AS$1:$AS$349,$AS254,$C$1:$C$349,$C254))</f>
        <v/>
      </c>
      <c r="T254" s="0">
        <f>IF($A254="","",SUMIFS($G$1:$G$349,$AS$1:$AS$349,$AS254))</f>
        <v/>
      </c>
      <c r="U254" s="0">
        <f>IF($A254="","",SUMIFS($H$1:$H$349,$AS$1:$AS$349,$AS254))</f>
        <v/>
      </c>
      <c r="V254" s="0">
        <f>IF($A254="","",SUMIFS($I$1:$I$349,$AS$1:$AS$349,$AS254))</f>
        <v/>
      </c>
      <c r="W254" s="0">
        <f>IF($A254="","",Allocation!CD254)</f>
        <v/>
      </c>
      <c r="X254" s="0">
        <f>IF($A254="","",Allocation!CE254)</f>
        <v/>
      </c>
      <c r="Y254" s="0">
        <f>IF($A254="","",Allocation!CF254)</f>
        <v/>
      </c>
      <c r="Z254" s="0">
        <f>IF($A254="","",Allocation!CG254)</f>
        <v/>
      </c>
      <c r="AA254" s="0">
        <f>IF($A254="","",Allocation!CH254)</f>
        <v/>
      </c>
      <c r="AB254" s="0">
        <f>IF($A254="","",Allocation!CI254)</f>
        <v/>
      </c>
      <c r="AC254" s="0">
        <f>IF($A254="","",IF(Allocation!$N$4="VOL_EFF",$G254,IF(Allocation!$N$4="VOL_CLASS",$H254,$I254)))</f>
        <v/>
      </c>
      <c r="AD254" s="0">
        <f>IF($A254="","",IF(Allocation!$N$4="VOL_EFF",$L254,IF(Allocation!$N$4="VOL_CLASS",$M254,$N254)))</f>
        <v/>
      </c>
      <c r="AE254" s="0">
        <f>IF($A254="","",IF(Allocation!$N$3="VOL_EFF",$L254,IF(Allocation!$N$3="VOL_CLASS",$M254,$N254)))</f>
        <v/>
      </c>
      <c r="AF254" s="0">
        <f>IF($A254="","",IF(Allocation!$N$3="VOL_EFF",$Q254,IF(Allocation!$N$3="VOL_CLASS",$R254,$S254)))</f>
        <v/>
      </c>
      <c r="AG254" s="0">
        <f>IF($A254="","",IF(Allocation!$N$1="VOL_EFF",$Q254,IF(Allocation!$N$1="VOL_CLASS",$R254,$S254)))</f>
        <v/>
      </c>
      <c r="AH254" s="0">
        <f>IF($A254="","",IF(Allocation!$N$1="VOL_EFF",$T254,IF(Allocation!$N$1="VOL_CLASS",$U254,$V254)))</f>
        <v/>
      </c>
      <c r="AI254" s="0">
        <f>IF($A254="","",$W254*IFERROR($K254/$O254,0))</f>
        <v/>
      </c>
      <c r="AJ254" s="0">
        <f>IF($A254="","",$X254*IFERROR($K254/$O254,0))</f>
        <v/>
      </c>
      <c r="AK254" s="0">
        <f>IF($A254="","",$Y254*IFERROR($G254/$L254,0)+$Z254*IFERROR($J254/$P254,0))</f>
        <v/>
      </c>
      <c r="AL254" s="0">
        <f>IF($A254="","",$AA254*IFERROR($AC254/$AD254,0))</f>
        <v/>
      </c>
      <c r="AM254" s="0">
        <f>IF($A254="","",$AB254*IFERROR($AG254/$AH254,0)*IFERROR($AE254/$AF254,0)*IFERROR($AC254/$AD254,0))</f>
        <v/>
      </c>
      <c r="AN254" s="0">
        <f>IF($A254="","",$I254-($AI254+$AJ254+$AK254+$AL254+$AM254+$AR254))</f>
        <v/>
      </c>
      <c r="AO254" s="0">
        <f>IF($A254="","",Allocation!CJ254)</f>
        <v/>
      </c>
      <c r="AP254" s="0">
        <f>IF($A254="","",IF(Allocation!$N$2="VOL_EFF",$Q254,IF(Allocation!$N$2="VOL_CLASS",$R254,$S254)))</f>
        <v/>
      </c>
      <c r="AQ254" s="0">
        <f>IF($A254="","",IF(Allocation!$N$2="VOL_EFF",$T254,IF(Allocation!$N$2="VOL_CLASS",$U254,$V254)))</f>
        <v/>
      </c>
      <c r="AR254" s="0">
        <f>IF($A254="","",$AO254*IFERROR($AP254/$AQ254,0)*IFERROR($AE254/$AF254,0)*IFERROR($AC254/$AD254,0))</f>
        <v/>
      </c>
      <c r="AS254" s="0">
        <f>IF($A254="","",$A254&amp;"|"&amp;Allocation!BG254)</f>
        <v/>
      </c>
    </row>
    <row r="255" ht="14.4975" customHeight="1" s="64">
      <c r="A255" s="0">
        <f>IF(Allocation!BI255="","",Allocation!BI255)</f>
        <v/>
      </c>
      <c r="B255" s="0">
        <f>IF(Allocation!BJ255="","",Allocation!BJ255)</f>
        <v/>
      </c>
      <c r="C255" s="0">
        <f>IF(Allocation!BK255="","",Allocation!BK255)</f>
        <v/>
      </c>
      <c r="D255" s="0">
        <f>IF(Allocation!BL255="","",Allocation!BL255)</f>
        <v/>
      </c>
      <c r="E255" s="0">
        <f>IF(Allocation!BM255="","",Allocation!BM255)</f>
        <v/>
      </c>
      <c r="F255" s="0">
        <f>IF(Allocation!BN255="","",Allocation!BN255)</f>
        <v/>
      </c>
      <c r="G255" s="0">
        <f>IF(Allocation!BO255="","",Allocation!BO255)</f>
        <v/>
      </c>
      <c r="H255" s="0">
        <f>IF(Allocation!BP255="","",Allocation!BP255)</f>
        <v/>
      </c>
      <c r="I255" s="0">
        <f>IF(Allocation!BQ255="","",Allocation!BQ255)</f>
        <v/>
      </c>
      <c r="J255" s="0">
        <f>IF(Allocation!CC255="","",Allocation!CC255)</f>
        <v/>
      </c>
      <c r="K255" s="0">
        <f>IF($A255="","",$H255*IF(AND(LEFT($D255,3)="BAC",$F255="INIT"),600,IF(LEFT($D255,3)="BAC",480,IF(AND(LEFT($D255,3)="MAS",$F255="INIT"),520,IF(LEFT($D255,3)="MAS",420,IF($F255="INIT",1000,700))))))</f>
        <v/>
      </c>
      <c r="L255" s="0">
        <f>IF($A255="","",SUMIFS($G$1:$G$349,$AS$1:$AS$349,$AS255,$B$1:$B$349,$B255))</f>
        <v/>
      </c>
      <c r="M255" s="0">
        <f>IF($A255="","",SUMIFS($H$1:$H$349,$AS$1:$AS$349,$AS255,$B$1:$B$349,$B255))</f>
        <v/>
      </c>
      <c r="N255" s="0">
        <f>IF($A255="","",SUMIFS($I$1:$I$349,$AS$1:$AS$349,$AS255,$B$1:$B$349,$B255))</f>
        <v/>
      </c>
      <c r="O255" s="0">
        <f>IF($A255="","",SUMIFS($K$1:$K$349,$AS$1:$AS$349,$AS255,$B$1:$B$349,$B255))</f>
        <v/>
      </c>
      <c r="P255" s="0">
        <f>IF($A255="","",SUMIFS($J$1:$J$349,$AS$1:$AS$349,$AS255,$B$1:$B$349,$B255))</f>
        <v/>
      </c>
      <c r="Q255" s="0">
        <f>IF($A255="","",SUMIFS($G$1:$G$349,$AS$1:$AS$349,$AS255,$C$1:$C$349,$C255))</f>
        <v/>
      </c>
      <c r="R255" s="0">
        <f>IF($A255="","",SUMIFS($H$1:$H$349,$AS$1:$AS$349,$AS255,$C$1:$C$349,$C255))</f>
        <v/>
      </c>
      <c r="S255" s="0">
        <f>IF($A255="","",SUMIFS($I$1:$I$349,$AS$1:$AS$349,$AS255,$C$1:$C$349,$C255))</f>
        <v/>
      </c>
      <c r="T255" s="0">
        <f>IF($A255="","",SUMIFS($G$1:$G$349,$AS$1:$AS$349,$AS255))</f>
        <v/>
      </c>
      <c r="U255" s="0">
        <f>IF($A255="","",SUMIFS($H$1:$H$349,$AS$1:$AS$349,$AS255))</f>
        <v/>
      </c>
      <c r="V255" s="0">
        <f>IF($A255="","",SUMIFS($I$1:$I$349,$AS$1:$AS$349,$AS255))</f>
        <v/>
      </c>
      <c r="W255" s="0">
        <f>IF($A255="","",Allocation!CD255)</f>
        <v/>
      </c>
      <c r="X255" s="0">
        <f>IF($A255="","",Allocation!CE255)</f>
        <v/>
      </c>
      <c r="Y255" s="0">
        <f>IF($A255="","",Allocation!CF255)</f>
        <v/>
      </c>
      <c r="Z255" s="0">
        <f>IF($A255="","",Allocation!CG255)</f>
        <v/>
      </c>
      <c r="AA255" s="0">
        <f>IF($A255="","",Allocation!CH255)</f>
        <v/>
      </c>
      <c r="AB255" s="0">
        <f>IF($A255="","",Allocation!CI255)</f>
        <v/>
      </c>
      <c r="AC255" s="0">
        <f>IF($A255="","",IF(Allocation!$N$4="VOL_EFF",$G255,IF(Allocation!$N$4="VOL_CLASS",$H255,$I255)))</f>
        <v/>
      </c>
      <c r="AD255" s="0">
        <f>IF($A255="","",IF(Allocation!$N$4="VOL_EFF",$L255,IF(Allocation!$N$4="VOL_CLASS",$M255,$N255)))</f>
        <v/>
      </c>
      <c r="AE255" s="0">
        <f>IF($A255="","",IF(Allocation!$N$3="VOL_EFF",$L255,IF(Allocation!$N$3="VOL_CLASS",$M255,$N255)))</f>
        <v/>
      </c>
      <c r="AF255" s="0">
        <f>IF($A255="","",IF(Allocation!$N$3="VOL_EFF",$Q255,IF(Allocation!$N$3="VOL_CLASS",$R255,$S255)))</f>
        <v/>
      </c>
      <c r="AG255" s="0">
        <f>IF($A255="","",IF(Allocation!$N$1="VOL_EFF",$Q255,IF(Allocation!$N$1="VOL_CLASS",$R255,$S255)))</f>
        <v/>
      </c>
      <c r="AH255" s="0">
        <f>IF($A255="","",IF(Allocation!$N$1="VOL_EFF",$T255,IF(Allocation!$N$1="VOL_CLASS",$U255,$V255)))</f>
        <v/>
      </c>
      <c r="AI255" s="0">
        <f>IF($A255="","",$W255*IFERROR($K255/$O255,0))</f>
        <v/>
      </c>
      <c r="AJ255" s="0">
        <f>IF($A255="","",$X255*IFERROR($K255/$O255,0))</f>
        <v/>
      </c>
      <c r="AK255" s="0">
        <f>IF($A255="","",$Y255*IFERROR($G255/$L255,0)+$Z255*IFERROR($J255/$P255,0))</f>
        <v/>
      </c>
      <c r="AL255" s="0">
        <f>IF($A255="","",$AA255*IFERROR($AC255/$AD255,0))</f>
        <v/>
      </c>
      <c r="AM255" s="0">
        <f>IF($A255="","",$AB255*IFERROR($AG255/$AH255,0)*IFERROR($AE255/$AF255,0)*IFERROR($AC255/$AD255,0))</f>
        <v/>
      </c>
      <c r="AN255" s="0">
        <f>IF($A255="","",$I255-($AI255+$AJ255+$AK255+$AL255+$AM255+$AR255))</f>
        <v/>
      </c>
      <c r="AO255" s="0">
        <f>IF($A255="","",Allocation!CJ255)</f>
        <v/>
      </c>
      <c r="AP255" s="0">
        <f>IF($A255="","",IF(Allocation!$N$2="VOL_EFF",$Q255,IF(Allocation!$N$2="VOL_CLASS",$R255,$S255)))</f>
        <v/>
      </c>
      <c r="AQ255" s="0">
        <f>IF($A255="","",IF(Allocation!$N$2="VOL_EFF",$T255,IF(Allocation!$N$2="VOL_CLASS",$U255,$V255)))</f>
        <v/>
      </c>
      <c r="AR255" s="0">
        <f>IF($A255="","",$AO255*IFERROR($AP255/$AQ255,0)*IFERROR($AE255/$AF255,0)*IFERROR($AC255/$AD255,0))</f>
        <v/>
      </c>
      <c r="AS255" s="0">
        <f>IF($A255="","",$A255&amp;"|"&amp;Allocation!BG255)</f>
        <v/>
      </c>
    </row>
    <row r="256" ht="14.4975" customHeight="1" s="64">
      <c r="A256" s="0">
        <f>IF(Allocation!BI256="","",Allocation!BI256)</f>
        <v/>
      </c>
      <c r="B256" s="0">
        <f>IF(Allocation!BJ256="","",Allocation!BJ256)</f>
        <v/>
      </c>
      <c r="C256" s="0">
        <f>IF(Allocation!BK256="","",Allocation!BK256)</f>
        <v/>
      </c>
      <c r="D256" s="0">
        <f>IF(Allocation!BL256="","",Allocation!BL256)</f>
        <v/>
      </c>
      <c r="E256" s="0">
        <f>IF(Allocation!BM256="","",Allocation!BM256)</f>
        <v/>
      </c>
      <c r="F256" s="0">
        <f>IF(Allocation!BN256="","",Allocation!BN256)</f>
        <v/>
      </c>
      <c r="G256" s="0">
        <f>IF(Allocation!BO256="","",Allocation!BO256)</f>
        <v/>
      </c>
      <c r="H256" s="0">
        <f>IF(Allocation!BP256="","",Allocation!BP256)</f>
        <v/>
      </c>
      <c r="I256" s="0">
        <f>IF(Allocation!BQ256="","",Allocation!BQ256)</f>
        <v/>
      </c>
      <c r="J256" s="0">
        <f>IF(Allocation!CC256="","",Allocation!CC256)</f>
        <v/>
      </c>
      <c r="K256" s="0">
        <f>IF($A256="","",$H256*IF(AND(LEFT($D256,3)="BAC",$F256="INIT"),600,IF(LEFT($D256,3)="BAC",480,IF(AND(LEFT($D256,3)="MAS",$F256="INIT"),520,IF(LEFT($D256,3)="MAS",420,IF($F256="INIT",1000,700))))))</f>
        <v/>
      </c>
      <c r="L256" s="0">
        <f>IF($A256="","",SUMIFS($G$1:$G$349,$AS$1:$AS$349,$AS256,$B$1:$B$349,$B256))</f>
        <v/>
      </c>
      <c r="M256" s="0">
        <f>IF($A256="","",SUMIFS($H$1:$H$349,$AS$1:$AS$349,$AS256,$B$1:$B$349,$B256))</f>
        <v/>
      </c>
      <c r="N256" s="0">
        <f>IF($A256="","",SUMIFS($I$1:$I$349,$AS$1:$AS$349,$AS256,$B$1:$B$349,$B256))</f>
        <v/>
      </c>
      <c r="O256" s="0">
        <f>IF($A256="","",SUMIFS($K$1:$K$349,$AS$1:$AS$349,$AS256,$B$1:$B$349,$B256))</f>
        <v/>
      </c>
      <c r="P256" s="0">
        <f>IF($A256="","",SUMIFS($J$1:$J$349,$AS$1:$AS$349,$AS256,$B$1:$B$349,$B256))</f>
        <v/>
      </c>
      <c r="Q256" s="0">
        <f>IF($A256="","",SUMIFS($G$1:$G$349,$AS$1:$AS$349,$AS256,$C$1:$C$349,$C256))</f>
        <v/>
      </c>
      <c r="R256" s="0">
        <f>IF($A256="","",SUMIFS($H$1:$H$349,$AS$1:$AS$349,$AS256,$C$1:$C$349,$C256))</f>
        <v/>
      </c>
      <c r="S256" s="0">
        <f>IF($A256="","",SUMIFS($I$1:$I$349,$AS$1:$AS$349,$AS256,$C$1:$C$349,$C256))</f>
        <v/>
      </c>
      <c r="T256" s="0">
        <f>IF($A256="","",SUMIFS($G$1:$G$349,$AS$1:$AS$349,$AS256))</f>
        <v/>
      </c>
      <c r="U256" s="0">
        <f>IF($A256="","",SUMIFS($H$1:$H$349,$AS$1:$AS$349,$AS256))</f>
        <v/>
      </c>
      <c r="V256" s="0">
        <f>IF($A256="","",SUMIFS($I$1:$I$349,$AS$1:$AS$349,$AS256))</f>
        <v/>
      </c>
      <c r="W256" s="0">
        <f>IF($A256="","",Allocation!CD256)</f>
        <v/>
      </c>
      <c r="X256" s="0">
        <f>IF($A256="","",Allocation!CE256)</f>
        <v/>
      </c>
      <c r="Y256" s="0">
        <f>IF($A256="","",Allocation!CF256)</f>
        <v/>
      </c>
      <c r="Z256" s="0">
        <f>IF($A256="","",Allocation!CG256)</f>
        <v/>
      </c>
      <c r="AA256" s="0">
        <f>IF($A256="","",Allocation!CH256)</f>
        <v/>
      </c>
      <c r="AB256" s="0">
        <f>IF($A256="","",Allocation!CI256)</f>
        <v/>
      </c>
      <c r="AC256" s="0">
        <f>IF($A256="","",IF(Allocation!$N$4="VOL_EFF",$G256,IF(Allocation!$N$4="VOL_CLASS",$H256,$I256)))</f>
        <v/>
      </c>
      <c r="AD256" s="0">
        <f>IF($A256="","",IF(Allocation!$N$4="VOL_EFF",$L256,IF(Allocation!$N$4="VOL_CLASS",$M256,$N256)))</f>
        <v/>
      </c>
      <c r="AE256" s="0">
        <f>IF($A256="","",IF(Allocation!$N$3="VOL_EFF",$L256,IF(Allocation!$N$3="VOL_CLASS",$M256,$N256)))</f>
        <v/>
      </c>
      <c r="AF256" s="0">
        <f>IF($A256="","",IF(Allocation!$N$3="VOL_EFF",$Q256,IF(Allocation!$N$3="VOL_CLASS",$R256,$S256)))</f>
        <v/>
      </c>
      <c r="AG256" s="0">
        <f>IF($A256="","",IF(Allocation!$N$1="VOL_EFF",$Q256,IF(Allocation!$N$1="VOL_CLASS",$R256,$S256)))</f>
        <v/>
      </c>
      <c r="AH256" s="0">
        <f>IF($A256="","",IF(Allocation!$N$1="VOL_EFF",$T256,IF(Allocation!$N$1="VOL_CLASS",$U256,$V256)))</f>
        <v/>
      </c>
      <c r="AI256" s="0">
        <f>IF($A256="","",$W256*IFERROR($K256/$O256,0))</f>
        <v/>
      </c>
      <c r="AJ256" s="0">
        <f>IF($A256="","",$X256*IFERROR($K256/$O256,0))</f>
        <v/>
      </c>
      <c r="AK256" s="0">
        <f>IF($A256="","",$Y256*IFERROR($G256/$L256,0)+$Z256*IFERROR($J256/$P256,0))</f>
        <v/>
      </c>
      <c r="AL256" s="0">
        <f>IF($A256="","",$AA256*IFERROR($AC256/$AD256,0))</f>
        <v/>
      </c>
      <c r="AM256" s="0">
        <f>IF($A256="","",$AB256*IFERROR($AG256/$AH256,0)*IFERROR($AE256/$AF256,0)*IFERROR($AC256/$AD256,0))</f>
        <v/>
      </c>
      <c r="AN256" s="0">
        <f>IF($A256="","",$I256-($AI256+$AJ256+$AK256+$AL256+$AM256+$AR256))</f>
        <v/>
      </c>
      <c r="AO256" s="0">
        <f>IF($A256="","",Allocation!CJ256)</f>
        <v/>
      </c>
      <c r="AP256" s="0">
        <f>IF($A256="","",IF(Allocation!$N$2="VOL_EFF",$Q256,IF(Allocation!$N$2="VOL_CLASS",$R256,$S256)))</f>
        <v/>
      </c>
      <c r="AQ256" s="0">
        <f>IF($A256="","",IF(Allocation!$N$2="VOL_EFF",$T256,IF(Allocation!$N$2="VOL_CLASS",$U256,$V256)))</f>
        <v/>
      </c>
      <c r="AR256" s="0">
        <f>IF($A256="","",$AO256*IFERROR($AP256/$AQ256,0)*IFERROR($AE256/$AF256,0)*IFERROR($AC256/$AD256,0))</f>
        <v/>
      </c>
      <c r="AS256" s="0">
        <f>IF($A256="","",$A256&amp;"|"&amp;Allocation!BG256)</f>
        <v/>
      </c>
    </row>
    <row r="257" ht="14.4975" customHeight="1" s="64">
      <c r="A257" s="0">
        <f>IF(Allocation!BI257="","",Allocation!BI257)</f>
        <v/>
      </c>
      <c r="B257" s="0">
        <f>IF(Allocation!BJ257="","",Allocation!BJ257)</f>
        <v/>
      </c>
      <c r="C257" s="0">
        <f>IF(Allocation!BK257="","",Allocation!BK257)</f>
        <v/>
      </c>
      <c r="D257" s="0">
        <f>IF(Allocation!BL257="","",Allocation!BL257)</f>
        <v/>
      </c>
      <c r="E257" s="0">
        <f>IF(Allocation!BM257="","",Allocation!BM257)</f>
        <v/>
      </c>
      <c r="F257" s="0">
        <f>IF(Allocation!BN257="","",Allocation!BN257)</f>
        <v/>
      </c>
      <c r="G257" s="0">
        <f>IF(Allocation!BO257="","",Allocation!BO257)</f>
        <v/>
      </c>
      <c r="H257" s="0">
        <f>IF(Allocation!BP257="","",Allocation!BP257)</f>
        <v/>
      </c>
      <c r="I257" s="0">
        <f>IF(Allocation!BQ257="","",Allocation!BQ257)</f>
        <v/>
      </c>
      <c r="J257" s="0">
        <f>IF(Allocation!CC257="","",Allocation!CC257)</f>
        <v/>
      </c>
      <c r="K257" s="0">
        <f>IF($A257="","",$H257*IF(AND(LEFT($D257,3)="BAC",$F257="INIT"),600,IF(LEFT($D257,3)="BAC",480,IF(AND(LEFT($D257,3)="MAS",$F257="INIT"),520,IF(LEFT($D257,3)="MAS",420,IF($F257="INIT",1000,700))))))</f>
        <v/>
      </c>
      <c r="L257" s="0">
        <f>IF($A257="","",SUMIFS($G$1:$G$349,$AS$1:$AS$349,$AS257,$B$1:$B$349,$B257))</f>
        <v/>
      </c>
      <c r="M257" s="0">
        <f>IF($A257="","",SUMIFS($H$1:$H$349,$AS$1:$AS$349,$AS257,$B$1:$B$349,$B257))</f>
        <v/>
      </c>
      <c r="N257" s="0">
        <f>IF($A257="","",SUMIFS($I$1:$I$349,$AS$1:$AS$349,$AS257,$B$1:$B$349,$B257))</f>
        <v/>
      </c>
      <c r="O257" s="0">
        <f>IF($A257="","",SUMIFS($K$1:$K$349,$AS$1:$AS$349,$AS257,$B$1:$B$349,$B257))</f>
        <v/>
      </c>
      <c r="P257" s="0">
        <f>IF($A257="","",SUMIFS($J$1:$J$349,$AS$1:$AS$349,$AS257,$B$1:$B$349,$B257))</f>
        <v/>
      </c>
      <c r="Q257" s="0">
        <f>IF($A257="","",SUMIFS($G$1:$G$349,$AS$1:$AS$349,$AS257,$C$1:$C$349,$C257))</f>
        <v/>
      </c>
      <c r="R257" s="0">
        <f>IF($A257="","",SUMIFS($H$1:$H$349,$AS$1:$AS$349,$AS257,$C$1:$C$349,$C257))</f>
        <v/>
      </c>
      <c r="S257" s="0">
        <f>IF($A257="","",SUMIFS($I$1:$I$349,$AS$1:$AS$349,$AS257,$C$1:$C$349,$C257))</f>
        <v/>
      </c>
      <c r="T257" s="0">
        <f>IF($A257="","",SUMIFS($G$1:$G$349,$AS$1:$AS$349,$AS257))</f>
        <v/>
      </c>
      <c r="U257" s="0">
        <f>IF($A257="","",SUMIFS($H$1:$H$349,$AS$1:$AS$349,$AS257))</f>
        <v/>
      </c>
      <c r="V257" s="0">
        <f>IF($A257="","",SUMIFS($I$1:$I$349,$AS$1:$AS$349,$AS257))</f>
        <v/>
      </c>
      <c r="W257" s="0">
        <f>IF($A257="","",Allocation!CD257)</f>
        <v/>
      </c>
      <c r="X257" s="0">
        <f>IF($A257="","",Allocation!CE257)</f>
        <v/>
      </c>
      <c r="Y257" s="0">
        <f>IF($A257="","",Allocation!CF257)</f>
        <v/>
      </c>
      <c r="Z257" s="0">
        <f>IF($A257="","",Allocation!CG257)</f>
        <v/>
      </c>
      <c r="AA257" s="0">
        <f>IF($A257="","",Allocation!CH257)</f>
        <v/>
      </c>
      <c r="AB257" s="0">
        <f>IF($A257="","",Allocation!CI257)</f>
        <v/>
      </c>
      <c r="AC257" s="0">
        <f>IF($A257="","",IF(Allocation!$N$4="VOL_EFF",$G257,IF(Allocation!$N$4="VOL_CLASS",$H257,$I257)))</f>
        <v/>
      </c>
      <c r="AD257" s="0">
        <f>IF($A257="","",IF(Allocation!$N$4="VOL_EFF",$L257,IF(Allocation!$N$4="VOL_CLASS",$M257,$N257)))</f>
        <v/>
      </c>
      <c r="AE257" s="0">
        <f>IF($A257="","",IF(Allocation!$N$3="VOL_EFF",$L257,IF(Allocation!$N$3="VOL_CLASS",$M257,$N257)))</f>
        <v/>
      </c>
      <c r="AF257" s="0">
        <f>IF($A257="","",IF(Allocation!$N$3="VOL_EFF",$Q257,IF(Allocation!$N$3="VOL_CLASS",$R257,$S257)))</f>
        <v/>
      </c>
      <c r="AG257" s="0">
        <f>IF($A257="","",IF(Allocation!$N$1="VOL_EFF",$Q257,IF(Allocation!$N$1="VOL_CLASS",$R257,$S257)))</f>
        <v/>
      </c>
      <c r="AH257" s="0">
        <f>IF($A257="","",IF(Allocation!$N$1="VOL_EFF",$T257,IF(Allocation!$N$1="VOL_CLASS",$U257,$V257)))</f>
        <v/>
      </c>
      <c r="AI257" s="0">
        <f>IF($A257="","",$W257*IFERROR($K257/$O257,0))</f>
        <v/>
      </c>
      <c r="AJ257" s="0">
        <f>IF($A257="","",$X257*IFERROR($K257/$O257,0))</f>
        <v/>
      </c>
      <c r="AK257" s="0">
        <f>IF($A257="","",$Y257*IFERROR($G257/$L257,0)+$Z257*IFERROR($J257/$P257,0))</f>
        <v/>
      </c>
      <c r="AL257" s="0">
        <f>IF($A257="","",$AA257*IFERROR($AC257/$AD257,0))</f>
        <v/>
      </c>
      <c r="AM257" s="0">
        <f>IF($A257="","",$AB257*IFERROR($AG257/$AH257,0)*IFERROR($AE257/$AF257,0)*IFERROR($AC257/$AD257,0))</f>
        <v/>
      </c>
      <c r="AN257" s="0">
        <f>IF($A257="","",$I257-($AI257+$AJ257+$AK257+$AL257+$AM257+$AR257))</f>
        <v/>
      </c>
      <c r="AO257" s="0">
        <f>IF($A257="","",Allocation!CJ257)</f>
        <v/>
      </c>
      <c r="AP257" s="0">
        <f>IF($A257="","",IF(Allocation!$N$2="VOL_EFF",$Q257,IF(Allocation!$N$2="VOL_CLASS",$R257,$S257)))</f>
        <v/>
      </c>
      <c r="AQ257" s="0">
        <f>IF($A257="","",IF(Allocation!$N$2="VOL_EFF",$T257,IF(Allocation!$N$2="VOL_CLASS",$U257,$V257)))</f>
        <v/>
      </c>
      <c r="AR257" s="0">
        <f>IF($A257="","",$AO257*IFERROR($AP257/$AQ257,0)*IFERROR($AE257/$AF257,0)*IFERROR($AC257/$AD257,0))</f>
        <v/>
      </c>
      <c r="AS257" s="0">
        <f>IF($A257="","",$A257&amp;"|"&amp;Allocation!BG257)</f>
        <v/>
      </c>
    </row>
    <row r="258" ht="14.4975" customHeight="1" s="64">
      <c r="A258" s="0">
        <f>IF(Allocation!BI258="","",Allocation!BI258)</f>
        <v/>
      </c>
      <c r="B258" s="0">
        <f>IF(Allocation!BJ258="","",Allocation!BJ258)</f>
        <v/>
      </c>
      <c r="C258" s="0">
        <f>IF(Allocation!BK258="","",Allocation!BK258)</f>
        <v/>
      </c>
      <c r="D258" s="0">
        <f>IF(Allocation!BL258="","",Allocation!BL258)</f>
        <v/>
      </c>
      <c r="E258" s="0">
        <f>IF(Allocation!BM258="","",Allocation!BM258)</f>
        <v/>
      </c>
      <c r="F258" s="0">
        <f>IF(Allocation!BN258="","",Allocation!BN258)</f>
        <v/>
      </c>
      <c r="G258" s="0">
        <f>IF(Allocation!BO258="","",Allocation!BO258)</f>
        <v/>
      </c>
      <c r="H258" s="0">
        <f>IF(Allocation!BP258="","",Allocation!BP258)</f>
        <v/>
      </c>
      <c r="I258" s="0">
        <f>IF(Allocation!BQ258="","",Allocation!BQ258)</f>
        <v/>
      </c>
      <c r="J258" s="0">
        <f>IF(Allocation!CC258="","",Allocation!CC258)</f>
        <v/>
      </c>
      <c r="K258" s="0">
        <f>IF($A258="","",$H258*IF(AND(LEFT($D258,3)="BAC",$F258="INIT"),600,IF(LEFT($D258,3)="BAC",480,IF(AND(LEFT($D258,3)="MAS",$F258="INIT"),520,IF(LEFT($D258,3)="MAS",420,IF($F258="INIT",1000,700))))))</f>
        <v/>
      </c>
      <c r="L258" s="0">
        <f>IF($A258="","",SUMIFS($G$1:$G$349,$AS$1:$AS$349,$AS258,$B$1:$B$349,$B258))</f>
        <v/>
      </c>
      <c r="M258" s="0">
        <f>IF($A258="","",SUMIFS($H$1:$H$349,$AS$1:$AS$349,$AS258,$B$1:$B$349,$B258))</f>
        <v/>
      </c>
      <c r="N258" s="0">
        <f>IF($A258="","",SUMIFS($I$1:$I$349,$AS$1:$AS$349,$AS258,$B$1:$B$349,$B258))</f>
        <v/>
      </c>
      <c r="O258" s="0">
        <f>IF($A258="","",SUMIFS($K$1:$K$349,$AS$1:$AS$349,$AS258,$B$1:$B$349,$B258))</f>
        <v/>
      </c>
      <c r="P258" s="0">
        <f>IF($A258="","",SUMIFS($J$1:$J$349,$AS$1:$AS$349,$AS258,$B$1:$B$349,$B258))</f>
        <v/>
      </c>
      <c r="Q258" s="0">
        <f>IF($A258="","",SUMIFS($G$1:$G$349,$AS$1:$AS$349,$AS258,$C$1:$C$349,$C258))</f>
        <v/>
      </c>
      <c r="R258" s="0">
        <f>IF($A258="","",SUMIFS($H$1:$H$349,$AS$1:$AS$349,$AS258,$C$1:$C$349,$C258))</f>
        <v/>
      </c>
      <c r="S258" s="0">
        <f>IF($A258="","",SUMIFS($I$1:$I$349,$AS$1:$AS$349,$AS258,$C$1:$C$349,$C258))</f>
        <v/>
      </c>
      <c r="T258" s="0">
        <f>IF($A258="","",SUMIFS($G$1:$G$349,$AS$1:$AS$349,$AS258))</f>
        <v/>
      </c>
      <c r="U258" s="0">
        <f>IF($A258="","",SUMIFS($H$1:$H$349,$AS$1:$AS$349,$AS258))</f>
        <v/>
      </c>
      <c r="V258" s="0">
        <f>IF($A258="","",SUMIFS($I$1:$I$349,$AS$1:$AS$349,$AS258))</f>
        <v/>
      </c>
      <c r="W258" s="0">
        <f>IF($A258="","",Allocation!CD258)</f>
        <v/>
      </c>
      <c r="X258" s="0">
        <f>IF($A258="","",Allocation!CE258)</f>
        <v/>
      </c>
      <c r="Y258" s="0">
        <f>IF($A258="","",Allocation!CF258)</f>
        <v/>
      </c>
      <c r="Z258" s="0">
        <f>IF($A258="","",Allocation!CG258)</f>
        <v/>
      </c>
      <c r="AA258" s="0">
        <f>IF($A258="","",Allocation!CH258)</f>
        <v/>
      </c>
      <c r="AB258" s="0">
        <f>IF($A258="","",Allocation!CI258)</f>
        <v/>
      </c>
      <c r="AC258" s="0">
        <f>IF($A258="","",IF(Allocation!$N$4="VOL_EFF",$G258,IF(Allocation!$N$4="VOL_CLASS",$H258,$I258)))</f>
        <v/>
      </c>
      <c r="AD258" s="0">
        <f>IF($A258="","",IF(Allocation!$N$4="VOL_EFF",$L258,IF(Allocation!$N$4="VOL_CLASS",$M258,$N258)))</f>
        <v/>
      </c>
      <c r="AE258" s="0">
        <f>IF($A258="","",IF(Allocation!$N$3="VOL_EFF",$L258,IF(Allocation!$N$3="VOL_CLASS",$M258,$N258)))</f>
        <v/>
      </c>
      <c r="AF258" s="0">
        <f>IF($A258="","",IF(Allocation!$N$3="VOL_EFF",$Q258,IF(Allocation!$N$3="VOL_CLASS",$R258,$S258)))</f>
        <v/>
      </c>
      <c r="AG258" s="0">
        <f>IF($A258="","",IF(Allocation!$N$1="VOL_EFF",$Q258,IF(Allocation!$N$1="VOL_CLASS",$R258,$S258)))</f>
        <v/>
      </c>
      <c r="AH258" s="0">
        <f>IF($A258="","",IF(Allocation!$N$1="VOL_EFF",$T258,IF(Allocation!$N$1="VOL_CLASS",$U258,$V258)))</f>
        <v/>
      </c>
      <c r="AI258" s="0">
        <f>IF($A258="","",$W258*IFERROR($K258/$O258,0))</f>
        <v/>
      </c>
      <c r="AJ258" s="0">
        <f>IF($A258="","",$X258*IFERROR($K258/$O258,0))</f>
        <v/>
      </c>
      <c r="AK258" s="0">
        <f>IF($A258="","",$Y258*IFERROR($G258/$L258,0)+$Z258*IFERROR($J258/$P258,0))</f>
        <v/>
      </c>
      <c r="AL258" s="0">
        <f>IF($A258="","",$AA258*IFERROR($AC258/$AD258,0))</f>
        <v/>
      </c>
      <c r="AM258" s="0">
        <f>IF($A258="","",$AB258*IFERROR($AG258/$AH258,0)*IFERROR($AE258/$AF258,0)*IFERROR($AC258/$AD258,0))</f>
        <v/>
      </c>
      <c r="AN258" s="0">
        <f>IF($A258="","",$I258-($AI258+$AJ258+$AK258+$AL258+$AM258+$AR258))</f>
        <v/>
      </c>
      <c r="AO258" s="0">
        <f>IF($A258="","",Allocation!CJ258)</f>
        <v/>
      </c>
      <c r="AP258" s="0">
        <f>IF($A258="","",IF(Allocation!$N$2="VOL_EFF",$Q258,IF(Allocation!$N$2="VOL_CLASS",$R258,$S258)))</f>
        <v/>
      </c>
      <c r="AQ258" s="0">
        <f>IF($A258="","",IF(Allocation!$N$2="VOL_EFF",$T258,IF(Allocation!$N$2="VOL_CLASS",$U258,$V258)))</f>
        <v/>
      </c>
      <c r="AR258" s="0">
        <f>IF($A258="","",$AO258*IFERROR($AP258/$AQ258,0)*IFERROR($AE258/$AF258,0)*IFERROR($AC258/$AD258,0))</f>
        <v/>
      </c>
      <c r="AS258" s="0">
        <f>IF($A258="","",$A258&amp;"|"&amp;Allocation!BG258)</f>
        <v/>
      </c>
    </row>
    <row r="259" ht="14.4975" customHeight="1" s="64">
      <c r="A259" s="0">
        <f>IF(Allocation!BI259="","",Allocation!BI259)</f>
        <v/>
      </c>
      <c r="B259" s="0">
        <f>IF(Allocation!BJ259="","",Allocation!BJ259)</f>
        <v/>
      </c>
      <c r="C259" s="0">
        <f>IF(Allocation!BK259="","",Allocation!BK259)</f>
        <v/>
      </c>
      <c r="D259" s="0">
        <f>IF(Allocation!BL259="","",Allocation!BL259)</f>
        <v/>
      </c>
      <c r="E259" s="0">
        <f>IF(Allocation!BM259="","",Allocation!BM259)</f>
        <v/>
      </c>
      <c r="F259" s="0">
        <f>IF(Allocation!BN259="","",Allocation!BN259)</f>
        <v/>
      </c>
      <c r="G259" s="0">
        <f>IF(Allocation!BO259="","",Allocation!BO259)</f>
        <v/>
      </c>
      <c r="H259" s="0">
        <f>IF(Allocation!BP259="","",Allocation!BP259)</f>
        <v/>
      </c>
      <c r="I259" s="0">
        <f>IF(Allocation!BQ259="","",Allocation!BQ259)</f>
        <v/>
      </c>
      <c r="J259" s="0">
        <f>IF(Allocation!CC259="","",Allocation!CC259)</f>
        <v/>
      </c>
      <c r="K259" s="0">
        <f>IF($A259="","",$H259*IF(AND(LEFT($D259,3)="BAC",$F259="INIT"),600,IF(LEFT($D259,3)="BAC",480,IF(AND(LEFT($D259,3)="MAS",$F259="INIT"),520,IF(LEFT($D259,3)="MAS",420,IF($F259="INIT",1000,700))))))</f>
        <v/>
      </c>
      <c r="L259" s="0">
        <f>IF($A259="","",SUMIFS($G$1:$G$349,$AS$1:$AS$349,$AS259,$B$1:$B$349,$B259))</f>
        <v/>
      </c>
      <c r="M259" s="0">
        <f>IF($A259="","",SUMIFS($H$1:$H$349,$AS$1:$AS$349,$AS259,$B$1:$B$349,$B259))</f>
        <v/>
      </c>
      <c r="N259" s="0">
        <f>IF($A259="","",SUMIFS($I$1:$I$349,$AS$1:$AS$349,$AS259,$B$1:$B$349,$B259))</f>
        <v/>
      </c>
      <c r="O259" s="0">
        <f>IF($A259="","",SUMIFS($K$1:$K$349,$AS$1:$AS$349,$AS259,$B$1:$B$349,$B259))</f>
        <v/>
      </c>
      <c r="P259" s="0">
        <f>IF($A259="","",SUMIFS($J$1:$J$349,$AS$1:$AS$349,$AS259,$B$1:$B$349,$B259))</f>
        <v/>
      </c>
      <c r="Q259" s="0">
        <f>IF($A259="","",SUMIFS($G$1:$G$349,$AS$1:$AS$349,$AS259,$C$1:$C$349,$C259))</f>
        <v/>
      </c>
      <c r="R259" s="0">
        <f>IF($A259="","",SUMIFS($H$1:$H$349,$AS$1:$AS$349,$AS259,$C$1:$C$349,$C259))</f>
        <v/>
      </c>
      <c r="S259" s="0">
        <f>IF($A259="","",SUMIFS($I$1:$I$349,$AS$1:$AS$349,$AS259,$C$1:$C$349,$C259))</f>
        <v/>
      </c>
      <c r="T259" s="0">
        <f>IF($A259="","",SUMIFS($G$1:$G$349,$AS$1:$AS$349,$AS259))</f>
        <v/>
      </c>
      <c r="U259" s="0">
        <f>IF($A259="","",SUMIFS($H$1:$H$349,$AS$1:$AS$349,$AS259))</f>
        <v/>
      </c>
      <c r="V259" s="0">
        <f>IF($A259="","",SUMIFS($I$1:$I$349,$AS$1:$AS$349,$AS259))</f>
        <v/>
      </c>
      <c r="W259" s="0">
        <f>IF($A259="","",Allocation!CD259)</f>
        <v/>
      </c>
      <c r="X259" s="0">
        <f>IF($A259="","",Allocation!CE259)</f>
        <v/>
      </c>
      <c r="Y259" s="0">
        <f>IF($A259="","",Allocation!CF259)</f>
        <v/>
      </c>
      <c r="Z259" s="0">
        <f>IF($A259="","",Allocation!CG259)</f>
        <v/>
      </c>
      <c r="AA259" s="0">
        <f>IF($A259="","",Allocation!CH259)</f>
        <v/>
      </c>
      <c r="AB259" s="0">
        <f>IF($A259="","",Allocation!CI259)</f>
        <v/>
      </c>
      <c r="AC259" s="0">
        <f>IF($A259="","",IF(Allocation!$N$4="VOL_EFF",$G259,IF(Allocation!$N$4="VOL_CLASS",$H259,$I259)))</f>
        <v/>
      </c>
      <c r="AD259" s="0">
        <f>IF($A259="","",IF(Allocation!$N$4="VOL_EFF",$L259,IF(Allocation!$N$4="VOL_CLASS",$M259,$N259)))</f>
        <v/>
      </c>
      <c r="AE259" s="0">
        <f>IF($A259="","",IF(Allocation!$N$3="VOL_EFF",$L259,IF(Allocation!$N$3="VOL_CLASS",$M259,$N259)))</f>
        <v/>
      </c>
      <c r="AF259" s="0">
        <f>IF($A259="","",IF(Allocation!$N$3="VOL_EFF",$Q259,IF(Allocation!$N$3="VOL_CLASS",$R259,$S259)))</f>
        <v/>
      </c>
      <c r="AG259" s="0">
        <f>IF($A259="","",IF(Allocation!$N$1="VOL_EFF",$Q259,IF(Allocation!$N$1="VOL_CLASS",$R259,$S259)))</f>
        <v/>
      </c>
      <c r="AH259" s="0">
        <f>IF($A259="","",IF(Allocation!$N$1="VOL_EFF",$T259,IF(Allocation!$N$1="VOL_CLASS",$U259,$V259)))</f>
        <v/>
      </c>
      <c r="AI259" s="0">
        <f>IF($A259="","",$W259*IFERROR($K259/$O259,0))</f>
        <v/>
      </c>
      <c r="AJ259" s="0">
        <f>IF($A259="","",$X259*IFERROR($K259/$O259,0))</f>
        <v/>
      </c>
      <c r="AK259" s="0">
        <f>IF($A259="","",$Y259*IFERROR($G259/$L259,0)+$Z259*IFERROR($J259/$P259,0))</f>
        <v/>
      </c>
      <c r="AL259" s="0">
        <f>IF($A259="","",$AA259*IFERROR($AC259/$AD259,0))</f>
        <v/>
      </c>
      <c r="AM259" s="0">
        <f>IF($A259="","",$AB259*IFERROR($AG259/$AH259,0)*IFERROR($AE259/$AF259,0)*IFERROR($AC259/$AD259,0))</f>
        <v/>
      </c>
      <c r="AN259" s="0">
        <f>IF($A259="","",$I259-($AI259+$AJ259+$AK259+$AL259+$AM259+$AR259))</f>
        <v/>
      </c>
      <c r="AO259" s="0">
        <f>IF($A259="","",Allocation!CJ259)</f>
        <v/>
      </c>
      <c r="AP259" s="0">
        <f>IF($A259="","",IF(Allocation!$N$2="VOL_EFF",$Q259,IF(Allocation!$N$2="VOL_CLASS",$R259,$S259)))</f>
        <v/>
      </c>
      <c r="AQ259" s="0">
        <f>IF($A259="","",IF(Allocation!$N$2="VOL_EFF",$T259,IF(Allocation!$N$2="VOL_CLASS",$U259,$V259)))</f>
        <v/>
      </c>
      <c r="AR259" s="0">
        <f>IF($A259="","",$AO259*IFERROR($AP259/$AQ259,0)*IFERROR($AE259/$AF259,0)*IFERROR($AC259/$AD259,0))</f>
        <v/>
      </c>
      <c r="AS259" s="0">
        <f>IF($A259="","",$A259&amp;"|"&amp;Allocation!BG259)</f>
        <v/>
      </c>
    </row>
    <row r="260" ht="14.4975" customHeight="1" s="64">
      <c r="A260" s="0">
        <f>IF(Allocation!BI260="","",Allocation!BI260)</f>
        <v/>
      </c>
      <c r="B260" s="0">
        <f>IF(Allocation!BJ260="","",Allocation!BJ260)</f>
        <v/>
      </c>
      <c r="C260" s="0">
        <f>IF(Allocation!BK260="","",Allocation!BK260)</f>
        <v/>
      </c>
      <c r="D260" s="0">
        <f>IF(Allocation!BL260="","",Allocation!BL260)</f>
        <v/>
      </c>
      <c r="E260" s="0">
        <f>IF(Allocation!BM260="","",Allocation!BM260)</f>
        <v/>
      </c>
      <c r="F260" s="0">
        <f>IF(Allocation!BN260="","",Allocation!BN260)</f>
        <v/>
      </c>
      <c r="G260" s="0">
        <f>IF(Allocation!BO260="","",Allocation!BO260)</f>
        <v/>
      </c>
      <c r="H260" s="0">
        <f>IF(Allocation!BP260="","",Allocation!BP260)</f>
        <v/>
      </c>
      <c r="I260" s="0">
        <f>IF(Allocation!BQ260="","",Allocation!BQ260)</f>
        <v/>
      </c>
      <c r="J260" s="0">
        <f>IF(Allocation!CC260="","",Allocation!CC260)</f>
        <v/>
      </c>
      <c r="K260" s="0">
        <f>IF($A260="","",$H260*IF(AND(LEFT($D260,3)="BAC",$F260="INIT"),600,IF(LEFT($D260,3)="BAC",480,IF(AND(LEFT($D260,3)="MAS",$F260="INIT"),520,IF(LEFT($D260,3)="MAS",420,IF($F260="INIT",1000,700))))))</f>
        <v/>
      </c>
      <c r="L260" s="0">
        <f>IF($A260="","",SUMIFS($G$1:$G$349,$AS$1:$AS$349,$AS260,$B$1:$B$349,$B260))</f>
        <v/>
      </c>
      <c r="M260" s="0">
        <f>IF($A260="","",SUMIFS($H$1:$H$349,$AS$1:$AS$349,$AS260,$B$1:$B$349,$B260))</f>
        <v/>
      </c>
      <c r="N260" s="0">
        <f>IF($A260="","",SUMIFS($I$1:$I$349,$AS$1:$AS$349,$AS260,$B$1:$B$349,$B260))</f>
        <v/>
      </c>
      <c r="O260" s="0">
        <f>IF($A260="","",SUMIFS($K$1:$K$349,$AS$1:$AS$349,$AS260,$B$1:$B$349,$B260))</f>
        <v/>
      </c>
      <c r="P260" s="0">
        <f>IF($A260="","",SUMIFS($J$1:$J$349,$AS$1:$AS$349,$AS260,$B$1:$B$349,$B260))</f>
        <v/>
      </c>
      <c r="Q260" s="0">
        <f>IF($A260="","",SUMIFS($G$1:$G$349,$AS$1:$AS$349,$AS260,$C$1:$C$349,$C260))</f>
        <v/>
      </c>
      <c r="R260" s="0">
        <f>IF($A260="","",SUMIFS($H$1:$H$349,$AS$1:$AS$349,$AS260,$C$1:$C$349,$C260))</f>
        <v/>
      </c>
      <c r="S260" s="0">
        <f>IF($A260="","",SUMIFS($I$1:$I$349,$AS$1:$AS$349,$AS260,$C$1:$C$349,$C260))</f>
        <v/>
      </c>
      <c r="T260" s="0">
        <f>IF($A260="","",SUMIFS($G$1:$G$349,$AS$1:$AS$349,$AS260))</f>
        <v/>
      </c>
      <c r="U260" s="0">
        <f>IF($A260="","",SUMIFS($H$1:$H$349,$AS$1:$AS$349,$AS260))</f>
        <v/>
      </c>
      <c r="V260" s="0">
        <f>IF($A260="","",SUMIFS($I$1:$I$349,$AS$1:$AS$349,$AS260))</f>
        <v/>
      </c>
      <c r="W260" s="0">
        <f>IF($A260="","",Allocation!CD260)</f>
        <v/>
      </c>
      <c r="X260" s="0">
        <f>IF($A260="","",Allocation!CE260)</f>
        <v/>
      </c>
      <c r="Y260" s="0">
        <f>IF($A260="","",Allocation!CF260)</f>
        <v/>
      </c>
      <c r="Z260" s="0">
        <f>IF($A260="","",Allocation!CG260)</f>
        <v/>
      </c>
      <c r="AA260" s="0">
        <f>IF($A260="","",Allocation!CH260)</f>
        <v/>
      </c>
      <c r="AB260" s="0">
        <f>IF($A260="","",Allocation!CI260)</f>
        <v/>
      </c>
      <c r="AC260" s="0">
        <f>IF($A260="","",IF(Allocation!$N$4="VOL_EFF",$G260,IF(Allocation!$N$4="VOL_CLASS",$H260,$I260)))</f>
        <v/>
      </c>
      <c r="AD260" s="0">
        <f>IF($A260="","",IF(Allocation!$N$4="VOL_EFF",$L260,IF(Allocation!$N$4="VOL_CLASS",$M260,$N260)))</f>
        <v/>
      </c>
      <c r="AE260" s="0">
        <f>IF($A260="","",IF(Allocation!$N$3="VOL_EFF",$L260,IF(Allocation!$N$3="VOL_CLASS",$M260,$N260)))</f>
        <v/>
      </c>
      <c r="AF260" s="0">
        <f>IF($A260="","",IF(Allocation!$N$3="VOL_EFF",$Q260,IF(Allocation!$N$3="VOL_CLASS",$R260,$S260)))</f>
        <v/>
      </c>
      <c r="AG260" s="0">
        <f>IF($A260="","",IF(Allocation!$N$1="VOL_EFF",$Q260,IF(Allocation!$N$1="VOL_CLASS",$R260,$S260)))</f>
        <v/>
      </c>
      <c r="AH260" s="0">
        <f>IF($A260="","",IF(Allocation!$N$1="VOL_EFF",$T260,IF(Allocation!$N$1="VOL_CLASS",$U260,$V260)))</f>
        <v/>
      </c>
      <c r="AI260" s="0">
        <f>IF($A260="","",$W260*IFERROR($K260/$O260,0))</f>
        <v/>
      </c>
      <c r="AJ260" s="0">
        <f>IF($A260="","",$X260*IFERROR($K260/$O260,0))</f>
        <v/>
      </c>
      <c r="AK260" s="0">
        <f>IF($A260="","",$Y260*IFERROR($G260/$L260,0)+$Z260*IFERROR($J260/$P260,0))</f>
        <v/>
      </c>
      <c r="AL260" s="0">
        <f>IF($A260="","",$AA260*IFERROR($AC260/$AD260,0))</f>
        <v/>
      </c>
      <c r="AM260" s="0">
        <f>IF($A260="","",$AB260*IFERROR($AG260/$AH260,0)*IFERROR($AE260/$AF260,0)*IFERROR($AC260/$AD260,0))</f>
        <v/>
      </c>
      <c r="AN260" s="0">
        <f>IF($A260="","",$I260-($AI260+$AJ260+$AK260+$AL260+$AM260+$AR260))</f>
        <v/>
      </c>
      <c r="AO260" s="0">
        <f>IF($A260="","",Allocation!CJ260)</f>
        <v/>
      </c>
      <c r="AP260" s="0">
        <f>IF($A260="","",IF(Allocation!$N$2="VOL_EFF",$Q260,IF(Allocation!$N$2="VOL_CLASS",$R260,$S260)))</f>
        <v/>
      </c>
      <c r="AQ260" s="0">
        <f>IF($A260="","",IF(Allocation!$N$2="VOL_EFF",$T260,IF(Allocation!$N$2="VOL_CLASS",$U260,$V260)))</f>
        <v/>
      </c>
      <c r="AR260" s="0">
        <f>IF($A260="","",$AO260*IFERROR($AP260/$AQ260,0)*IFERROR($AE260/$AF260,0)*IFERROR($AC260/$AD260,0))</f>
        <v/>
      </c>
      <c r="AS260" s="0">
        <f>IF($A260="","",$A260&amp;"|"&amp;Allocation!BG260)</f>
        <v/>
      </c>
    </row>
    <row r="261" ht="14.4975" customHeight="1" s="64">
      <c r="A261" s="0">
        <f>IF(Allocation!BI261="","",Allocation!BI261)</f>
        <v/>
      </c>
      <c r="B261" s="0">
        <f>IF(Allocation!BJ261="","",Allocation!BJ261)</f>
        <v/>
      </c>
      <c r="C261" s="0">
        <f>IF(Allocation!BK261="","",Allocation!BK261)</f>
        <v/>
      </c>
      <c r="D261" s="0">
        <f>IF(Allocation!BL261="","",Allocation!BL261)</f>
        <v/>
      </c>
      <c r="E261" s="0">
        <f>IF(Allocation!BM261="","",Allocation!BM261)</f>
        <v/>
      </c>
      <c r="F261" s="0">
        <f>IF(Allocation!BN261="","",Allocation!BN261)</f>
        <v/>
      </c>
      <c r="G261" s="0">
        <f>IF(Allocation!BO261="","",Allocation!BO261)</f>
        <v/>
      </c>
      <c r="H261" s="0">
        <f>IF(Allocation!BP261="","",Allocation!BP261)</f>
        <v/>
      </c>
      <c r="I261" s="0">
        <f>IF(Allocation!BQ261="","",Allocation!BQ261)</f>
        <v/>
      </c>
      <c r="J261" s="0">
        <f>IF(Allocation!CC261="","",Allocation!CC261)</f>
        <v/>
      </c>
      <c r="K261" s="0">
        <f>IF($A261="","",$H261*IF(AND(LEFT($D261,3)="BAC",$F261="INIT"),600,IF(LEFT($D261,3)="BAC",480,IF(AND(LEFT($D261,3)="MAS",$F261="INIT"),520,IF(LEFT($D261,3)="MAS",420,IF($F261="INIT",1000,700))))))</f>
        <v/>
      </c>
      <c r="L261" s="0">
        <f>IF($A261="","",SUMIFS($G$1:$G$349,$AS$1:$AS$349,$AS261,$B$1:$B$349,$B261))</f>
        <v/>
      </c>
      <c r="M261" s="0">
        <f>IF($A261="","",SUMIFS($H$1:$H$349,$AS$1:$AS$349,$AS261,$B$1:$B$349,$B261))</f>
        <v/>
      </c>
      <c r="N261" s="0">
        <f>IF($A261="","",SUMIFS($I$1:$I$349,$AS$1:$AS$349,$AS261,$B$1:$B$349,$B261))</f>
        <v/>
      </c>
      <c r="O261" s="0">
        <f>IF($A261="","",SUMIFS($K$1:$K$349,$AS$1:$AS$349,$AS261,$B$1:$B$349,$B261))</f>
        <v/>
      </c>
      <c r="P261" s="0">
        <f>IF($A261="","",SUMIFS($J$1:$J$349,$AS$1:$AS$349,$AS261,$B$1:$B$349,$B261))</f>
        <v/>
      </c>
      <c r="Q261" s="0">
        <f>IF($A261="","",SUMIFS($G$1:$G$349,$AS$1:$AS$349,$AS261,$C$1:$C$349,$C261))</f>
        <v/>
      </c>
      <c r="R261" s="0">
        <f>IF($A261="","",SUMIFS($H$1:$H$349,$AS$1:$AS$349,$AS261,$C$1:$C$349,$C261))</f>
        <v/>
      </c>
      <c r="S261" s="0">
        <f>IF($A261="","",SUMIFS($I$1:$I$349,$AS$1:$AS$349,$AS261,$C$1:$C$349,$C261))</f>
        <v/>
      </c>
      <c r="T261" s="0">
        <f>IF($A261="","",SUMIFS($G$1:$G$349,$AS$1:$AS$349,$AS261))</f>
        <v/>
      </c>
      <c r="U261" s="0">
        <f>IF($A261="","",SUMIFS($H$1:$H$349,$AS$1:$AS$349,$AS261))</f>
        <v/>
      </c>
      <c r="V261" s="0">
        <f>IF($A261="","",SUMIFS($I$1:$I$349,$AS$1:$AS$349,$AS261))</f>
        <v/>
      </c>
      <c r="W261" s="0">
        <f>IF($A261="","",Allocation!CD261)</f>
        <v/>
      </c>
      <c r="X261" s="0">
        <f>IF($A261="","",Allocation!CE261)</f>
        <v/>
      </c>
      <c r="Y261" s="0">
        <f>IF($A261="","",Allocation!CF261)</f>
        <v/>
      </c>
      <c r="Z261" s="0">
        <f>IF($A261="","",Allocation!CG261)</f>
        <v/>
      </c>
      <c r="AA261" s="0">
        <f>IF($A261="","",Allocation!CH261)</f>
        <v/>
      </c>
      <c r="AB261" s="0">
        <f>IF($A261="","",Allocation!CI261)</f>
        <v/>
      </c>
      <c r="AC261" s="0">
        <f>IF($A261="","",IF(Allocation!$N$4="VOL_EFF",$G261,IF(Allocation!$N$4="VOL_CLASS",$H261,$I261)))</f>
        <v/>
      </c>
      <c r="AD261" s="0">
        <f>IF($A261="","",IF(Allocation!$N$4="VOL_EFF",$L261,IF(Allocation!$N$4="VOL_CLASS",$M261,$N261)))</f>
        <v/>
      </c>
      <c r="AE261" s="0">
        <f>IF($A261="","",IF(Allocation!$N$3="VOL_EFF",$L261,IF(Allocation!$N$3="VOL_CLASS",$M261,$N261)))</f>
        <v/>
      </c>
      <c r="AF261" s="0">
        <f>IF($A261="","",IF(Allocation!$N$3="VOL_EFF",$Q261,IF(Allocation!$N$3="VOL_CLASS",$R261,$S261)))</f>
        <v/>
      </c>
      <c r="AG261" s="0">
        <f>IF($A261="","",IF(Allocation!$N$1="VOL_EFF",$Q261,IF(Allocation!$N$1="VOL_CLASS",$R261,$S261)))</f>
        <v/>
      </c>
      <c r="AH261" s="0">
        <f>IF($A261="","",IF(Allocation!$N$1="VOL_EFF",$T261,IF(Allocation!$N$1="VOL_CLASS",$U261,$V261)))</f>
        <v/>
      </c>
      <c r="AI261" s="0">
        <f>IF($A261="","",$W261*IFERROR($K261/$O261,0))</f>
        <v/>
      </c>
      <c r="AJ261" s="0">
        <f>IF($A261="","",$X261*IFERROR($K261/$O261,0))</f>
        <v/>
      </c>
      <c r="AK261" s="0">
        <f>IF($A261="","",$Y261*IFERROR($G261/$L261,0)+$Z261*IFERROR($J261/$P261,0))</f>
        <v/>
      </c>
      <c r="AL261" s="0">
        <f>IF($A261="","",$AA261*IFERROR($AC261/$AD261,0))</f>
        <v/>
      </c>
      <c r="AM261" s="0">
        <f>IF($A261="","",$AB261*IFERROR($AG261/$AH261,0)*IFERROR($AE261/$AF261,0)*IFERROR($AC261/$AD261,0))</f>
        <v/>
      </c>
      <c r="AN261" s="0">
        <f>IF($A261="","",$I261-($AI261+$AJ261+$AK261+$AL261+$AM261+$AR261))</f>
        <v/>
      </c>
      <c r="AO261" s="0">
        <f>IF($A261="","",Allocation!CJ261)</f>
        <v/>
      </c>
      <c r="AP261" s="0">
        <f>IF($A261="","",IF(Allocation!$N$2="VOL_EFF",$Q261,IF(Allocation!$N$2="VOL_CLASS",$R261,$S261)))</f>
        <v/>
      </c>
      <c r="AQ261" s="0">
        <f>IF($A261="","",IF(Allocation!$N$2="VOL_EFF",$T261,IF(Allocation!$N$2="VOL_CLASS",$U261,$V261)))</f>
        <v/>
      </c>
      <c r="AR261" s="0">
        <f>IF($A261="","",$AO261*IFERROR($AP261/$AQ261,0)*IFERROR($AE261/$AF261,0)*IFERROR($AC261/$AD261,0))</f>
        <v/>
      </c>
      <c r="AS261" s="0">
        <f>IF($A261="","",$A261&amp;"|"&amp;Allocation!BG261)</f>
        <v/>
      </c>
    </row>
    <row r="262" ht="14.4975" customHeight="1" s="64">
      <c r="A262" s="0">
        <f>IF(Allocation!BI262="","",Allocation!BI262)</f>
        <v/>
      </c>
      <c r="B262" s="0">
        <f>IF(Allocation!BJ262="","",Allocation!BJ262)</f>
        <v/>
      </c>
      <c r="C262" s="0">
        <f>IF(Allocation!BK262="","",Allocation!BK262)</f>
        <v/>
      </c>
      <c r="D262" s="0">
        <f>IF(Allocation!BL262="","",Allocation!BL262)</f>
        <v/>
      </c>
      <c r="E262" s="0">
        <f>IF(Allocation!BM262="","",Allocation!BM262)</f>
        <v/>
      </c>
      <c r="F262" s="0">
        <f>IF(Allocation!BN262="","",Allocation!BN262)</f>
        <v/>
      </c>
      <c r="G262" s="0">
        <f>IF(Allocation!BO262="","",Allocation!BO262)</f>
        <v/>
      </c>
      <c r="H262" s="0">
        <f>IF(Allocation!BP262="","",Allocation!BP262)</f>
        <v/>
      </c>
      <c r="I262" s="0">
        <f>IF(Allocation!BQ262="","",Allocation!BQ262)</f>
        <v/>
      </c>
      <c r="J262" s="0">
        <f>IF(Allocation!CC262="","",Allocation!CC262)</f>
        <v/>
      </c>
      <c r="K262" s="0">
        <f>IF($A262="","",$H262*IF(AND(LEFT($D262,3)="BAC",$F262="INIT"),600,IF(LEFT($D262,3)="BAC",480,IF(AND(LEFT($D262,3)="MAS",$F262="INIT"),520,IF(LEFT($D262,3)="MAS",420,IF($F262="INIT",1000,700))))))</f>
        <v/>
      </c>
      <c r="L262" s="0">
        <f>IF($A262="","",SUMIFS($G$1:$G$349,$AS$1:$AS$349,$AS262,$B$1:$B$349,$B262))</f>
        <v/>
      </c>
      <c r="M262" s="0">
        <f>IF($A262="","",SUMIFS($H$1:$H$349,$AS$1:$AS$349,$AS262,$B$1:$B$349,$B262))</f>
        <v/>
      </c>
      <c r="N262" s="0">
        <f>IF($A262="","",SUMIFS($I$1:$I$349,$AS$1:$AS$349,$AS262,$B$1:$B$349,$B262))</f>
        <v/>
      </c>
      <c r="O262" s="0">
        <f>IF($A262="","",SUMIFS($K$1:$K$349,$AS$1:$AS$349,$AS262,$B$1:$B$349,$B262))</f>
        <v/>
      </c>
      <c r="P262" s="0">
        <f>IF($A262="","",SUMIFS($J$1:$J$349,$AS$1:$AS$349,$AS262,$B$1:$B$349,$B262))</f>
        <v/>
      </c>
      <c r="Q262" s="0">
        <f>IF($A262="","",SUMIFS($G$1:$G$349,$AS$1:$AS$349,$AS262,$C$1:$C$349,$C262))</f>
        <v/>
      </c>
      <c r="R262" s="0">
        <f>IF($A262="","",SUMIFS($H$1:$H$349,$AS$1:$AS$349,$AS262,$C$1:$C$349,$C262))</f>
        <v/>
      </c>
      <c r="S262" s="0">
        <f>IF($A262="","",SUMIFS($I$1:$I$349,$AS$1:$AS$349,$AS262,$C$1:$C$349,$C262))</f>
        <v/>
      </c>
      <c r="T262" s="0">
        <f>IF($A262="","",SUMIFS($G$1:$G$349,$AS$1:$AS$349,$AS262))</f>
        <v/>
      </c>
      <c r="U262" s="0">
        <f>IF($A262="","",SUMIFS($H$1:$H$349,$AS$1:$AS$349,$AS262))</f>
        <v/>
      </c>
      <c r="V262" s="0">
        <f>IF($A262="","",SUMIFS($I$1:$I$349,$AS$1:$AS$349,$AS262))</f>
        <v/>
      </c>
      <c r="W262" s="0">
        <f>IF($A262="","",Allocation!CD262)</f>
        <v/>
      </c>
      <c r="X262" s="0">
        <f>IF($A262="","",Allocation!CE262)</f>
        <v/>
      </c>
      <c r="Y262" s="0">
        <f>IF($A262="","",Allocation!CF262)</f>
        <v/>
      </c>
      <c r="Z262" s="0">
        <f>IF($A262="","",Allocation!CG262)</f>
        <v/>
      </c>
      <c r="AA262" s="0">
        <f>IF($A262="","",Allocation!CH262)</f>
        <v/>
      </c>
      <c r="AB262" s="0">
        <f>IF($A262="","",Allocation!CI262)</f>
        <v/>
      </c>
      <c r="AC262" s="0">
        <f>IF($A262="","",IF(Allocation!$N$4="VOL_EFF",$G262,IF(Allocation!$N$4="VOL_CLASS",$H262,$I262)))</f>
        <v/>
      </c>
      <c r="AD262" s="0">
        <f>IF($A262="","",IF(Allocation!$N$4="VOL_EFF",$L262,IF(Allocation!$N$4="VOL_CLASS",$M262,$N262)))</f>
        <v/>
      </c>
      <c r="AE262" s="0">
        <f>IF($A262="","",IF(Allocation!$N$3="VOL_EFF",$L262,IF(Allocation!$N$3="VOL_CLASS",$M262,$N262)))</f>
        <v/>
      </c>
      <c r="AF262" s="0">
        <f>IF($A262="","",IF(Allocation!$N$3="VOL_EFF",$Q262,IF(Allocation!$N$3="VOL_CLASS",$R262,$S262)))</f>
        <v/>
      </c>
      <c r="AG262" s="0">
        <f>IF($A262="","",IF(Allocation!$N$1="VOL_EFF",$Q262,IF(Allocation!$N$1="VOL_CLASS",$R262,$S262)))</f>
        <v/>
      </c>
      <c r="AH262" s="0">
        <f>IF($A262="","",IF(Allocation!$N$1="VOL_EFF",$T262,IF(Allocation!$N$1="VOL_CLASS",$U262,$V262)))</f>
        <v/>
      </c>
      <c r="AI262" s="0">
        <f>IF($A262="","",$W262*IFERROR($K262/$O262,0))</f>
        <v/>
      </c>
      <c r="AJ262" s="0">
        <f>IF($A262="","",$X262*IFERROR($K262/$O262,0))</f>
        <v/>
      </c>
      <c r="AK262" s="0">
        <f>IF($A262="","",$Y262*IFERROR($G262/$L262,0)+$Z262*IFERROR($J262/$P262,0))</f>
        <v/>
      </c>
      <c r="AL262" s="0">
        <f>IF($A262="","",$AA262*IFERROR($AC262/$AD262,0))</f>
        <v/>
      </c>
      <c r="AM262" s="0">
        <f>IF($A262="","",$AB262*IFERROR($AG262/$AH262,0)*IFERROR($AE262/$AF262,0)*IFERROR($AC262/$AD262,0))</f>
        <v/>
      </c>
      <c r="AN262" s="0">
        <f>IF($A262="","",$I262-($AI262+$AJ262+$AK262+$AL262+$AM262+$AR262))</f>
        <v/>
      </c>
      <c r="AO262" s="0">
        <f>IF($A262="","",Allocation!CJ262)</f>
        <v/>
      </c>
      <c r="AP262" s="0">
        <f>IF($A262="","",IF(Allocation!$N$2="VOL_EFF",$Q262,IF(Allocation!$N$2="VOL_CLASS",$R262,$S262)))</f>
        <v/>
      </c>
      <c r="AQ262" s="0">
        <f>IF($A262="","",IF(Allocation!$N$2="VOL_EFF",$T262,IF(Allocation!$N$2="VOL_CLASS",$U262,$V262)))</f>
        <v/>
      </c>
      <c r="AR262" s="0">
        <f>IF($A262="","",$AO262*IFERROR($AP262/$AQ262,0)*IFERROR($AE262/$AF262,0)*IFERROR($AC262/$AD262,0))</f>
        <v/>
      </c>
      <c r="AS262" s="0">
        <f>IF($A262="","",$A262&amp;"|"&amp;Allocation!BG262)</f>
        <v/>
      </c>
    </row>
    <row r="263" ht="14.4975" customHeight="1" s="64">
      <c r="A263" s="0">
        <f>IF(Allocation!BI263="","",Allocation!BI263)</f>
        <v/>
      </c>
      <c r="B263" s="0">
        <f>IF(Allocation!BJ263="","",Allocation!BJ263)</f>
        <v/>
      </c>
      <c r="C263" s="0">
        <f>IF(Allocation!BK263="","",Allocation!BK263)</f>
        <v/>
      </c>
      <c r="D263" s="0">
        <f>IF(Allocation!BL263="","",Allocation!BL263)</f>
        <v/>
      </c>
      <c r="E263" s="0">
        <f>IF(Allocation!BM263="","",Allocation!BM263)</f>
        <v/>
      </c>
      <c r="F263" s="0">
        <f>IF(Allocation!BN263="","",Allocation!BN263)</f>
        <v/>
      </c>
      <c r="G263" s="0">
        <f>IF(Allocation!BO263="","",Allocation!BO263)</f>
        <v/>
      </c>
      <c r="H263" s="0">
        <f>IF(Allocation!BP263="","",Allocation!BP263)</f>
        <v/>
      </c>
      <c r="I263" s="0">
        <f>IF(Allocation!BQ263="","",Allocation!BQ263)</f>
        <v/>
      </c>
      <c r="J263" s="0">
        <f>IF(Allocation!CC263="","",Allocation!CC263)</f>
        <v/>
      </c>
      <c r="K263" s="0">
        <f>IF($A263="","",$H263*IF(AND(LEFT($D263,3)="BAC",$F263="INIT"),600,IF(LEFT($D263,3)="BAC",480,IF(AND(LEFT($D263,3)="MAS",$F263="INIT"),520,IF(LEFT($D263,3)="MAS",420,IF($F263="INIT",1000,700))))))</f>
        <v/>
      </c>
      <c r="L263" s="0">
        <f>IF($A263="","",SUMIFS($G$1:$G$349,$AS$1:$AS$349,$AS263,$B$1:$B$349,$B263))</f>
        <v/>
      </c>
      <c r="M263" s="0">
        <f>IF($A263="","",SUMIFS($H$1:$H$349,$AS$1:$AS$349,$AS263,$B$1:$B$349,$B263))</f>
        <v/>
      </c>
      <c r="N263" s="0">
        <f>IF($A263="","",SUMIFS($I$1:$I$349,$AS$1:$AS$349,$AS263,$B$1:$B$349,$B263))</f>
        <v/>
      </c>
      <c r="O263" s="0">
        <f>IF($A263="","",SUMIFS($K$1:$K$349,$AS$1:$AS$349,$AS263,$B$1:$B$349,$B263))</f>
        <v/>
      </c>
      <c r="P263" s="0">
        <f>IF($A263="","",SUMIFS($J$1:$J$349,$AS$1:$AS$349,$AS263,$B$1:$B$349,$B263))</f>
        <v/>
      </c>
      <c r="Q263" s="0">
        <f>IF($A263="","",SUMIFS($G$1:$G$349,$AS$1:$AS$349,$AS263,$C$1:$C$349,$C263))</f>
        <v/>
      </c>
      <c r="R263" s="0">
        <f>IF($A263="","",SUMIFS($H$1:$H$349,$AS$1:$AS$349,$AS263,$C$1:$C$349,$C263))</f>
        <v/>
      </c>
      <c r="S263" s="0">
        <f>IF($A263="","",SUMIFS($I$1:$I$349,$AS$1:$AS$349,$AS263,$C$1:$C$349,$C263))</f>
        <v/>
      </c>
      <c r="T263" s="0">
        <f>IF($A263="","",SUMIFS($G$1:$G$349,$AS$1:$AS$349,$AS263))</f>
        <v/>
      </c>
      <c r="U263" s="0">
        <f>IF($A263="","",SUMIFS($H$1:$H$349,$AS$1:$AS$349,$AS263))</f>
        <v/>
      </c>
      <c r="V263" s="0">
        <f>IF($A263="","",SUMIFS($I$1:$I$349,$AS$1:$AS$349,$AS263))</f>
        <v/>
      </c>
      <c r="W263" s="0">
        <f>IF($A263="","",Allocation!CD263)</f>
        <v/>
      </c>
      <c r="X263" s="0">
        <f>IF($A263="","",Allocation!CE263)</f>
        <v/>
      </c>
      <c r="Y263" s="0">
        <f>IF($A263="","",Allocation!CF263)</f>
        <v/>
      </c>
      <c r="Z263" s="0">
        <f>IF($A263="","",Allocation!CG263)</f>
        <v/>
      </c>
      <c r="AA263" s="0">
        <f>IF($A263="","",Allocation!CH263)</f>
        <v/>
      </c>
      <c r="AB263" s="0">
        <f>IF($A263="","",Allocation!CI263)</f>
        <v/>
      </c>
      <c r="AC263" s="0">
        <f>IF($A263="","",IF(Allocation!$N$4="VOL_EFF",$G263,IF(Allocation!$N$4="VOL_CLASS",$H263,$I263)))</f>
        <v/>
      </c>
      <c r="AD263" s="0">
        <f>IF($A263="","",IF(Allocation!$N$4="VOL_EFF",$L263,IF(Allocation!$N$4="VOL_CLASS",$M263,$N263)))</f>
        <v/>
      </c>
      <c r="AE263" s="0">
        <f>IF($A263="","",IF(Allocation!$N$3="VOL_EFF",$L263,IF(Allocation!$N$3="VOL_CLASS",$M263,$N263)))</f>
        <v/>
      </c>
      <c r="AF263" s="0">
        <f>IF($A263="","",IF(Allocation!$N$3="VOL_EFF",$Q263,IF(Allocation!$N$3="VOL_CLASS",$R263,$S263)))</f>
        <v/>
      </c>
      <c r="AG263" s="0">
        <f>IF($A263="","",IF(Allocation!$N$1="VOL_EFF",$Q263,IF(Allocation!$N$1="VOL_CLASS",$R263,$S263)))</f>
        <v/>
      </c>
      <c r="AH263" s="0">
        <f>IF($A263="","",IF(Allocation!$N$1="VOL_EFF",$T263,IF(Allocation!$N$1="VOL_CLASS",$U263,$V263)))</f>
        <v/>
      </c>
      <c r="AI263" s="0">
        <f>IF($A263="","",$W263*IFERROR($K263/$O263,0))</f>
        <v/>
      </c>
      <c r="AJ263" s="0">
        <f>IF($A263="","",$X263*IFERROR($K263/$O263,0))</f>
        <v/>
      </c>
      <c r="AK263" s="0">
        <f>IF($A263="","",$Y263*IFERROR($G263/$L263,0)+$Z263*IFERROR($J263/$P263,0))</f>
        <v/>
      </c>
      <c r="AL263" s="0">
        <f>IF($A263="","",$AA263*IFERROR($AC263/$AD263,0))</f>
        <v/>
      </c>
      <c r="AM263" s="0">
        <f>IF($A263="","",$AB263*IFERROR($AG263/$AH263,0)*IFERROR($AE263/$AF263,0)*IFERROR($AC263/$AD263,0))</f>
        <v/>
      </c>
      <c r="AN263" s="0">
        <f>IF($A263="","",$I263-($AI263+$AJ263+$AK263+$AL263+$AM263+$AR263))</f>
        <v/>
      </c>
      <c r="AO263" s="0">
        <f>IF($A263="","",Allocation!CJ263)</f>
        <v/>
      </c>
      <c r="AP263" s="0">
        <f>IF($A263="","",IF(Allocation!$N$2="VOL_EFF",$Q263,IF(Allocation!$N$2="VOL_CLASS",$R263,$S263)))</f>
        <v/>
      </c>
      <c r="AQ263" s="0">
        <f>IF($A263="","",IF(Allocation!$N$2="VOL_EFF",$T263,IF(Allocation!$N$2="VOL_CLASS",$U263,$V263)))</f>
        <v/>
      </c>
      <c r="AR263" s="0">
        <f>IF($A263="","",$AO263*IFERROR($AP263/$AQ263,0)*IFERROR($AE263/$AF263,0)*IFERROR($AC263/$AD263,0))</f>
        <v/>
      </c>
      <c r="AS263" s="0">
        <f>IF($A263="","",$A263&amp;"|"&amp;Allocation!BG263)</f>
        <v/>
      </c>
    </row>
    <row r="264" ht="14.4975" customHeight="1" s="64">
      <c r="A264" s="0">
        <f>IF(Allocation!BI264="","",Allocation!BI264)</f>
        <v/>
      </c>
      <c r="B264" s="0">
        <f>IF(Allocation!BJ264="","",Allocation!BJ264)</f>
        <v/>
      </c>
      <c r="C264" s="0">
        <f>IF(Allocation!BK264="","",Allocation!BK264)</f>
        <v/>
      </c>
      <c r="D264" s="0">
        <f>IF(Allocation!BL264="","",Allocation!BL264)</f>
        <v/>
      </c>
      <c r="E264" s="0">
        <f>IF(Allocation!BM264="","",Allocation!BM264)</f>
        <v/>
      </c>
      <c r="F264" s="0">
        <f>IF(Allocation!BN264="","",Allocation!BN264)</f>
        <v/>
      </c>
      <c r="G264" s="0">
        <f>IF(Allocation!BO264="","",Allocation!BO264)</f>
        <v/>
      </c>
      <c r="H264" s="0">
        <f>IF(Allocation!BP264="","",Allocation!BP264)</f>
        <v/>
      </c>
      <c r="I264" s="0">
        <f>IF(Allocation!BQ264="","",Allocation!BQ264)</f>
        <v/>
      </c>
      <c r="J264" s="0">
        <f>IF(Allocation!CC264="","",Allocation!CC264)</f>
        <v/>
      </c>
      <c r="K264" s="0">
        <f>IF($A264="","",$H264*IF(AND(LEFT($D264,3)="BAC",$F264="INIT"),600,IF(LEFT($D264,3)="BAC",480,IF(AND(LEFT($D264,3)="MAS",$F264="INIT"),520,IF(LEFT($D264,3)="MAS",420,IF($F264="INIT",1000,700))))))</f>
        <v/>
      </c>
      <c r="L264" s="0">
        <f>IF($A264="","",SUMIFS($G$1:$G$349,$AS$1:$AS$349,$AS264,$B$1:$B$349,$B264))</f>
        <v/>
      </c>
      <c r="M264" s="0">
        <f>IF($A264="","",SUMIFS($H$1:$H$349,$AS$1:$AS$349,$AS264,$B$1:$B$349,$B264))</f>
        <v/>
      </c>
      <c r="N264" s="0">
        <f>IF($A264="","",SUMIFS($I$1:$I$349,$AS$1:$AS$349,$AS264,$B$1:$B$349,$B264))</f>
        <v/>
      </c>
      <c r="O264" s="0">
        <f>IF($A264="","",SUMIFS($K$1:$K$349,$AS$1:$AS$349,$AS264,$B$1:$B$349,$B264))</f>
        <v/>
      </c>
      <c r="P264" s="0">
        <f>IF($A264="","",SUMIFS($J$1:$J$349,$AS$1:$AS$349,$AS264,$B$1:$B$349,$B264))</f>
        <v/>
      </c>
      <c r="Q264" s="0">
        <f>IF($A264="","",SUMIFS($G$1:$G$349,$AS$1:$AS$349,$AS264,$C$1:$C$349,$C264))</f>
        <v/>
      </c>
      <c r="R264" s="0">
        <f>IF($A264="","",SUMIFS($H$1:$H$349,$AS$1:$AS$349,$AS264,$C$1:$C$349,$C264))</f>
        <v/>
      </c>
      <c r="S264" s="0">
        <f>IF($A264="","",SUMIFS($I$1:$I$349,$AS$1:$AS$349,$AS264,$C$1:$C$349,$C264))</f>
        <v/>
      </c>
      <c r="T264" s="0">
        <f>IF($A264="","",SUMIFS($G$1:$G$349,$AS$1:$AS$349,$AS264))</f>
        <v/>
      </c>
      <c r="U264" s="0">
        <f>IF($A264="","",SUMIFS($H$1:$H$349,$AS$1:$AS$349,$AS264))</f>
        <v/>
      </c>
      <c r="V264" s="0">
        <f>IF($A264="","",SUMIFS($I$1:$I$349,$AS$1:$AS$349,$AS264))</f>
        <v/>
      </c>
      <c r="W264" s="0">
        <f>IF($A264="","",Allocation!CD264)</f>
        <v/>
      </c>
      <c r="X264" s="0">
        <f>IF($A264="","",Allocation!CE264)</f>
        <v/>
      </c>
      <c r="Y264" s="0">
        <f>IF($A264="","",Allocation!CF264)</f>
        <v/>
      </c>
      <c r="Z264" s="0">
        <f>IF($A264="","",Allocation!CG264)</f>
        <v/>
      </c>
      <c r="AA264" s="0">
        <f>IF($A264="","",Allocation!CH264)</f>
        <v/>
      </c>
      <c r="AB264" s="0">
        <f>IF($A264="","",Allocation!CI264)</f>
        <v/>
      </c>
      <c r="AC264" s="0">
        <f>IF($A264="","",IF(Allocation!$N$4="VOL_EFF",$G264,IF(Allocation!$N$4="VOL_CLASS",$H264,$I264)))</f>
        <v/>
      </c>
      <c r="AD264" s="0">
        <f>IF($A264="","",IF(Allocation!$N$4="VOL_EFF",$L264,IF(Allocation!$N$4="VOL_CLASS",$M264,$N264)))</f>
        <v/>
      </c>
      <c r="AE264" s="0">
        <f>IF($A264="","",IF(Allocation!$N$3="VOL_EFF",$L264,IF(Allocation!$N$3="VOL_CLASS",$M264,$N264)))</f>
        <v/>
      </c>
      <c r="AF264" s="0">
        <f>IF($A264="","",IF(Allocation!$N$3="VOL_EFF",$Q264,IF(Allocation!$N$3="VOL_CLASS",$R264,$S264)))</f>
        <v/>
      </c>
      <c r="AG264" s="0">
        <f>IF($A264="","",IF(Allocation!$N$1="VOL_EFF",$Q264,IF(Allocation!$N$1="VOL_CLASS",$R264,$S264)))</f>
        <v/>
      </c>
      <c r="AH264" s="0">
        <f>IF($A264="","",IF(Allocation!$N$1="VOL_EFF",$T264,IF(Allocation!$N$1="VOL_CLASS",$U264,$V264)))</f>
        <v/>
      </c>
      <c r="AI264" s="0">
        <f>IF($A264="","",$W264*IFERROR($K264/$O264,0))</f>
        <v/>
      </c>
      <c r="AJ264" s="0">
        <f>IF($A264="","",$X264*IFERROR($K264/$O264,0))</f>
        <v/>
      </c>
      <c r="AK264" s="0">
        <f>IF($A264="","",$Y264*IFERROR($G264/$L264,0)+$Z264*IFERROR($J264/$P264,0))</f>
        <v/>
      </c>
      <c r="AL264" s="0">
        <f>IF($A264="","",$AA264*IFERROR($AC264/$AD264,0))</f>
        <v/>
      </c>
      <c r="AM264" s="0">
        <f>IF($A264="","",$AB264*IFERROR($AG264/$AH264,0)*IFERROR($AE264/$AF264,0)*IFERROR($AC264/$AD264,0))</f>
        <v/>
      </c>
      <c r="AN264" s="0">
        <f>IF($A264="","",$I264-($AI264+$AJ264+$AK264+$AL264+$AM264+$AR264))</f>
        <v/>
      </c>
      <c r="AO264" s="0">
        <f>IF($A264="","",Allocation!CJ264)</f>
        <v/>
      </c>
      <c r="AP264" s="0">
        <f>IF($A264="","",IF(Allocation!$N$2="VOL_EFF",$Q264,IF(Allocation!$N$2="VOL_CLASS",$R264,$S264)))</f>
        <v/>
      </c>
      <c r="AQ264" s="0">
        <f>IF($A264="","",IF(Allocation!$N$2="VOL_EFF",$T264,IF(Allocation!$N$2="VOL_CLASS",$U264,$V264)))</f>
        <v/>
      </c>
      <c r="AR264" s="0">
        <f>IF($A264="","",$AO264*IFERROR($AP264/$AQ264,0)*IFERROR($AE264/$AF264,0)*IFERROR($AC264/$AD264,0))</f>
        <v/>
      </c>
      <c r="AS264" s="0">
        <f>IF($A264="","",$A264&amp;"|"&amp;Allocation!BG264)</f>
        <v/>
      </c>
    </row>
    <row r="265" ht="14.4975" customHeight="1" s="64">
      <c r="A265" s="0">
        <f>IF(Allocation!BI265="","",Allocation!BI265)</f>
        <v/>
      </c>
      <c r="B265" s="0">
        <f>IF(Allocation!BJ265="","",Allocation!BJ265)</f>
        <v/>
      </c>
      <c r="C265" s="0">
        <f>IF(Allocation!BK265="","",Allocation!BK265)</f>
        <v/>
      </c>
      <c r="D265" s="0">
        <f>IF(Allocation!BL265="","",Allocation!BL265)</f>
        <v/>
      </c>
      <c r="E265" s="0">
        <f>IF(Allocation!BM265="","",Allocation!BM265)</f>
        <v/>
      </c>
      <c r="F265" s="0">
        <f>IF(Allocation!BN265="","",Allocation!BN265)</f>
        <v/>
      </c>
      <c r="G265" s="0">
        <f>IF(Allocation!BO265="","",Allocation!BO265)</f>
        <v/>
      </c>
      <c r="H265" s="0">
        <f>IF(Allocation!BP265="","",Allocation!BP265)</f>
        <v/>
      </c>
      <c r="I265" s="0">
        <f>IF(Allocation!BQ265="","",Allocation!BQ265)</f>
        <v/>
      </c>
      <c r="J265" s="0">
        <f>IF(Allocation!CC265="","",Allocation!CC265)</f>
        <v/>
      </c>
      <c r="K265" s="0">
        <f>IF($A265="","",$H265*IF(AND(LEFT($D265,3)="BAC",$F265="INIT"),600,IF(LEFT($D265,3)="BAC",480,IF(AND(LEFT($D265,3)="MAS",$F265="INIT"),520,IF(LEFT($D265,3)="MAS",420,IF($F265="INIT",1000,700))))))</f>
        <v/>
      </c>
      <c r="L265" s="0">
        <f>IF($A265="","",SUMIFS($G$1:$G$349,$AS$1:$AS$349,$AS265,$B$1:$B$349,$B265))</f>
        <v/>
      </c>
      <c r="M265" s="0">
        <f>IF($A265="","",SUMIFS($H$1:$H$349,$AS$1:$AS$349,$AS265,$B$1:$B$349,$B265))</f>
        <v/>
      </c>
      <c r="N265" s="0">
        <f>IF($A265="","",SUMIFS($I$1:$I$349,$AS$1:$AS$349,$AS265,$B$1:$B$349,$B265))</f>
        <v/>
      </c>
      <c r="O265" s="0">
        <f>IF($A265="","",SUMIFS($K$1:$K$349,$AS$1:$AS$349,$AS265,$B$1:$B$349,$B265))</f>
        <v/>
      </c>
      <c r="P265" s="0">
        <f>IF($A265="","",SUMIFS($J$1:$J$349,$AS$1:$AS$349,$AS265,$B$1:$B$349,$B265))</f>
        <v/>
      </c>
      <c r="Q265" s="0">
        <f>IF($A265="","",SUMIFS($G$1:$G$349,$AS$1:$AS$349,$AS265,$C$1:$C$349,$C265))</f>
        <v/>
      </c>
      <c r="R265" s="0">
        <f>IF($A265="","",SUMIFS($H$1:$H$349,$AS$1:$AS$349,$AS265,$C$1:$C$349,$C265))</f>
        <v/>
      </c>
      <c r="S265" s="0">
        <f>IF($A265="","",SUMIFS($I$1:$I$349,$AS$1:$AS$349,$AS265,$C$1:$C$349,$C265))</f>
        <v/>
      </c>
      <c r="T265" s="0">
        <f>IF($A265="","",SUMIFS($G$1:$G$349,$AS$1:$AS$349,$AS265))</f>
        <v/>
      </c>
      <c r="U265" s="0">
        <f>IF($A265="","",SUMIFS($H$1:$H$349,$AS$1:$AS$349,$AS265))</f>
        <v/>
      </c>
      <c r="V265" s="0">
        <f>IF($A265="","",SUMIFS($I$1:$I$349,$AS$1:$AS$349,$AS265))</f>
        <v/>
      </c>
      <c r="W265" s="0">
        <f>IF($A265="","",Allocation!CD265)</f>
        <v/>
      </c>
      <c r="X265" s="0">
        <f>IF($A265="","",Allocation!CE265)</f>
        <v/>
      </c>
      <c r="Y265" s="0">
        <f>IF($A265="","",Allocation!CF265)</f>
        <v/>
      </c>
      <c r="Z265" s="0">
        <f>IF($A265="","",Allocation!CG265)</f>
        <v/>
      </c>
      <c r="AA265" s="0">
        <f>IF($A265="","",Allocation!CH265)</f>
        <v/>
      </c>
      <c r="AB265" s="0">
        <f>IF($A265="","",Allocation!CI265)</f>
        <v/>
      </c>
      <c r="AC265" s="0">
        <f>IF($A265="","",IF(Allocation!$N$4="VOL_EFF",$G265,IF(Allocation!$N$4="VOL_CLASS",$H265,$I265)))</f>
        <v/>
      </c>
      <c r="AD265" s="0">
        <f>IF($A265="","",IF(Allocation!$N$4="VOL_EFF",$L265,IF(Allocation!$N$4="VOL_CLASS",$M265,$N265)))</f>
        <v/>
      </c>
      <c r="AE265" s="0">
        <f>IF($A265="","",IF(Allocation!$N$3="VOL_EFF",$L265,IF(Allocation!$N$3="VOL_CLASS",$M265,$N265)))</f>
        <v/>
      </c>
      <c r="AF265" s="0">
        <f>IF($A265="","",IF(Allocation!$N$3="VOL_EFF",$Q265,IF(Allocation!$N$3="VOL_CLASS",$R265,$S265)))</f>
        <v/>
      </c>
      <c r="AG265" s="0">
        <f>IF($A265="","",IF(Allocation!$N$1="VOL_EFF",$Q265,IF(Allocation!$N$1="VOL_CLASS",$R265,$S265)))</f>
        <v/>
      </c>
      <c r="AH265" s="0">
        <f>IF($A265="","",IF(Allocation!$N$1="VOL_EFF",$T265,IF(Allocation!$N$1="VOL_CLASS",$U265,$V265)))</f>
        <v/>
      </c>
      <c r="AI265" s="0">
        <f>IF($A265="","",$W265*IFERROR($K265/$O265,0))</f>
        <v/>
      </c>
      <c r="AJ265" s="0">
        <f>IF($A265="","",$X265*IFERROR($K265/$O265,0))</f>
        <v/>
      </c>
      <c r="AK265" s="0">
        <f>IF($A265="","",$Y265*IFERROR($G265/$L265,0)+$Z265*IFERROR($J265/$P265,0))</f>
        <v/>
      </c>
      <c r="AL265" s="0">
        <f>IF($A265="","",$AA265*IFERROR($AC265/$AD265,0))</f>
        <v/>
      </c>
      <c r="AM265" s="0">
        <f>IF($A265="","",$AB265*IFERROR($AG265/$AH265,0)*IFERROR($AE265/$AF265,0)*IFERROR($AC265/$AD265,0))</f>
        <v/>
      </c>
      <c r="AN265" s="0">
        <f>IF($A265="","",$I265-($AI265+$AJ265+$AK265+$AL265+$AM265+$AR265))</f>
        <v/>
      </c>
      <c r="AO265" s="0">
        <f>IF($A265="","",Allocation!CJ265)</f>
        <v/>
      </c>
      <c r="AP265" s="0">
        <f>IF($A265="","",IF(Allocation!$N$2="VOL_EFF",$Q265,IF(Allocation!$N$2="VOL_CLASS",$R265,$S265)))</f>
        <v/>
      </c>
      <c r="AQ265" s="0">
        <f>IF($A265="","",IF(Allocation!$N$2="VOL_EFF",$T265,IF(Allocation!$N$2="VOL_CLASS",$U265,$V265)))</f>
        <v/>
      </c>
      <c r="AR265" s="0">
        <f>IF($A265="","",$AO265*IFERROR($AP265/$AQ265,0)*IFERROR($AE265/$AF265,0)*IFERROR($AC265/$AD265,0))</f>
        <v/>
      </c>
      <c r="AS265" s="0">
        <f>IF($A265="","",$A265&amp;"|"&amp;Allocation!BG265)</f>
        <v/>
      </c>
    </row>
    <row r="266" ht="14.4975" customHeight="1" s="64">
      <c r="A266" s="0">
        <f>IF(Allocation!BI266="","",Allocation!BI266)</f>
        <v/>
      </c>
      <c r="B266" s="0">
        <f>IF(Allocation!BJ266="","",Allocation!BJ266)</f>
        <v/>
      </c>
      <c r="C266" s="0">
        <f>IF(Allocation!BK266="","",Allocation!BK266)</f>
        <v/>
      </c>
      <c r="D266" s="0">
        <f>IF(Allocation!BL266="","",Allocation!BL266)</f>
        <v/>
      </c>
      <c r="E266" s="0">
        <f>IF(Allocation!BM266="","",Allocation!BM266)</f>
        <v/>
      </c>
      <c r="F266" s="0">
        <f>IF(Allocation!BN266="","",Allocation!BN266)</f>
        <v/>
      </c>
      <c r="G266" s="0">
        <f>IF(Allocation!BO266="","",Allocation!BO266)</f>
        <v/>
      </c>
      <c r="H266" s="0">
        <f>IF(Allocation!BP266="","",Allocation!BP266)</f>
        <v/>
      </c>
      <c r="I266" s="0">
        <f>IF(Allocation!BQ266="","",Allocation!BQ266)</f>
        <v/>
      </c>
      <c r="J266" s="0">
        <f>IF(Allocation!CC266="","",Allocation!CC266)</f>
        <v/>
      </c>
      <c r="K266" s="0">
        <f>IF($A266="","",$H266*IF(AND(LEFT($D266,3)="BAC",$F266="INIT"),600,IF(LEFT($D266,3)="BAC",480,IF(AND(LEFT($D266,3)="MAS",$F266="INIT"),520,IF(LEFT($D266,3)="MAS",420,IF($F266="INIT",1000,700))))))</f>
        <v/>
      </c>
      <c r="L266" s="0">
        <f>IF($A266="","",SUMIFS($G$1:$G$349,$AS$1:$AS$349,$AS266,$B$1:$B$349,$B266))</f>
        <v/>
      </c>
      <c r="M266" s="0">
        <f>IF($A266="","",SUMIFS($H$1:$H$349,$AS$1:$AS$349,$AS266,$B$1:$B$349,$B266))</f>
        <v/>
      </c>
      <c r="N266" s="0">
        <f>IF($A266="","",SUMIFS($I$1:$I$349,$AS$1:$AS$349,$AS266,$B$1:$B$349,$B266))</f>
        <v/>
      </c>
      <c r="O266" s="0">
        <f>IF($A266="","",SUMIFS($K$1:$K$349,$AS$1:$AS$349,$AS266,$B$1:$B$349,$B266))</f>
        <v/>
      </c>
      <c r="P266" s="0">
        <f>IF($A266="","",SUMIFS($J$1:$J$349,$AS$1:$AS$349,$AS266,$B$1:$B$349,$B266))</f>
        <v/>
      </c>
      <c r="Q266" s="0">
        <f>IF($A266="","",SUMIFS($G$1:$G$349,$AS$1:$AS$349,$AS266,$C$1:$C$349,$C266))</f>
        <v/>
      </c>
      <c r="R266" s="0">
        <f>IF($A266="","",SUMIFS($H$1:$H$349,$AS$1:$AS$349,$AS266,$C$1:$C$349,$C266))</f>
        <v/>
      </c>
      <c r="S266" s="0">
        <f>IF($A266="","",SUMIFS($I$1:$I$349,$AS$1:$AS$349,$AS266,$C$1:$C$349,$C266))</f>
        <v/>
      </c>
      <c r="T266" s="0">
        <f>IF($A266="","",SUMIFS($G$1:$G$349,$AS$1:$AS$349,$AS266))</f>
        <v/>
      </c>
      <c r="U266" s="0">
        <f>IF($A266="","",SUMIFS($H$1:$H$349,$AS$1:$AS$349,$AS266))</f>
        <v/>
      </c>
      <c r="V266" s="0">
        <f>IF($A266="","",SUMIFS($I$1:$I$349,$AS$1:$AS$349,$AS266))</f>
        <v/>
      </c>
      <c r="W266" s="0">
        <f>IF($A266="","",Allocation!CD266)</f>
        <v/>
      </c>
      <c r="X266" s="0">
        <f>IF($A266="","",Allocation!CE266)</f>
        <v/>
      </c>
      <c r="Y266" s="0">
        <f>IF($A266="","",Allocation!CF266)</f>
        <v/>
      </c>
      <c r="Z266" s="0">
        <f>IF($A266="","",Allocation!CG266)</f>
        <v/>
      </c>
      <c r="AA266" s="0">
        <f>IF($A266="","",Allocation!CH266)</f>
        <v/>
      </c>
      <c r="AB266" s="0">
        <f>IF($A266="","",Allocation!CI266)</f>
        <v/>
      </c>
      <c r="AC266" s="0">
        <f>IF($A266="","",IF(Allocation!$N$4="VOL_EFF",$G266,IF(Allocation!$N$4="VOL_CLASS",$H266,$I266)))</f>
        <v/>
      </c>
      <c r="AD266" s="0">
        <f>IF($A266="","",IF(Allocation!$N$4="VOL_EFF",$L266,IF(Allocation!$N$4="VOL_CLASS",$M266,$N266)))</f>
        <v/>
      </c>
      <c r="AE266" s="0">
        <f>IF($A266="","",IF(Allocation!$N$3="VOL_EFF",$L266,IF(Allocation!$N$3="VOL_CLASS",$M266,$N266)))</f>
        <v/>
      </c>
      <c r="AF266" s="0">
        <f>IF($A266="","",IF(Allocation!$N$3="VOL_EFF",$Q266,IF(Allocation!$N$3="VOL_CLASS",$R266,$S266)))</f>
        <v/>
      </c>
      <c r="AG266" s="0">
        <f>IF($A266="","",IF(Allocation!$N$1="VOL_EFF",$Q266,IF(Allocation!$N$1="VOL_CLASS",$R266,$S266)))</f>
        <v/>
      </c>
      <c r="AH266" s="0">
        <f>IF($A266="","",IF(Allocation!$N$1="VOL_EFF",$T266,IF(Allocation!$N$1="VOL_CLASS",$U266,$V266)))</f>
        <v/>
      </c>
      <c r="AI266" s="0">
        <f>IF($A266="","",$W266*IFERROR($K266/$O266,0))</f>
        <v/>
      </c>
      <c r="AJ266" s="0">
        <f>IF($A266="","",$X266*IFERROR($K266/$O266,0))</f>
        <v/>
      </c>
      <c r="AK266" s="0">
        <f>IF($A266="","",$Y266*IFERROR($G266/$L266,0)+$Z266*IFERROR($J266/$P266,0))</f>
        <v/>
      </c>
      <c r="AL266" s="0">
        <f>IF($A266="","",$AA266*IFERROR($AC266/$AD266,0))</f>
        <v/>
      </c>
      <c r="AM266" s="0">
        <f>IF($A266="","",$AB266*IFERROR($AG266/$AH266,0)*IFERROR($AE266/$AF266,0)*IFERROR($AC266/$AD266,0))</f>
        <v/>
      </c>
      <c r="AN266" s="0">
        <f>IF($A266="","",$I266-($AI266+$AJ266+$AK266+$AL266+$AM266+$AR266))</f>
        <v/>
      </c>
      <c r="AO266" s="0">
        <f>IF($A266="","",Allocation!CJ266)</f>
        <v/>
      </c>
      <c r="AP266" s="0">
        <f>IF($A266="","",IF(Allocation!$N$2="VOL_EFF",$Q266,IF(Allocation!$N$2="VOL_CLASS",$R266,$S266)))</f>
        <v/>
      </c>
      <c r="AQ266" s="0">
        <f>IF($A266="","",IF(Allocation!$N$2="VOL_EFF",$T266,IF(Allocation!$N$2="VOL_CLASS",$U266,$V266)))</f>
        <v/>
      </c>
      <c r="AR266" s="0">
        <f>IF($A266="","",$AO266*IFERROR($AP266/$AQ266,0)*IFERROR($AE266/$AF266,0)*IFERROR($AC266/$AD266,0))</f>
        <v/>
      </c>
      <c r="AS266" s="0">
        <f>IF($A266="","",$A266&amp;"|"&amp;Allocation!BG266)</f>
        <v/>
      </c>
    </row>
    <row r="267" ht="14.4975" customHeight="1" s="64">
      <c r="A267" s="0">
        <f>IF(Allocation!BI267="","",Allocation!BI267)</f>
        <v/>
      </c>
      <c r="B267" s="0">
        <f>IF(Allocation!BJ267="","",Allocation!BJ267)</f>
        <v/>
      </c>
      <c r="C267" s="0">
        <f>IF(Allocation!BK267="","",Allocation!BK267)</f>
        <v/>
      </c>
      <c r="D267" s="0">
        <f>IF(Allocation!BL267="","",Allocation!BL267)</f>
        <v/>
      </c>
      <c r="E267" s="0">
        <f>IF(Allocation!BM267="","",Allocation!BM267)</f>
        <v/>
      </c>
      <c r="F267" s="0">
        <f>IF(Allocation!BN267="","",Allocation!BN267)</f>
        <v/>
      </c>
      <c r="G267" s="0">
        <f>IF(Allocation!BO267="","",Allocation!BO267)</f>
        <v/>
      </c>
      <c r="H267" s="0">
        <f>IF(Allocation!BP267="","",Allocation!BP267)</f>
        <v/>
      </c>
      <c r="I267" s="0">
        <f>IF(Allocation!BQ267="","",Allocation!BQ267)</f>
        <v/>
      </c>
      <c r="J267" s="0">
        <f>IF(Allocation!CC267="","",Allocation!CC267)</f>
        <v/>
      </c>
      <c r="K267" s="0">
        <f>IF($A267="","",$H267*IF(AND(LEFT($D267,3)="BAC",$F267="INIT"),600,IF(LEFT($D267,3)="BAC",480,IF(AND(LEFT($D267,3)="MAS",$F267="INIT"),520,IF(LEFT($D267,3)="MAS",420,IF($F267="INIT",1000,700))))))</f>
        <v/>
      </c>
      <c r="L267" s="0">
        <f>IF($A267="","",SUMIFS($G$1:$G$349,$AS$1:$AS$349,$AS267,$B$1:$B$349,$B267))</f>
        <v/>
      </c>
      <c r="M267" s="0">
        <f>IF($A267="","",SUMIFS($H$1:$H$349,$AS$1:$AS$349,$AS267,$B$1:$B$349,$B267))</f>
        <v/>
      </c>
      <c r="N267" s="0">
        <f>IF($A267="","",SUMIFS($I$1:$I$349,$AS$1:$AS$349,$AS267,$B$1:$B$349,$B267))</f>
        <v/>
      </c>
      <c r="O267" s="0">
        <f>IF($A267="","",SUMIFS($K$1:$K$349,$AS$1:$AS$349,$AS267,$B$1:$B$349,$B267))</f>
        <v/>
      </c>
      <c r="P267" s="0">
        <f>IF($A267="","",SUMIFS($J$1:$J$349,$AS$1:$AS$349,$AS267,$B$1:$B$349,$B267))</f>
        <v/>
      </c>
      <c r="Q267" s="0">
        <f>IF($A267="","",SUMIFS($G$1:$G$349,$AS$1:$AS$349,$AS267,$C$1:$C$349,$C267))</f>
        <v/>
      </c>
      <c r="R267" s="0">
        <f>IF($A267="","",SUMIFS($H$1:$H$349,$AS$1:$AS$349,$AS267,$C$1:$C$349,$C267))</f>
        <v/>
      </c>
      <c r="S267" s="0">
        <f>IF($A267="","",SUMIFS($I$1:$I$349,$AS$1:$AS$349,$AS267,$C$1:$C$349,$C267))</f>
        <v/>
      </c>
      <c r="T267" s="0">
        <f>IF($A267="","",SUMIFS($G$1:$G$349,$AS$1:$AS$349,$AS267))</f>
        <v/>
      </c>
      <c r="U267" s="0">
        <f>IF($A267="","",SUMIFS($H$1:$H$349,$AS$1:$AS$349,$AS267))</f>
        <v/>
      </c>
      <c r="V267" s="0">
        <f>IF($A267="","",SUMIFS($I$1:$I$349,$AS$1:$AS$349,$AS267))</f>
        <v/>
      </c>
      <c r="W267" s="0">
        <f>IF($A267="","",Allocation!CD267)</f>
        <v/>
      </c>
      <c r="X267" s="0">
        <f>IF($A267="","",Allocation!CE267)</f>
        <v/>
      </c>
      <c r="Y267" s="0">
        <f>IF($A267="","",Allocation!CF267)</f>
        <v/>
      </c>
      <c r="Z267" s="0">
        <f>IF($A267="","",Allocation!CG267)</f>
        <v/>
      </c>
      <c r="AA267" s="0">
        <f>IF($A267="","",Allocation!CH267)</f>
        <v/>
      </c>
      <c r="AB267" s="0">
        <f>IF($A267="","",Allocation!CI267)</f>
        <v/>
      </c>
      <c r="AC267" s="0">
        <f>IF($A267="","",IF(Allocation!$N$4="VOL_EFF",$G267,IF(Allocation!$N$4="VOL_CLASS",$H267,$I267)))</f>
        <v/>
      </c>
      <c r="AD267" s="0">
        <f>IF($A267="","",IF(Allocation!$N$4="VOL_EFF",$L267,IF(Allocation!$N$4="VOL_CLASS",$M267,$N267)))</f>
        <v/>
      </c>
      <c r="AE267" s="0">
        <f>IF($A267="","",IF(Allocation!$N$3="VOL_EFF",$L267,IF(Allocation!$N$3="VOL_CLASS",$M267,$N267)))</f>
        <v/>
      </c>
      <c r="AF267" s="0">
        <f>IF($A267="","",IF(Allocation!$N$3="VOL_EFF",$Q267,IF(Allocation!$N$3="VOL_CLASS",$R267,$S267)))</f>
        <v/>
      </c>
      <c r="AG267" s="0">
        <f>IF($A267="","",IF(Allocation!$N$1="VOL_EFF",$Q267,IF(Allocation!$N$1="VOL_CLASS",$R267,$S267)))</f>
        <v/>
      </c>
      <c r="AH267" s="0">
        <f>IF($A267="","",IF(Allocation!$N$1="VOL_EFF",$T267,IF(Allocation!$N$1="VOL_CLASS",$U267,$V267)))</f>
        <v/>
      </c>
      <c r="AI267" s="0">
        <f>IF($A267="","",$W267*IFERROR($K267/$O267,0))</f>
        <v/>
      </c>
      <c r="AJ267" s="0">
        <f>IF($A267="","",$X267*IFERROR($K267/$O267,0))</f>
        <v/>
      </c>
      <c r="AK267" s="0">
        <f>IF($A267="","",$Y267*IFERROR($G267/$L267,0)+$Z267*IFERROR($J267/$P267,0))</f>
        <v/>
      </c>
      <c r="AL267" s="0">
        <f>IF($A267="","",$AA267*IFERROR($AC267/$AD267,0))</f>
        <v/>
      </c>
      <c r="AM267" s="0">
        <f>IF($A267="","",$AB267*IFERROR($AG267/$AH267,0)*IFERROR($AE267/$AF267,0)*IFERROR($AC267/$AD267,0))</f>
        <v/>
      </c>
      <c r="AN267" s="0">
        <f>IF($A267="","",$I267-($AI267+$AJ267+$AK267+$AL267+$AM267+$AR267))</f>
        <v/>
      </c>
      <c r="AO267" s="0">
        <f>IF($A267="","",Allocation!CJ267)</f>
        <v/>
      </c>
      <c r="AP267" s="0">
        <f>IF($A267="","",IF(Allocation!$N$2="VOL_EFF",$Q267,IF(Allocation!$N$2="VOL_CLASS",$R267,$S267)))</f>
        <v/>
      </c>
      <c r="AQ267" s="0">
        <f>IF($A267="","",IF(Allocation!$N$2="VOL_EFF",$T267,IF(Allocation!$N$2="VOL_CLASS",$U267,$V267)))</f>
        <v/>
      </c>
      <c r="AR267" s="0">
        <f>IF($A267="","",$AO267*IFERROR($AP267/$AQ267,0)*IFERROR($AE267/$AF267,0)*IFERROR($AC267/$AD267,0))</f>
        <v/>
      </c>
      <c r="AS267" s="0">
        <f>IF($A267="","",$A267&amp;"|"&amp;Allocation!BG267)</f>
        <v/>
      </c>
    </row>
    <row r="268" ht="14.4975" customHeight="1" s="64">
      <c r="A268" s="0">
        <f>IF(Allocation!BI268="","",Allocation!BI268)</f>
        <v/>
      </c>
      <c r="B268" s="0">
        <f>IF(Allocation!BJ268="","",Allocation!BJ268)</f>
        <v/>
      </c>
      <c r="C268" s="0">
        <f>IF(Allocation!BK268="","",Allocation!BK268)</f>
        <v/>
      </c>
      <c r="D268" s="0">
        <f>IF(Allocation!BL268="","",Allocation!BL268)</f>
        <v/>
      </c>
      <c r="E268" s="0">
        <f>IF(Allocation!BM268="","",Allocation!BM268)</f>
        <v/>
      </c>
      <c r="F268" s="0">
        <f>IF(Allocation!BN268="","",Allocation!BN268)</f>
        <v/>
      </c>
      <c r="G268" s="0">
        <f>IF(Allocation!BO268="","",Allocation!BO268)</f>
        <v/>
      </c>
      <c r="H268" s="0">
        <f>IF(Allocation!BP268="","",Allocation!BP268)</f>
        <v/>
      </c>
      <c r="I268" s="0">
        <f>IF(Allocation!BQ268="","",Allocation!BQ268)</f>
        <v/>
      </c>
      <c r="J268" s="0">
        <f>IF(Allocation!CC268="","",Allocation!CC268)</f>
        <v/>
      </c>
      <c r="K268" s="0">
        <f>IF($A268="","",$H268*IF(AND(LEFT($D268,3)="BAC",$F268="INIT"),600,IF(LEFT($D268,3)="BAC",480,IF(AND(LEFT($D268,3)="MAS",$F268="INIT"),520,IF(LEFT($D268,3)="MAS",420,IF($F268="INIT",1000,700))))))</f>
        <v/>
      </c>
      <c r="L268" s="0">
        <f>IF($A268="","",SUMIFS($G$1:$G$349,$AS$1:$AS$349,$AS268,$B$1:$B$349,$B268))</f>
        <v/>
      </c>
      <c r="M268" s="0">
        <f>IF($A268="","",SUMIFS($H$1:$H$349,$AS$1:$AS$349,$AS268,$B$1:$B$349,$B268))</f>
        <v/>
      </c>
      <c r="N268" s="0">
        <f>IF($A268="","",SUMIFS($I$1:$I$349,$AS$1:$AS$349,$AS268,$B$1:$B$349,$B268))</f>
        <v/>
      </c>
      <c r="O268" s="0">
        <f>IF($A268="","",SUMIFS($K$1:$K$349,$AS$1:$AS$349,$AS268,$B$1:$B$349,$B268))</f>
        <v/>
      </c>
      <c r="P268" s="0">
        <f>IF($A268="","",SUMIFS($J$1:$J$349,$AS$1:$AS$349,$AS268,$B$1:$B$349,$B268))</f>
        <v/>
      </c>
      <c r="Q268" s="0">
        <f>IF($A268="","",SUMIFS($G$1:$G$349,$AS$1:$AS$349,$AS268,$C$1:$C$349,$C268))</f>
        <v/>
      </c>
      <c r="R268" s="0">
        <f>IF($A268="","",SUMIFS($H$1:$H$349,$AS$1:$AS$349,$AS268,$C$1:$C$349,$C268))</f>
        <v/>
      </c>
      <c r="S268" s="0">
        <f>IF($A268="","",SUMIFS($I$1:$I$349,$AS$1:$AS$349,$AS268,$C$1:$C$349,$C268))</f>
        <v/>
      </c>
      <c r="T268" s="0">
        <f>IF($A268="","",SUMIFS($G$1:$G$349,$AS$1:$AS$349,$AS268))</f>
        <v/>
      </c>
      <c r="U268" s="0">
        <f>IF($A268="","",SUMIFS($H$1:$H$349,$AS$1:$AS$349,$AS268))</f>
        <v/>
      </c>
      <c r="V268" s="0">
        <f>IF($A268="","",SUMIFS($I$1:$I$349,$AS$1:$AS$349,$AS268))</f>
        <v/>
      </c>
      <c r="W268" s="0">
        <f>IF($A268="","",Allocation!CD268)</f>
        <v/>
      </c>
      <c r="X268" s="0">
        <f>IF($A268="","",Allocation!CE268)</f>
        <v/>
      </c>
      <c r="Y268" s="0">
        <f>IF($A268="","",Allocation!CF268)</f>
        <v/>
      </c>
      <c r="Z268" s="0">
        <f>IF($A268="","",Allocation!CG268)</f>
        <v/>
      </c>
      <c r="AA268" s="0">
        <f>IF($A268="","",Allocation!CH268)</f>
        <v/>
      </c>
      <c r="AB268" s="0">
        <f>IF($A268="","",Allocation!CI268)</f>
        <v/>
      </c>
      <c r="AC268" s="0">
        <f>IF($A268="","",IF(Allocation!$N$4="VOL_EFF",$G268,IF(Allocation!$N$4="VOL_CLASS",$H268,$I268)))</f>
        <v/>
      </c>
      <c r="AD268" s="0">
        <f>IF($A268="","",IF(Allocation!$N$4="VOL_EFF",$L268,IF(Allocation!$N$4="VOL_CLASS",$M268,$N268)))</f>
        <v/>
      </c>
      <c r="AE268" s="0">
        <f>IF($A268="","",IF(Allocation!$N$3="VOL_EFF",$L268,IF(Allocation!$N$3="VOL_CLASS",$M268,$N268)))</f>
        <v/>
      </c>
      <c r="AF268" s="0">
        <f>IF($A268="","",IF(Allocation!$N$3="VOL_EFF",$Q268,IF(Allocation!$N$3="VOL_CLASS",$R268,$S268)))</f>
        <v/>
      </c>
      <c r="AG268" s="0">
        <f>IF($A268="","",IF(Allocation!$N$1="VOL_EFF",$Q268,IF(Allocation!$N$1="VOL_CLASS",$R268,$S268)))</f>
        <v/>
      </c>
      <c r="AH268" s="0">
        <f>IF($A268="","",IF(Allocation!$N$1="VOL_EFF",$T268,IF(Allocation!$N$1="VOL_CLASS",$U268,$V268)))</f>
        <v/>
      </c>
      <c r="AI268" s="0">
        <f>IF($A268="","",$W268*IFERROR($K268/$O268,0))</f>
        <v/>
      </c>
      <c r="AJ268" s="0">
        <f>IF($A268="","",$X268*IFERROR($K268/$O268,0))</f>
        <v/>
      </c>
      <c r="AK268" s="0">
        <f>IF($A268="","",$Y268*IFERROR($G268/$L268,0)+$Z268*IFERROR($J268/$P268,0))</f>
        <v/>
      </c>
      <c r="AL268" s="0">
        <f>IF($A268="","",$AA268*IFERROR($AC268/$AD268,0))</f>
        <v/>
      </c>
      <c r="AM268" s="0">
        <f>IF($A268="","",$AB268*IFERROR($AG268/$AH268,0)*IFERROR($AE268/$AF268,0)*IFERROR($AC268/$AD268,0))</f>
        <v/>
      </c>
      <c r="AN268" s="0">
        <f>IF($A268="","",$I268-($AI268+$AJ268+$AK268+$AL268+$AM268+$AR268))</f>
        <v/>
      </c>
      <c r="AO268" s="0">
        <f>IF($A268="","",Allocation!CJ268)</f>
        <v/>
      </c>
      <c r="AP268" s="0">
        <f>IF($A268="","",IF(Allocation!$N$2="VOL_EFF",$Q268,IF(Allocation!$N$2="VOL_CLASS",$R268,$S268)))</f>
        <v/>
      </c>
      <c r="AQ268" s="0">
        <f>IF($A268="","",IF(Allocation!$N$2="VOL_EFF",$T268,IF(Allocation!$N$2="VOL_CLASS",$U268,$V268)))</f>
        <v/>
      </c>
      <c r="AR268" s="0">
        <f>IF($A268="","",$AO268*IFERROR($AP268/$AQ268,0)*IFERROR($AE268/$AF268,0)*IFERROR($AC268/$AD268,0))</f>
        <v/>
      </c>
      <c r="AS268" s="0">
        <f>IF($A268="","",$A268&amp;"|"&amp;Allocation!BG268)</f>
        <v/>
      </c>
    </row>
    <row r="269" ht="14.4975" customHeight="1" s="64">
      <c r="A269" s="0">
        <f>IF(Allocation!BI269="","",Allocation!BI269)</f>
        <v/>
      </c>
      <c r="B269" s="0">
        <f>IF(Allocation!BJ269="","",Allocation!BJ269)</f>
        <v/>
      </c>
      <c r="C269" s="0">
        <f>IF(Allocation!BK269="","",Allocation!BK269)</f>
        <v/>
      </c>
      <c r="D269" s="0">
        <f>IF(Allocation!BL269="","",Allocation!BL269)</f>
        <v/>
      </c>
      <c r="E269" s="0">
        <f>IF(Allocation!BM269="","",Allocation!BM269)</f>
        <v/>
      </c>
      <c r="F269" s="0">
        <f>IF(Allocation!BN269="","",Allocation!BN269)</f>
        <v/>
      </c>
      <c r="G269" s="0">
        <f>IF(Allocation!BO269="","",Allocation!BO269)</f>
        <v/>
      </c>
      <c r="H269" s="0">
        <f>IF(Allocation!BP269="","",Allocation!BP269)</f>
        <v/>
      </c>
      <c r="I269" s="0">
        <f>IF(Allocation!BQ269="","",Allocation!BQ269)</f>
        <v/>
      </c>
      <c r="J269" s="0">
        <f>IF(Allocation!CC269="","",Allocation!CC269)</f>
        <v/>
      </c>
      <c r="K269" s="0">
        <f>IF($A269="","",$H269*IF(AND(LEFT($D269,3)="BAC",$F269="INIT"),600,IF(LEFT($D269,3)="BAC",480,IF(AND(LEFT($D269,3)="MAS",$F269="INIT"),520,IF(LEFT($D269,3)="MAS",420,IF($F269="INIT",1000,700))))))</f>
        <v/>
      </c>
      <c r="L269" s="0">
        <f>IF($A269="","",SUMIFS($G$1:$G$349,$AS$1:$AS$349,$AS269,$B$1:$B$349,$B269))</f>
        <v/>
      </c>
      <c r="M269" s="0">
        <f>IF($A269="","",SUMIFS($H$1:$H$349,$AS$1:$AS$349,$AS269,$B$1:$B$349,$B269))</f>
        <v/>
      </c>
      <c r="N269" s="0">
        <f>IF($A269="","",SUMIFS($I$1:$I$349,$AS$1:$AS$349,$AS269,$B$1:$B$349,$B269))</f>
        <v/>
      </c>
      <c r="O269" s="0">
        <f>IF($A269="","",SUMIFS($K$1:$K$349,$AS$1:$AS$349,$AS269,$B$1:$B$349,$B269))</f>
        <v/>
      </c>
      <c r="P269" s="0">
        <f>IF($A269="","",SUMIFS($J$1:$J$349,$AS$1:$AS$349,$AS269,$B$1:$B$349,$B269))</f>
        <v/>
      </c>
      <c r="Q269" s="0">
        <f>IF($A269="","",SUMIFS($G$1:$G$349,$AS$1:$AS$349,$AS269,$C$1:$C$349,$C269))</f>
        <v/>
      </c>
      <c r="R269" s="0">
        <f>IF($A269="","",SUMIFS($H$1:$H$349,$AS$1:$AS$349,$AS269,$C$1:$C$349,$C269))</f>
        <v/>
      </c>
      <c r="S269" s="0">
        <f>IF($A269="","",SUMIFS($I$1:$I$349,$AS$1:$AS$349,$AS269,$C$1:$C$349,$C269))</f>
        <v/>
      </c>
      <c r="T269" s="0">
        <f>IF($A269="","",SUMIFS($G$1:$G$349,$AS$1:$AS$349,$AS269))</f>
        <v/>
      </c>
      <c r="U269" s="0">
        <f>IF($A269="","",SUMIFS($H$1:$H$349,$AS$1:$AS$349,$AS269))</f>
        <v/>
      </c>
      <c r="V269" s="0">
        <f>IF($A269="","",SUMIFS($I$1:$I$349,$AS$1:$AS$349,$AS269))</f>
        <v/>
      </c>
      <c r="W269" s="0">
        <f>IF($A269="","",Allocation!CD269)</f>
        <v/>
      </c>
      <c r="X269" s="0">
        <f>IF($A269="","",Allocation!CE269)</f>
        <v/>
      </c>
      <c r="Y269" s="0">
        <f>IF($A269="","",Allocation!CF269)</f>
        <v/>
      </c>
      <c r="Z269" s="0">
        <f>IF($A269="","",Allocation!CG269)</f>
        <v/>
      </c>
      <c r="AA269" s="0">
        <f>IF($A269="","",Allocation!CH269)</f>
        <v/>
      </c>
      <c r="AB269" s="0">
        <f>IF($A269="","",Allocation!CI269)</f>
        <v/>
      </c>
      <c r="AC269" s="0">
        <f>IF($A269="","",IF(Allocation!$N$4="VOL_EFF",$G269,IF(Allocation!$N$4="VOL_CLASS",$H269,$I269)))</f>
        <v/>
      </c>
      <c r="AD269" s="0">
        <f>IF($A269="","",IF(Allocation!$N$4="VOL_EFF",$L269,IF(Allocation!$N$4="VOL_CLASS",$M269,$N269)))</f>
        <v/>
      </c>
      <c r="AE269" s="0">
        <f>IF($A269="","",IF(Allocation!$N$3="VOL_EFF",$L269,IF(Allocation!$N$3="VOL_CLASS",$M269,$N269)))</f>
        <v/>
      </c>
      <c r="AF269" s="0">
        <f>IF($A269="","",IF(Allocation!$N$3="VOL_EFF",$Q269,IF(Allocation!$N$3="VOL_CLASS",$R269,$S269)))</f>
        <v/>
      </c>
      <c r="AG269" s="0">
        <f>IF($A269="","",IF(Allocation!$N$1="VOL_EFF",$Q269,IF(Allocation!$N$1="VOL_CLASS",$R269,$S269)))</f>
        <v/>
      </c>
      <c r="AH269" s="0">
        <f>IF($A269="","",IF(Allocation!$N$1="VOL_EFF",$T269,IF(Allocation!$N$1="VOL_CLASS",$U269,$V269)))</f>
        <v/>
      </c>
      <c r="AI269" s="0">
        <f>IF($A269="","",$W269*IFERROR($K269/$O269,0))</f>
        <v/>
      </c>
      <c r="AJ269" s="0">
        <f>IF($A269="","",$X269*IFERROR($K269/$O269,0))</f>
        <v/>
      </c>
      <c r="AK269" s="0">
        <f>IF($A269="","",$Y269*IFERROR($G269/$L269,0)+$Z269*IFERROR($J269/$P269,0))</f>
        <v/>
      </c>
      <c r="AL269" s="0">
        <f>IF($A269="","",$AA269*IFERROR($AC269/$AD269,0))</f>
        <v/>
      </c>
      <c r="AM269" s="0">
        <f>IF($A269="","",$AB269*IFERROR($AG269/$AH269,0)*IFERROR($AE269/$AF269,0)*IFERROR($AC269/$AD269,0))</f>
        <v/>
      </c>
      <c r="AN269" s="0">
        <f>IF($A269="","",$I269-($AI269+$AJ269+$AK269+$AL269+$AM269+$AR269))</f>
        <v/>
      </c>
      <c r="AO269" s="0">
        <f>IF($A269="","",Allocation!CJ269)</f>
        <v/>
      </c>
      <c r="AP269" s="0">
        <f>IF($A269="","",IF(Allocation!$N$2="VOL_EFF",$Q269,IF(Allocation!$N$2="VOL_CLASS",$R269,$S269)))</f>
        <v/>
      </c>
      <c r="AQ269" s="0">
        <f>IF($A269="","",IF(Allocation!$N$2="VOL_EFF",$T269,IF(Allocation!$N$2="VOL_CLASS",$U269,$V269)))</f>
        <v/>
      </c>
      <c r="AR269" s="0">
        <f>IF($A269="","",$AO269*IFERROR($AP269/$AQ269,0)*IFERROR($AE269/$AF269,0)*IFERROR($AC269/$AD269,0))</f>
        <v/>
      </c>
      <c r="AS269" s="0">
        <f>IF($A269="","",$A269&amp;"|"&amp;Allocation!BG269)</f>
        <v/>
      </c>
    </row>
    <row r="270" ht="14.4975" customHeight="1" s="64">
      <c r="A270" s="0">
        <f>IF(Allocation!BI270="","",Allocation!BI270)</f>
        <v/>
      </c>
      <c r="B270" s="0">
        <f>IF(Allocation!BJ270="","",Allocation!BJ270)</f>
        <v/>
      </c>
      <c r="C270" s="0">
        <f>IF(Allocation!BK270="","",Allocation!BK270)</f>
        <v/>
      </c>
      <c r="D270" s="0">
        <f>IF(Allocation!BL270="","",Allocation!BL270)</f>
        <v/>
      </c>
      <c r="E270" s="0">
        <f>IF(Allocation!BM270="","",Allocation!BM270)</f>
        <v/>
      </c>
      <c r="F270" s="0">
        <f>IF(Allocation!BN270="","",Allocation!BN270)</f>
        <v/>
      </c>
      <c r="G270" s="0">
        <f>IF(Allocation!BO270="","",Allocation!BO270)</f>
        <v/>
      </c>
      <c r="H270" s="0">
        <f>IF(Allocation!BP270="","",Allocation!BP270)</f>
        <v/>
      </c>
      <c r="I270" s="0">
        <f>IF(Allocation!BQ270="","",Allocation!BQ270)</f>
        <v/>
      </c>
      <c r="J270" s="0">
        <f>IF(Allocation!CC270="","",Allocation!CC270)</f>
        <v/>
      </c>
      <c r="K270" s="0">
        <f>IF($A270="","",$H270*IF(AND(LEFT($D270,3)="BAC",$F270="INIT"),600,IF(LEFT($D270,3)="BAC",480,IF(AND(LEFT($D270,3)="MAS",$F270="INIT"),520,IF(LEFT($D270,3)="MAS",420,IF($F270="INIT",1000,700))))))</f>
        <v/>
      </c>
      <c r="L270" s="0">
        <f>IF($A270="","",SUMIFS($G$1:$G$349,$AS$1:$AS$349,$AS270,$B$1:$B$349,$B270))</f>
        <v/>
      </c>
      <c r="M270" s="0">
        <f>IF($A270="","",SUMIFS($H$1:$H$349,$AS$1:$AS$349,$AS270,$B$1:$B$349,$B270))</f>
        <v/>
      </c>
      <c r="N270" s="0">
        <f>IF($A270="","",SUMIFS($I$1:$I$349,$AS$1:$AS$349,$AS270,$B$1:$B$349,$B270))</f>
        <v/>
      </c>
      <c r="O270" s="0">
        <f>IF($A270="","",SUMIFS($K$1:$K$349,$AS$1:$AS$349,$AS270,$B$1:$B$349,$B270))</f>
        <v/>
      </c>
      <c r="P270" s="0">
        <f>IF($A270="","",SUMIFS($J$1:$J$349,$AS$1:$AS$349,$AS270,$B$1:$B$349,$B270))</f>
        <v/>
      </c>
      <c r="Q270" s="0">
        <f>IF($A270="","",SUMIFS($G$1:$G$349,$AS$1:$AS$349,$AS270,$C$1:$C$349,$C270))</f>
        <v/>
      </c>
      <c r="R270" s="0">
        <f>IF($A270="","",SUMIFS($H$1:$H$349,$AS$1:$AS$349,$AS270,$C$1:$C$349,$C270))</f>
        <v/>
      </c>
      <c r="S270" s="0">
        <f>IF($A270="","",SUMIFS($I$1:$I$349,$AS$1:$AS$349,$AS270,$C$1:$C$349,$C270))</f>
        <v/>
      </c>
      <c r="T270" s="0">
        <f>IF($A270="","",SUMIFS($G$1:$G$349,$AS$1:$AS$349,$AS270))</f>
        <v/>
      </c>
      <c r="U270" s="0">
        <f>IF($A270="","",SUMIFS($H$1:$H$349,$AS$1:$AS$349,$AS270))</f>
        <v/>
      </c>
      <c r="V270" s="0">
        <f>IF($A270="","",SUMIFS($I$1:$I$349,$AS$1:$AS$349,$AS270))</f>
        <v/>
      </c>
      <c r="W270" s="0">
        <f>IF($A270="","",Allocation!CD270)</f>
        <v/>
      </c>
      <c r="X270" s="0">
        <f>IF($A270="","",Allocation!CE270)</f>
        <v/>
      </c>
      <c r="Y270" s="0">
        <f>IF($A270="","",Allocation!CF270)</f>
        <v/>
      </c>
      <c r="Z270" s="0">
        <f>IF($A270="","",Allocation!CG270)</f>
        <v/>
      </c>
      <c r="AA270" s="0">
        <f>IF($A270="","",Allocation!CH270)</f>
        <v/>
      </c>
      <c r="AB270" s="0">
        <f>IF($A270="","",Allocation!CI270)</f>
        <v/>
      </c>
      <c r="AC270" s="0">
        <f>IF($A270="","",IF(Allocation!$N$4="VOL_EFF",$G270,IF(Allocation!$N$4="VOL_CLASS",$H270,$I270)))</f>
        <v/>
      </c>
      <c r="AD270" s="0">
        <f>IF($A270="","",IF(Allocation!$N$4="VOL_EFF",$L270,IF(Allocation!$N$4="VOL_CLASS",$M270,$N270)))</f>
        <v/>
      </c>
      <c r="AE270" s="0">
        <f>IF($A270="","",IF(Allocation!$N$3="VOL_EFF",$L270,IF(Allocation!$N$3="VOL_CLASS",$M270,$N270)))</f>
        <v/>
      </c>
      <c r="AF270" s="0">
        <f>IF($A270="","",IF(Allocation!$N$3="VOL_EFF",$Q270,IF(Allocation!$N$3="VOL_CLASS",$R270,$S270)))</f>
        <v/>
      </c>
      <c r="AG270" s="0">
        <f>IF($A270="","",IF(Allocation!$N$1="VOL_EFF",$Q270,IF(Allocation!$N$1="VOL_CLASS",$R270,$S270)))</f>
        <v/>
      </c>
      <c r="AH270" s="0">
        <f>IF($A270="","",IF(Allocation!$N$1="VOL_EFF",$T270,IF(Allocation!$N$1="VOL_CLASS",$U270,$V270)))</f>
        <v/>
      </c>
      <c r="AI270" s="0">
        <f>IF($A270="","",$W270*IFERROR($K270/$O270,0))</f>
        <v/>
      </c>
      <c r="AJ270" s="0">
        <f>IF($A270="","",$X270*IFERROR($K270/$O270,0))</f>
        <v/>
      </c>
      <c r="AK270" s="0">
        <f>IF($A270="","",$Y270*IFERROR($G270/$L270,0)+$Z270*IFERROR($J270/$P270,0))</f>
        <v/>
      </c>
      <c r="AL270" s="0">
        <f>IF($A270="","",$AA270*IFERROR($AC270/$AD270,0))</f>
        <v/>
      </c>
      <c r="AM270" s="0">
        <f>IF($A270="","",$AB270*IFERROR($AG270/$AH270,0)*IFERROR($AE270/$AF270,0)*IFERROR($AC270/$AD270,0))</f>
        <v/>
      </c>
      <c r="AN270" s="0">
        <f>IF($A270="","",$I270-($AI270+$AJ270+$AK270+$AL270+$AM270+$AR270))</f>
        <v/>
      </c>
      <c r="AO270" s="0">
        <f>IF($A270="","",Allocation!CJ270)</f>
        <v/>
      </c>
      <c r="AP270" s="0">
        <f>IF($A270="","",IF(Allocation!$N$2="VOL_EFF",$Q270,IF(Allocation!$N$2="VOL_CLASS",$R270,$S270)))</f>
        <v/>
      </c>
      <c r="AQ270" s="0">
        <f>IF($A270="","",IF(Allocation!$N$2="VOL_EFF",$T270,IF(Allocation!$N$2="VOL_CLASS",$U270,$V270)))</f>
        <v/>
      </c>
      <c r="AR270" s="0">
        <f>IF($A270="","",$AO270*IFERROR($AP270/$AQ270,0)*IFERROR($AE270/$AF270,0)*IFERROR($AC270/$AD270,0))</f>
        <v/>
      </c>
      <c r="AS270" s="0">
        <f>IF($A270="","",$A270&amp;"|"&amp;Allocation!BG270)</f>
        <v/>
      </c>
    </row>
    <row r="271" ht="14.4975" customHeight="1" s="64">
      <c r="A271" s="0">
        <f>IF(Allocation!BI271="","",Allocation!BI271)</f>
        <v/>
      </c>
      <c r="B271" s="0">
        <f>IF(Allocation!BJ271="","",Allocation!BJ271)</f>
        <v/>
      </c>
      <c r="C271" s="0">
        <f>IF(Allocation!BK271="","",Allocation!BK271)</f>
        <v/>
      </c>
      <c r="D271" s="0">
        <f>IF(Allocation!BL271="","",Allocation!BL271)</f>
        <v/>
      </c>
      <c r="E271" s="0">
        <f>IF(Allocation!BM271="","",Allocation!BM271)</f>
        <v/>
      </c>
      <c r="F271" s="0">
        <f>IF(Allocation!BN271="","",Allocation!BN271)</f>
        <v/>
      </c>
      <c r="G271" s="0">
        <f>IF(Allocation!BO271="","",Allocation!BO271)</f>
        <v/>
      </c>
      <c r="H271" s="0">
        <f>IF(Allocation!BP271="","",Allocation!BP271)</f>
        <v/>
      </c>
      <c r="I271" s="0">
        <f>IF(Allocation!BQ271="","",Allocation!BQ271)</f>
        <v/>
      </c>
      <c r="J271" s="0">
        <f>IF(Allocation!CC271="","",Allocation!CC271)</f>
        <v/>
      </c>
      <c r="K271" s="0">
        <f>IF($A271="","",$H271*IF(AND(LEFT($D271,3)="BAC",$F271="INIT"),600,IF(LEFT($D271,3)="BAC",480,IF(AND(LEFT($D271,3)="MAS",$F271="INIT"),520,IF(LEFT($D271,3)="MAS",420,IF($F271="INIT",1000,700))))))</f>
        <v/>
      </c>
      <c r="L271" s="0">
        <f>IF($A271="","",SUMIFS($G$1:$G$349,$AS$1:$AS$349,$AS271,$B$1:$B$349,$B271))</f>
        <v/>
      </c>
      <c r="M271" s="0">
        <f>IF($A271="","",SUMIFS($H$1:$H$349,$AS$1:$AS$349,$AS271,$B$1:$B$349,$B271))</f>
        <v/>
      </c>
      <c r="N271" s="0">
        <f>IF($A271="","",SUMIFS($I$1:$I$349,$AS$1:$AS$349,$AS271,$B$1:$B$349,$B271))</f>
        <v/>
      </c>
      <c r="O271" s="0">
        <f>IF($A271="","",SUMIFS($K$1:$K$349,$AS$1:$AS$349,$AS271,$B$1:$B$349,$B271))</f>
        <v/>
      </c>
      <c r="P271" s="0">
        <f>IF($A271="","",SUMIFS($J$1:$J$349,$AS$1:$AS$349,$AS271,$B$1:$B$349,$B271))</f>
        <v/>
      </c>
      <c r="Q271" s="0">
        <f>IF($A271="","",SUMIFS($G$1:$G$349,$AS$1:$AS$349,$AS271,$C$1:$C$349,$C271))</f>
        <v/>
      </c>
      <c r="R271" s="0">
        <f>IF($A271="","",SUMIFS($H$1:$H$349,$AS$1:$AS$349,$AS271,$C$1:$C$349,$C271))</f>
        <v/>
      </c>
      <c r="S271" s="0">
        <f>IF($A271="","",SUMIFS($I$1:$I$349,$AS$1:$AS$349,$AS271,$C$1:$C$349,$C271))</f>
        <v/>
      </c>
      <c r="T271" s="0">
        <f>IF($A271="","",SUMIFS($G$1:$G$349,$AS$1:$AS$349,$AS271))</f>
        <v/>
      </c>
      <c r="U271" s="0">
        <f>IF($A271="","",SUMIFS($H$1:$H$349,$AS$1:$AS$349,$AS271))</f>
        <v/>
      </c>
      <c r="V271" s="0">
        <f>IF($A271="","",SUMIFS($I$1:$I$349,$AS$1:$AS$349,$AS271))</f>
        <v/>
      </c>
      <c r="W271" s="0">
        <f>IF($A271="","",Allocation!CD271)</f>
        <v/>
      </c>
      <c r="X271" s="0">
        <f>IF($A271="","",Allocation!CE271)</f>
        <v/>
      </c>
      <c r="Y271" s="0">
        <f>IF($A271="","",Allocation!CF271)</f>
        <v/>
      </c>
      <c r="Z271" s="0">
        <f>IF($A271="","",Allocation!CG271)</f>
        <v/>
      </c>
      <c r="AA271" s="0">
        <f>IF($A271="","",Allocation!CH271)</f>
        <v/>
      </c>
      <c r="AB271" s="0">
        <f>IF($A271="","",Allocation!CI271)</f>
        <v/>
      </c>
      <c r="AC271" s="0">
        <f>IF($A271="","",IF(Allocation!$N$4="VOL_EFF",$G271,IF(Allocation!$N$4="VOL_CLASS",$H271,$I271)))</f>
        <v/>
      </c>
      <c r="AD271" s="0">
        <f>IF($A271="","",IF(Allocation!$N$4="VOL_EFF",$L271,IF(Allocation!$N$4="VOL_CLASS",$M271,$N271)))</f>
        <v/>
      </c>
      <c r="AE271" s="0">
        <f>IF($A271="","",IF(Allocation!$N$3="VOL_EFF",$L271,IF(Allocation!$N$3="VOL_CLASS",$M271,$N271)))</f>
        <v/>
      </c>
      <c r="AF271" s="0">
        <f>IF($A271="","",IF(Allocation!$N$3="VOL_EFF",$Q271,IF(Allocation!$N$3="VOL_CLASS",$R271,$S271)))</f>
        <v/>
      </c>
      <c r="AG271" s="0">
        <f>IF($A271="","",IF(Allocation!$N$1="VOL_EFF",$Q271,IF(Allocation!$N$1="VOL_CLASS",$R271,$S271)))</f>
        <v/>
      </c>
      <c r="AH271" s="0">
        <f>IF($A271="","",IF(Allocation!$N$1="VOL_EFF",$T271,IF(Allocation!$N$1="VOL_CLASS",$U271,$V271)))</f>
        <v/>
      </c>
      <c r="AI271" s="0">
        <f>IF($A271="","",$W271*IFERROR($K271/$O271,0))</f>
        <v/>
      </c>
      <c r="AJ271" s="0">
        <f>IF($A271="","",$X271*IFERROR($K271/$O271,0))</f>
        <v/>
      </c>
      <c r="AK271" s="0">
        <f>IF($A271="","",$Y271*IFERROR($G271/$L271,0)+$Z271*IFERROR($J271/$P271,0))</f>
        <v/>
      </c>
      <c r="AL271" s="0">
        <f>IF($A271="","",$AA271*IFERROR($AC271/$AD271,0))</f>
        <v/>
      </c>
      <c r="AM271" s="0">
        <f>IF($A271="","",$AB271*IFERROR($AG271/$AH271,0)*IFERROR($AE271/$AF271,0)*IFERROR($AC271/$AD271,0))</f>
        <v/>
      </c>
      <c r="AN271" s="0">
        <f>IF($A271="","",$I271-($AI271+$AJ271+$AK271+$AL271+$AM271+$AR271))</f>
        <v/>
      </c>
      <c r="AO271" s="0">
        <f>IF($A271="","",Allocation!CJ271)</f>
        <v/>
      </c>
      <c r="AP271" s="0">
        <f>IF($A271="","",IF(Allocation!$N$2="VOL_EFF",$Q271,IF(Allocation!$N$2="VOL_CLASS",$R271,$S271)))</f>
        <v/>
      </c>
      <c r="AQ271" s="0">
        <f>IF($A271="","",IF(Allocation!$N$2="VOL_EFF",$T271,IF(Allocation!$N$2="VOL_CLASS",$U271,$V271)))</f>
        <v/>
      </c>
      <c r="AR271" s="0">
        <f>IF($A271="","",$AO271*IFERROR($AP271/$AQ271,0)*IFERROR($AE271/$AF271,0)*IFERROR($AC271/$AD271,0))</f>
        <v/>
      </c>
      <c r="AS271" s="0">
        <f>IF($A271="","",$A271&amp;"|"&amp;Allocation!BG271)</f>
        <v/>
      </c>
    </row>
    <row r="272" ht="14.4975" customHeight="1" s="64">
      <c r="A272" s="0">
        <f>IF(Allocation!BI272="","",Allocation!BI272)</f>
        <v/>
      </c>
      <c r="B272" s="0">
        <f>IF(Allocation!BJ272="","",Allocation!BJ272)</f>
        <v/>
      </c>
      <c r="C272" s="0">
        <f>IF(Allocation!BK272="","",Allocation!BK272)</f>
        <v/>
      </c>
      <c r="D272" s="0">
        <f>IF(Allocation!BL272="","",Allocation!BL272)</f>
        <v/>
      </c>
      <c r="E272" s="0">
        <f>IF(Allocation!BM272="","",Allocation!BM272)</f>
        <v/>
      </c>
      <c r="F272" s="0">
        <f>IF(Allocation!BN272="","",Allocation!BN272)</f>
        <v/>
      </c>
      <c r="G272" s="0">
        <f>IF(Allocation!BO272="","",Allocation!BO272)</f>
        <v/>
      </c>
      <c r="H272" s="0">
        <f>IF(Allocation!BP272="","",Allocation!BP272)</f>
        <v/>
      </c>
      <c r="I272" s="0">
        <f>IF(Allocation!BQ272="","",Allocation!BQ272)</f>
        <v/>
      </c>
      <c r="J272" s="0">
        <f>IF(Allocation!CC272="","",Allocation!CC272)</f>
        <v/>
      </c>
      <c r="K272" s="0">
        <f>IF($A272="","",$H272*IF(AND(LEFT($D272,3)="BAC",$F272="INIT"),600,IF(LEFT($D272,3)="BAC",480,IF(AND(LEFT($D272,3)="MAS",$F272="INIT"),520,IF(LEFT($D272,3)="MAS",420,IF($F272="INIT",1000,700))))))</f>
        <v/>
      </c>
      <c r="L272" s="0">
        <f>IF($A272="","",SUMIFS($G$1:$G$349,$AS$1:$AS$349,$AS272,$B$1:$B$349,$B272))</f>
        <v/>
      </c>
      <c r="M272" s="0">
        <f>IF($A272="","",SUMIFS($H$1:$H$349,$AS$1:$AS$349,$AS272,$B$1:$B$349,$B272))</f>
        <v/>
      </c>
      <c r="N272" s="0">
        <f>IF($A272="","",SUMIFS($I$1:$I$349,$AS$1:$AS$349,$AS272,$B$1:$B$349,$B272))</f>
        <v/>
      </c>
      <c r="O272" s="0">
        <f>IF($A272="","",SUMIFS($K$1:$K$349,$AS$1:$AS$349,$AS272,$B$1:$B$349,$B272))</f>
        <v/>
      </c>
      <c r="P272" s="0">
        <f>IF($A272="","",SUMIFS($J$1:$J$349,$AS$1:$AS$349,$AS272,$B$1:$B$349,$B272))</f>
        <v/>
      </c>
      <c r="Q272" s="0">
        <f>IF($A272="","",SUMIFS($G$1:$G$349,$AS$1:$AS$349,$AS272,$C$1:$C$349,$C272))</f>
        <v/>
      </c>
      <c r="R272" s="0">
        <f>IF($A272="","",SUMIFS($H$1:$H$349,$AS$1:$AS$349,$AS272,$C$1:$C$349,$C272))</f>
        <v/>
      </c>
      <c r="S272" s="0">
        <f>IF($A272="","",SUMIFS($I$1:$I$349,$AS$1:$AS$349,$AS272,$C$1:$C$349,$C272))</f>
        <v/>
      </c>
      <c r="T272" s="0">
        <f>IF($A272="","",SUMIFS($G$1:$G$349,$AS$1:$AS$349,$AS272))</f>
        <v/>
      </c>
      <c r="U272" s="0">
        <f>IF($A272="","",SUMIFS($H$1:$H$349,$AS$1:$AS$349,$AS272))</f>
        <v/>
      </c>
      <c r="V272" s="0">
        <f>IF($A272="","",SUMIFS($I$1:$I$349,$AS$1:$AS$349,$AS272))</f>
        <v/>
      </c>
      <c r="W272" s="0">
        <f>IF($A272="","",Allocation!CD272)</f>
        <v/>
      </c>
      <c r="X272" s="0">
        <f>IF($A272="","",Allocation!CE272)</f>
        <v/>
      </c>
      <c r="Y272" s="0">
        <f>IF($A272="","",Allocation!CF272)</f>
        <v/>
      </c>
      <c r="Z272" s="0">
        <f>IF($A272="","",Allocation!CG272)</f>
        <v/>
      </c>
      <c r="AA272" s="0">
        <f>IF($A272="","",Allocation!CH272)</f>
        <v/>
      </c>
      <c r="AB272" s="0">
        <f>IF($A272="","",Allocation!CI272)</f>
        <v/>
      </c>
      <c r="AC272" s="0">
        <f>IF($A272="","",IF(Allocation!$N$4="VOL_EFF",$G272,IF(Allocation!$N$4="VOL_CLASS",$H272,$I272)))</f>
        <v/>
      </c>
      <c r="AD272" s="0">
        <f>IF($A272="","",IF(Allocation!$N$4="VOL_EFF",$L272,IF(Allocation!$N$4="VOL_CLASS",$M272,$N272)))</f>
        <v/>
      </c>
      <c r="AE272" s="0">
        <f>IF($A272="","",IF(Allocation!$N$3="VOL_EFF",$L272,IF(Allocation!$N$3="VOL_CLASS",$M272,$N272)))</f>
        <v/>
      </c>
      <c r="AF272" s="0">
        <f>IF($A272="","",IF(Allocation!$N$3="VOL_EFF",$Q272,IF(Allocation!$N$3="VOL_CLASS",$R272,$S272)))</f>
        <v/>
      </c>
      <c r="AG272" s="0">
        <f>IF($A272="","",IF(Allocation!$N$1="VOL_EFF",$Q272,IF(Allocation!$N$1="VOL_CLASS",$R272,$S272)))</f>
        <v/>
      </c>
      <c r="AH272" s="0">
        <f>IF($A272="","",IF(Allocation!$N$1="VOL_EFF",$T272,IF(Allocation!$N$1="VOL_CLASS",$U272,$V272)))</f>
        <v/>
      </c>
      <c r="AI272" s="0">
        <f>IF($A272="","",$W272*IFERROR($K272/$O272,0))</f>
        <v/>
      </c>
      <c r="AJ272" s="0">
        <f>IF($A272="","",$X272*IFERROR($K272/$O272,0))</f>
        <v/>
      </c>
      <c r="AK272" s="0">
        <f>IF($A272="","",$Y272*IFERROR($G272/$L272,0)+$Z272*IFERROR($J272/$P272,0))</f>
        <v/>
      </c>
      <c r="AL272" s="0">
        <f>IF($A272="","",$AA272*IFERROR($AC272/$AD272,0))</f>
        <v/>
      </c>
      <c r="AM272" s="0">
        <f>IF($A272="","",$AB272*IFERROR($AG272/$AH272,0)*IFERROR($AE272/$AF272,0)*IFERROR($AC272/$AD272,0))</f>
        <v/>
      </c>
      <c r="AN272" s="0">
        <f>IF($A272="","",$I272-($AI272+$AJ272+$AK272+$AL272+$AM272+$AR272))</f>
        <v/>
      </c>
      <c r="AO272" s="0">
        <f>IF($A272="","",Allocation!CJ272)</f>
        <v/>
      </c>
      <c r="AP272" s="0">
        <f>IF($A272="","",IF(Allocation!$N$2="VOL_EFF",$Q272,IF(Allocation!$N$2="VOL_CLASS",$R272,$S272)))</f>
        <v/>
      </c>
      <c r="AQ272" s="0">
        <f>IF($A272="","",IF(Allocation!$N$2="VOL_EFF",$T272,IF(Allocation!$N$2="VOL_CLASS",$U272,$V272)))</f>
        <v/>
      </c>
      <c r="AR272" s="0">
        <f>IF($A272="","",$AO272*IFERROR($AP272/$AQ272,0)*IFERROR($AE272/$AF272,0)*IFERROR($AC272/$AD272,0))</f>
        <v/>
      </c>
      <c r="AS272" s="0">
        <f>IF($A272="","",$A272&amp;"|"&amp;Allocation!BG272)</f>
        <v/>
      </c>
    </row>
    <row r="273" ht="14.4975" customHeight="1" s="64">
      <c r="A273" s="0">
        <f>IF(Allocation!BI273="","",Allocation!BI273)</f>
        <v/>
      </c>
      <c r="B273" s="0">
        <f>IF(Allocation!BJ273="","",Allocation!BJ273)</f>
        <v/>
      </c>
      <c r="C273" s="0">
        <f>IF(Allocation!BK273="","",Allocation!BK273)</f>
        <v/>
      </c>
      <c r="D273" s="0">
        <f>IF(Allocation!BL273="","",Allocation!BL273)</f>
        <v/>
      </c>
      <c r="E273" s="0">
        <f>IF(Allocation!BM273="","",Allocation!BM273)</f>
        <v/>
      </c>
      <c r="F273" s="0">
        <f>IF(Allocation!BN273="","",Allocation!BN273)</f>
        <v/>
      </c>
      <c r="G273" s="0">
        <f>IF(Allocation!BO273="","",Allocation!BO273)</f>
        <v/>
      </c>
      <c r="H273" s="0">
        <f>IF(Allocation!BP273="","",Allocation!BP273)</f>
        <v/>
      </c>
      <c r="I273" s="0">
        <f>IF(Allocation!BQ273="","",Allocation!BQ273)</f>
        <v/>
      </c>
      <c r="J273" s="0">
        <f>IF(Allocation!CC273="","",Allocation!CC273)</f>
        <v/>
      </c>
      <c r="K273" s="0">
        <f>IF($A273="","",$H273*IF(AND(LEFT($D273,3)="BAC",$F273="INIT"),600,IF(LEFT($D273,3)="BAC",480,IF(AND(LEFT($D273,3)="MAS",$F273="INIT"),520,IF(LEFT($D273,3)="MAS",420,IF($F273="INIT",1000,700))))))</f>
        <v/>
      </c>
      <c r="L273" s="0">
        <f>IF($A273="","",SUMIFS($G$1:$G$349,$AS$1:$AS$349,$AS273,$B$1:$B$349,$B273))</f>
        <v/>
      </c>
      <c r="M273" s="0">
        <f>IF($A273="","",SUMIFS($H$1:$H$349,$AS$1:$AS$349,$AS273,$B$1:$B$349,$B273))</f>
        <v/>
      </c>
      <c r="N273" s="0">
        <f>IF($A273="","",SUMIFS($I$1:$I$349,$AS$1:$AS$349,$AS273,$B$1:$B$349,$B273))</f>
        <v/>
      </c>
      <c r="O273" s="0">
        <f>IF($A273="","",SUMIFS($K$1:$K$349,$AS$1:$AS$349,$AS273,$B$1:$B$349,$B273))</f>
        <v/>
      </c>
      <c r="P273" s="0">
        <f>IF($A273="","",SUMIFS($J$1:$J$349,$AS$1:$AS$349,$AS273,$B$1:$B$349,$B273))</f>
        <v/>
      </c>
      <c r="Q273" s="0">
        <f>IF($A273="","",SUMIFS($G$1:$G$349,$AS$1:$AS$349,$AS273,$C$1:$C$349,$C273))</f>
        <v/>
      </c>
      <c r="R273" s="0">
        <f>IF($A273="","",SUMIFS($H$1:$H$349,$AS$1:$AS$349,$AS273,$C$1:$C$349,$C273))</f>
        <v/>
      </c>
      <c r="S273" s="0">
        <f>IF($A273="","",SUMIFS($I$1:$I$349,$AS$1:$AS$349,$AS273,$C$1:$C$349,$C273))</f>
        <v/>
      </c>
      <c r="T273" s="0">
        <f>IF($A273="","",SUMIFS($G$1:$G$349,$AS$1:$AS$349,$AS273))</f>
        <v/>
      </c>
      <c r="U273" s="0">
        <f>IF($A273="","",SUMIFS($H$1:$H$349,$AS$1:$AS$349,$AS273))</f>
        <v/>
      </c>
      <c r="V273" s="0">
        <f>IF($A273="","",SUMIFS($I$1:$I$349,$AS$1:$AS$349,$AS273))</f>
        <v/>
      </c>
      <c r="W273" s="0">
        <f>IF($A273="","",Allocation!CD273)</f>
        <v/>
      </c>
      <c r="X273" s="0">
        <f>IF($A273="","",Allocation!CE273)</f>
        <v/>
      </c>
      <c r="Y273" s="0">
        <f>IF($A273="","",Allocation!CF273)</f>
        <v/>
      </c>
      <c r="Z273" s="0">
        <f>IF($A273="","",Allocation!CG273)</f>
        <v/>
      </c>
      <c r="AA273" s="0">
        <f>IF($A273="","",Allocation!CH273)</f>
        <v/>
      </c>
      <c r="AB273" s="0">
        <f>IF($A273="","",Allocation!CI273)</f>
        <v/>
      </c>
      <c r="AC273" s="0">
        <f>IF($A273="","",IF(Allocation!$N$4="VOL_EFF",$G273,IF(Allocation!$N$4="VOL_CLASS",$H273,$I273)))</f>
        <v/>
      </c>
      <c r="AD273" s="0">
        <f>IF($A273="","",IF(Allocation!$N$4="VOL_EFF",$L273,IF(Allocation!$N$4="VOL_CLASS",$M273,$N273)))</f>
        <v/>
      </c>
      <c r="AE273" s="0">
        <f>IF($A273="","",IF(Allocation!$N$3="VOL_EFF",$L273,IF(Allocation!$N$3="VOL_CLASS",$M273,$N273)))</f>
        <v/>
      </c>
      <c r="AF273" s="0">
        <f>IF($A273="","",IF(Allocation!$N$3="VOL_EFF",$Q273,IF(Allocation!$N$3="VOL_CLASS",$R273,$S273)))</f>
        <v/>
      </c>
      <c r="AG273" s="0">
        <f>IF($A273="","",IF(Allocation!$N$1="VOL_EFF",$Q273,IF(Allocation!$N$1="VOL_CLASS",$R273,$S273)))</f>
        <v/>
      </c>
      <c r="AH273" s="0">
        <f>IF($A273="","",IF(Allocation!$N$1="VOL_EFF",$T273,IF(Allocation!$N$1="VOL_CLASS",$U273,$V273)))</f>
        <v/>
      </c>
      <c r="AI273" s="0">
        <f>IF($A273="","",$W273*IFERROR($K273/$O273,0))</f>
        <v/>
      </c>
      <c r="AJ273" s="0">
        <f>IF($A273="","",$X273*IFERROR($K273/$O273,0))</f>
        <v/>
      </c>
      <c r="AK273" s="0">
        <f>IF($A273="","",$Y273*IFERROR($G273/$L273,0)+$Z273*IFERROR($J273/$P273,0))</f>
        <v/>
      </c>
      <c r="AL273" s="0">
        <f>IF($A273="","",$AA273*IFERROR($AC273/$AD273,0))</f>
        <v/>
      </c>
      <c r="AM273" s="0">
        <f>IF($A273="","",$AB273*IFERROR($AG273/$AH273,0)*IFERROR($AE273/$AF273,0)*IFERROR($AC273/$AD273,0))</f>
        <v/>
      </c>
      <c r="AN273" s="0">
        <f>IF($A273="","",$I273-($AI273+$AJ273+$AK273+$AL273+$AM273+$AR273))</f>
        <v/>
      </c>
      <c r="AO273" s="0">
        <f>IF($A273="","",Allocation!CJ273)</f>
        <v/>
      </c>
      <c r="AP273" s="0">
        <f>IF($A273="","",IF(Allocation!$N$2="VOL_EFF",$Q273,IF(Allocation!$N$2="VOL_CLASS",$R273,$S273)))</f>
        <v/>
      </c>
      <c r="AQ273" s="0">
        <f>IF($A273="","",IF(Allocation!$N$2="VOL_EFF",$T273,IF(Allocation!$N$2="VOL_CLASS",$U273,$V273)))</f>
        <v/>
      </c>
      <c r="AR273" s="0">
        <f>IF($A273="","",$AO273*IFERROR($AP273/$AQ273,0)*IFERROR($AE273/$AF273,0)*IFERROR($AC273/$AD273,0))</f>
        <v/>
      </c>
      <c r="AS273" s="0">
        <f>IF($A273="","",$A273&amp;"|"&amp;Allocation!BG273)</f>
        <v/>
      </c>
    </row>
    <row r="274" ht="14.4975" customHeight="1" s="64">
      <c r="A274" s="0">
        <f>IF(Allocation!BI274="","",Allocation!BI274)</f>
        <v/>
      </c>
      <c r="B274" s="0">
        <f>IF(Allocation!BJ274="","",Allocation!BJ274)</f>
        <v/>
      </c>
      <c r="C274" s="0">
        <f>IF(Allocation!BK274="","",Allocation!BK274)</f>
        <v/>
      </c>
      <c r="D274" s="0">
        <f>IF(Allocation!BL274="","",Allocation!BL274)</f>
        <v/>
      </c>
      <c r="E274" s="0">
        <f>IF(Allocation!BM274="","",Allocation!BM274)</f>
        <v/>
      </c>
      <c r="F274" s="0">
        <f>IF(Allocation!BN274="","",Allocation!BN274)</f>
        <v/>
      </c>
      <c r="G274" s="0">
        <f>IF(Allocation!BO274="","",Allocation!BO274)</f>
        <v/>
      </c>
      <c r="H274" s="0">
        <f>IF(Allocation!BP274="","",Allocation!BP274)</f>
        <v/>
      </c>
      <c r="I274" s="0">
        <f>IF(Allocation!BQ274="","",Allocation!BQ274)</f>
        <v/>
      </c>
      <c r="J274" s="0">
        <f>IF(Allocation!CC274="","",Allocation!CC274)</f>
        <v/>
      </c>
      <c r="K274" s="0">
        <f>IF($A274="","",$H274*IF(AND(LEFT($D274,3)="BAC",$F274="INIT"),600,IF(LEFT($D274,3)="BAC",480,IF(AND(LEFT($D274,3)="MAS",$F274="INIT"),520,IF(LEFT($D274,3)="MAS",420,IF($F274="INIT",1000,700))))))</f>
        <v/>
      </c>
      <c r="L274" s="0">
        <f>IF($A274="","",SUMIFS($G$1:$G$349,$AS$1:$AS$349,$AS274,$B$1:$B$349,$B274))</f>
        <v/>
      </c>
      <c r="M274" s="0">
        <f>IF($A274="","",SUMIFS($H$1:$H$349,$AS$1:$AS$349,$AS274,$B$1:$B$349,$B274))</f>
        <v/>
      </c>
      <c r="N274" s="0">
        <f>IF($A274="","",SUMIFS($I$1:$I$349,$AS$1:$AS$349,$AS274,$B$1:$B$349,$B274))</f>
        <v/>
      </c>
      <c r="O274" s="0">
        <f>IF($A274="","",SUMIFS($K$1:$K$349,$AS$1:$AS$349,$AS274,$B$1:$B$349,$B274))</f>
        <v/>
      </c>
      <c r="P274" s="0">
        <f>IF($A274="","",SUMIFS($J$1:$J$349,$AS$1:$AS$349,$AS274,$B$1:$B$349,$B274))</f>
        <v/>
      </c>
      <c r="Q274" s="0">
        <f>IF($A274="","",SUMIFS($G$1:$G$349,$AS$1:$AS$349,$AS274,$C$1:$C$349,$C274))</f>
        <v/>
      </c>
      <c r="R274" s="0">
        <f>IF($A274="","",SUMIFS($H$1:$H$349,$AS$1:$AS$349,$AS274,$C$1:$C$349,$C274))</f>
        <v/>
      </c>
      <c r="S274" s="0">
        <f>IF($A274="","",SUMIFS($I$1:$I$349,$AS$1:$AS$349,$AS274,$C$1:$C$349,$C274))</f>
        <v/>
      </c>
      <c r="T274" s="0">
        <f>IF($A274="","",SUMIFS($G$1:$G$349,$AS$1:$AS$349,$AS274))</f>
        <v/>
      </c>
      <c r="U274" s="0">
        <f>IF($A274="","",SUMIFS($H$1:$H$349,$AS$1:$AS$349,$AS274))</f>
        <v/>
      </c>
      <c r="V274" s="0">
        <f>IF($A274="","",SUMIFS($I$1:$I$349,$AS$1:$AS$349,$AS274))</f>
        <v/>
      </c>
      <c r="W274" s="0">
        <f>IF($A274="","",Allocation!CD274)</f>
        <v/>
      </c>
      <c r="X274" s="0">
        <f>IF($A274="","",Allocation!CE274)</f>
        <v/>
      </c>
      <c r="Y274" s="0">
        <f>IF($A274="","",Allocation!CF274)</f>
        <v/>
      </c>
      <c r="Z274" s="0">
        <f>IF($A274="","",Allocation!CG274)</f>
        <v/>
      </c>
      <c r="AA274" s="0">
        <f>IF($A274="","",Allocation!CH274)</f>
        <v/>
      </c>
      <c r="AB274" s="0">
        <f>IF($A274="","",Allocation!CI274)</f>
        <v/>
      </c>
      <c r="AC274" s="0">
        <f>IF($A274="","",IF(Allocation!$N$4="VOL_EFF",$G274,IF(Allocation!$N$4="VOL_CLASS",$H274,$I274)))</f>
        <v/>
      </c>
      <c r="AD274" s="0">
        <f>IF($A274="","",IF(Allocation!$N$4="VOL_EFF",$L274,IF(Allocation!$N$4="VOL_CLASS",$M274,$N274)))</f>
        <v/>
      </c>
      <c r="AE274" s="0">
        <f>IF($A274="","",IF(Allocation!$N$3="VOL_EFF",$L274,IF(Allocation!$N$3="VOL_CLASS",$M274,$N274)))</f>
        <v/>
      </c>
      <c r="AF274" s="0">
        <f>IF($A274="","",IF(Allocation!$N$3="VOL_EFF",$Q274,IF(Allocation!$N$3="VOL_CLASS",$R274,$S274)))</f>
        <v/>
      </c>
      <c r="AG274" s="0">
        <f>IF($A274="","",IF(Allocation!$N$1="VOL_EFF",$Q274,IF(Allocation!$N$1="VOL_CLASS",$R274,$S274)))</f>
        <v/>
      </c>
      <c r="AH274" s="0">
        <f>IF($A274="","",IF(Allocation!$N$1="VOL_EFF",$T274,IF(Allocation!$N$1="VOL_CLASS",$U274,$V274)))</f>
        <v/>
      </c>
      <c r="AI274" s="0">
        <f>IF($A274="","",$W274*IFERROR($K274/$O274,0))</f>
        <v/>
      </c>
      <c r="AJ274" s="0">
        <f>IF($A274="","",$X274*IFERROR($K274/$O274,0))</f>
        <v/>
      </c>
      <c r="AK274" s="0">
        <f>IF($A274="","",$Y274*IFERROR($G274/$L274,0)+$Z274*IFERROR($J274/$P274,0))</f>
        <v/>
      </c>
      <c r="AL274" s="0">
        <f>IF($A274="","",$AA274*IFERROR($AC274/$AD274,0))</f>
        <v/>
      </c>
      <c r="AM274" s="0">
        <f>IF($A274="","",$AB274*IFERROR($AG274/$AH274,0)*IFERROR($AE274/$AF274,0)*IFERROR($AC274/$AD274,0))</f>
        <v/>
      </c>
      <c r="AN274" s="0">
        <f>IF($A274="","",$I274-($AI274+$AJ274+$AK274+$AL274+$AM274+$AR274))</f>
        <v/>
      </c>
      <c r="AO274" s="0">
        <f>IF($A274="","",Allocation!CJ274)</f>
        <v/>
      </c>
      <c r="AP274" s="0">
        <f>IF($A274="","",IF(Allocation!$N$2="VOL_EFF",$Q274,IF(Allocation!$N$2="VOL_CLASS",$R274,$S274)))</f>
        <v/>
      </c>
      <c r="AQ274" s="0">
        <f>IF($A274="","",IF(Allocation!$N$2="VOL_EFF",$T274,IF(Allocation!$N$2="VOL_CLASS",$U274,$V274)))</f>
        <v/>
      </c>
      <c r="AR274" s="0">
        <f>IF($A274="","",$AO274*IFERROR($AP274/$AQ274,0)*IFERROR($AE274/$AF274,0)*IFERROR($AC274/$AD274,0))</f>
        <v/>
      </c>
      <c r="AS274" s="0">
        <f>IF($A274="","",$A274&amp;"|"&amp;Allocation!BG274)</f>
        <v/>
      </c>
    </row>
    <row r="275" ht="14.4975" customHeight="1" s="64">
      <c r="A275" s="0">
        <f>IF(Allocation!BI275="","",Allocation!BI275)</f>
        <v/>
      </c>
      <c r="B275" s="0">
        <f>IF(Allocation!BJ275="","",Allocation!BJ275)</f>
        <v/>
      </c>
      <c r="C275" s="0">
        <f>IF(Allocation!BK275="","",Allocation!BK275)</f>
        <v/>
      </c>
      <c r="D275" s="0">
        <f>IF(Allocation!BL275="","",Allocation!BL275)</f>
        <v/>
      </c>
      <c r="E275" s="0">
        <f>IF(Allocation!BM275="","",Allocation!BM275)</f>
        <v/>
      </c>
      <c r="F275" s="0">
        <f>IF(Allocation!BN275="","",Allocation!BN275)</f>
        <v/>
      </c>
      <c r="G275" s="0">
        <f>IF(Allocation!BO275="","",Allocation!BO275)</f>
        <v/>
      </c>
      <c r="H275" s="0">
        <f>IF(Allocation!BP275="","",Allocation!BP275)</f>
        <v/>
      </c>
      <c r="I275" s="0">
        <f>IF(Allocation!BQ275="","",Allocation!BQ275)</f>
        <v/>
      </c>
      <c r="J275" s="0">
        <f>IF(Allocation!CC275="","",Allocation!CC275)</f>
        <v/>
      </c>
      <c r="K275" s="0">
        <f>IF($A275="","",$H275*IF(AND(LEFT($D275,3)="BAC",$F275="INIT"),600,IF(LEFT($D275,3)="BAC",480,IF(AND(LEFT($D275,3)="MAS",$F275="INIT"),520,IF(LEFT($D275,3)="MAS",420,IF($F275="INIT",1000,700))))))</f>
        <v/>
      </c>
      <c r="L275" s="0">
        <f>IF($A275="","",SUMIFS($G$1:$G$349,$AS$1:$AS$349,$AS275,$B$1:$B$349,$B275))</f>
        <v/>
      </c>
      <c r="M275" s="0">
        <f>IF($A275="","",SUMIFS($H$1:$H$349,$AS$1:$AS$349,$AS275,$B$1:$B$349,$B275))</f>
        <v/>
      </c>
      <c r="N275" s="0">
        <f>IF($A275="","",SUMIFS($I$1:$I$349,$AS$1:$AS$349,$AS275,$B$1:$B$349,$B275))</f>
        <v/>
      </c>
      <c r="O275" s="0">
        <f>IF($A275="","",SUMIFS($K$1:$K$349,$AS$1:$AS$349,$AS275,$B$1:$B$349,$B275))</f>
        <v/>
      </c>
      <c r="P275" s="0">
        <f>IF($A275="","",SUMIFS($J$1:$J$349,$AS$1:$AS$349,$AS275,$B$1:$B$349,$B275))</f>
        <v/>
      </c>
      <c r="Q275" s="0">
        <f>IF($A275="","",SUMIFS($G$1:$G$349,$AS$1:$AS$349,$AS275,$C$1:$C$349,$C275))</f>
        <v/>
      </c>
      <c r="R275" s="0">
        <f>IF($A275="","",SUMIFS($H$1:$H$349,$AS$1:$AS$349,$AS275,$C$1:$C$349,$C275))</f>
        <v/>
      </c>
      <c r="S275" s="0">
        <f>IF($A275="","",SUMIFS($I$1:$I$349,$AS$1:$AS$349,$AS275,$C$1:$C$349,$C275))</f>
        <v/>
      </c>
      <c r="T275" s="0">
        <f>IF($A275="","",SUMIFS($G$1:$G$349,$AS$1:$AS$349,$AS275))</f>
        <v/>
      </c>
      <c r="U275" s="0">
        <f>IF($A275="","",SUMIFS($H$1:$H$349,$AS$1:$AS$349,$AS275))</f>
        <v/>
      </c>
      <c r="V275" s="0">
        <f>IF($A275="","",SUMIFS($I$1:$I$349,$AS$1:$AS$349,$AS275))</f>
        <v/>
      </c>
      <c r="W275" s="0">
        <f>IF($A275="","",Allocation!CD275)</f>
        <v/>
      </c>
      <c r="X275" s="0">
        <f>IF($A275="","",Allocation!CE275)</f>
        <v/>
      </c>
      <c r="Y275" s="0">
        <f>IF($A275="","",Allocation!CF275)</f>
        <v/>
      </c>
      <c r="Z275" s="0">
        <f>IF($A275="","",Allocation!CG275)</f>
        <v/>
      </c>
      <c r="AA275" s="0">
        <f>IF($A275="","",Allocation!CH275)</f>
        <v/>
      </c>
      <c r="AB275" s="0">
        <f>IF($A275="","",Allocation!CI275)</f>
        <v/>
      </c>
      <c r="AC275" s="0">
        <f>IF($A275="","",IF(Allocation!$N$4="VOL_EFF",$G275,IF(Allocation!$N$4="VOL_CLASS",$H275,$I275)))</f>
        <v/>
      </c>
      <c r="AD275" s="0">
        <f>IF($A275="","",IF(Allocation!$N$4="VOL_EFF",$L275,IF(Allocation!$N$4="VOL_CLASS",$M275,$N275)))</f>
        <v/>
      </c>
      <c r="AE275" s="0">
        <f>IF($A275="","",IF(Allocation!$N$3="VOL_EFF",$L275,IF(Allocation!$N$3="VOL_CLASS",$M275,$N275)))</f>
        <v/>
      </c>
      <c r="AF275" s="0">
        <f>IF($A275="","",IF(Allocation!$N$3="VOL_EFF",$Q275,IF(Allocation!$N$3="VOL_CLASS",$R275,$S275)))</f>
        <v/>
      </c>
      <c r="AG275" s="0">
        <f>IF($A275="","",IF(Allocation!$N$1="VOL_EFF",$Q275,IF(Allocation!$N$1="VOL_CLASS",$R275,$S275)))</f>
        <v/>
      </c>
      <c r="AH275" s="0">
        <f>IF($A275="","",IF(Allocation!$N$1="VOL_EFF",$T275,IF(Allocation!$N$1="VOL_CLASS",$U275,$V275)))</f>
        <v/>
      </c>
      <c r="AI275" s="0">
        <f>IF($A275="","",$W275*IFERROR($K275/$O275,0))</f>
        <v/>
      </c>
      <c r="AJ275" s="0">
        <f>IF($A275="","",$X275*IFERROR($K275/$O275,0))</f>
        <v/>
      </c>
      <c r="AK275" s="0">
        <f>IF($A275="","",$Y275*IFERROR($G275/$L275,0)+$Z275*IFERROR($J275/$P275,0))</f>
        <v/>
      </c>
      <c r="AL275" s="0">
        <f>IF($A275="","",$AA275*IFERROR($AC275/$AD275,0))</f>
        <v/>
      </c>
      <c r="AM275" s="0">
        <f>IF($A275="","",$AB275*IFERROR($AG275/$AH275,0)*IFERROR($AE275/$AF275,0)*IFERROR($AC275/$AD275,0))</f>
        <v/>
      </c>
      <c r="AN275" s="0">
        <f>IF($A275="","",$I275-($AI275+$AJ275+$AK275+$AL275+$AM275+$AR275))</f>
        <v/>
      </c>
      <c r="AO275" s="0">
        <f>IF($A275="","",Allocation!CJ275)</f>
        <v/>
      </c>
      <c r="AP275" s="0">
        <f>IF($A275="","",IF(Allocation!$N$2="VOL_EFF",$Q275,IF(Allocation!$N$2="VOL_CLASS",$R275,$S275)))</f>
        <v/>
      </c>
      <c r="AQ275" s="0">
        <f>IF($A275="","",IF(Allocation!$N$2="VOL_EFF",$T275,IF(Allocation!$N$2="VOL_CLASS",$U275,$V275)))</f>
        <v/>
      </c>
      <c r="AR275" s="0">
        <f>IF($A275="","",$AO275*IFERROR($AP275/$AQ275,0)*IFERROR($AE275/$AF275,0)*IFERROR($AC275/$AD275,0))</f>
        <v/>
      </c>
      <c r="AS275" s="0">
        <f>IF($A275="","",$A275&amp;"|"&amp;Allocation!BG275)</f>
        <v/>
      </c>
    </row>
    <row r="276" ht="14.4975" customHeight="1" s="64">
      <c r="A276" s="0">
        <f>IF(Allocation!BI276="","",Allocation!BI276)</f>
        <v/>
      </c>
      <c r="B276" s="0">
        <f>IF(Allocation!BJ276="","",Allocation!BJ276)</f>
        <v/>
      </c>
      <c r="C276" s="0">
        <f>IF(Allocation!BK276="","",Allocation!BK276)</f>
        <v/>
      </c>
      <c r="D276" s="0">
        <f>IF(Allocation!BL276="","",Allocation!BL276)</f>
        <v/>
      </c>
      <c r="E276" s="0">
        <f>IF(Allocation!BM276="","",Allocation!BM276)</f>
        <v/>
      </c>
      <c r="F276" s="0">
        <f>IF(Allocation!BN276="","",Allocation!BN276)</f>
        <v/>
      </c>
      <c r="G276" s="0">
        <f>IF(Allocation!BO276="","",Allocation!BO276)</f>
        <v/>
      </c>
      <c r="H276" s="0">
        <f>IF(Allocation!BP276="","",Allocation!BP276)</f>
        <v/>
      </c>
      <c r="I276" s="0">
        <f>IF(Allocation!BQ276="","",Allocation!BQ276)</f>
        <v/>
      </c>
      <c r="J276" s="0">
        <f>IF(Allocation!CC276="","",Allocation!CC276)</f>
        <v/>
      </c>
      <c r="K276" s="0">
        <f>IF($A276="","",$H276*IF(AND(LEFT($D276,3)="BAC",$F276="INIT"),600,IF(LEFT($D276,3)="BAC",480,IF(AND(LEFT($D276,3)="MAS",$F276="INIT"),520,IF(LEFT($D276,3)="MAS",420,IF($F276="INIT",1000,700))))))</f>
        <v/>
      </c>
      <c r="L276" s="0">
        <f>IF($A276="","",SUMIFS($G$1:$G$349,$AS$1:$AS$349,$AS276,$B$1:$B$349,$B276))</f>
        <v/>
      </c>
      <c r="M276" s="0">
        <f>IF($A276="","",SUMIFS($H$1:$H$349,$AS$1:$AS$349,$AS276,$B$1:$B$349,$B276))</f>
        <v/>
      </c>
      <c r="N276" s="0">
        <f>IF($A276="","",SUMIFS($I$1:$I$349,$AS$1:$AS$349,$AS276,$B$1:$B$349,$B276))</f>
        <v/>
      </c>
      <c r="O276" s="0">
        <f>IF($A276="","",SUMIFS($K$1:$K$349,$AS$1:$AS$349,$AS276,$B$1:$B$349,$B276))</f>
        <v/>
      </c>
      <c r="P276" s="0">
        <f>IF($A276="","",SUMIFS($J$1:$J$349,$AS$1:$AS$349,$AS276,$B$1:$B$349,$B276))</f>
        <v/>
      </c>
      <c r="Q276" s="0">
        <f>IF($A276="","",SUMIFS($G$1:$G$349,$AS$1:$AS$349,$AS276,$C$1:$C$349,$C276))</f>
        <v/>
      </c>
      <c r="R276" s="0">
        <f>IF($A276="","",SUMIFS($H$1:$H$349,$AS$1:$AS$349,$AS276,$C$1:$C$349,$C276))</f>
        <v/>
      </c>
      <c r="S276" s="0">
        <f>IF($A276="","",SUMIFS($I$1:$I$349,$AS$1:$AS$349,$AS276,$C$1:$C$349,$C276))</f>
        <v/>
      </c>
      <c r="T276" s="0">
        <f>IF($A276="","",SUMIFS($G$1:$G$349,$AS$1:$AS$349,$AS276))</f>
        <v/>
      </c>
      <c r="U276" s="0">
        <f>IF($A276="","",SUMIFS($H$1:$H$349,$AS$1:$AS$349,$AS276))</f>
        <v/>
      </c>
      <c r="V276" s="0">
        <f>IF($A276="","",SUMIFS($I$1:$I$349,$AS$1:$AS$349,$AS276))</f>
        <v/>
      </c>
      <c r="W276" s="0">
        <f>IF($A276="","",Allocation!CD276)</f>
        <v/>
      </c>
      <c r="X276" s="0">
        <f>IF($A276="","",Allocation!CE276)</f>
        <v/>
      </c>
      <c r="Y276" s="0">
        <f>IF($A276="","",Allocation!CF276)</f>
        <v/>
      </c>
      <c r="Z276" s="0">
        <f>IF($A276="","",Allocation!CG276)</f>
        <v/>
      </c>
      <c r="AA276" s="0">
        <f>IF($A276="","",Allocation!CH276)</f>
        <v/>
      </c>
      <c r="AB276" s="0">
        <f>IF($A276="","",Allocation!CI276)</f>
        <v/>
      </c>
      <c r="AC276" s="0">
        <f>IF($A276="","",IF(Allocation!$N$4="VOL_EFF",$G276,IF(Allocation!$N$4="VOL_CLASS",$H276,$I276)))</f>
        <v/>
      </c>
      <c r="AD276" s="0">
        <f>IF($A276="","",IF(Allocation!$N$4="VOL_EFF",$L276,IF(Allocation!$N$4="VOL_CLASS",$M276,$N276)))</f>
        <v/>
      </c>
      <c r="AE276" s="0">
        <f>IF($A276="","",IF(Allocation!$N$3="VOL_EFF",$L276,IF(Allocation!$N$3="VOL_CLASS",$M276,$N276)))</f>
        <v/>
      </c>
      <c r="AF276" s="0">
        <f>IF($A276="","",IF(Allocation!$N$3="VOL_EFF",$Q276,IF(Allocation!$N$3="VOL_CLASS",$R276,$S276)))</f>
        <v/>
      </c>
      <c r="AG276" s="0">
        <f>IF($A276="","",IF(Allocation!$N$1="VOL_EFF",$Q276,IF(Allocation!$N$1="VOL_CLASS",$R276,$S276)))</f>
        <v/>
      </c>
      <c r="AH276" s="0">
        <f>IF($A276="","",IF(Allocation!$N$1="VOL_EFF",$T276,IF(Allocation!$N$1="VOL_CLASS",$U276,$V276)))</f>
        <v/>
      </c>
      <c r="AI276" s="0">
        <f>IF($A276="","",$W276*IFERROR($K276/$O276,0))</f>
        <v/>
      </c>
      <c r="AJ276" s="0">
        <f>IF($A276="","",$X276*IFERROR($K276/$O276,0))</f>
        <v/>
      </c>
      <c r="AK276" s="0">
        <f>IF($A276="","",$Y276*IFERROR($G276/$L276,0)+$Z276*IFERROR($J276/$P276,0))</f>
        <v/>
      </c>
      <c r="AL276" s="0">
        <f>IF($A276="","",$AA276*IFERROR($AC276/$AD276,0))</f>
        <v/>
      </c>
      <c r="AM276" s="0">
        <f>IF($A276="","",$AB276*IFERROR($AG276/$AH276,0)*IFERROR($AE276/$AF276,0)*IFERROR($AC276/$AD276,0))</f>
        <v/>
      </c>
      <c r="AN276" s="0">
        <f>IF($A276="","",$I276-($AI276+$AJ276+$AK276+$AL276+$AM276+$AR276))</f>
        <v/>
      </c>
      <c r="AO276" s="0">
        <f>IF($A276="","",Allocation!CJ276)</f>
        <v/>
      </c>
      <c r="AP276" s="0">
        <f>IF($A276="","",IF(Allocation!$N$2="VOL_EFF",$Q276,IF(Allocation!$N$2="VOL_CLASS",$R276,$S276)))</f>
        <v/>
      </c>
      <c r="AQ276" s="0">
        <f>IF($A276="","",IF(Allocation!$N$2="VOL_EFF",$T276,IF(Allocation!$N$2="VOL_CLASS",$U276,$V276)))</f>
        <v/>
      </c>
      <c r="AR276" s="0">
        <f>IF($A276="","",$AO276*IFERROR($AP276/$AQ276,0)*IFERROR($AE276/$AF276,0)*IFERROR($AC276/$AD276,0))</f>
        <v/>
      </c>
      <c r="AS276" s="0">
        <f>IF($A276="","",$A276&amp;"|"&amp;Allocation!BG276)</f>
        <v/>
      </c>
    </row>
    <row r="277" ht="14.4975" customHeight="1" s="64">
      <c r="A277" s="0">
        <f>IF(Allocation!BI277="","",Allocation!BI277)</f>
        <v/>
      </c>
      <c r="B277" s="0">
        <f>IF(Allocation!BJ277="","",Allocation!BJ277)</f>
        <v/>
      </c>
      <c r="C277" s="0">
        <f>IF(Allocation!BK277="","",Allocation!BK277)</f>
        <v/>
      </c>
      <c r="D277" s="0">
        <f>IF(Allocation!BL277="","",Allocation!BL277)</f>
        <v/>
      </c>
      <c r="E277" s="0">
        <f>IF(Allocation!BM277="","",Allocation!BM277)</f>
        <v/>
      </c>
      <c r="F277" s="0">
        <f>IF(Allocation!BN277="","",Allocation!BN277)</f>
        <v/>
      </c>
      <c r="G277" s="0">
        <f>IF(Allocation!BO277="","",Allocation!BO277)</f>
        <v/>
      </c>
      <c r="H277" s="0">
        <f>IF(Allocation!BP277="","",Allocation!BP277)</f>
        <v/>
      </c>
      <c r="I277" s="0">
        <f>IF(Allocation!BQ277="","",Allocation!BQ277)</f>
        <v/>
      </c>
      <c r="J277" s="0">
        <f>IF(Allocation!CC277="","",Allocation!CC277)</f>
        <v/>
      </c>
      <c r="K277" s="0">
        <f>IF($A277="","",$H277*IF(AND(LEFT($D277,3)="BAC",$F277="INIT"),600,IF(LEFT($D277,3)="BAC",480,IF(AND(LEFT($D277,3)="MAS",$F277="INIT"),520,IF(LEFT($D277,3)="MAS",420,IF($F277="INIT",1000,700))))))</f>
        <v/>
      </c>
      <c r="L277" s="0">
        <f>IF($A277="","",SUMIFS($G$1:$G$349,$AS$1:$AS$349,$AS277,$B$1:$B$349,$B277))</f>
        <v/>
      </c>
      <c r="M277" s="0">
        <f>IF($A277="","",SUMIFS($H$1:$H$349,$AS$1:$AS$349,$AS277,$B$1:$B$349,$B277))</f>
        <v/>
      </c>
      <c r="N277" s="0">
        <f>IF($A277="","",SUMIFS($I$1:$I$349,$AS$1:$AS$349,$AS277,$B$1:$B$349,$B277))</f>
        <v/>
      </c>
      <c r="O277" s="0">
        <f>IF($A277="","",SUMIFS($K$1:$K$349,$AS$1:$AS$349,$AS277,$B$1:$B$349,$B277))</f>
        <v/>
      </c>
      <c r="P277" s="0">
        <f>IF($A277="","",SUMIFS($J$1:$J$349,$AS$1:$AS$349,$AS277,$B$1:$B$349,$B277))</f>
        <v/>
      </c>
      <c r="Q277" s="0">
        <f>IF($A277="","",SUMIFS($G$1:$G$349,$AS$1:$AS$349,$AS277,$C$1:$C$349,$C277))</f>
        <v/>
      </c>
      <c r="R277" s="0">
        <f>IF($A277="","",SUMIFS($H$1:$H$349,$AS$1:$AS$349,$AS277,$C$1:$C$349,$C277))</f>
        <v/>
      </c>
      <c r="S277" s="0">
        <f>IF($A277="","",SUMIFS($I$1:$I$349,$AS$1:$AS$349,$AS277,$C$1:$C$349,$C277))</f>
        <v/>
      </c>
      <c r="T277" s="0">
        <f>IF($A277="","",SUMIFS($G$1:$G$349,$AS$1:$AS$349,$AS277))</f>
        <v/>
      </c>
      <c r="U277" s="0">
        <f>IF($A277="","",SUMIFS($H$1:$H$349,$AS$1:$AS$349,$AS277))</f>
        <v/>
      </c>
      <c r="V277" s="0">
        <f>IF($A277="","",SUMIFS($I$1:$I$349,$AS$1:$AS$349,$AS277))</f>
        <v/>
      </c>
      <c r="W277" s="0">
        <f>IF($A277="","",Allocation!CD277)</f>
        <v/>
      </c>
      <c r="X277" s="0">
        <f>IF($A277="","",Allocation!CE277)</f>
        <v/>
      </c>
      <c r="Y277" s="0">
        <f>IF($A277="","",Allocation!CF277)</f>
        <v/>
      </c>
      <c r="Z277" s="0">
        <f>IF($A277="","",Allocation!CG277)</f>
        <v/>
      </c>
      <c r="AA277" s="0">
        <f>IF($A277="","",Allocation!CH277)</f>
        <v/>
      </c>
      <c r="AB277" s="0">
        <f>IF($A277="","",Allocation!CI277)</f>
        <v/>
      </c>
      <c r="AC277" s="0">
        <f>IF($A277="","",IF(Allocation!$N$4="VOL_EFF",$G277,IF(Allocation!$N$4="VOL_CLASS",$H277,$I277)))</f>
        <v/>
      </c>
      <c r="AD277" s="0">
        <f>IF($A277="","",IF(Allocation!$N$4="VOL_EFF",$L277,IF(Allocation!$N$4="VOL_CLASS",$M277,$N277)))</f>
        <v/>
      </c>
      <c r="AE277" s="0">
        <f>IF($A277="","",IF(Allocation!$N$3="VOL_EFF",$L277,IF(Allocation!$N$3="VOL_CLASS",$M277,$N277)))</f>
        <v/>
      </c>
      <c r="AF277" s="0">
        <f>IF($A277="","",IF(Allocation!$N$3="VOL_EFF",$Q277,IF(Allocation!$N$3="VOL_CLASS",$R277,$S277)))</f>
        <v/>
      </c>
      <c r="AG277" s="0">
        <f>IF($A277="","",IF(Allocation!$N$1="VOL_EFF",$Q277,IF(Allocation!$N$1="VOL_CLASS",$R277,$S277)))</f>
        <v/>
      </c>
      <c r="AH277" s="0">
        <f>IF($A277="","",IF(Allocation!$N$1="VOL_EFF",$T277,IF(Allocation!$N$1="VOL_CLASS",$U277,$V277)))</f>
        <v/>
      </c>
      <c r="AI277" s="0">
        <f>IF($A277="","",$W277*IFERROR($K277/$O277,0))</f>
        <v/>
      </c>
      <c r="AJ277" s="0">
        <f>IF($A277="","",$X277*IFERROR($K277/$O277,0))</f>
        <v/>
      </c>
      <c r="AK277" s="0">
        <f>IF($A277="","",$Y277*IFERROR($G277/$L277,0)+$Z277*IFERROR($J277/$P277,0))</f>
        <v/>
      </c>
      <c r="AL277" s="0">
        <f>IF($A277="","",$AA277*IFERROR($AC277/$AD277,0))</f>
        <v/>
      </c>
      <c r="AM277" s="0">
        <f>IF($A277="","",$AB277*IFERROR($AG277/$AH277,0)*IFERROR($AE277/$AF277,0)*IFERROR($AC277/$AD277,0))</f>
        <v/>
      </c>
      <c r="AN277" s="0">
        <f>IF($A277="","",$I277-($AI277+$AJ277+$AK277+$AL277+$AM277+$AR277))</f>
        <v/>
      </c>
      <c r="AO277" s="0">
        <f>IF($A277="","",Allocation!CJ277)</f>
        <v/>
      </c>
      <c r="AP277" s="0">
        <f>IF($A277="","",IF(Allocation!$N$2="VOL_EFF",$Q277,IF(Allocation!$N$2="VOL_CLASS",$R277,$S277)))</f>
        <v/>
      </c>
      <c r="AQ277" s="0">
        <f>IF($A277="","",IF(Allocation!$N$2="VOL_EFF",$T277,IF(Allocation!$N$2="VOL_CLASS",$U277,$V277)))</f>
        <v/>
      </c>
      <c r="AR277" s="0">
        <f>IF($A277="","",$AO277*IFERROR($AP277/$AQ277,0)*IFERROR($AE277/$AF277,0)*IFERROR($AC277/$AD277,0))</f>
        <v/>
      </c>
      <c r="AS277" s="0">
        <f>IF($A277="","",$A277&amp;"|"&amp;Allocation!BG277)</f>
        <v/>
      </c>
    </row>
    <row r="278" ht="14.4975" customHeight="1" s="64">
      <c r="A278" s="0">
        <f>IF(Allocation!BI278="","",Allocation!BI278)</f>
        <v/>
      </c>
      <c r="B278" s="0">
        <f>IF(Allocation!BJ278="","",Allocation!BJ278)</f>
        <v/>
      </c>
      <c r="C278" s="0">
        <f>IF(Allocation!BK278="","",Allocation!BK278)</f>
        <v/>
      </c>
      <c r="D278" s="0">
        <f>IF(Allocation!BL278="","",Allocation!BL278)</f>
        <v/>
      </c>
      <c r="E278" s="0">
        <f>IF(Allocation!BM278="","",Allocation!BM278)</f>
        <v/>
      </c>
      <c r="F278" s="0">
        <f>IF(Allocation!BN278="","",Allocation!BN278)</f>
        <v/>
      </c>
      <c r="G278" s="0">
        <f>IF(Allocation!BO278="","",Allocation!BO278)</f>
        <v/>
      </c>
      <c r="H278" s="0">
        <f>IF(Allocation!BP278="","",Allocation!BP278)</f>
        <v/>
      </c>
      <c r="I278" s="0">
        <f>IF(Allocation!BQ278="","",Allocation!BQ278)</f>
        <v/>
      </c>
      <c r="J278" s="0">
        <f>IF(Allocation!CC278="","",Allocation!CC278)</f>
        <v/>
      </c>
      <c r="K278" s="0">
        <f>IF($A278="","",$H278*IF(AND(LEFT($D278,3)="BAC",$F278="INIT"),600,IF(LEFT($D278,3)="BAC",480,IF(AND(LEFT($D278,3)="MAS",$F278="INIT"),520,IF(LEFT($D278,3)="MAS",420,IF($F278="INIT",1000,700))))))</f>
        <v/>
      </c>
      <c r="L278" s="0">
        <f>IF($A278="","",SUMIFS($G$1:$G$349,$AS$1:$AS$349,$AS278,$B$1:$B$349,$B278))</f>
        <v/>
      </c>
      <c r="M278" s="0">
        <f>IF($A278="","",SUMIFS($H$1:$H$349,$AS$1:$AS$349,$AS278,$B$1:$B$349,$B278))</f>
        <v/>
      </c>
      <c r="N278" s="0">
        <f>IF($A278="","",SUMIFS($I$1:$I$349,$AS$1:$AS$349,$AS278,$B$1:$B$349,$B278))</f>
        <v/>
      </c>
      <c r="O278" s="0">
        <f>IF($A278="","",SUMIFS($K$1:$K$349,$AS$1:$AS$349,$AS278,$B$1:$B$349,$B278))</f>
        <v/>
      </c>
      <c r="P278" s="0">
        <f>IF($A278="","",SUMIFS($J$1:$J$349,$AS$1:$AS$349,$AS278,$B$1:$B$349,$B278))</f>
        <v/>
      </c>
      <c r="Q278" s="0">
        <f>IF($A278="","",SUMIFS($G$1:$G$349,$AS$1:$AS$349,$AS278,$C$1:$C$349,$C278))</f>
        <v/>
      </c>
      <c r="R278" s="0">
        <f>IF($A278="","",SUMIFS($H$1:$H$349,$AS$1:$AS$349,$AS278,$C$1:$C$349,$C278))</f>
        <v/>
      </c>
      <c r="S278" s="0">
        <f>IF($A278="","",SUMIFS($I$1:$I$349,$AS$1:$AS$349,$AS278,$C$1:$C$349,$C278))</f>
        <v/>
      </c>
      <c r="T278" s="0">
        <f>IF($A278="","",SUMIFS($G$1:$G$349,$AS$1:$AS$349,$AS278))</f>
        <v/>
      </c>
      <c r="U278" s="0">
        <f>IF($A278="","",SUMIFS($H$1:$H$349,$AS$1:$AS$349,$AS278))</f>
        <v/>
      </c>
      <c r="V278" s="0">
        <f>IF($A278="","",SUMIFS($I$1:$I$349,$AS$1:$AS$349,$AS278))</f>
        <v/>
      </c>
      <c r="W278" s="0">
        <f>IF($A278="","",Allocation!CD278)</f>
        <v/>
      </c>
      <c r="X278" s="0">
        <f>IF($A278="","",Allocation!CE278)</f>
        <v/>
      </c>
      <c r="Y278" s="0">
        <f>IF($A278="","",Allocation!CF278)</f>
        <v/>
      </c>
      <c r="Z278" s="0">
        <f>IF($A278="","",Allocation!CG278)</f>
        <v/>
      </c>
      <c r="AA278" s="0">
        <f>IF($A278="","",Allocation!CH278)</f>
        <v/>
      </c>
      <c r="AB278" s="0">
        <f>IF($A278="","",Allocation!CI278)</f>
        <v/>
      </c>
      <c r="AC278" s="0">
        <f>IF($A278="","",IF(Allocation!$N$4="VOL_EFF",$G278,IF(Allocation!$N$4="VOL_CLASS",$H278,$I278)))</f>
        <v/>
      </c>
      <c r="AD278" s="0">
        <f>IF($A278="","",IF(Allocation!$N$4="VOL_EFF",$L278,IF(Allocation!$N$4="VOL_CLASS",$M278,$N278)))</f>
        <v/>
      </c>
      <c r="AE278" s="0">
        <f>IF($A278="","",IF(Allocation!$N$3="VOL_EFF",$L278,IF(Allocation!$N$3="VOL_CLASS",$M278,$N278)))</f>
        <v/>
      </c>
      <c r="AF278" s="0">
        <f>IF($A278="","",IF(Allocation!$N$3="VOL_EFF",$Q278,IF(Allocation!$N$3="VOL_CLASS",$R278,$S278)))</f>
        <v/>
      </c>
      <c r="AG278" s="0">
        <f>IF($A278="","",IF(Allocation!$N$1="VOL_EFF",$Q278,IF(Allocation!$N$1="VOL_CLASS",$R278,$S278)))</f>
        <v/>
      </c>
      <c r="AH278" s="0">
        <f>IF($A278="","",IF(Allocation!$N$1="VOL_EFF",$T278,IF(Allocation!$N$1="VOL_CLASS",$U278,$V278)))</f>
        <v/>
      </c>
      <c r="AI278" s="0">
        <f>IF($A278="","",$W278*IFERROR($K278/$O278,0))</f>
        <v/>
      </c>
      <c r="AJ278" s="0">
        <f>IF($A278="","",$X278*IFERROR($K278/$O278,0))</f>
        <v/>
      </c>
      <c r="AK278" s="0">
        <f>IF($A278="","",$Y278*IFERROR($G278/$L278,0)+$Z278*IFERROR($J278/$P278,0))</f>
        <v/>
      </c>
      <c r="AL278" s="0">
        <f>IF($A278="","",$AA278*IFERROR($AC278/$AD278,0))</f>
        <v/>
      </c>
      <c r="AM278" s="0">
        <f>IF($A278="","",$AB278*IFERROR($AG278/$AH278,0)*IFERROR($AE278/$AF278,0)*IFERROR($AC278/$AD278,0))</f>
        <v/>
      </c>
      <c r="AN278" s="0">
        <f>IF($A278="","",$I278-($AI278+$AJ278+$AK278+$AL278+$AM278+$AR278))</f>
        <v/>
      </c>
      <c r="AO278" s="0">
        <f>IF($A278="","",Allocation!CJ278)</f>
        <v/>
      </c>
      <c r="AP278" s="0">
        <f>IF($A278="","",IF(Allocation!$N$2="VOL_EFF",$Q278,IF(Allocation!$N$2="VOL_CLASS",$R278,$S278)))</f>
        <v/>
      </c>
      <c r="AQ278" s="0">
        <f>IF($A278="","",IF(Allocation!$N$2="VOL_EFF",$T278,IF(Allocation!$N$2="VOL_CLASS",$U278,$V278)))</f>
        <v/>
      </c>
      <c r="AR278" s="0">
        <f>IF($A278="","",$AO278*IFERROR($AP278/$AQ278,0)*IFERROR($AE278/$AF278,0)*IFERROR($AC278/$AD278,0))</f>
        <v/>
      </c>
      <c r="AS278" s="0">
        <f>IF($A278="","",$A278&amp;"|"&amp;Allocation!BG278)</f>
        <v/>
      </c>
    </row>
    <row r="279" ht="14.4975" customHeight="1" s="64">
      <c r="A279" s="0">
        <f>IF(Allocation!BI279="","",Allocation!BI279)</f>
        <v/>
      </c>
      <c r="B279" s="0">
        <f>IF(Allocation!BJ279="","",Allocation!BJ279)</f>
        <v/>
      </c>
      <c r="C279" s="0">
        <f>IF(Allocation!BK279="","",Allocation!BK279)</f>
        <v/>
      </c>
      <c r="D279" s="0">
        <f>IF(Allocation!BL279="","",Allocation!BL279)</f>
        <v/>
      </c>
      <c r="E279" s="0">
        <f>IF(Allocation!BM279="","",Allocation!BM279)</f>
        <v/>
      </c>
      <c r="F279" s="0">
        <f>IF(Allocation!BN279="","",Allocation!BN279)</f>
        <v/>
      </c>
      <c r="G279" s="0">
        <f>IF(Allocation!BO279="","",Allocation!BO279)</f>
        <v/>
      </c>
      <c r="H279" s="0">
        <f>IF(Allocation!BP279="","",Allocation!BP279)</f>
        <v/>
      </c>
      <c r="I279" s="0">
        <f>IF(Allocation!BQ279="","",Allocation!BQ279)</f>
        <v/>
      </c>
      <c r="J279" s="0">
        <f>IF(Allocation!CC279="","",Allocation!CC279)</f>
        <v/>
      </c>
      <c r="K279" s="0">
        <f>IF($A279="","",$H279*IF(AND(LEFT($D279,3)="BAC",$F279="INIT"),600,IF(LEFT($D279,3)="BAC",480,IF(AND(LEFT($D279,3)="MAS",$F279="INIT"),520,IF(LEFT($D279,3)="MAS",420,IF($F279="INIT",1000,700))))))</f>
        <v/>
      </c>
      <c r="L279" s="0">
        <f>IF($A279="","",SUMIFS($G$1:$G$349,$AS$1:$AS$349,$AS279,$B$1:$B$349,$B279))</f>
        <v/>
      </c>
      <c r="M279" s="0">
        <f>IF($A279="","",SUMIFS($H$1:$H$349,$AS$1:$AS$349,$AS279,$B$1:$B$349,$B279))</f>
        <v/>
      </c>
      <c r="N279" s="0">
        <f>IF($A279="","",SUMIFS($I$1:$I$349,$AS$1:$AS$349,$AS279,$B$1:$B$349,$B279))</f>
        <v/>
      </c>
      <c r="O279" s="0">
        <f>IF($A279="","",SUMIFS($K$1:$K$349,$AS$1:$AS$349,$AS279,$B$1:$B$349,$B279))</f>
        <v/>
      </c>
      <c r="P279" s="0">
        <f>IF($A279="","",SUMIFS($J$1:$J$349,$AS$1:$AS$349,$AS279,$B$1:$B$349,$B279))</f>
        <v/>
      </c>
      <c r="Q279" s="0">
        <f>IF($A279="","",SUMIFS($G$1:$G$349,$AS$1:$AS$349,$AS279,$C$1:$C$349,$C279))</f>
        <v/>
      </c>
      <c r="R279" s="0">
        <f>IF($A279="","",SUMIFS($H$1:$H$349,$AS$1:$AS$349,$AS279,$C$1:$C$349,$C279))</f>
        <v/>
      </c>
      <c r="S279" s="0">
        <f>IF($A279="","",SUMIFS($I$1:$I$349,$AS$1:$AS$349,$AS279,$C$1:$C$349,$C279))</f>
        <v/>
      </c>
      <c r="T279" s="0">
        <f>IF($A279="","",SUMIFS($G$1:$G$349,$AS$1:$AS$349,$AS279))</f>
        <v/>
      </c>
      <c r="U279" s="0">
        <f>IF($A279="","",SUMIFS($H$1:$H$349,$AS$1:$AS$349,$AS279))</f>
        <v/>
      </c>
      <c r="V279" s="0">
        <f>IF($A279="","",SUMIFS($I$1:$I$349,$AS$1:$AS$349,$AS279))</f>
        <v/>
      </c>
      <c r="W279" s="0">
        <f>IF($A279="","",Allocation!CD279)</f>
        <v/>
      </c>
      <c r="X279" s="0">
        <f>IF($A279="","",Allocation!CE279)</f>
        <v/>
      </c>
      <c r="Y279" s="0">
        <f>IF($A279="","",Allocation!CF279)</f>
        <v/>
      </c>
      <c r="Z279" s="0">
        <f>IF($A279="","",Allocation!CG279)</f>
        <v/>
      </c>
      <c r="AA279" s="0">
        <f>IF($A279="","",Allocation!CH279)</f>
        <v/>
      </c>
      <c r="AB279" s="0">
        <f>IF($A279="","",Allocation!CI279)</f>
        <v/>
      </c>
      <c r="AC279" s="0">
        <f>IF($A279="","",IF(Allocation!$N$4="VOL_EFF",$G279,IF(Allocation!$N$4="VOL_CLASS",$H279,$I279)))</f>
        <v/>
      </c>
      <c r="AD279" s="0">
        <f>IF($A279="","",IF(Allocation!$N$4="VOL_EFF",$L279,IF(Allocation!$N$4="VOL_CLASS",$M279,$N279)))</f>
        <v/>
      </c>
      <c r="AE279" s="0">
        <f>IF($A279="","",IF(Allocation!$N$3="VOL_EFF",$L279,IF(Allocation!$N$3="VOL_CLASS",$M279,$N279)))</f>
        <v/>
      </c>
      <c r="AF279" s="0">
        <f>IF($A279="","",IF(Allocation!$N$3="VOL_EFF",$Q279,IF(Allocation!$N$3="VOL_CLASS",$R279,$S279)))</f>
        <v/>
      </c>
      <c r="AG279" s="0">
        <f>IF($A279="","",IF(Allocation!$N$1="VOL_EFF",$Q279,IF(Allocation!$N$1="VOL_CLASS",$R279,$S279)))</f>
        <v/>
      </c>
      <c r="AH279" s="0">
        <f>IF($A279="","",IF(Allocation!$N$1="VOL_EFF",$T279,IF(Allocation!$N$1="VOL_CLASS",$U279,$V279)))</f>
        <v/>
      </c>
      <c r="AI279" s="0">
        <f>IF($A279="","",$W279*IFERROR($K279/$O279,0))</f>
        <v/>
      </c>
      <c r="AJ279" s="0">
        <f>IF($A279="","",$X279*IFERROR($K279/$O279,0))</f>
        <v/>
      </c>
      <c r="AK279" s="0">
        <f>IF($A279="","",$Y279*IFERROR($G279/$L279,0)+$Z279*IFERROR($J279/$P279,0))</f>
        <v/>
      </c>
      <c r="AL279" s="0">
        <f>IF($A279="","",$AA279*IFERROR($AC279/$AD279,0))</f>
        <v/>
      </c>
      <c r="AM279" s="0">
        <f>IF($A279="","",$AB279*IFERROR($AG279/$AH279,0)*IFERROR($AE279/$AF279,0)*IFERROR($AC279/$AD279,0))</f>
        <v/>
      </c>
      <c r="AN279" s="0">
        <f>IF($A279="","",$I279-($AI279+$AJ279+$AK279+$AL279+$AM279+$AR279))</f>
        <v/>
      </c>
      <c r="AO279" s="0">
        <f>IF($A279="","",Allocation!CJ279)</f>
        <v/>
      </c>
      <c r="AP279" s="0">
        <f>IF($A279="","",IF(Allocation!$N$2="VOL_EFF",$Q279,IF(Allocation!$N$2="VOL_CLASS",$R279,$S279)))</f>
        <v/>
      </c>
      <c r="AQ279" s="0">
        <f>IF($A279="","",IF(Allocation!$N$2="VOL_EFF",$T279,IF(Allocation!$N$2="VOL_CLASS",$U279,$V279)))</f>
        <v/>
      </c>
      <c r="AR279" s="0">
        <f>IF($A279="","",$AO279*IFERROR($AP279/$AQ279,0)*IFERROR($AE279/$AF279,0)*IFERROR($AC279/$AD279,0))</f>
        <v/>
      </c>
      <c r="AS279" s="0">
        <f>IF($A279="","",$A279&amp;"|"&amp;Allocation!BG279)</f>
        <v/>
      </c>
    </row>
    <row r="280" ht="14.4975" customHeight="1" s="64">
      <c r="A280" s="0">
        <f>IF(Allocation!BI280="","",Allocation!BI280)</f>
        <v/>
      </c>
      <c r="B280" s="0">
        <f>IF(Allocation!BJ280="","",Allocation!BJ280)</f>
        <v/>
      </c>
      <c r="C280" s="0">
        <f>IF(Allocation!BK280="","",Allocation!BK280)</f>
        <v/>
      </c>
      <c r="D280" s="0">
        <f>IF(Allocation!BL280="","",Allocation!BL280)</f>
        <v/>
      </c>
      <c r="E280" s="0">
        <f>IF(Allocation!BM280="","",Allocation!BM280)</f>
        <v/>
      </c>
      <c r="F280" s="0">
        <f>IF(Allocation!BN280="","",Allocation!BN280)</f>
        <v/>
      </c>
      <c r="G280" s="0">
        <f>IF(Allocation!BO280="","",Allocation!BO280)</f>
        <v/>
      </c>
      <c r="H280" s="0">
        <f>IF(Allocation!BP280="","",Allocation!BP280)</f>
        <v/>
      </c>
      <c r="I280" s="0">
        <f>IF(Allocation!BQ280="","",Allocation!BQ280)</f>
        <v/>
      </c>
      <c r="J280" s="0">
        <f>IF(Allocation!CC280="","",Allocation!CC280)</f>
        <v/>
      </c>
      <c r="K280" s="0">
        <f>IF($A280="","",$H280*IF(AND(LEFT($D280,3)="BAC",$F280="INIT"),600,IF(LEFT($D280,3)="BAC",480,IF(AND(LEFT($D280,3)="MAS",$F280="INIT"),520,IF(LEFT($D280,3)="MAS",420,IF($F280="INIT",1000,700))))))</f>
        <v/>
      </c>
      <c r="L280" s="0">
        <f>IF($A280="","",SUMIFS($G$1:$G$349,$AS$1:$AS$349,$AS280,$B$1:$B$349,$B280))</f>
        <v/>
      </c>
      <c r="M280" s="0">
        <f>IF($A280="","",SUMIFS($H$1:$H$349,$AS$1:$AS$349,$AS280,$B$1:$B$349,$B280))</f>
        <v/>
      </c>
      <c r="N280" s="0">
        <f>IF($A280="","",SUMIFS($I$1:$I$349,$AS$1:$AS$349,$AS280,$B$1:$B$349,$B280))</f>
        <v/>
      </c>
      <c r="O280" s="0">
        <f>IF($A280="","",SUMIFS($K$1:$K$349,$AS$1:$AS$349,$AS280,$B$1:$B$349,$B280))</f>
        <v/>
      </c>
      <c r="P280" s="0">
        <f>IF($A280="","",SUMIFS($J$1:$J$349,$AS$1:$AS$349,$AS280,$B$1:$B$349,$B280))</f>
        <v/>
      </c>
      <c r="Q280" s="0">
        <f>IF($A280="","",SUMIFS($G$1:$G$349,$AS$1:$AS$349,$AS280,$C$1:$C$349,$C280))</f>
        <v/>
      </c>
      <c r="R280" s="0">
        <f>IF($A280="","",SUMIFS($H$1:$H$349,$AS$1:$AS$349,$AS280,$C$1:$C$349,$C280))</f>
        <v/>
      </c>
      <c r="S280" s="0">
        <f>IF($A280="","",SUMIFS($I$1:$I$349,$AS$1:$AS$349,$AS280,$C$1:$C$349,$C280))</f>
        <v/>
      </c>
      <c r="T280" s="0">
        <f>IF($A280="","",SUMIFS($G$1:$G$349,$AS$1:$AS$349,$AS280))</f>
        <v/>
      </c>
      <c r="U280" s="0">
        <f>IF($A280="","",SUMIFS($H$1:$H$349,$AS$1:$AS$349,$AS280))</f>
        <v/>
      </c>
      <c r="V280" s="0">
        <f>IF($A280="","",SUMIFS($I$1:$I$349,$AS$1:$AS$349,$AS280))</f>
        <v/>
      </c>
      <c r="W280" s="0">
        <f>IF($A280="","",Allocation!CD280)</f>
        <v/>
      </c>
      <c r="X280" s="0">
        <f>IF($A280="","",Allocation!CE280)</f>
        <v/>
      </c>
      <c r="Y280" s="0">
        <f>IF($A280="","",Allocation!CF280)</f>
        <v/>
      </c>
      <c r="Z280" s="0">
        <f>IF($A280="","",Allocation!CG280)</f>
        <v/>
      </c>
      <c r="AA280" s="0">
        <f>IF($A280="","",Allocation!CH280)</f>
        <v/>
      </c>
      <c r="AB280" s="0">
        <f>IF($A280="","",Allocation!CI280)</f>
        <v/>
      </c>
      <c r="AC280" s="0">
        <f>IF($A280="","",IF(Allocation!$N$4="VOL_EFF",$G280,IF(Allocation!$N$4="VOL_CLASS",$H280,$I280)))</f>
        <v/>
      </c>
      <c r="AD280" s="0">
        <f>IF($A280="","",IF(Allocation!$N$4="VOL_EFF",$L280,IF(Allocation!$N$4="VOL_CLASS",$M280,$N280)))</f>
        <v/>
      </c>
      <c r="AE280" s="0">
        <f>IF($A280="","",IF(Allocation!$N$3="VOL_EFF",$L280,IF(Allocation!$N$3="VOL_CLASS",$M280,$N280)))</f>
        <v/>
      </c>
      <c r="AF280" s="0">
        <f>IF($A280="","",IF(Allocation!$N$3="VOL_EFF",$Q280,IF(Allocation!$N$3="VOL_CLASS",$R280,$S280)))</f>
        <v/>
      </c>
      <c r="AG280" s="0">
        <f>IF($A280="","",IF(Allocation!$N$1="VOL_EFF",$Q280,IF(Allocation!$N$1="VOL_CLASS",$R280,$S280)))</f>
        <v/>
      </c>
      <c r="AH280" s="0">
        <f>IF($A280="","",IF(Allocation!$N$1="VOL_EFF",$T280,IF(Allocation!$N$1="VOL_CLASS",$U280,$V280)))</f>
        <v/>
      </c>
      <c r="AI280" s="0">
        <f>IF($A280="","",$W280*IFERROR($K280/$O280,0))</f>
        <v/>
      </c>
      <c r="AJ280" s="0">
        <f>IF($A280="","",$X280*IFERROR($K280/$O280,0))</f>
        <v/>
      </c>
      <c r="AK280" s="0">
        <f>IF($A280="","",$Y280*IFERROR($G280/$L280,0)+$Z280*IFERROR($J280/$P280,0))</f>
        <v/>
      </c>
      <c r="AL280" s="0">
        <f>IF($A280="","",$AA280*IFERROR($AC280/$AD280,0))</f>
        <v/>
      </c>
      <c r="AM280" s="0">
        <f>IF($A280="","",$AB280*IFERROR($AG280/$AH280,0)*IFERROR($AE280/$AF280,0)*IFERROR($AC280/$AD280,0))</f>
        <v/>
      </c>
      <c r="AN280" s="0">
        <f>IF($A280="","",$I280-($AI280+$AJ280+$AK280+$AL280+$AM280+$AR280))</f>
        <v/>
      </c>
      <c r="AO280" s="0">
        <f>IF($A280="","",Allocation!CJ280)</f>
        <v/>
      </c>
      <c r="AP280" s="0">
        <f>IF($A280="","",IF(Allocation!$N$2="VOL_EFF",$Q280,IF(Allocation!$N$2="VOL_CLASS",$R280,$S280)))</f>
        <v/>
      </c>
      <c r="AQ280" s="0">
        <f>IF($A280="","",IF(Allocation!$N$2="VOL_EFF",$T280,IF(Allocation!$N$2="VOL_CLASS",$U280,$V280)))</f>
        <v/>
      </c>
      <c r="AR280" s="0">
        <f>IF($A280="","",$AO280*IFERROR($AP280/$AQ280,0)*IFERROR($AE280/$AF280,0)*IFERROR($AC280/$AD280,0))</f>
        <v/>
      </c>
      <c r="AS280" s="0">
        <f>IF($A280="","",$A280&amp;"|"&amp;Allocation!BG280)</f>
        <v/>
      </c>
    </row>
    <row r="281" ht="14.4975" customHeight="1" s="64">
      <c r="A281" s="0">
        <f>IF(Allocation!BI281="","",Allocation!BI281)</f>
        <v/>
      </c>
      <c r="B281" s="0">
        <f>IF(Allocation!BJ281="","",Allocation!BJ281)</f>
        <v/>
      </c>
      <c r="C281" s="0">
        <f>IF(Allocation!BK281="","",Allocation!BK281)</f>
        <v/>
      </c>
      <c r="D281" s="0">
        <f>IF(Allocation!BL281="","",Allocation!BL281)</f>
        <v/>
      </c>
      <c r="E281" s="0">
        <f>IF(Allocation!BM281="","",Allocation!BM281)</f>
        <v/>
      </c>
      <c r="F281" s="0">
        <f>IF(Allocation!BN281="","",Allocation!BN281)</f>
        <v/>
      </c>
      <c r="G281" s="0">
        <f>IF(Allocation!BO281="","",Allocation!BO281)</f>
        <v/>
      </c>
      <c r="H281" s="0">
        <f>IF(Allocation!BP281="","",Allocation!BP281)</f>
        <v/>
      </c>
      <c r="I281" s="0">
        <f>IF(Allocation!BQ281="","",Allocation!BQ281)</f>
        <v/>
      </c>
      <c r="J281" s="0">
        <f>IF(Allocation!CC281="","",Allocation!CC281)</f>
        <v/>
      </c>
      <c r="K281" s="0">
        <f>IF($A281="","",$H281*IF(AND(LEFT($D281,3)="BAC",$F281="INIT"),600,IF(LEFT($D281,3)="BAC",480,IF(AND(LEFT($D281,3)="MAS",$F281="INIT"),520,IF(LEFT($D281,3)="MAS",420,IF($F281="INIT",1000,700))))))</f>
        <v/>
      </c>
      <c r="L281" s="0">
        <f>IF($A281="","",SUMIFS($G$1:$G$349,$AS$1:$AS$349,$AS281,$B$1:$B$349,$B281))</f>
        <v/>
      </c>
      <c r="M281" s="0">
        <f>IF($A281="","",SUMIFS($H$1:$H$349,$AS$1:$AS$349,$AS281,$B$1:$B$349,$B281))</f>
        <v/>
      </c>
      <c r="N281" s="0">
        <f>IF($A281="","",SUMIFS($I$1:$I$349,$AS$1:$AS$349,$AS281,$B$1:$B$349,$B281))</f>
        <v/>
      </c>
      <c r="O281" s="0">
        <f>IF($A281="","",SUMIFS($K$1:$K$349,$AS$1:$AS$349,$AS281,$B$1:$B$349,$B281))</f>
        <v/>
      </c>
      <c r="P281" s="0">
        <f>IF($A281="","",SUMIFS($J$1:$J$349,$AS$1:$AS$349,$AS281,$B$1:$B$349,$B281))</f>
        <v/>
      </c>
      <c r="Q281" s="0">
        <f>IF($A281="","",SUMIFS($G$1:$G$349,$AS$1:$AS$349,$AS281,$C$1:$C$349,$C281))</f>
        <v/>
      </c>
      <c r="R281" s="0">
        <f>IF($A281="","",SUMIFS($H$1:$H$349,$AS$1:$AS$349,$AS281,$C$1:$C$349,$C281))</f>
        <v/>
      </c>
      <c r="S281" s="0">
        <f>IF($A281="","",SUMIFS($I$1:$I$349,$AS$1:$AS$349,$AS281,$C$1:$C$349,$C281))</f>
        <v/>
      </c>
      <c r="T281" s="0">
        <f>IF($A281="","",SUMIFS($G$1:$G$349,$AS$1:$AS$349,$AS281))</f>
        <v/>
      </c>
      <c r="U281" s="0">
        <f>IF($A281="","",SUMIFS($H$1:$H$349,$AS$1:$AS$349,$AS281))</f>
        <v/>
      </c>
      <c r="V281" s="0">
        <f>IF($A281="","",SUMIFS($I$1:$I$349,$AS$1:$AS$349,$AS281))</f>
        <v/>
      </c>
      <c r="W281" s="0">
        <f>IF($A281="","",Allocation!CD281)</f>
        <v/>
      </c>
      <c r="X281" s="0">
        <f>IF($A281="","",Allocation!CE281)</f>
        <v/>
      </c>
      <c r="Y281" s="0">
        <f>IF($A281="","",Allocation!CF281)</f>
        <v/>
      </c>
      <c r="Z281" s="0">
        <f>IF($A281="","",Allocation!CG281)</f>
        <v/>
      </c>
      <c r="AA281" s="0">
        <f>IF($A281="","",Allocation!CH281)</f>
        <v/>
      </c>
      <c r="AB281" s="0">
        <f>IF($A281="","",Allocation!CI281)</f>
        <v/>
      </c>
      <c r="AC281" s="0">
        <f>IF($A281="","",IF(Allocation!$N$4="VOL_EFF",$G281,IF(Allocation!$N$4="VOL_CLASS",$H281,$I281)))</f>
        <v/>
      </c>
      <c r="AD281" s="0">
        <f>IF($A281="","",IF(Allocation!$N$4="VOL_EFF",$L281,IF(Allocation!$N$4="VOL_CLASS",$M281,$N281)))</f>
        <v/>
      </c>
      <c r="AE281" s="0">
        <f>IF($A281="","",IF(Allocation!$N$3="VOL_EFF",$L281,IF(Allocation!$N$3="VOL_CLASS",$M281,$N281)))</f>
        <v/>
      </c>
      <c r="AF281" s="0">
        <f>IF($A281="","",IF(Allocation!$N$3="VOL_EFF",$Q281,IF(Allocation!$N$3="VOL_CLASS",$R281,$S281)))</f>
        <v/>
      </c>
      <c r="AG281" s="0">
        <f>IF($A281="","",IF(Allocation!$N$1="VOL_EFF",$Q281,IF(Allocation!$N$1="VOL_CLASS",$R281,$S281)))</f>
        <v/>
      </c>
      <c r="AH281" s="0">
        <f>IF($A281="","",IF(Allocation!$N$1="VOL_EFF",$T281,IF(Allocation!$N$1="VOL_CLASS",$U281,$V281)))</f>
        <v/>
      </c>
      <c r="AI281" s="0">
        <f>IF($A281="","",$W281*IFERROR($K281/$O281,0))</f>
        <v/>
      </c>
      <c r="AJ281" s="0">
        <f>IF($A281="","",$X281*IFERROR($K281/$O281,0))</f>
        <v/>
      </c>
      <c r="AK281" s="0">
        <f>IF($A281="","",$Y281*IFERROR($G281/$L281,0)+$Z281*IFERROR($J281/$P281,0))</f>
        <v/>
      </c>
      <c r="AL281" s="0">
        <f>IF($A281="","",$AA281*IFERROR($AC281/$AD281,0))</f>
        <v/>
      </c>
      <c r="AM281" s="0">
        <f>IF($A281="","",$AB281*IFERROR($AG281/$AH281,0)*IFERROR($AE281/$AF281,0)*IFERROR($AC281/$AD281,0))</f>
        <v/>
      </c>
      <c r="AN281" s="0">
        <f>IF($A281="","",$I281-($AI281+$AJ281+$AK281+$AL281+$AM281+$AR281))</f>
        <v/>
      </c>
      <c r="AO281" s="0">
        <f>IF($A281="","",Allocation!CJ281)</f>
        <v/>
      </c>
      <c r="AP281" s="0">
        <f>IF($A281="","",IF(Allocation!$N$2="VOL_EFF",$Q281,IF(Allocation!$N$2="VOL_CLASS",$R281,$S281)))</f>
        <v/>
      </c>
      <c r="AQ281" s="0">
        <f>IF($A281="","",IF(Allocation!$N$2="VOL_EFF",$T281,IF(Allocation!$N$2="VOL_CLASS",$U281,$V281)))</f>
        <v/>
      </c>
      <c r="AR281" s="0">
        <f>IF($A281="","",$AO281*IFERROR($AP281/$AQ281,0)*IFERROR($AE281/$AF281,0)*IFERROR($AC281/$AD281,0))</f>
        <v/>
      </c>
      <c r="AS281" s="0">
        <f>IF($A281="","",$A281&amp;"|"&amp;Allocation!BG281)</f>
        <v/>
      </c>
    </row>
    <row r="282" ht="14.4975" customHeight="1" s="64">
      <c r="A282" s="0">
        <f>IF(Allocation!BI282="","",Allocation!BI282)</f>
        <v/>
      </c>
      <c r="B282" s="0">
        <f>IF(Allocation!BJ282="","",Allocation!BJ282)</f>
        <v/>
      </c>
      <c r="C282" s="0">
        <f>IF(Allocation!BK282="","",Allocation!BK282)</f>
        <v/>
      </c>
      <c r="D282" s="0">
        <f>IF(Allocation!BL282="","",Allocation!BL282)</f>
        <v/>
      </c>
      <c r="E282" s="0">
        <f>IF(Allocation!BM282="","",Allocation!BM282)</f>
        <v/>
      </c>
      <c r="F282" s="0">
        <f>IF(Allocation!BN282="","",Allocation!BN282)</f>
        <v/>
      </c>
      <c r="G282" s="0">
        <f>IF(Allocation!BO282="","",Allocation!BO282)</f>
        <v/>
      </c>
      <c r="H282" s="0">
        <f>IF(Allocation!BP282="","",Allocation!BP282)</f>
        <v/>
      </c>
      <c r="I282" s="0">
        <f>IF(Allocation!BQ282="","",Allocation!BQ282)</f>
        <v/>
      </c>
      <c r="J282" s="0">
        <f>IF(Allocation!CC282="","",Allocation!CC282)</f>
        <v/>
      </c>
      <c r="K282" s="0">
        <f>IF($A282="","",$H282*IF(AND(LEFT($D282,3)="BAC",$F282="INIT"),600,IF(LEFT($D282,3)="BAC",480,IF(AND(LEFT($D282,3)="MAS",$F282="INIT"),520,IF(LEFT($D282,3)="MAS",420,IF($F282="INIT",1000,700))))))</f>
        <v/>
      </c>
      <c r="L282" s="0">
        <f>IF($A282="","",SUMIFS($G$1:$G$349,$AS$1:$AS$349,$AS282,$B$1:$B$349,$B282))</f>
        <v/>
      </c>
      <c r="M282" s="0">
        <f>IF($A282="","",SUMIFS($H$1:$H$349,$AS$1:$AS$349,$AS282,$B$1:$B$349,$B282))</f>
        <v/>
      </c>
      <c r="N282" s="0">
        <f>IF($A282="","",SUMIFS($I$1:$I$349,$AS$1:$AS$349,$AS282,$B$1:$B$349,$B282))</f>
        <v/>
      </c>
      <c r="O282" s="0">
        <f>IF($A282="","",SUMIFS($K$1:$K$349,$AS$1:$AS$349,$AS282,$B$1:$B$349,$B282))</f>
        <v/>
      </c>
      <c r="P282" s="0">
        <f>IF($A282="","",SUMIFS($J$1:$J$349,$AS$1:$AS$349,$AS282,$B$1:$B$349,$B282))</f>
        <v/>
      </c>
      <c r="Q282" s="0">
        <f>IF($A282="","",SUMIFS($G$1:$G$349,$AS$1:$AS$349,$AS282,$C$1:$C$349,$C282))</f>
        <v/>
      </c>
      <c r="R282" s="0">
        <f>IF($A282="","",SUMIFS($H$1:$H$349,$AS$1:$AS$349,$AS282,$C$1:$C$349,$C282))</f>
        <v/>
      </c>
      <c r="S282" s="0">
        <f>IF($A282="","",SUMIFS($I$1:$I$349,$AS$1:$AS$349,$AS282,$C$1:$C$349,$C282))</f>
        <v/>
      </c>
      <c r="T282" s="0">
        <f>IF($A282="","",SUMIFS($G$1:$G$349,$AS$1:$AS$349,$AS282))</f>
        <v/>
      </c>
      <c r="U282" s="0">
        <f>IF($A282="","",SUMIFS($H$1:$H$349,$AS$1:$AS$349,$AS282))</f>
        <v/>
      </c>
      <c r="V282" s="0">
        <f>IF($A282="","",SUMIFS($I$1:$I$349,$AS$1:$AS$349,$AS282))</f>
        <v/>
      </c>
      <c r="W282" s="0">
        <f>IF($A282="","",Allocation!CD282)</f>
        <v/>
      </c>
      <c r="X282" s="0">
        <f>IF($A282="","",Allocation!CE282)</f>
        <v/>
      </c>
      <c r="Y282" s="0">
        <f>IF($A282="","",Allocation!CF282)</f>
        <v/>
      </c>
      <c r="Z282" s="0">
        <f>IF($A282="","",Allocation!CG282)</f>
        <v/>
      </c>
      <c r="AA282" s="0">
        <f>IF($A282="","",Allocation!CH282)</f>
        <v/>
      </c>
      <c r="AB282" s="0">
        <f>IF($A282="","",Allocation!CI282)</f>
        <v/>
      </c>
      <c r="AC282" s="0">
        <f>IF($A282="","",IF(Allocation!$N$4="VOL_EFF",$G282,IF(Allocation!$N$4="VOL_CLASS",$H282,$I282)))</f>
        <v/>
      </c>
      <c r="AD282" s="0">
        <f>IF($A282="","",IF(Allocation!$N$4="VOL_EFF",$L282,IF(Allocation!$N$4="VOL_CLASS",$M282,$N282)))</f>
        <v/>
      </c>
      <c r="AE282" s="0">
        <f>IF($A282="","",IF(Allocation!$N$3="VOL_EFF",$L282,IF(Allocation!$N$3="VOL_CLASS",$M282,$N282)))</f>
        <v/>
      </c>
      <c r="AF282" s="0">
        <f>IF($A282="","",IF(Allocation!$N$3="VOL_EFF",$Q282,IF(Allocation!$N$3="VOL_CLASS",$R282,$S282)))</f>
        <v/>
      </c>
      <c r="AG282" s="0">
        <f>IF($A282="","",IF(Allocation!$N$1="VOL_EFF",$Q282,IF(Allocation!$N$1="VOL_CLASS",$R282,$S282)))</f>
        <v/>
      </c>
      <c r="AH282" s="0">
        <f>IF($A282="","",IF(Allocation!$N$1="VOL_EFF",$T282,IF(Allocation!$N$1="VOL_CLASS",$U282,$V282)))</f>
        <v/>
      </c>
      <c r="AI282" s="0">
        <f>IF($A282="","",$W282*IFERROR($K282/$O282,0))</f>
        <v/>
      </c>
      <c r="AJ282" s="0">
        <f>IF($A282="","",$X282*IFERROR($K282/$O282,0))</f>
        <v/>
      </c>
      <c r="AK282" s="0">
        <f>IF($A282="","",$Y282*IFERROR($G282/$L282,0)+$Z282*IFERROR($J282/$P282,0))</f>
        <v/>
      </c>
      <c r="AL282" s="0">
        <f>IF($A282="","",$AA282*IFERROR($AC282/$AD282,0))</f>
        <v/>
      </c>
      <c r="AM282" s="0">
        <f>IF($A282="","",$AB282*IFERROR($AG282/$AH282,0)*IFERROR($AE282/$AF282,0)*IFERROR($AC282/$AD282,0))</f>
        <v/>
      </c>
      <c r="AN282" s="0">
        <f>IF($A282="","",$I282-($AI282+$AJ282+$AK282+$AL282+$AM282+$AR282))</f>
        <v/>
      </c>
      <c r="AO282" s="0">
        <f>IF($A282="","",Allocation!CJ282)</f>
        <v/>
      </c>
      <c r="AP282" s="0">
        <f>IF($A282="","",IF(Allocation!$N$2="VOL_EFF",$Q282,IF(Allocation!$N$2="VOL_CLASS",$R282,$S282)))</f>
        <v/>
      </c>
      <c r="AQ282" s="0">
        <f>IF($A282="","",IF(Allocation!$N$2="VOL_EFF",$T282,IF(Allocation!$N$2="VOL_CLASS",$U282,$V282)))</f>
        <v/>
      </c>
      <c r="AR282" s="0">
        <f>IF($A282="","",$AO282*IFERROR($AP282/$AQ282,0)*IFERROR($AE282/$AF282,0)*IFERROR($AC282/$AD282,0))</f>
        <v/>
      </c>
      <c r="AS282" s="0">
        <f>IF($A282="","",$A282&amp;"|"&amp;Allocation!BG282)</f>
        <v/>
      </c>
    </row>
    <row r="283" ht="14.4975" customHeight="1" s="64">
      <c r="A283" s="0">
        <f>IF(Allocation!BI283="","",Allocation!BI283)</f>
        <v/>
      </c>
      <c r="B283" s="0">
        <f>IF(Allocation!BJ283="","",Allocation!BJ283)</f>
        <v/>
      </c>
      <c r="C283" s="0">
        <f>IF(Allocation!BK283="","",Allocation!BK283)</f>
        <v/>
      </c>
      <c r="D283" s="0">
        <f>IF(Allocation!BL283="","",Allocation!BL283)</f>
        <v/>
      </c>
      <c r="E283" s="0">
        <f>IF(Allocation!BM283="","",Allocation!BM283)</f>
        <v/>
      </c>
      <c r="F283" s="0">
        <f>IF(Allocation!BN283="","",Allocation!BN283)</f>
        <v/>
      </c>
      <c r="G283" s="0">
        <f>IF(Allocation!BO283="","",Allocation!BO283)</f>
        <v/>
      </c>
      <c r="H283" s="0">
        <f>IF(Allocation!BP283="","",Allocation!BP283)</f>
        <v/>
      </c>
      <c r="I283" s="0">
        <f>IF(Allocation!BQ283="","",Allocation!BQ283)</f>
        <v/>
      </c>
      <c r="J283" s="0">
        <f>IF(Allocation!CC283="","",Allocation!CC283)</f>
        <v/>
      </c>
      <c r="K283" s="0">
        <f>IF($A283="","",$H283*IF(AND(LEFT($D283,3)="BAC",$F283="INIT"),600,IF(LEFT($D283,3)="BAC",480,IF(AND(LEFT($D283,3)="MAS",$F283="INIT"),520,IF(LEFT($D283,3)="MAS",420,IF($F283="INIT",1000,700))))))</f>
        <v/>
      </c>
      <c r="L283" s="0">
        <f>IF($A283="","",SUMIFS($G$1:$G$349,$AS$1:$AS$349,$AS283,$B$1:$B$349,$B283))</f>
        <v/>
      </c>
      <c r="M283" s="0">
        <f>IF($A283="","",SUMIFS($H$1:$H$349,$AS$1:$AS$349,$AS283,$B$1:$B$349,$B283))</f>
        <v/>
      </c>
      <c r="N283" s="0">
        <f>IF($A283="","",SUMIFS($I$1:$I$349,$AS$1:$AS$349,$AS283,$B$1:$B$349,$B283))</f>
        <v/>
      </c>
      <c r="O283" s="0">
        <f>IF($A283="","",SUMIFS($K$1:$K$349,$AS$1:$AS$349,$AS283,$B$1:$B$349,$B283))</f>
        <v/>
      </c>
      <c r="P283" s="0">
        <f>IF($A283="","",SUMIFS($J$1:$J$349,$AS$1:$AS$349,$AS283,$B$1:$B$349,$B283))</f>
        <v/>
      </c>
      <c r="Q283" s="0">
        <f>IF($A283="","",SUMIFS($G$1:$G$349,$AS$1:$AS$349,$AS283,$C$1:$C$349,$C283))</f>
        <v/>
      </c>
      <c r="R283" s="0">
        <f>IF($A283="","",SUMIFS($H$1:$H$349,$AS$1:$AS$349,$AS283,$C$1:$C$349,$C283))</f>
        <v/>
      </c>
      <c r="S283" s="0">
        <f>IF($A283="","",SUMIFS($I$1:$I$349,$AS$1:$AS$349,$AS283,$C$1:$C$349,$C283))</f>
        <v/>
      </c>
      <c r="T283" s="0">
        <f>IF($A283="","",SUMIFS($G$1:$G$349,$AS$1:$AS$349,$AS283))</f>
        <v/>
      </c>
      <c r="U283" s="0">
        <f>IF($A283="","",SUMIFS($H$1:$H$349,$AS$1:$AS$349,$AS283))</f>
        <v/>
      </c>
      <c r="V283" s="0">
        <f>IF($A283="","",SUMIFS($I$1:$I$349,$AS$1:$AS$349,$AS283))</f>
        <v/>
      </c>
      <c r="W283" s="0">
        <f>IF($A283="","",Allocation!CD283)</f>
        <v/>
      </c>
      <c r="X283" s="0">
        <f>IF($A283="","",Allocation!CE283)</f>
        <v/>
      </c>
      <c r="Y283" s="0">
        <f>IF($A283="","",Allocation!CF283)</f>
        <v/>
      </c>
      <c r="Z283" s="0">
        <f>IF($A283="","",Allocation!CG283)</f>
        <v/>
      </c>
      <c r="AA283" s="0">
        <f>IF($A283="","",Allocation!CH283)</f>
        <v/>
      </c>
      <c r="AB283" s="0">
        <f>IF($A283="","",Allocation!CI283)</f>
        <v/>
      </c>
      <c r="AC283" s="0">
        <f>IF($A283="","",IF(Allocation!$N$4="VOL_EFF",$G283,IF(Allocation!$N$4="VOL_CLASS",$H283,$I283)))</f>
        <v/>
      </c>
      <c r="AD283" s="0">
        <f>IF($A283="","",IF(Allocation!$N$4="VOL_EFF",$L283,IF(Allocation!$N$4="VOL_CLASS",$M283,$N283)))</f>
        <v/>
      </c>
      <c r="AE283" s="0">
        <f>IF($A283="","",IF(Allocation!$N$3="VOL_EFF",$L283,IF(Allocation!$N$3="VOL_CLASS",$M283,$N283)))</f>
        <v/>
      </c>
      <c r="AF283" s="0">
        <f>IF($A283="","",IF(Allocation!$N$3="VOL_EFF",$Q283,IF(Allocation!$N$3="VOL_CLASS",$R283,$S283)))</f>
        <v/>
      </c>
      <c r="AG283" s="0">
        <f>IF($A283="","",IF(Allocation!$N$1="VOL_EFF",$Q283,IF(Allocation!$N$1="VOL_CLASS",$R283,$S283)))</f>
        <v/>
      </c>
      <c r="AH283" s="0">
        <f>IF($A283="","",IF(Allocation!$N$1="VOL_EFF",$T283,IF(Allocation!$N$1="VOL_CLASS",$U283,$V283)))</f>
        <v/>
      </c>
      <c r="AI283" s="0">
        <f>IF($A283="","",$W283*IFERROR($K283/$O283,0))</f>
        <v/>
      </c>
      <c r="AJ283" s="0">
        <f>IF($A283="","",$X283*IFERROR($K283/$O283,0))</f>
        <v/>
      </c>
      <c r="AK283" s="0">
        <f>IF($A283="","",$Y283*IFERROR($G283/$L283,0)+$Z283*IFERROR($J283/$P283,0))</f>
        <v/>
      </c>
      <c r="AL283" s="0">
        <f>IF($A283="","",$AA283*IFERROR($AC283/$AD283,0))</f>
        <v/>
      </c>
      <c r="AM283" s="0">
        <f>IF($A283="","",$AB283*IFERROR($AG283/$AH283,0)*IFERROR($AE283/$AF283,0)*IFERROR($AC283/$AD283,0))</f>
        <v/>
      </c>
      <c r="AN283" s="0">
        <f>IF($A283="","",$I283-($AI283+$AJ283+$AK283+$AL283+$AM283+$AR283))</f>
        <v/>
      </c>
      <c r="AO283" s="0">
        <f>IF($A283="","",Allocation!CJ283)</f>
        <v/>
      </c>
      <c r="AP283" s="0">
        <f>IF($A283="","",IF(Allocation!$N$2="VOL_EFF",$Q283,IF(Allocation!$N$2="VOL_CLASS",$R283,$S283)))</f>
        <v/>
      </c>
      <c r="AQ283" s="0">
        <f>IF($A283="","",IF(Allocation!$N$2="VOL_EFF",$T283,IF(Allocation!$N$2="VOL_CLASS",$U283,$V283)))</f>
        <v/>
      </c>
      <c r="AR283" s="0">
        <f>IF($A283="","",$AO283*IFERROR($AP283/$AQ283,0)*IFERROR($AE283/$AF283,0)*IFERROR($AC283/$AD283,0))</f>
        <v/>
      </c>
      <c r="AS283" s="0">
        <f>IF($A283="","",$A283&amp;"|"&amp;Allocation!BG283)</f>
        <v/>
      </c>
    </row>
    <row r="284" ht="14.4975" customHeight="1" s="64">
      <c r="A284" s="0">
        <f>IF(Allocation!BI284="","",Allocation!BI284)</f>
        <v/>
      </c>
      <c r="B284" s="0">
        <f>IF(Allocation!BJ284="","",Allocation!BJ284)</f>
        <v/>
      </c>
      <c r="C284" s="0">
        <f>IF(Allocation!BK284="","",Allocation!BK284)</f>
        <v/>
      </c>
      <c r="D284" s="0">
        <f>IF(Allocation!BL284="","",Allocation!BL284)</f>
        <v/>
      </c>
      <c r="E284" s="0">
        <f>IF(Allocation!BM284="","",Allocation!BM284)</f>
        <v/>
      </c>
      <c r="F284" s="0">
        <f>IF(Allocation!BN284="","",Allocation!BN284)</f>
        <v/>
      </c>
      <c r="G284" s="0">
        <f>IF(Allocation!BO284="","",Allocation!BO284)</f>
        <v/>
      </c>
      <c r="H284" s="0">
        <f>IF(Allocation!BP284="","",Allocation!BP284)</f>
        <v/>
      </c>
      <c r="I284" s="0">
        <f>IF(Allocation!BQ284="","",Allocation!BQ284)</f>
        <v/>
      </c>
      <c r="J284" s="0">
        <f>IF(Allocation!CC284="","",Allocation!CC284)</f>
        <v/>
      </c>
      <c r="K284" s="0">
        <f>IF($A284="","",$H284*IF(AND(LEFT($D284,3)="BAC",$F284="INIT"),600,IF(LEFT($D284,3)="BAC",480,IF(AND(LEFT($D284,3)="MAS",$F284="INIT"),520,IF(LEFT($D284,3)="MAS",420,IF($F284="INIT",1000,700))))))</f>
        <v/>
      </c>
      <c r="L284" s="0">
        <f>IF($A284="","",SUMIFS($G$1:$G$349,$AS$1:$AS$349,$AS284,$B$1:$B$349,$B284))</f>
        <v/>
      </c>
      <c r="M284" s="0">
        <f>IF($A284="","",SUMIFS($H$1:$H$349,$AS$1:$AS$349,$AS284,$B$1:$B$349,$B284))</f>
        <v/>
      </c>
      <c r="N284" s="0">
        <f>IF($A284="","",SUMIFS($I$1:$I$349,$AS$1:$AS$349,$AS284,$B$1:$B$349,$B284))</f>
        <v/>
      </c>
      <c r="O284" s="0">
        <f>IF($A284="","",SUMIFS($K$1:$K$349,$AS$1:$AS$349,$AS284,$B$1:$B$349,$B284))</f>
        <v/>
      </c>
      <c r="P284" s="0">
        <f>IF($A284="","",SUMIFS($J$1:$J$349,$AS$1:$AS$349,$AS284,$B$1:$B$349,$B284))</f>
        <v/>
      </c>
      <c r="Q284" s="0">
        <f>IF($A284="","",SUMIFS($G$1:$G$349,$AS$1:$AS$349,$AS284,$C$1:$C$349,$C284))</f>
        <v/>
      </c>
      <c r="R284" s="0">
        <f>IF($A284="","",SUMIFS($H$1:$H$349,$AS$1:$AS$349,$AS284,$C$1:$C$349,$C284))</f>
        <v/>
      </c>
      <c r="S284" s="0">
        <f>IF($A284="","",SUMIFS($I$1:$I$349,$AS$1:$AS$349,$AS284,$C$1:$C$349,$C284))</f>
        <v/>
      </c>
      <c r="T284" s="0">
        <f>IF($A284="","",SUMIFS($G$1:$G$349,$AS$1:$AS$349,$AS284))</f>
        <v/>
      </c>
      <c r="U284" s="0">
        <f>IF($A284="","",SUMIFS($H$1:$H$349,$AS$1:$AS$349,$AS284))</f>
        <v/>
      </c>
      <c r="V284" s="0">
        <f>IF($A284="","",SUMIFS($I$1:$I$349,$AS$1:$AS$349,$AS284))</f>
        <v/>
      </c>
      <c r="W284" s="0">
        <f>IF($A284="","",Allocation!CD284)</f>
        <v/>
      </c>
      <c r="X284" s="0">
        <f>IF($A284="","",Allocation!CE284)</f>
        <v/>
      </c>
      <c r="Y284" s="0">
        <f>IF($A284="","",Allocation!CF284)</f>
        <v/>
      </c>
      <c r="Z284" s="0">
        <f>IF($A284="","",Allocation!CG284)</f>
        <v/>
      </c>
      <c r="AA284" s="0">
        <f>IF($A284="","",Allocation!CH284)</f>
        <v/>
      </c>
      <c r="AB284" s="0">
        <f>IF($A284="","",Allocation!CI284)</f>
        <v/>
      </c>
      <c r="AC284" s="0">
        <f>IF($A284="","",IF(Allocation!$N$4="VOL_EFF",$G284,IF(Allocation!$N$4="VOL_CLASS",$H284,$I284)))</f>
        <v/>
      </c>
      <c r="AD284" s="0">
        <f>IF($A284="","",IF(Allocation!$N$4="VOL_EFF",$L284,IF(Allocation!$N$4="VOL_CLASS",$M284,$N284)))</f>
        <v/>
      </c>
      <c r="AE284" s="0">
        <f>IF($A284="","",IF(Allocation!$N$3="VOL_EFF",$L284,IF(Allocation!$N$3="VOL_CLASS",$M284,$N284)))</f>
        <v/>
      </c>
      <c r="AF284" s="0">
        <f>IF($A284="","",IF(Allocation!$N$3="VOL_EFF",$Q284,IF(Allocation!$N$3="VOL_CLASS",$R284,$S284)))</f>
        <v/>
      </c>
      <c r="AG284" s="0">
        <f>IF($A284="","",IF(Allocation!$N$1="VOL_EFF",$Q284,IF(Allocation!$N$1="VOL_CLASS",$R284,$S284)))</f>
        <v/>
      </c>
      <c r="AH284" s="0">
        <f>IF($A284="","",IF(Allocation!$N$1="VOL_EFF",$T284,IF(Allocation!$N$1="VOL_CLASS",$U284,$V284)))</f>
        <v/>
      </c>
      <c r="AI284" s="0">
        <f>IF($A284="","",$W284*IFERROR($K284/$O284,0))</f>
        <v/>
      </c>
      <c r="AJ284" s="0">
        <f>IF($A284="","",$X284*IFERROR($K284/$O284,0))</f>
        <v/>
      </c>
      <c r="AK284" s="0">
        <f>IF($A284="","",$Y284*IFERROR($G284/$L284,0)+$Z284*IFERROR($J284/$P284,0))</f>
        <v/>
      </c>
      <c r="AL284" s="0">
        <f>IF($A284="","",$AA284*IFERROR($AC284/$AD284,0))</f>
        <v/>
      </c>
      <c r="AM284" s="0">
        <f>IF($A284="","",$AB284*IFERROR($AG284/$AH284,0)*IFERROR($AE284/$AF284,0)*IFERROR($AC284/$AD284,0))</f>
        <v/>
      </c>
      <c r="AN284" s="0">
        <f>IF($A284="","",$I284-($AI284+$AJ284+$AK284+$AL284+$AM284+$AR284))</f>
        <v/>
      </c>
      <c r="AO284" s="0">
        <f>IF($A284="","",Allocation!CJ284)</f>
        <v/>
      </c>
      <c r="AP284" s="0">
        <f>IF($A284="","",IF(Allocation!$N$2="VOL_EFF",$Q284,IF(Allocation!$N$2="VOL_CLASS",$R284,$S284)))</f>
        <v/>
      </c>
      <c r="AQ284" s="0">
        <f>IF($A284="","",IF(Allocation!$N$2="VOL_EFF",$T284,IF(Allocation!$N$2="VOL_CLASS",$U284,$V284)))</f>
        <v/>
      </c>
      <c r="AR284" s="0">
        <f>IF($A284="","",$AO284*IFERROR($AP284/$AQ284,0)*IFERROR($AE284/$AF284,0)*IFERROR($AC284/$AD284,0))</f>
        <v/>
      </c>
      <c r="AS284" s="0">
        <f>IF($A284="","",$A284&amp;"|"&amp;Allocation!BG284)</f>
        <v/>
      </c>
    </row>
    <row r="285" ht="14.4975" customHeight="1" s="64">
      <c r="A285" s="0">
        <f>IF(Allocation!BI285="","",Allocation!BI285)</f>
        <v/>
      </c>
      <c r="B285" s="0">
        <f>IF(Allocation!BJ285="","",Allocation!BJ285)</f>
        <v/>
      </c>
      <c r="C285" s="0">
        <f>IF(Allocation!BK285="","",Allocation!BK285)</f>
        <v/>
      </c>
      <c r="D285" s="0">
        <f>IF(Allocation!BL285="","",Allocation!BL285)</f>
        <v/>
      </c>
      <c r="E285" s="0">
        <f>IF(Allocation!BM285="","",Allocation!BM285)</f>
        <v/>
      </c>
      <c r="F285" s="0">
        <f>IF(Allocation!BN285="","",Allocation!BN285)</f>
        <v/>
      </c>
      <c r="G285" s="0">
        <f>IF(Allocation!BO285="","",Allocation!BO285)</f>
        <v/>
      </c>
      <c r="H285" s="0">
        <f>IF(Allocation!BP285="","",Allocation!BP285)</f>
        <v/>
      </c>
      <c r="I285" s="0">
        <f>IF(Allocation!BQ285="","",Allocation!BQ285)</f>
        <v/>
      </c>
      <c r="J285" s="0">
        <f>IF(Allocation!CC285="","",Allocation!CC285)</f>
        <v/>
      </c>
      <c r="K285" s="0">
        <f>IF($A285="","",$H285*IF(AND(LEFT($D285,3)="BAC",$F285="INIT"),600,IF(LEFT($D285,3)="BAC",480,IF(AND(LEFT($D285,3)="MAS",$F285="INIT"),520,IF(LEFT($D285,3)="MAS",420,IF($F285="INIT",1000,700))))))</f>
        <v/>
      </c>
      <c r="L285" s="0">
        <f>IF($A285="","",SUMIFS($G$1:$G$349,$AS$1:$AS$349,$AS285,$B$1:$B$349,$B285))</f>
        <v/>
      </c>
      <c r="M285" s="0">
        <f>IF($A285="","",SUMIFS($H$1:$H$349,$AS$1:$AS$349,$AS285,$B$1:$B$349,$B285))</f>
        <v/>
      </c>
      <c r="N285" s="0">
        <f>IF($A285="","",SUMIFS($I$1:$I$349,$AS$1:$AS$349,$AS285,$B$1:$B$349,$B285))</f>
        <v/>
      </c>
      <c r="O285" s="0">
        <f>IF($A285="","",SUMIFS($K$1:$K$349,$AS$1:$AS$349,$AS285,$B$1:$B$349,$B285))</f>
        <v/>
      </c>
      <c r="P285" s="0">
        <f>IF($A285="","",SUMIFS($J$1:$J$349,$AS$1:$AS$349,$AS285,$B$1:$B$349,$B285))</f>
        <v/>
      </c>
      <c r="Q285" s="0">
        <f>IF($A285="","",SUMIFS($G$1:$G$349,$AS$1:$AS$349,$AS285,$C$1:$C$349,$C285))</f>
        <v/>
      </c>
      <c r="R285" s="0">
        <f>IF($A285="","",SUMIFS($H$1:$H$349,$AS$1:$AS$349,$AS285,$C$1:$C$349,$C285))</f>
        <v/>
      </c>
      <c r="S285" s="0">
        <f>IF($A285="","",SUMIFS($I$1:$I$349,$AS$1:$AS$349,$AS285,$C$1:$C$349,$C285))</f>
        <v/>
      </c>
      <c r="T285" s="0">
        <f>IF($A285="","",SUMIFS($G$1:$G$349,$AS$1:$AS$349,$AS285))</f>
        <v/>
      </c>
      <c r="U285" s="0">
        <f>IF($A285="","",SUMIFS($H$1:$H$349,$AS$1:$AS$349,$AS285))</f>
        <v/>
      </c>
      <c r="V285" s="0">
        <f>IF($A285="","",SUMIFS($I$1:$I$349,$AS$1:$AS$349,$AS285))</f>
        <v/>
      </c>
      <c r="W285" s="0">
        <f>IF($A285="","",Allocation!CD285)</f>
        <v/>
      </c>
      <c r="X285" s="0">
        <f>IF($A285="","",Allocation!CE285)</f>
        <v/>
      </c>
      <c r="Y285" s="0">
        <f>IF($A285="","",Allocation!CF285)</f>
        <v/>
      </c>
      <c r="Z285" s="0">
        <f>IF($A285="","",Allocation!CG285)</f>
        <v/>
      </c>
      <c r="AA285" s="0">
        <f>IF($A285="","",Allocation!CH285)</f>
        <v/>
      </c>
      <c r="AB285" s="0">
        <f>IF($A285="","",Allocation!CI285)</f>
        <v/>
      </c>
      <c r="AC285" s="0">
        <f>IF($A285="","",IF(Allocation!$N$4="VOL_EFF",$G285,IF(Allocation!$N$4="VOL_CLASS",$H285,$I285)))</f>
        <v/>
      </c>
      <c r="AD285" s="0">
        <f>IF($A285="","",IF(Allocation!$N$4="VOL_EFF",$L285,IF(Allocation!$N$4="VOL_CLASS",$M285,$N285)))</f>
        <v/>
      </c>
      <c r="AE285" s="0">
        <f>IF($A285="","",IF(Allocation!$N$3="VOL_EFF",$L285,IF(Allocation!$N$3="VOL_CLASS",$M285,$N285)))</f>
        <v/>
      </c>
      <c r="AF285" s="0">
        <f>IF($A285="","",IF(Allocation!$N$3="VOL_EFF",$Q285,IF(Allocation!$N$3="VOL_CLASS",$R285,$S285)))</f>
        <v/>
      </c>
      <c r="AG285" s="0">
        <f>IF($A285="","",IF(Allocation!$N$1="VOL_EFF",$Q285,IF(Allocation!$N$1="VOL_CLASS",$R285,$S285)))</f>
        <v/>
      </c>
      <c r="AH285" s="0">
        <f>IF($A285="","",IF(Allocation!$N$1="VOL_EFF",$T285,IF(Allocation!$N$1="VOL_CLASS",$U285,$V285)))</f>
        <v/>
      </c>
      <c r="AI285" s="0">
        <f>IF($A285="","",$W285*IFERROR($K285/$O285,0))</f>
        <v/>
      </c>
      <c r="AJ285" s="0">
        <f>IF($A285="","",$X285*IFERROR($K285/$O285,0))</f>
        <v/>
      </c>
      <c r="AK285" s="0">
        <f>IF($A285="","",$Y285*IFERROR($G285/$L285,0)+$Z285*IFERROR($J285/$P285,0))</f>
        <v/>
      </c>
      <c r="AL285" s="0">
        <f>IF($A285="","",$AA285*IFERROR($AC285/$AD285,0))</f>
        <v/>
      </c>
      <c r="AM285" s="0">
        <f>IF($A285="","",$AB285*IFERROR($AG285/$AH285,0)*IFERROR($AE285/$AF285,0)*IFERROR($AC285/$AD285,0))</f>
        <v/>
      </c>
      <c r="AN285" s="0">
        <f>IF($A285="","",$I285-($AI285+$AJ285+$AK285+$AL285+$AM285+$AR285))</f>
        <v/>
      </c>
      <c r="AO285" s="0">
        <f>IF($A285="","",Allocation!CJ285)</f>
        <v/>
      </c>
      <c r="AP285" s="0">
        <f>IF($A285="","",IF(Allocation!$N$2="VOL_EFF",$Q285,IF(Allocation!$N$2="VOL_CLASS",$R285,$S285)))</f>
        <v/>
      </c>
      <c r="AQ285" s="0">
        <f>IF($A285="","",IF(Allocation!$N$2="VOL_EFF",$T285,IF(Allocation!$N$2="VOL_CLASS",$U285,$V285)))</f>
        <v/>
      </c>
      <c r="AR285" s="0">
        <f>IF($A285="","",$AO285*IFERROR($AP285/$AQ285,0)*IFERROR($AE285/$AF285,0)*IFERROR($AC285/$AD285,0))</f>
        <v/>
      </c>
      <c r="AS285" s="0">
        <f>IF($A285="","",$A285&amp;"|"&amp;Allocation!BG285)</f>
        <v/>
      </c>
    </row>
    <row r="286" ht="14.4975" customHeight="1" s="64">
      <c r="A286" s="0">
        <f>IF(Allocation!BI286="","",Allocation!BI286)</f>
        <v/>
      </c>
      <c r="B286" s="0">
        <f>IF(Allocation!BJ286="","",Allocation!BJ286)</f>
        <v/>
      </c>
      <c r="C286" s="0">
        <f>IF(Allocation!BK286="","",Allocation!BK286)</f>
        <v/>
      </c>
      <c r="D286" s="0">
        <f>IF(Allocation!BL286="","",Allocation!BL286)</f>
        <v/>
      </c>
      <c r="E286" s="0">
        <f>IF(Allocation!BM286="","",Allocation!BM286)</f>
        <v/>
      </c>
      <c r="F286" s="0">
        <f>IF(Allocation!BN286="","",Allocation!BN286)</f>
        <v/>
      </c>
      <c r="G286" s="0">
        <f>IF(Allocation!BO286="","",Allocation!BO286)</f>
        <v/>
      </c>
      <c r="H286" s="0">
        <f>IF(Allocation!BP286="","",Allocation!BP286)</f>
        <v/>
      </c>
      <c r="I286" s="0">
        <f>IF(Allocation!BQ286="","",Allocation!BQ286)</f>
        <v/>
      </c>
      <c r="J286" s="0">
        <f>IF(Allocation!CC286="","",Allocation!CC286)</f>
        <v/>
      </c>
      <c r="K286" s="0">
        <f>IF($A286="","",$H286*IF(AND(LEFT($D286,3)="BAC",$F286="INIT"),600,IF(LEFT($D286,3)="BAC",480,IF(AND(LEFT($D286,3)="MAS",$F286="INIT"),520,IF(LEFT($D286,3)="MAS",420,IF($F286="INIT",1000,700))))))</f>
        <v/>
      </c>
      <c r="L286" s="0">
        <f>IF($A286="","",SUMIFS($G$1:$G$349,$AS$1:$AS$349,$AS286,$B$1:$B$349,$B286))</f>
        <v/>
      </c>
      <c r="M286" s="0">
        <f>IF($A286="","",SUMIFS($H$1:$H$349,$AS$1:$AS$349,$AS286,$B$1:$B$349,$B286))</f>
        <v/>
      </c>
      <c r="N286" s="0">
        <f>IF($A286="","",SUMIFS($I$1:$I$349,$AS$1:$AS$349,$AS286,$B$1:$B$349,$B286))</f>
        <v/>
      </c>
      <c r="O286" s="0">
        <f>IF($A286="","",SUMIFS($K$1:$K$349,$AS$1:$AS$349,$AS286,$B$1:$B$349,$B286))</f>
        <v/>
      </c>
      <c r="P286" s="0">
        <f>IF($A286="","",SUMIFS($J$1:$J$349,$AS$1:$AS$349,$AS286,$B$1:$B$349,$B286))</f>
        <v/>
      </c>
      <c r="Q286" s="0">
        <f>IF($A286="","",SUMIFS($G$1:$G$349,$AS$1:$AS$349,$AS286,$C$1:$C$349,$C286))</f>
        <v/>
      </c>
      <c r="R286" s="0">
        <f>IF($A286="","",SUMIFS($H$1:$H$349,$AS$1:$AS$349,$AS286,$C$1:$C$349,$C286))</f>
        <v/>
      </c>
      <c r="S286" s="0">
        <f>IF($A286="","",SUMIFS($I$1:$I$349,$AS$1:$AS$349,$AS286,$C$1:$C$349,$C286))</f>
        <v/>
      </c>
      <c r="T286" s="0">
        <f>IF($A286="","",SUMIFS($G$1:$G$349,$AS$1:$AS$349,$AS286))</f>
        <v/>
      </c>
      <c r="U286" s="0">
        <f>IF($A286="","",SUMIFS($H$1:$H$349,$AS$1:$AS$349,$AS286))</f>
        <v/>
      </c>
      <c r="V286" s="0">
        <f>IF($A286="","",SUMIFS($I$1:$I$349,$AS$1:$AS$349,$AS286))</f>
        <v/>
      </c>
      <c r="W286" s="0">
        <f>IF($A286="","",Allocation!CD286)</f>
        <v/>
      </c>
      <c r="X286" s="0">
        <f>IF($A286="","",Allocation!CE286)</f>
        <v/>
      </c>
      <c r="Y286" s="0">
        <f>IF($A286="","",Allocation!CF286)</f>
        <v/>
      </c>
      <c r="Z286" s="0">
        <f>IF($A286="","",Allocation!CG286)</f>
        <v/>
      </c>
      <c r="AA286" s="0">
        <f>IF($A286="","",Allocation!CH286)</f>
        <v/>
      </c>
      <c r="AB286" s="0">
        <f>IF($A286="","",Allocation!CI286)</f>
        <v/>
      </c>
      <c r="AC286" s="0">
        <f>IF($A286="","",IF(Allocation!$N$4="VOL_EFF",$G286,IF(Allocation!$N$4="VOL_CLASS",$H286,$I286)))</f>
        <v/>
      </c>
      <c r="AD286" s="0">
        <f>IF($A286="","",IF(Allocation!$N$4="VOL_EFF",$L286,IF(Allocation!$N$4="VOL_CLASS",$M286,$N286)))</f>
        <v/>
      </c>
      <c r="AE286" s="0">
        <f>IF($A286="","",IF(Allocation!$N$3="VOL_EFF",$L286,IF(Allocation!$N$3="VOL_CLASS",$M286,$N286)))</f>
        <v/>
      </c>
      <c r="AF286" s="0">
        <f>IF($A286="","",IF(Allocation!$N$3="VOL_EFF",$Q286,IF(Allocation!$N$3="VOL_CLASS",$R286,$S286)))</f>
        <v/>
      </c>
      <c r="AG286" s="0">
        <f>IF($A286="","",IF(Allocation!$N$1="VOL_EFF",$Q286,IF(Allocation!$N$1="VOL_CLASS",$R286,$S286)))</f>
        <v/>
      </c>
      <c r="AH286" s="0">
        <f>IF($A286="","",IF(Allocation!$N$1="VOL_EFF",$T286,IF(Allocation!$N$1="VOL_CLASS",$U286,$V286)))</f>
        <v/>
      </c>
      <c r="AI286" s="0">
        <f>IF($A286="","",$W286*IFERROR($K286/$O286,0))</f>
        <v/>
      </c>
      <c r="AJ286" s="0">
        <f>IF($A286="","",$X286*IFERROR($K286/$O286,0))</f>
        <v/>
      </c>
      <c r="AK286" s="0">
        <f>IF($A286="","",$Y286*IFERROR($G286/$L286,0)+$Z286*IFERROR($J286/$P286,0))</f>
        <v/>
      </c>
      <c r="AL286" s="0">
        <f>IF($A286="","",$AA286*IFERROR($AC286/$AD286,0))</f>
        <v/>
      </c>
      <c r="AM286" s="0">
        <f>IF($A286="","",$AB286*IFERROR($AG286/$AH286,0)*IFERROR($AE286/$AF286,0)*IFERROR($AC286/$AD286,0))</f>
        <v/>
      </c>
      <c r="AN286" s="0">
        <f>IF($A286="","",$I286-($AI286+$AJ286+$AK286+$AL286+$AM286+$AR286))</f>
        <v/>
      </c>
      <c r="AO286" s="0">
        <f>IF($A286="","",Allocation!CJ286)</f>
        <v/>
      </c>
      <c r="AP286" s="0">
        <f>IF($A286="","",IF(Allocation!$N$2="VOL_EFF",$Q286,IF(Allocation!$N$2="VOL_CLASS",$R286,$S286)))</f>
        <v/>
      </c>
      <c r="AQ286" s="0">
        <f>IF($A286="","",IF(Allocation!$N$2="VOL_EFF",$T286,IF(Allocation!$N$2="VOL_CLASS",$U286,$V286)))</f>
        <v/>
      </c>
      <c r="AR286" s="0">
        <f>IF($A286="","",$AO286*IFERROR($AP286/$AQ286,0)*IFERROR($AE286/$AF286,0)*IFERROR($AC286/$AD286,0))</f>
        <v/>
      </c>
      <c r="AS286" s="0">
        <f>IF($A286="","",$A286&amp;"|"&amp;Allocation!BG286)</f>
        <v/>
      </c>
    </row>
    <row r="287" ht="14.4975" customHeight="1" s="64">
      <c r="A287" s="0">
        <f>IF(Allocation!BI287="","",Allocation!BI287)</f>
        <v/>
      </c>
      <c r="B287" s="0">
        <f>IF(Allocation!BJ287="","",Allocation!BJ287)</f>
        <v/>
      </c>
      <c r="C287" s="0">
        <f>IF(Allocation!BK287="","",Allocation!BK287)</f>
        <v/>
      </c>
      <c r="D287" s="0">
        <f>IF(Allocation!BL287="","",Allocation!BL287)</f>
        <v/>
      </c>
      <c r="E287" s="0">
        <f>IF(Allocation!BM287="","",Allocation!BM287)</f>
        <v/>
      </c>
      <c r="F287" s="0">
        <f>IF(Allocation!BN287="","",Allocation!BN287)</f>
        <v/>
      </c>
      <c r="G287" s="0">
        <f>IF(Allocation!BO287="","",Allocation!BO287)</f>
        <v/>
      </c>
      <c r="H287" s="0">
        <f>IF(Allocation!BP287="","",Allocation!BP287)</f>
        <v/>
      </c>
      <c r="I287" s="0">
        <f>IF(Allocation!BQ287="","",Allocation!BQ287)</f>
        <v/>
      </c>
      <c r="J287" s="0">
        <f>IF(Allocation!CC287="","",Allocation!CC287)</f>
        <v/>
      </c>
      <c r="K287" s="0">
        <f>IF($A287="","",$H287*IF(AND(LEFT($D287,3)="BAC",$F287="INIT"),600,IF(LEFT($D287,3)="BAC",480,IF(AND(LEFT($D287,3)="MAS",$F287="INIT"),520,IF(LEFT($D287,3)="MAS",420,IF($F287="INIT",1000,700))))))</f>
        <v/>
      </c>
      <c r="L287" s="0">
        <f>IF($A287="","",SUMIFS($G$1:$G$349,$AS$1:$AS$349,$AS287,$B$1:$B$349,$B287))</f>
        <v/>
      </c>
      <c r="M287" s="0">
        <f>IF($A287="","",SUMIFS($H$1:$H$349,$AS$1:$AS$349,$AS287,$B$1:$B$349,$B287))</f>
        <v/>
      </c>
      <c r="N287" s="0">
        <f>IF($A287="","",SUMIFS($I$1:$I$349,$AS$1:$AS$349,$AS287,$B$1:$B$349,$B287))</f>
        <v/>
      </c>
      <c r="O287" s="0">
        <f>IF($A287="","",SUMIFS($K$1:$K$349,$AS$1:$AS$349,$AS287,$B$1:$B$349,$B287))</f>
        <v/>
      </c>
      <c r="P287" s="0">
        <f>IF($A287="","",SUMIFS($J$1:$J$349,$AS$1:$AS$349,$AS287,$B$1:$B$349,$B287))</f>
        <v/>
      </c>
      <c r="Q287" s="0">
        <f>IF($A287="","",SUMIFS($G$1:$G$349,$AS$1:$AS$349,$AS287,$C$1:$C$349,$C287))</f>
        <v/>
      </c>
      <c r="R287" s="0">
        <f>IF($A287="","",SUMIFS($H$1:$H$349,$AS$1:$AS$349,$AS287,$C$1:$C$349,$C287))</f>
        <v/>
      </c>
      <c r="S287" s="0">
        <f>IF($A287="","",SUMIFS($I$1:$I$349,$AS$1:$AS$349,$AS287,$C$1:$C$349,$C287))</f>
        <v/>
      </c>
      <c r="T287" s="0">
        <f>IF($A287="","",SUMIFS($G$1:$G$349,$AS$1:$AS$349,$AS287))</f>
        <v/>
      </c>
      <c r="U287" s="0">
        <f>IF($A287="","",SUMIFS($H$1:$H$349,$AS$1:$AS$349,$AS287))</f>
        <v/>
      </c>
      <c r="V287" s="0">
        <f>IF($A287="","",SUMIFS($I$1:$I$349,$AS$1:$AS$349,$AS287))</f>
        <v/>
      </c>
      <c r="W287" s="0">
        <f>IF($A287="","",Allocation!CD287)</f>
        <v/>
      </c>
      <c r="X287" s="0">
        <f>IF($A287="","",Allocation!CE287)</f>
        <v/>
      </c>
      <c r="Y287" s="0">
        <f>IF($A287="","",Allocation!CF287)</f>
        <v/>
      </c>
      <c r="Z287" s="0">
        <f>IF($A287="","",Allocation!CG287)</f>
        <v/>
      </c>
      <c r="AA287" s="0">
        <f>IF($A287="","",Allocation!CH287)</f>
        <v/>
      </c>
      <c r="AB287" s="0">
        <f>IF($A287="","",Allocation!CI287)</f>
        <v/>
      </c>
      <c r="AC287" s="0">
        <f>IF($A287="","",IF(Allocation!$N$4="VOL_EFF",$G287,IF(Allocation!$N$4="VOL_CLASS",$H287,$I287)))</f>
        <v/>
      </c>
      <c r="AD287" s="0">
        <f>IF($A287="","",IF(Allocation!$N$4="VOL_EFF",$L287,IF(Allocation!$N$4="VOL_CLASS",$M287,$N287)))</f>
        <v/>
      </c>
      <c r="AE287" s="0">
        <f>IF($A287="","",IF(Allocation!$N$3="VOL_EFF",$L287,IF(Allocation!$N$3="VOL_CLASS",$M287,$N287)))</f>
        <v/>
      </c>
      <c r="AF287" s="0">
        <f>IF($A287="","",IF(Allocation!$N$3="VOL_EFF",$Q287,IF(Allocation!$N$3="VOL_CLASS",$R287,$S287)))</f>
        <v/>
      </c>
      <c r="AG287" s="0">
        <f>IF($A287="","",IF(Allocation!$N$1="VOL_EFF",$Q287,IF(Allocation!$N$1="VOL_CLASS",$R287,$S287)))</f>
        <v/>
      </c>
      <c r="AH287" s="0">
        <f>IF($A287="","",IF(Allocation!$N$1="VOL_EFF",$T287,IF(Allocation!$N$1="VOL_CLASS",$U287,$V287)))</f>
        <v/>
      </c>
      <c r="AI287" s="0">
        <f>IF($A287="","",$W287*IFERROR($K287/$O287,0))</f>
        <v/>
      </c>
      <c r="AJ287" s="0">
        <f>IF($A287="","",$X287*IFERROR($K287/$O287,0))</f>
        <v/>
      </c>
      <c r="AK287" s="0">
        <f>IF($A287="","",$Y287*IFERROR($G287/$L287,0)+$Z287*IFERROR($J287/$P287,0))</f>
        <v/>
      </c>
      <c r="AL287" s="0">
        <f>IF($A287="","",$AA287*IFERROR($AC287/$AD287,0))</f>
        <v/>
      </c>
      <c r="AM287" s="0">
        <f>IF($A287="","",$AB287*IFERROR($AG287/$AH287,0)*IFERROR($AE287/$AF287,0)*IFERROR($AC287/$AD287,0))</f>
        <v/>
      </c>
      <c r="AN287" s="0">
        <f>IF($A287="","",$I287-($AI287+$AJ287+$AK287+$AL287+$AM287+$AR287))</f>
        <v/>
      </c>
      <c r="AO287" s="0">
        <f>IF($A287="","",Allocation!CJ287)</f>
        <v/>
      </c>
      <c r="AP287" s="0">
        <f>IF($A287="","",IF(Allocation!$N$2="VOL_EFF",$Q287,IF(Allocation!$N$2="VOL_CLASS",$R287,$S287)))</f>
        <v/>
      </c>
      <c r="AQ287" s="0">
        <f>IF($A287="","",IF(Allocation!$N$2="VOL_EFF",$T287,IF(Allocation!$N$2="VOL_CLASS",$U287,$V287)))</f>
        <v/>
      </c>
      <c r="AR287" s="0">
        <f>IF($A287="","",$AO287*IFERROR($AP287/$AQ287,0)*IFERROR($AE287/$AF287,0)*IFERROR($AC287/$AD287,0))</f>
        <v/>
      </c>
      <c r="AS287" s="0">
        <f>IF($A287="","",$A287&amp;"|"&amp;Allocation!BG287)</f>
        <v/>
      </c>
    </row>
    <row r="288" ht="14.4975" customHeight="1" s="64">
      <c r="A288" s="0">
        <f>IF(Allocation!BI288="","",Allocation!BI288)</f>
        <v/>
      </c>
      <c r="B288" s="0">
        <f>IF(Allocation!BJ288="","",Allocation!BJ288)</f>
        <v/>
      </c>
      <c r="C288" s="0">
        <f>IF(Allocation!BK288="","",Allocation!BK288)</f>
        <v/>
      </c>
      <c r="D288" s="0">
        <f>IF(Allocation!BL288="","",Allocation!BL288)</f>
        <v/>
      </c>
      <c r="E288" s="0">
        <f>IF(Allocation!BM288="","",Allocation!BM288)</f>
        <v/>
      </c>
      <c r="F288" s="0">
        <f>IF(Allocation!BN288="","",Allocation!BN288)</f>
        <v/>
      </c>
      <c r="G288" s="0">
        <f>IF(Allocation!BO288="","",Allocation!BO288)</f>
        <v/>
      </c>
      <c r="H288" s="0">
        <f>IF(Allocation!BP288="","",Allocation!BP288)</f>
        <v/>
      </c>
      <c r="I288" s="0">
        <f>IF(Allocation!BQ288="","",Allocation!BQ288)</f>
        <v/>
      </c>
      <c r="J288" s="0">
        <f>IF(Allocation!CC288="","",Allocation!CC288)</f>
        <v/>
      </c>
      <c r="K288" s="0">
        <f>IF($A288="","",$H288*IF(AND(LEFT($D288,3)="BAC",$F288="INIT"),600,IF(LEFT($D288,3)="BAC",480,IF(AND(LEFT($D288,3)="MAS",$F288="INIT"),520,IF(LEFT($D288,3)="MAS",420,IF($F288="INIT",1000,700))))))</f>
        <v/>
      </c>
      <c r="L288" s="0">
        <f>IF($A288="","",SUMIFS($G$1:$G$349,$AS$1:$AS$349,$AS288,$B$1:$B$349,$B288))</f>
        <v/>
      </c>
      <c r="M288" s="0">
        <f>IF($A288="","",SUMIFS($H$1:$H$349,$AS$1:$AS$349,$AS288,$B$1:$B$349,$B288))</f>
        <v/>
      </c>
      <c r="N288" s="0">
        <f>IF($A288="","",SUMIFS($I$1:$I$349,$AS$1:$AS$349,$AS288,$B$1:$B$349,$B288))</f>
        <v/>
      </c>
      <c r="O288" s="0">
        <f>IF($A288="","",SUMIFS($K$1:$K$349,$AS$1:$AS$349,$AS288,$B$1:$B$349,$B288))</f>
        <v/>
      </c>
      <c r="P288" s="0">
        <f>IF($A288="","",SUMIFS($J$1:$J$349,$AS$1:$AS$349,$AS288,$B$1:$B$349,$B288))</f>
        <v/>
      </c>
      <c r="Q288" s="0">
        <f>IF($A288="","",SUMIFS($G$1:$G$349,$AS$1:$AS$349,$AS288,$C$1:$C$349,$C288))</f>
        <v/>
      </c>
      <c r="R288" s="0">
        <f>IF($A288="","",SUMIFS($H$1:$H$349,$AS$1:$AS$349,$AS288,$C$1:$C$349,$C288))</f>
        <v/>
      </c>
      <c r="S288" s="0">
        <f>IF($A288="","",SUMIFS($I$1:$I$349,$AS$1:$AS$349,$AS288,$C$1:$C$349,$C288))</f>
        <v/>
      </c>
      <c r="T288" s="0">
        <f>IF($A288="","",SUMIFS($G$1:$G$349,$AS$1:$AS$349,$AS288))</f>
        <v/>
      </c>
      <c r="U288" s="0">
        <f>IF($A288="","",SUMIFS($H$1:$H$349,$AS$1:$AS$349,$AS288))</f>
        <v/>
      </c>
      <c r="V288" s="0">
        <f>IF($A288="","",SUMIFS($I$1:$I$349,$AS$1:$AS$349,$AS288))</f>
        <v/>
      </c>
      <c r="W288" s="0">
        <f>IF($A288="","",Allocation!CD288)</f>
        <v/>
      </c>
      <c r="X288" s="0">
        <f>IF($A288="","",Allocation!CE288)</f>
        <v/>
      </c>
      <c r="Y288" s="0">
        <f>IF($A288="","",Allocation!CF288)</f>
        <v/>
      </c>
      <c r="Z288" s="0">
        <f>IF($A288="","",Allocation!CG288)</f>
        <v/>
      </c>
      <c r="AA288" s="0">
        <f>IF($A288="","",Allocation!CH288)</f>
        <v/>
      </c>
      <c r="AB288" s="0">
        <f>IF($A288="","",Allocation!CI288)</f>
        <v/>
      </c>
      <c r="AC288" s="0">
        <f>IF($A288="","",IF(Allocation!$N$4="VOL_EFF",$G288,IF(Allocation!$N$4="VOL_CLASS",$H288,$I288)))</f>
        <v/>
      </c>
      <c r="AD288" s="0">
        <f>IF($A288="","",IF(Allocation!$N$4="VOL_EFF",$L288,IF(Allocation!$N$4="VOL_CLASS",$M288,$N288)))</f>
        <v/>
      </c>
      <c r="AE288" s="0">
        <f>IF($A288="","",IF(Allocation!$N$3="VOL_EFF",$L288,IF(Allocation!$N$3="VOL_CLASS",$M288,$N288)))</f>
        <v/>
      </c>
      <c r="AF288" s="0">
        <f>IF($A288="","",IF(Allocation!$N$3="VOL_EFF",$Q288,IF(Allocation!$N$3="VOL_CLASS",$R288,$S288)))</f>
        <v/>
      </c>
      <c r="AG288" s="0">
        <f>IF($A288="","",IF(Allocation!$N$1="VOL_EFF",$Q288,IF(Allocation!$N$1="VOL_CLASS",$R288,$S288)))</f>
        <v/>
      </c>
      <c r="AH288" s="0">
        <f>IF($A288="","",IF(Allocation!$N$1="VOL_EFF",$T288,IF(Allocation!$N$1="VOL_CLASS",$U288,$V288)))</f>
        <v/>
      </c>
      <c r="AI288" s="0">
        <f>IF($A288="","",$W288*IFERROR($K288/$O288,0))</f>
        <v/>
      </c>
      <c r="AJ288" s="0">
        <f>IF($A288="","",$X288*IFERROR($K288/$O288,0))</f>
        <v/>
      </c>
      <c r="AK288" s="0">
        <f>IF($A288="","",$Y288*IFERROR($G288/$L288,0)+$Z288*IFERROR($J288/$P288,0))</f>
        <v/>
      </c>
      <c r="AL288" s="0">
        <f>IF($A288="","",$AA288*IFERROR($AC288/$AD288,0))</f>
        <v/>
      </c>
      <c r="AM288" s="0">
        <f>IF($A288="","",$AB288*IFERROR($AG288/$AH288,0)*IFERROR($AE288/$AF288,0)*IFERROR($AC288/$AD288,0))</f>
        <v/>
      </c>
      <c r="AN288" s="0">
        <f>IF($A288="","",$I288-($AI288+$AJ288+$AK288+$AL288+$AM288+$AR288))</f>
        <v/>
      </c>
      <c r="AO288" s="0">
        <f>IF($A288="","",Allocation!CJ288)</f>
        <v/>
      </c>
      <c r="AP288" s="0">
        <f>IF($A288="","",IF(Allocation!$N$2="VOL_EFF",$Q288,IF(Allocation!$N$2="VOL_CLASS",$R288,$S288)))</f>
        <v/>
      </c>
      <c r="AQ288" s="0">
        <f>IF($A288="","",IF(Allocation!$N$2="VOL_EFF",$T288,IF(Allocation!$N$2="VOL_CLASS",$U288,$V288)))</f>
        <v/>
      </c>
      <c r="AR288" s="0">
        <f>IF($A288="","",$AO288*IFERROR($AP288/$AQ288,0)*IFERROR($AE288/$AF288,0)*IFERROR($AC288/$AD288,0))</f>
        <v/>
      </c>
      <c r="AS288" s="0">
        <f>IF($A288="","",$A288&amp;"|"&amp;Allocation!BG288)</f>
        <v/>
      </c>
    </row>
    <row r="289" ht="14.4975" customHeight="1" s="64">
      <c r="A289" s="0">
        <f>IF(Allocation!BI289="","",Allocation!BI289)</f>
        <v/>
      </c>
      <c r="B289" s="0">
        <f>IF(Allocation!BJ289="","",Allocation!BJ289)</f>
        <v/>
      </c>
      <c r="C289" s="0">
        <f>IF(Allocation!BK289="","",Allocation!BK289)</f>
        <v/>
      </c>
      <c r="D289" s="0">
        <f>IF(Allocation!BL289="","",Allocation!BL289)</f>
        <v/>
      </c>
      <c r="E289" s="0">
        <f>IF(Allocation!BM289="","",Allocation!BM289)</f>
        <v/>
      </c>
      <c r="F289" s="0">
        <f>IF(Allocation!BN289="","",Allocation!BN289)</f>
        <v/>
      </c>
      <c r="G289" s="0">
        <f>IF(Allocation!BO289="","",Allocation!BO289)</f>
        <v/>
      </c>
      <c r="H289" s="0">
        <f>IF(Allocation!BP289="","",Allocation!BP289)</f>
        <v/>
      </c>
      <c r="I289" s="0">
        <f>IF(Allocation!BQ289="","",Allocation!BQ289)</f>
        <v/>
      </c>
      <c r="J289" s="0">
        <f>IF(Allocation!CC289="","",Allocation!CC289)</f>
        <v/>
      </c>
      <c r="K289" s="0">
        <f>IF($A289="","",$H289*IF(AND(LEFT($D289,3)="BAC",$F289="INIT"),600,IF(LEFT($D289,3)="BAC",480,IF(AND(LEFT($D289,3)="MAS",$F289="INIT"),520,IF(LEFT($D289,3)="MAS",420,IF($F289="INIT",1000,700))))))</f>
        <v/>
      </c>
      <c r="L289" s="0">
        <f>IF($A289="","",SUMIFS($G$1:$G$349,$AS$1:$AS$349,$AS289,$B$1:$B$349,$B289))</f>
        <v/>
      </c>
      <c r="M289" s="0">
        <f>IF($A289="","",SUMIFS($H$1:$H$349,$AS$1:$AS$349,$AS289,$B$1:$B$349,$B289))</f>
        <v/>
      </c>
      <c r="N289" s="0">
        <f>IF($A289="","",SUMIFS($I$1:$I$349,$AS$1:$AS$349,$AS289,$B$1:$B$349,$B289))</f>
        <v/>
      </c>
      <c r="O289" s="0">
        <f>IF($A289="","",SUMIFS($K$1:$K$349,$AS$1:$AS$349,$AS289,$B$1:$B$349,$B289))</f>
        <v/>
      </c>
      <c r="P289" s="0">
        <f>IF($A289="","",SUMIFS($J$1:$J$349,$AS$1:$AS$349,$AS289,$B$1:$B$349,$B289))</f>
        <v/>
      </c>
      <c r="Q289" s="0">
        <f>IF($A289="","",SUMIFS($G$1:$G$349,$AS$1:$AS$349,$AS289,$C$1:$C$349,$C289))</f>
        <v/>
      </c>
      <c r="R289" s="0">
        <f>IF($A289="","",SUMIFS($H$1:$H$349,$AS$1:$AS$349,$AS289,$C$1:$C$349,$C289))</f>
        <v/>
      </c>
      <c r="S289" s="0">
        <f>IF($A289="","",SUMIFS($I$1:$I$349,$AS$1:$AS$349,$AS289,$C$1:$C$349,$C289))</f>
        <v/>
      </c>
      <c r="T289" s="0">
        <f>IF($A289="","",SUMIFS($G$1:$G$349,$AS$1:$AS$349,$AS289))</f>
        <v/>
      </c>
      <c r="U289" s="0">
        <f>IF($A289="","",SUMIFS($H$1:$H$349,$AS$1:$AS$349,$AS289))</f>
        <v/>
      </c>
      <c r="V289" s="0">
        <f>IF($A289="","",SUMIFS($I$1:$I$349,$AS$1:$AS$349,$AS289))</f>
        <v/>
      </c>
      <c r="W289" s="0">
        <f>IF($A289="","",Allocation!CD289)</f>
        <v/>
      </c>
      <c r="X289" s="0">
        <f>IF($A289="","",Allocation!CE289)</f>
        <v/>
      </c>
      <c r="Y289" s="0">
        <f>IF($A289="","",Allocation!CF289)</f>
        <v/>
      </c>
      <c r="Z289" s="0">
        <f>IF($A289="","",Allocation!CG289)</f>
        <v/>
      </c>
      <c r="AA289" s="0">
        <f>IF($A289="","",Allocation!CH289)</f>
        <v/>
      </c>
      <c r="AB289" s="0">
        <f>IF($A289="","",Allocation!CI289)</f>
        <v/>
      </c>
      <c r="AC289" s="0">
        <f>IF($A289="","",IF(Allocation!$N$4="VOL_EFF",$G289,IF(Allocation!$N$4="VOL_CLASS",$H289,$I289)))</f>
        <v/>
      </c>
      <c r="AD289" s="0">
        <f>IF($A289="","",IF(Allocation!$N$4="VOL_EFF",$L289,IF(Allocation!$N$4="VOL_CLASS",$M289,$N289)))</f>
        <v/>
      </c>
      <c r="AE289" s="0">
        <f>IF($A289="","",IF(Allocation!$N$3="VOL_EFF",$L289,IF(Allocation!$N$3="VOL_CLASS",$M289,$N289)))</f>
        <v/>
      </c>
      <c r="AF289" s="0">
        <f>IF($A289="","",IF(Allocation!$N$3="VOL_EFF",$Q289,IF(Allocation!$N$3="VOL_CLASS",$R289,$S289)))</f>
        <v/>
      </c>
      <c r="AG289" s="0">
        <f>IF($A289="","",IF(Allocation!$N$1="VOL_EFF",$Q289,IF(Allocation!$N$1="VOL_CLASS",$R289,$S289)))</f>
        <v/>
      </c>
      <c r="AH289" s="0">
        <f>IF($A289="","",IF(Allocation!$N$1="VOL_EFF",$T289,IF(Allocation!$N$1="VOL_CLASS",$U289,$V289)))</f>
        <v/>
      </c>
      <c r="AI289" s="0">
        <f>IF($A289="","",$W289*IFERROR($K289/$O289,0))</f>
        <v/>
      </c>
      <c r="AJ289" s="0">
        <f>IF($A289="","",$X289*IFERROR($K289/$O289,0))</f>
        <v/>
      </c>
      <c r="AK289" s="0">
        <f>IF($A289="","",$Y289*IFERROR($G289/$L289,0)+$Z289*IFERROR($J289/$P289,0))</f>
        <v/>
      </c>
      <c r="AL289" s="0">
        <f>IF($A289="","",$AA289*IFERROR($AC289/$AD289,0))</f>
        <v/>
      </c>
      <c r="AM289" s="0">
        <f>IF($A289="","",$AB289*IFERROR($AG289/$AH289,0)*IFERROR($AE289/$AF289,0)*IFERROR($AC289/$AD289,0))</f>
        <v/>
      </c>
      <c r="AN289" s="0">
        <f>IF($A289="","",$I289-($AI289+$AJ289+$AK289+$AL289+$AM289+$AR289))</f>
        <v/>
      </c>
      <c r="AO289" s="0">
        <f>IF($A289="","",Allocation!CJ289)</f>
        <v/>
      </c>
      <c r="AP289" s="0">
        <f>IF($A289="","",IF(Allocation!$N$2="VOL_EFF",$Q289,IF(Allocation!$N$2="VOL_CLASS",$R289,$S289)))</f>
        <v/>
      </c>
      <c r="AQ289" s="0">
        <f>IF($A289="","",IF(Allocation!$N$2="VOL_EFF",$T289,IF(Allocation!$N$2="VOL_CLASS",$U289,$V289)))</f>
        <v/>
      </c>
      <c r="AR289" s="0">
        <f>IF($A289="","",$AO289*IFERROR($AP289/$AQ289,0)*IFERROR($AE289/$AF289,0)*IFERROR($AC289/$AD289,0))</f>
        <v/>
      </c>
      <c r="AS289" s="0">
        <f>IF($A289="","",$A289&amp;"|"&amp;Allocation!BG289)</f>
        <v/>
      </c>
    </row>
    <row r="290" ht="14.4975" customHeight="1" s="64">
      <c r="A290" s="0">
        <f>IF(Allocation!BI290="","",Allocation!BI290)</f>
        <v/>
      </c>
      <c r="B290" s="0">
        <f>IF(Allocation!BJ290="","",Allocation!BJ290)</f>
        <v/>
      </c>
      <c r="C290" s="0">
        <f>IF(Allocation!BK290="","",Allocation!BK290)</f>
        <v/>
      </c>
      <c r="D290" s="0">
        <f>IF(Allocation!BL290="","",Allocation!BL290)</f>
        <v/>
      </c>
      <c r="E290" s="0">
        <f>IF(Allocation!BM290="","",Allocation!BM290)</f>
        <v/>
      </c>
      <c r="F290" s="0">
        <f>IF(Allocation!BN290="","",Allocation!BN290)</f>
        <v/>
      </c>
      <c r="G290" s="0">
        <f>IF(Allocation!BO290="","",Allocation!BO290)</f>
        <v/>
      </c>
      <c r="H290" s="0">
        <f>IF(Allocation!BP290="","",Allocation!BP290)</f>
        <v/>
      </c>
      <c r="I290" s="0">
        <f>IF(Allocation!BQ290="","",Allocation!BQ290)</f>
        <v/>
      </c>
      <c r="J290" s="0">
        <f>IF(Allocation!CC290="","",Allocation!CC290)</f>
        <v/>
      </c>
      <c r="K290" s="0">
        <f>IF($A290="","",$H290*IF(AND(LEFT($D290,3)="BAC",$F290="INIT"),600,IF(LEFT($D290,3)="BAC",480,IF(AND(LEFT($D290,3)="MAS",$F290="INIT"),520,IF(LEFT($D290,3)="MAS",420,IF($F290="INIT",1000,700))))))</f>
        <v/>
      </c>
      <c r="L290" s="0">
        <f>IF($A290="","",SUMIFS($G$1:$G$349,$AS$1:$AS$349,$AS290,$B$1:$B$349,$B290))</f>
        <v/>
      </c>
      <c r="M290" s="0">
        <f>IF($A290="","",SUMIFS($H$1:$H$349,$AS$1:$AS$349,$AS290,$B$1:$B$349,$B290))</f>
        <v/>
      </c>
      <c r="N290" s="0">
        <f>IF($A290="","",SUMIFS($I$1:$I$349,$AS$1:$AS$349,$AS290,$B$1:$B$349,$B290))</f>
        <v/>
      </c>
      <c r="O290" s="0">
        <f>IF($A290="","",SUMIFS($K$1:$K$349,$AS$1:$AS$349,$AS290,$B$1:$B$349,$B290))</f>
        <v/>
      </c>
      <c r="P290" s="0">
        <f>IF($A290="","",SUMIFS($J$1:$J$349,$AS$1:$AS$349,$AS290,$B$1:$B$349,$B290))</f>
        <v/>
      </c>
      <c r="Q290" s="0">
        <f>IF($A290="","",SUMIFS($G$1:$G$349,$AS$1:$AS$349,$AS290,$C$1:$C$349,$C290))</f>
        <v/>
      </c>
      <c r="R290" s="0">
        <f>IF($A290="","",SUMIFS($H$1:$H$349,$AS$1:$AS$349,$AS290,$C$1:$C$349,$C290))</f>
        <v/>
      </c>
      <c r="S290" s="0">
        <f>IF($A290="","",SUMIFS($I$1:$I$349,$AS$1:$AS$349,$AS290,$C$1:$C$349,$C290))</f>
        <v/>
      </c>
      <c r="T290" s="0">
        <f>IF($A290="","",SUMIFS($G$1:$G$349,$AS$1:$AS$349,$AS290))</f>
        <v/>
      </c>
      <c r="U290" s="0">
        <f>IF($A290="","",SUMIFS($H$1:$H$349,$AS$1:$AS$349,$AS290))</f>
        <v/>
      </c>
      <c r="V290" s="0">
        <f>IF($A290="","",SUMIFS($I$1:$I$349,$AS$1:$AS$349,$AS290))</f>
        <v/>
      </c>
      <c r="W290" s="0">
        <f>IF($A290="","",Allocation!CD290)</f>
        <v/>
      </c>
      <c r="X290" s="0">
        <f>IF($A290="","",Allocation!CE290)</f>
        <v/>
      </c>
      <c r="Y290" s="0">
        <f>IF($A290="","",Allocation!CF290)</f>
        <v/>
      </c>
      <c r="Z290" s="0">
        <f>IF($A290="","",Allocation!CG290)</f>
        <v/>
      </c>
      <c r="AA290" s="0">
        <f>IF($A290="","",Allocation!CH290)</f>
        <v/>
      </c>
      <c r="AB290" s="0">
        <f>IF($A290="","",Allocation!CI290)</f>
        <v/>
      </c>
      <c r="AC290" s="0">
        <f>IF($A290="","",IF(Allocation!$N$4="VOL_EFF",$G290,IF(Allocation!$N$4="VOL_CLASS",$H290,$I290)))</f>
        <v/>
      </c>
      <c r="AD290" s="0">
        <f>IF($A290="","",IF(Allocation!$N$4="VOL_EFF",$L290,IF(Allocation!$N$4="VOL_CLASS",$M290,$N290)))</f>
        <v/>
      </c>
      <c r="AE290" s="0">
        <f>IF($A290="","",IF(Allocation!$N$3="VOL_EFF",$L290,IF(Allocation!$N$3="VOL_CLASS",$M290,$N290)))</f>
        <v/>
      </c>
      <c r="AF290" s="0">
        <f>IF($A290="","",IF(Allocation!$N$3="VOL_EFF",$Q290,IF(Allocation!$N$3="VOL_CLASS",$R290,$S290)))</f>
        <v/>
      </c>
      <c r="AG290" s="0">
        <f>IF($A290="","",IF(Allocation!$N$1="VOL_EFF",$Q290,IF(Allocation!$N$1="VOL_CLASS",$R290,$S290)))</f>
        <v/>
      </c>
      <c r="AH290" s="0">
        <f>IF($A290="","",IF(Allocation!$N$1="VOL_EFF",$T290,IF(Allocation!$N$1="VOL_CLASS",$U290,$V290)))</f>
        <v/>
      </c>
      <c r="AI290" s="0">
        <f>IF($A290="","",$W290*IFERROR($K290/$O290,0))</f>
        <v/>
      </c>
      <c r="AJ290" s="0">
        <f>IF($A290="","",$X290*IFERROR($K290/$O290,0))</f>
        <v/>
      </c>
      <c r="AK290" s="0">
        <f>IF($A290="","",$Y290*IFERROR($G290/$L290,0)+$Z290*IFERROR($J290/$P290,0))</f>
        <v/>
      </c>
      <c r="AL290" s="0">
        <f>IF($A290="","",$AA290*IFERROR($AC290/$AD290,0))</f>
        <v/>
      </c>
      <c r="AM290" s="0">
        <f>IF($A290="","",$AB290*IFERROR($AG290/$AH290,0)*IFERROR($AE290/$AF290,0)*IFERROR($AC290/$AD290,0))</f>
        <v/>
      </c>
      <c r="AN290" s="0">
        <f>IF($A290="","",$I290-($AI290+$AJ290+$AK290+$AL290+$AM290+$AR290))</f>
        <v/>
      </c>
      <c r="AO290" s="0">
        <f>IF($A290="","",Allocation!CJ290)</f>
        <v/>
      </c>
      <c r="AP290" s="0">
        <f>IF($A290="","",IF(Allocation!$N$2="VOL_EFF",$Q290,IF(Allocation!$N$2="VOL_CLASS",$R290,$S290)))</f>
        <v/>
      </c>
      <c r="AQ290" s="0">
        <f>IF($A290="","",IF(Allocation!$N$2="VOL_EFF",$T290,IF(Allocation!$N$2="VOL_CLASS",$U290,$V290)))</f>
        <v/>
      </c>
      <c r="AR290" s="0">
        <f>IF($A290="","",$AO290*IFERROR($AP290/$AQ290,0)*IFERROR($AE290/$AF290,0)*IFERROR($AC290/$AD290,0))</f>
        <v/>
      </c>
      <c r="AS290" s="0">
        <f>IF($A290="","",$A290&amp;"|"&amp;Allocation!BG290)</f>
        <v/>
      </c>
    </row>
    <row r="291" ht="14.4975" customHeight="1" s="64">
      <c r="A291" s="0">
        <f>IF(Allocation!BI291="","",Allocation!BI291)</f>
        <v/>
      </c>
      <c r="B291" s="0">
        <f>IF(Allocation!BJ291="","",Allocation!BJ291)</f>
        <v/>
      </c>
      <c r="C291" s="0">
        <f>IF(Allocation!BK291="","",Allocation!BK291)</f>
        <v/>
      </c>
      <c r="D291" s="0">
        <f>IF(Allocation!BL291="","",Allocation!BL291)</f>
        <v/>
      </c>
      <c r="E291" s="0">
        <f>IF(Allocation!BM291="","",Allocation!BM291)</f>
        <v/>
      </c>
      <c r="F291" s="0">
        <f>IF(Allocation!BN291="","",Allocation!BN291)</f>
        <v/>
      </c>
      <c r="G291" s="0">
        <f>IF(Allocation!BO291="","",Allocation!BO291)</f>
        <v/>
      </c>
      <c r="H291" s="0">
        <f>IF(Allocation!BP291="","",Allocation!BP291)</f>
        <v/>
      </c>
      <c r="I291" s="0">
        <f>IF(Allocation!BQ291="","",Allocation!BQ291)</f>
        <v/>
      </c>
      <c r="J291" s="0">
        <f>IF(Allocation!CC291="","",Allocation!CC291)</f>
        <v/>
      </c>
      <c r="K291" s="0">
        <f>IF($A291="","",$H291*IF(AND(LEFT($D291,3)="BAC",$F291="INIT"),600,IF(LEFT($D291,3)="BAC",480,IF(AND(LEFT($D291,3)="MAS",$F291="INIT"),520,IF(LEFT($D291,3)="MAS",420,IF($F291="INIT",1000,700))))))</f>
        <v/>
      </c>
      <c r="L291" s="0">
        <f>IF($A291="","",SUMIFS($G$1:$G$349,$AS$1:$AS$349,$AS291,$B$1:$B$349,$B291))</f>
        <v/>
      </c>
      <c r="M291" s="0">
        <f>IF($A291="","",SUMIFS($H$1:$H$349,$AS$1:$AS$349,$AS291,$B$1:$B$349,$B291))</f>
        <v/>
      </c>
      <c r="N291" s="0">
        <f>IF($A291="","",SUMIFS($I$1:$I$349,$AS$1:$AS$349,$AS291,$B$1:$B$349,$B291))</f>
        <v/>
      </c>
      <c r="O291" s="0">
        <f>IF($A291="","",SUMIFS($K$1:$K$349,$AS$1:$AS$349,$AS291,$B$1:$B$349,$B291))</f>
        <v/>
      </c>
      <c r="P291" s="0">
        <f>IF($A291="","",SUMIFS($J$1:$J$349,$AS$1:$AS$349,$AS291,$B$1:$B$349,$B291))</f>
        <v/>
      </c>
      <c r="Q291" s="0">
        <f>IF($A291="","",SUMIFS($G$1:$G$349,$AS$1:$AS$349,$AS291,$C$1:$C$349,$C291))</f>
        <v/>
      </c>
      <c r="R291" s="0">
        <f>IF($A291="","",SUMIFS($H$1:$H$349,$AS$1:$AS$349,$AS291,$C$1:$C$349,$C291))</f>
        <v/>
      </c>
      <c r="S291" s="0">
        <f>IF($A291="","",SUMIFS($I$1:$I$349,$AS$1:$AS$349,$AS291,$C$1:$C$349,$C291))</f>
        <v/>
      </c>
      <c r="T291" s="0">
        <f>IF($A291="","",SUMIFS($G$1:$G$349,$AS$1:$AS$349,$AS291))</f>
        <v/>
      </c>
      <c r="U291" s="0">
        <f>IF($A291="","",SUMIFS($H$1:$H$349,$AS$1:$AS$349,$AS291))</f>
        <v/>
      </c>
      <c r="V291" s="0">
        <f>IF($A291="","",SUMIFS($I$1:$I$349,$AS$1:$AS$349,$AS291))</f>
        <v/>
      </c>
      <c r="W291" s="0">
        <f>IF($A291="","",Allocation!CD291)</f>
        <v/>
      </c>
      <c r="X291" s="0">
        <f>IF($A291="","",Allocation!CE291)</f>
        <v/>
      </c>
      <c r="Y291" s="0">
        <f>IF($A291="","",Allocation!CF291)</f>
        <v/>
      </c>
      <c r="Z291" s="0">
        <f>IF($A291="","",Allocation!CG291)</f>
        <v/>
      </c>
      <c r="AA291" s="0">
        <f>IF($A291="","",Allocation!CH291)</f>
        <v/>
      </c>
      <c r="AB291" s="0">
        <f>IF($A291="","",Allocation!CI291)</f>
        <v/>
      </c>
      <c r="AC291" s="0">
        <f>IF($A291="","",IF(Allocation!$N$4="VOL_EFF",$G291,IF(Allocation!$N$4="VOL_CLASS",$H291,$I291)))</f>
        <v/>
      </c>
      <c r="AD291" s="0">
        <f>IF($A291="","",IF(Allocation!$N$4="VOL_EFF",$L291,IF(Allocation!$N$4="VOL_CLASS",$M291,$N291)))</f>
        <v/>
      </c>
      <c r="AE291" s="0">
        <f>IF($A291="","",IF(Allocation!$N$3="VOL_EFF",$L291,IF(Allocation!$N$3="VOL_CLASS",$M291,$N291)))</f>
        <v/>
      </c>
      <c r="AF291" s="0">
        <f>IF($A291="","",IF(Allocation!$N$3="VOL_EFF",$Q291,IF(Allocation!$N$3="VOL_CLASS",$R291,$S291)))</f>
        <v/>
      </c>
      <c r="AG291" s="0">
        <f>IF($A291="","",IF(Allocation!$N$1="VOL_EFF",$Q291,IF(Allocation!$N$1="VOL_CLASS",$R291,$S291)))</f>
        <v/>
      </c>
      <c r="AH291" s="0">
        <f>IF($A291="","",IF(Allocation!$N$1="VOL_EFF",$T291,IF(Allocation!$N$1="VOL_CLASS",$U291,$V291)))</f>
        <v/>
      </c>
      <c r="AI291" s="0">
        <f>IF($A291="","",$W291*IFERROR($K291/$O291,0))</f>
        <v/>
      </c>
      <c r="AJ291" s="0">
        <f>IF($A291="","",$X291*IFERROR($K291/$O291,0))</f>
        <v/>
      </c>
      <c r="AK291" s="0">
        <f>IF($A291="","",$Y291*IFERROR($G291/$L291,0)+$Z291*IFERROR($J291/$P291,0))</f>
        <v/>
      </c>
      <c r="AL291" s="0">
        <f>IF($A291="","",$AA291*IFERROR($AC291/$AD291,0))</f>
        <v/>
      </c>
      <c r="AM291" s="0">
        <f>IF($A291="","",$AB291*IFERROR($AG291/$AH291,0)*IFERROR($AE291/$AF291,0)*IFERROR($AC291/$AD291,0))</f>
        <v/>
      </c>
      <c r="AN291" s="0">
        <f>IF($A291="","",$I291-($AI291+$AJ291+$AK291+$AL291+$AM291+$AR291))</f>
        <v/>
      </c>
      <c r="AO291" s="0">
        <f>IF($A291="","",Allocation!CJ291)</f>
        <v/>
      </c>
      <c r="AP291" s="0">
        <f>IF($A291="","",IF(Allocation!$N$2="VOL_EFF",$Q291,IF(Allocation!$N$2="VOL_CLASS",$R291,$S291)))</f>
        <v/>
      </c>
      <c r="AQ291" s="0">
        <f>IF($A291="","",IF(Allocation!$N$2="VOL_EFF",$T291,IF(Allocation!$N$2="VOL_CLASS",$U291,$V291)))</f>
        <v/>
      </c>
      <c r="AR291" s="0">
        <f>IF($A291="","",$AO291*IFERROR($AP291/$AQ291,0)*IFERROR($AE291/$AF291,0)*IFERROR($AC291/$AD291,0))</f>
        <v/>
      </c>
      <c r="AS291" s="0">
        <f>IF($A291="","",$A291&amp;"|"&amp;Allocation!BG291)</f>
        <v/>
      </c>
    </row>
    <row r="292" ht="14.4975" customHeight="1" s="64">
      <c r="A292" s="0">
        <f>IF(Allocation!BI292="","",Allocation!BI292)</f>
        <v/>
      </c>
      <c r="B292" s="0">
        <f>IF(Allocation!BJ292="","",Allocation!BJ292)</f>
        <v/>
      </c>
      <c r="C292" s="0">
        <f>IF(Allocation!BK292="","",Allocation!BK292)</f>
        <v/>
      </c>
      <c r="D292" s="0">
        <f>IF(Allocation!BL292="","",Allocation!BL292)</f>
        <v/>
      </c>
      <c r="E292" s="0">
        <f>IF(Allocation!BM292="","",Allocation!BM292)</f>
        <v/>
      </c>
      <c r="F292" s="0">
        <f>IF(Allocation!BN292="","",Allocation!BN292)</f>
        <v/>
      </c>
      <c r="G292" s="0">
        <f>IF(Allocation!BO292="","",Allocation!BO292)</f>
        <v/>
      </c>
      <c r="H292" s="0">
        <f>IF(Allocation!BP292="","",Allocation!BP292)</f>
        <v/>
      </c>
      <c r="I292" s="0">
        <f>IF(Allocation!BQ292="","",Allocation!BQ292)</f>
        <v/>
      </c>
      <c r="J292" s="0">
        <f>IF(Allocation!CC292="","",Allocation!CC292)</f>
        <v/>
      </c>
      <c r="K292" s="0">
        <f>IF($A292="","",$H292*IF(AND(LEFT($D292,3)="BAC",$F292="INIT"),600,IF(LEFT($D292,3)="BAC",480,IF(AND(LEFT($D292,3)="MAS",$F292="INIT"),520,IF(LEFT($D292,3)="MAS",420,IF($F292="INIT",1000,700))))))</f>
        <v/>
      </c>
      <c r="L292" s="0">
        <f>IF($A292="","",SUMIFS($G$1:$G$349,$AS$1:$AS$349,$AS292,$B$1:$B$349,$B292))</f>
        <v/>
      </c>
      <c r="M292" s="0">
        <f>IF($A292="","",SUMIFS($H$1:$H$349,$AS$1:$AS$349,$AS292,$B$1:$B$349,$B292))</f>
        <v/>
      </c>
      <c r="N292" s="0">
        <f>IF($A292="","",SUMIFS($I$1:$I$349,$AS$1:$AS$349,$AS292,$B$1:$B$349,$B292))</f>
        <v/>
      </c>
      <c r="O292" s="0">
        <f>IF($A292="","",SUMIFS($K$1:$K$349,$AS$1:$AS$349,$AS292,$B$1:$B$349,$B292))</f>
        <v/>
      </c>
      <c r="P292" s="0">
        <f>IF($A292="","",SUMIFS($J$1:$J$349,$AS$1:$AS$349,$AS292,$B$1:$B$349,$B292))</f>
        <v/>
      </c>
      <c r="Q292" s="0">
        <f>IF($A292="","",SUMIFS($G$1:$G$349,$AS$1:$AS$349,$AS292,$C$1:$C$349,$C292))</f>
        <v/>
      </c>
      <c r="R292" s="0">
        <f>IF($A292="","",SUMIFS($H$1:$H$349,$AS$1:$AS$349,$AS292,$C$1:$C$349,$C292))</f>
        <v/>
      </c>
      <c r="S292" s="0">
        <f>IF($A292="","",SUMIFS($I$1:$I$349,$AS$1:$AS$349,$AS292,$C$1:$C$349,$C292))</f>
        <v/>
      </c>
      <c r="T292" s="0">
        <f>IF($A292="","",SUMIFS($G$1:$G$349,$AS$1:$AS$349,$AS292))</f>
        <v/>
      </c>
      <c r="U292" s="0">
        <f>IF($A292="","",SUMIFS($H$1:$H$349,$AS$1:$AS$349,$AS292))</f>
        <v/>
      </c>
      <c r="V292" s="0">
        <f>IF($A292="","",SUMIFS($I$1:$I$349,$AS$1:$AS$349,$AS292))</f>
        <v/>
      </c>
      <c r="W292" s="0">
        <f>IF($A292="","",Allocation!CD292)</f>
        <v/>
      </c>
      <c r="X292" s="0">
        <f>IF($A292="","",Allocation!CE292)</f>
        <v/>
      </c>
      <c r="Y292" s="0">
        <f>IF($A292="","",Allocation!CF292)</f>
        <v/>
      </c>
      <c r="Z292" s="0">
        <f>IF($A292="","",Allocation!CG292)</f>
        <v/>
      </c>
      <c r="AA292" s="0">
        <f>IF($A292="","",Allocation!CH292)</f>
        <v/>
      </c>
      <c r="AB292" s="0">
        <f>IF($A292="","",Allocation!CI292)</f>
        <v/>
      </c>
      <c r="AC292" s="0">
        <f>IF($A292="","",IF(Allocation!$N$4="VOL_EFF",$G292,IF(Allocation!$N$4="VOL_CLASS",$H292,$I292)))</f>
        <v/>
      </c>
      <c r="AD292" s="0">
        <f>IF($A292="","",IF(Allocation!$N$4="VOL_EFF",$L292,IF(Allocation!$N$4="VOL_CLASS",$M292,$N292)))</f>
        <v/>
      </c>
      <c r="AE292" s="0">
        <f>IF($A292="","",IF(Allocation!$N$3="VOL_EFF",$L292,IF(Allocation!$N$3="VOL_CLASS",$M292,$N292)))</f>
        <v/>
      </c>
      <c r="AF292" s="0">
        <f>IF($A292="","",IF(Allocation!$N$3="VOL_EFF",$Q292,IF(Allocation!$N$3="VOL_CLASS",$R292,$S292)))</f>
        <v/>
      </c>
      <c r="AG292" s="0">
        <f>IF($A292="","",IF(Allocation!$N$1="VOL_EFF",$Q292,IF(Allocation!$N$1="VOL_CLASS",$R292,$S292)))</f>
        <v/>
      </c>
      <c r="AH292" s="0">
        <f>IF($A292="","",IF(Allocation!$N$1="VOL_EFF",$T292,IF(Allocation!$N$1="VOL_CLASS",$U292,$V292)))</f>
        <v/>
      </c>
      <c r="AI292" s="0">
        <f>IF($A292="","",$W292*IFERROR($K292/$O292,0))</f>
        <v/>
      </c>
      <c r="AJ292" s="0">
        <f>IF($A292="","",$X292*IFERROR($K292/$O292,0))</f>
        <v/>
      </c>
      <c r="AK292" s="0">
        <f>IF($A292="","",$Y292*IFERROR($G292/$L292,0)+$Z292*IFERROR($J292/$P292,0))</f>
        <v/>
      </c>
      <c r="AL292" s="0">
        <f>IF($A292="","",$AA292*IFERROR($AC292/$AD292,0))</f>
        <v/>
      </c>
      <c r="AM292" s="0">
        <f>IF($A292="","",$AB292*IFERROR($AG292/$AH292,0)*IFERROR($AE292/$AF292,0)*IFERROR($AC292/$AD292,0))</f>
        <v/>
      </c>
      <c r="AN292" s="0">
        <f>IF($A292="","",$I292-($AI292+$AJ292+$AK292+$AL292+$AM292+$AR292))</f>
        <v/>
      </c>
      <c r="AO292" s="0">
        <f>IF($A292="","",Allocation!CJ292)</f>
        <v/>
      </c>
      <c r="AP292" s="0">
        <f>IF($A292="","",IF(Allocation!$N$2="VOL_EFF",$Q292,IF(Allocation!$N$2="VOL_CLASS",$R292,$S292)))</f>
        <v/>
      </c>
      <c r="AQ292" s="0">
        <f>IF($A292="","",IF(Allocation!$N$2="VOL_EFF",$T292,IF(Allocation!$N$2="VOL_CLASS",$U292,$V292)))</f>
        <v/>
      </c>
      <c r="AR292" s="0">
        <f>IF($A292="","",$AO292*IFERROR($AP292/$AQ292,0)*IFERROR($AE292/$AF292,0)*IFERROR($AC292/$AD292,0))</f>
        <v/>
      </c>
      <c r="AS292" s="0">
        <f>IF($A292="","",$A292&amp;"|"&amp;Allocation!BG292)</f>
        <v/>
      </c>
    </row>
    <row r="293" ht="14.4975" customHeight="1" s="64">
      <c r="A293" s="0">
        <f>IF(Allocation!BI293="","",Allocation!BI293)</f>
        <v/>
      </c>
      <c r="B293" s="0">
        <f>IF(Allocation!BJ293="","",Allocation!BJ293)</f>
        <v/>
      </c>
      <c r="C293" s="0">
        <f>IF(Allocation!BK293="","",Allocation!BK293)</f>
        <v/>
      </c>
      <c r="D293" s="0">
        <f>IF(Allocation!BL293="","",Allocation!BL293)</f>
        <v/>
      </c>
      <c r="E293" s="0">
        <f>IF(Allocation!BM293="","",Allocation!BM293)</f>
        <v/>
      </c>
      <c r="F293" s="0">
        <f>IF(Allocation!BN293="","",Allocation!BN293)</f>
        <v/>
      </c>
      <c r="G293" s="0">
        <f>IF(Allocation!BO293="","",Allocation!BO293)</f>
        <v/>
      </c>
      <c r="H293" s="0">
        <f>IF(Allocation!BP293="","",Allocation!BP293)</f>
        <v/>
      </c>
      <c r="I293" s="0">
        <f>IF(Allocation!BQ293="","",Allocation!BQ293)</f>
        <v/>
      </c>
      <c r="J293" s="0">
        <f>IF(Allocation!CC293="","",Allocation!CC293)</f>
        <v/>
      </c>
      <c r="K293" s="0">
        <f>IF($A293="","",$H293*IF(AND(LEFT($D293,3)="BAC",$F293="INIT"),600,IF(LEFT($D293,3)="BAC",480,IF(AND(LEFT($D293,3)="MAS",$F293="INIT"),520,IF(LEFT($D293,3)="MAS",420,IF($F293="INIT",1000,700))))))</f>
        <v/>
      </c>
      <c r="L293" s="0">
        <f>IF($A293="","",SUMIFS($G$1:$G$349,$AS$1:$AS$349,$AS293,$B$1:$B$349,$B293))</f>
        <v/>
      </c>
      <c r="M293" s="0">
        <f>IF($A293="","",SUMIFS($H$1:$H$349,$AS$1:$AS$349,$AS293,$B$1:$B$349,$B293))</f>
        <v/>
      </c>
      <c r="N293" s="0">
        <f>IF($A293="","",SUMIFS($I$1:$I$349,$AS$1:$AS$349,$AS293,$B$1:$B$349,$B293))</f>
        <v/>
      </c>
      <c r="O293" s="0">
        <f>IF($A293="","",SUMIFS($K$1:$K$349,$AS$1:$AS$349,$AS293,$B$1:$B$349,$B293))</f>
        <v/>
      </c>
      <c r="P293" s="0">
        <f>IF($A293="","",SUMIFS($J$1:$J$349,$AS$1:$AS$349,$AS293,$B$1:$B$349,$B293))</f>
        <v/>
      </c>
      <c r="Q293" s="0">
        <f>IF($A293="","",SUMIFS($G$1:$G$349,$AS$1:$AS$349,$AS293,$C$1:$C$349,$C293))</f>
        <v/>
      </c>
      <c r="R293" s="0">
        <f>IF($A293="","",SUMIFS($H$1:$H$349,$AS$1:$AS$349,$AS293,$C$1:$C$349,$C293))</f>
        <v/>
      </c>
      <c r="S293" s="0">
        <f>IF($A293="","",SUMIFS($I$1:$I$349,$AS$1:$AS$349,$AS293,$C$1:$C$349,$C293))</f>
        <v/>
      </c>
      <c r="T293" s="0">
        <f>IF($A293="","",SUMIFS($G$1:$G$349,$AS$1:$AS$349,$AS293))</f>
        <v/>
      </c>
      <c r="U293" s="0">
        <f>IF($A293="","",SUMIFS($H$1:$H$349,$AS$1:$AS$349,$AS293))</f>
        <v/>
      </c>
      <c r="V293" s="0">
        <f>IF($A293="","",SUMIFS($I$1:$I$349,$AS$1:$AS$349,$AS293))</f>
        <v/>
      </c>
      <c r="W293" s="0">
        <f>IF($A293="","",Allocation!CD293)</f>
        <v/>
      </c>
      <c r="X293" s="0">
        <f>IF($A293="","",Allocation!CE293)</f>
        <v/>
      </c>
      <c r="Y293" s="0">
        <f>IF($A293="","",Allocation!CF293)</f>
        <v/>
      </c>
      <c r="Z293" s="0">
        <f>IF($A293="","",Allocation!CG293)</f>
        <v/>
      </c>
      <c r="AA293" s="0">
        <f>IF($A293="","",Allocation!CH293)</f>
        <v/>
      </c>
      <c r="AB293" s="0">
        <f>IF($A293="","",Allocation!CI293)</f>
        <v/>
      </c>
      <c r="AC293" s="0">
        <f>IF($A293="","",IF(Allocation!$N$4="VOL_EFF",$G293,IF(Allocation!$N$4="VOL_CLASS",$H293,$I293)))</f>
        <v/>
      </c>
      <c r="AD293" s="0">
        <f>IF($A293="","",IF(Allocation!$N$4="VOL_EFF",$L293,IF(Allocation!$N$4="VOL_CLASS",$M293,$N293)))</f>
        <v/>
      </c>
      <c r="AE293" s="0">
        <f>IF($A293="","",IF(Allocation!$N$3="VOL_EFF",$L293,IF(Allocation!$N$3="VOL_CLASS",$M293,$N293)))</f>
        <v/>
      </c>
      <c r="AF293" s="0">
        <f>IF($A293="","",IF(Allocation!$N$3="VOL_EFF",$Q293,IF(Allocation!$N$3="VOL_CLASS",$R293,$S293)))</f>
        <v/>
      </c>
      <c r="AG293" s="0">
        <f>IF($A293="","",IF(Allocation!$N$1="VOL_EFF",$Q293,IF(Allocation!$N$1="VOL_CLASS",$R293,$S293)))</f>
        <v/>
      </c>
      <c r="AH293" s="0">
        <f>IF($A293="","",IF(Allocation!$N$1="VOL_EFF",$T293,IF(Allocation!$N$1="VOL_CLASS",$U293,$V293)))</f>
        <v/>
      </c>
      <c r="AI293" s="0">
        <f>IF($A293="","",$W293*IFERROR($K293/$O293,0))</f>
        <v/>
      </c>
      <c r="AJ293" s="0">
        <f>IF($A293="","",$X293*IFERROR($K293/$O293,0))</f>
        <v/>
      </c>
      <c r="AK293" s="0">
        <f>IF($A293="","",$Y293*IFERROR($G293/$L293,0)+$Z293*IFERROR($J293/$P293,0))</f>
        <v/>
      </c>
      <c r="AL293" s="0">
        <f>IF($A293="","",$AA293*IFERROR($AC293/$AD293,0))</f>
        <v/>
      </c>
      <c r="AM293" s="0">
        <f>IF($A293="","",$AB293*IFERROR($AG293/$AH293,0)*IFERROR($AE293/$AF293,0)*IFERROR($AC293/$AD293,0))</f>
        <v/>
      </c>
      <c r="AN293" s="0">
        <f>IF($A293="","",$I293-($AI293+$AJ293+$AK293+$AL293+$AM293+$AR293))</f>
        <v/>
      </c>
      <c r="AO293" s="0">
        <f>IF($A293="","",Allocation!CJ293)</f>
        <v/>
      </c>
      <c r="AP293" s="0">
        <f>IF($A293="","",IF(Allocation!$N$2="VOL_EFF",$Q293,IF(Allocation!$N$2="VOL_CLASS",$R293,$S293)))</f>
        <v/>
      </c>
      <c r="AQ293" s="0">
        <f>IF($A293="","",IF(Allocation!$N$2="VOL_EFF",$T293,IF(Allocation!$N$2="VOL_CLASS",$U293,$V293)))</f>
        <v/>
      </c>
      <c r="AR293" s="0">
        <f>IF($A293="","",$AO293*IFERROR($AP293/$AQ293,0)*IFERROR($AE293/$AF293,0)*IFERROR($AC293/$AD293,0))</f>
        <v/>
      </c>
      <c r="AS293" s="0">
        <f>IF($A293="","",$A293&amp;"|"&amp;Allocation!BG293)</f>
        <v/>
      </c>
    </row>
    <row r="294" ht="14.4975" customHeight="1" s="64">
      <c r="A294" s="0">
        <f>IF(Allocation!BI294="","",Allocation!BI294)</f>
        <v/>
      </c>
      <c r="B294" s="0">
        <f>IF(Allocation!BJ294="","",Allocation!BJ294)</f>
        <v/>
      </c>
      <c r="C294" s="0">
        <f>IF(Allocation!BK294="","",Allocation!BK294)</f>
        <v/>
      </c>
      <c r="D294" s="0">
        <f>IF(Allocation!BL294="","",Allocation!BL294)</f>
        <v/>
      </c>
      <c r="E294" s="0">
        <f>IF(Allocation!BM294="","",Allocation!BM294)</f>
        <v/>
      </c>
      <c r="F294" s="0">
        <f>IF(Allocation!BN294="","",Allocation!BN294)</f>
        <v/>
      </c>
      <c r="G294" s="0">
        <f>IF(Allocation!BO294="","",Allocation!BO294)</f>
        <v/>
      </c>
      <c r="H294" s="0">
        <f>IF(Allocation!BP294="","",Allocation!BP294)</f>
        <v/>
      </c>
      <c r="I294" s="0">
        <f>IF(Allocation!BQ294="","",Allocation!BQ294)</f>
        <v/>
      </c>
      <c r="J294" s="0">
        <f>IF(Allocation!CC294="","",Allocation!CC294)</f>
        <v/>
      </c>
      <c r="K294" s="0">
        <f>IF($A294="","",$H294*IF(AND(LEFT($D294,3)="BAC",$F294="INIT"),600,IF(LEFT($D294,3)="BAC",480,IF(AND(LEFT($D294,3)="MAS",$F294="INIT"),520,IF(LEFT($D294,3)="MAS",420,IF($F294="INIT",1000,700))))))</f>
        <v/>
      </c>
      <c r="L294" s="0">
        <f>IF($A294="","",SUMIFS($G$1:$G$349,$AS$1:$AS$349,$AS294,$B$1:$B$349,$B294))</f>
        <v/>
      </c>
      <c r="M294" s="0">
        <f>IF($A294="","",SUMIFS($H$1:$H$349,$AS$1:$AS$349,$AS294,$B$1:$B$349,$B294))</f>
        <v/>
      </c>
      <c r="N294" s="0">
        <f>IF($A294="","",SUMIFS($I$1:$I$349,$AS$1:$AS$349,$AS294,$B$1:$B$349,$B294))</f>
        <v/>
      </c>
      <c r="O294" s="0">
        <f>IF($A294="","",SUMIFS($K$1:$K$349,$AS$1:$AS$349,$AS294,$B$1:$B$349,$B294))</f>
        <v/>
      </c>
      <c r="P294" s="0">
        <f>IF($A294="","",SUMIFS($J$1:$J$349,$AS$1:$AS$349,$AS294,$B$1:$B$349,$B294))</f>
        <v/>
      </c>
      <c r="Q294" s="0">
        <f>IF($A294="","",SUMIFS($G$1:$G$349,$AS$1:$AS$349,$AS294,$C$1:$C$349,$C294))</f>
        <v/>
      </c>
      <c r="R294" s="0">
        <f>IF($A294="","",SUMIFS($H$1:$H$349,$AS$1:$AS$349,$AS294,$C$1:$C$349,$C294))</f>
        <v/>
      </c>
      <c r="S294" s="0">
        <f>IF($A294="","",SUMIFS($I$1:$I$349,$AS$1:$AS$349,$AS294,$C$1:$C$349,$C294))</f>
        <v/>
      </c>
      <c r="T294" s="0">
        <f>IF($A294="","",SUMIFS($G$1:$G$349,$AS$1:$AS$349,$AS294))</f>
        <v/>
      </c>
      <c r="U294" s="0">
        <f>IF($A294="","",SUMIFS($H$1:$H$349,$AS$1:$AS$349,$AS294))</f>
        <v/>
      </c>
      <c r="V294" s="0">
        <f>IF($A294="","",SUMIFS($I$1:$I$349,$AS$1:$AS$349,$AS294))</f>
        <v/>
      </c>
      <c r="W294" s="0">
        <f>IF($A294="","",Allocation!CD294)</f>
        <v/>
      </c>
      <c r="X294" s="0">
        <f>IF($A294="","",Allocation!CE294)</f>
        <v/>
      </c>
      <c r="Y294" s="0">
        <f>IF($A294="","",Allocation!CF294)</f>
        <v/>
      </c>
      <c r="Z294" s="0">
        <f>IF($A294="","",Allocation!CG294)</f>
        <v/>
      </c>
      <c r="AA294" s="0">
        <f>IF($A294="","",Allocation!CH294)</f>
        <v/>
      </c>
      <c r="AB294" s="0">
        <f>IF($A294="","",Allocation!CI294)</f>
        <v/>
      </c>
      <c r="AC294" s="0">
        <f>IF($A294="","",IF(Allocation!$N$4="VOL_EFF",$G294,IF(Allocation!$N$4="VOL_CLASS",$H294,$I294)))</f>
        <v/>
      </c>
      <c r="AD294" s="0">
        <f>IF($A294="","",IF(Allocation!$N$4="VOL_EFF",$L294,IF(Allocation!$N$4="VOL_CLASS",$M294,$N294)))</f>
        <v/>
      </c>
      <c r="AE294" s="0">
        <f>IF($A294="","",IF(Allocation!$N$3="VOL_EFF",$L294,IF(Allocation!$N$3="VOL_CLASS",$M294,$N294)))</f>
        <v/>
      </c>
      <c r="AF294" s="0">
        <f>IF($A294="","",IF(Allocation!$N$3="VOL_EFF",$Q294,IF(Allocation!$N$3="VOL_CLASS",$R294,$S294)))</f>
        <v/>
      </c>
      <c r="AG294" s="0">
        <f>IF($A294="","",IF(Allocation!$N$1="VOL_EFF",$Q294,IF(Allocation!$N$1="VOL_CLASS",$R294,$S294)))</f>
        <v/>
      </c>
      <c r="AH294" s="0">
        <f>IF($A294="","",IF(Allocation!$N$1="VOL_EFF",$T294,IF(Allocation!$N$1="VOL_CLASS",$U294,$V294)))</f>
        <v/>
      </c>
      <c r="AI294" s="0">
        <f>IF($A294="","",$W294*IFERROR($K294/$O294,0))</f>
        <v/>
      </c>
      <c r="AJ294" s="0">
        <f>IF($A294="","",$X294*IFERROR($K294/$O294,0))</f>
        <v/>
      </c>
      <c r="AK294" s="0">
        <f>IF($A294="","",$Y294*IFERROR($G294/$L294,0)+$Z294*IFERROR($J294/$P294,0))</f>
        <v/>
      </c>
      <c r="AL294" s="0">
        <f>IF($A294="","",$AA294*IFERROR($AC294/$AD294,0))</f>
        <v/>
      </c>
      <c r="AM294" s="0">
        <f>IF($A294="","",$AB294*IFERROR($AG294/$AH294,0)*IFERROR($AE294/$AF294,0)*IFERROR($AC294/$AD294,0))</f>
        <v/>
      </c>
      <c r="AN294" s="0">
        <f>IF($A294="","",$I294-($AI294+$AJ294+$AK294+$AL294+$AM294+$AR294))</f>
        <v/>
      </c>
      <c r="AO294" s="0">
        <f>IF($A294="","",Allocation!CJ294)</f>
        <v/>
      </c>
      <c r="AP294" s="0">
        <f>IF($A294="","",IF(Allocation!$N$2="VOL_EFF",$Q294,IF(Allocation!$N$2="VOL_CLASS",$R294,$S294)))</f>
        <v/>
      </c>
      <c r="AQ294" s="0">
        <f>IF($A294="","",IF(Allocation!$N$2="VOL_EFF",$T294,IF(Allocation!$N$2="VOL_CLASS",$U294,$V294)))</f>
        <v/>
      </c>
      <c r="AR294" s="0">
        <f>IF($A294="","",$AO294*IFERROR($AP294/$AQ294,0)*IFERROR($AE294/$AF294,0)*IFERROR($AC294/$AD294,0))</f>
        <v/>
      </c>
      <c r="AS294" s="0">
        <f>IF($A294="","",$A294&amp;"|"&amp;Allocation!BG294)</f>
        <v/>
      </c>
    </row>
    <row r="295" ht="14.4975" customHeight="1" s="64">
      <c r="A295" s="0">
        <f>IF(Allocation!BI295="","",Allocation!BI295)</f>
        <v/>
      </c>
      <c r="B295" s="0">
        <f>IF(Allocation!BJ295="","",Allocation!BJ295)</f>
        <v/>
      </c>
      <c r="C295" s="0">
        <f>IF(Allocation!BK295="","",Allocation!BK295)</f>
        <v/>
      </c>
      <c r="D295" s="0">
        <f>IF(Allocation!BL295="","",Allocation!BL295)</f>
        <v/>
      </c>
      <c r="E295" s="0">
        <f>IF(Allocation!BM295="","",Allocation!BM295)</f>
        <v/>
      </c>
      <c r="F295" s="0">
        <f>IF(Allocation!BN295="","",Allocation!BN295)</f>
        <v/>
      </c>
      <c r="G295" s="0">
        <f>IF(Allocation!BO295="","",Allocation!BO295)</f>
        <v/>
      </c>
      <c r="H295" s="0">
        <f>IF(Allocation!BP295="","",Allocation!BP295)</f>
        <v/>
      </c>
      <c r="I295" s="0">
        <f>IF(Allocation!BQ295="","",Allocation!BQ295)</f>
        <v/>
      </c>
      <c r="J295" s="0">
        <f>IF(Allocation!CC295="","",Allocation!CC295)</f>
        <v/>
      </c>
      <c r="K295" s="0">
        <f>IF($A295="","",$H295*IF(AND(LEFT($D295,3)="BAC",$F295="INIT"),600,IF(LEFT($D295,3)="BAC",480,IF(AND(LEFT($D295,3)="MAS",$F295="INIT"),520,IF(LEFT($D295,3)="MAS",420,IF($F295="INIT",1000,700))))))</f>
        <v/>
      </c>
      <c r="L295" s="0">
        <f>IF($A295="","",SUMIFS($G$1:$G$349,$AS$1:$AS$349,$AS295,$B$1:$B$349,$B295))</f>
        <v/>
      </c>
      <c r="M295" s="0">
        <f>IF($A295="","",SUMIFS($H$1:$H$349,$AS$1:$AS$349,$AS295,$B$1:$B$349,$B295))</f>
        <v/>
      </c>
      <c r="N295" s="0">
        <f>IF($A295="","",SUMIFS($I$1:$I$349,$AS$1:$AS$349,$AS295,$B$1:$B$349,$B295))</f>
        <v/>
      </c>
      <c r="O295" s="0">
        <f>IF($A295="","",SUMIFS($K$1:$K$349,$AS$1:$AS$349,$AS295,$B$1:$B$349,$B295))</f>
        <v/>
      </c>
      <c r="P295" s="0">
        <f>IF($A295="","",SUMIFS($J$1:$J$349,$AS$1:$AS$349,$AS295,$B$1:$B$349,$B295))</f>
        <v/>
      </c>
      <c r="Q295" s="0">
        <f>IF($A295="","",SUMIFS($G$1:$G$349,$AS$1:$AS$349,$AS295,$C$1:$C$349,$C295))</f>
        <v/>
      </c>
      <c r="R295" s="0">
        <f>IF($A295="","",SUMIFS($H$1:$H$349,$AS$1:$AS$349,$AS295,$C$1:$C$349,$C295))</f>
        <v/>
      </c>
      <c r="S295" s="0">
        <f>IF($A295="","",SUMIFS($I$1:$I$349,$AS$1:$AS$349,$AS295,$C$1:$C$349,$C295))</f>
        <v/>
      </c>
      <c r="T295" s="0">
        <f>IF($A295="","",SUMIFS($G$1:$G$349,$AS$1:$AS$349,$AS295))</f>
        <v/>
      </c>
      <c r="U295" s="0">
        <f>IF($A295="","",SUMIFS($H$1:$H$349,$AS$1:$AS$349,$AS295))</f>
        <v/>
      </c>
      <c r="V295" s="0">
        <f>IF($A295="","",SUMIFS($I$1:$I$349,$AS$1:$AS$349,$AS295))</f>
        <v/>
      </c>
      <c r="W295" s="0">
        <f>IF($A295="","",Allocation!CD295)</f>
        <v/>
      </c>
      <c r="X295" s="0">
        <f>IF($A295="","",Allocation!CE295)</f>
        <v/>
      </c>
      <c r="Y295" s="0">
        <f>IF($A295="","",Allocation!CF295)</f>
        <v/>
      </c>
      <c r="Z295" s="0">
        <f>IF($A295="","",Allocation!CG295)</f>
        <v/>
      </c>
      <c r="AA295" s="0">
        <f>IF($A295="","",Allocation!CH295)</f>
        <v/>
      </c>
      <c r="AB295" s="0">
        <f>IF($A295="","",Allocation!CI295)</f>
        <v/>
      </c>
      <c r="AC295" s="0">
        <f>IF($A295="","",IF(Allocation!$N$4="VOL_EFF",$G295,IF(Allocation!$N$4="VOL_CLASS",$H295,$I295)))</f>
        <v/>
      </c>
      <c r="AD295" s="0">
        <f>IF($A295="","",IF(Allocation!$N$4="VOL_EFF",$L295,IF(Allocation!$N$4="VOL_CLASS",$M295,$N295)))</f>
        <v/>
      </c>
      <c r="AE295" s="0">
        <f>IF($A295="","",IF(Allocation!$N$3="VOL_EFF",$L295,IF(Allocation!$N$3="VOL_CLASS",$M295,$N295)))</f>
        <v/>
      </c>
      <c r="AF295" s="0">
        <f>IF($A295="","",IF(Allocation!$N$3="VOL_EFF",$Q295,IF(Allocation!$N$3="VOL_CLASS",$R295,$S295)))</f>
        <v/>
      </c>
      <c r="AG295" s="0">
        <f>IF($A295="","",IF(Allocation!$N$1="VOL_EFF",$Q295,IF(Allocation!$N$1="VOL_CLASS",$R295,$S295)))</f>
        <v/>
      </c>
      <c r="AH295" s="0">
        <f>IF($A295="","",IF(Allocation!$N$1="VOL_EFF",$T295,IF(Allocation!$N$1="VOL_CLASS",$U295,$V295)))</f>
        <v/>
      </c>
      <c r="AI295" s="0">
        <f>IF($A295="","",$W295*IFERROR($K295/$O295,0))</f>
        <v/>
      </c>
      <c r="AJ295" s="0">
        <f>IF($A295="","",$X295*IFERROR($K295/$O295,0))</f>
        <v/>
      </c>
      <c r="AK295" s="0">
        <f>IF($A295="","",$Y295*IFERROR($G295/$L295,0)+$Z295*IFERROR($J295/$P295,0))</f>
        <v/>
      </c>
      <c r="AL295" s="0">
        <f>IF($A295="","",$AA295*IFERROR($AC295/$AD295,0))</f>
        <v/>
      </c>
      <c r="AM295" s="0">
        <f>IF($A295="","",$AB295*IFERROR($AG295/$AH295,0)*IFERROR($AE295/$AF295,0)*IFERROR($AC295/$AD295,0))</f>
        <v/>
      </c>
      <c r="AN295" s="0">
        <f>IF($A295="","",$I295-($AI295+$AJ295+$AK295+$AL295+$AM295+$AR295))</f>
        <v/>
      </c>
      <c r="AO295" s="0">
        <f>IF($A295="","",Allocation!CJ295)</f>
        <v/>
      </c>
      <c r="AP295" s="0">
        <f>IF($A295="","",IF(Allocation!$N$2="VOL_EFF",$Q295,IF(Allocation!$N$2="VOL_CLASS",$R295,$S295)))</f>
        <v/>
      </c>
      <c r="AQ295" s="0">
        <f>IF($A295="","",IF(Allocation!$N$2="VOL_EFF",$T295,IF(Allocation!$N$2="VOL_CLASS",$U295,$V295)))</f>
        <v/>
      </c>
      <c r="AR295" s="0">
        <f>IF($A295="","",$AO295*IFERROR($AP295/$AQ295,0)*IFERROR($AE295/$AF295,0)*IFERROR($AC295/$AD295,0))</f>
        <v/>
      </c>
      <c r="AS295" s="0">
        <f>IF($A295="","",$A295&amp;"|"&amp;Allocation!BG295)</f>
        <v/>
      </c>
    </row>
    <row r="296" ht="14.4975" customHeight="1" s="64">
      <c r="A296" s="0">
        <f>IF(Allocation!BI296="","",Allocation!BI296)</f>
        <v/>
      </c>
      <c r="B296" s="0">
        <f>IF(Allocation!BJ296="","",Allocation!BJ296)</f>
        <v/>
      </c>
      <c r="C296" s="0">
        <f>IF(Allocation!BK296="","",Allocation!BK296)</f>
        <v/>
      </c>
      <c r="D296" s="0">
        <f>IF(Allocation!BL296="","",Allocation!BL296)</f>
        <v/>
      </c>
      <c r="E296" s="0">
        <f>IF(Allocation!BM296="","",Allocation!BM296)</f>
        <v/>
      </c>
      <c r="F296" s="0">
        <f>IF(Allocation!BN296="","",Allocation!BN296)</f>
        <v/>
      </c>
      <c r="G296" s="0">
        <f>IF(Allocation!BO296="","",Allocation!BO296)</f>
        <v/>
      </c>
      <c r="H296" s="0">
        <f>IF(Allocation!BP296="","",Allocation!BP296)</f>
        <v/>
      </c>
      <c r="I296" s="0">
        <f>IF(Allocation!BQ296="","",Allocation!BQ296)</f>
        <v/>
      </c>
      <c r="J296" s="0">
        <f>IF(Allocation!CC296="","",Allocation!CC296)</f>
        <v/>
      </c>
      <c r="K296" s="0">
        <f>IF($A296="","",$H296*IF(AND(LEFT($D296,3)="BAC",$F296="INIT"),600,IF(LEFT($D296,3)="BAC",480,IF(AND(LEFT($D296,3)="MAS",$F296="INIT"),520,IF(LEFT($D296,3)="MAS",420,IF($F296="INIT",1000,700))))))</f>
        <v/>
      </c>
      <c r="L296" s="0">
        <f>IF($A296="","",SUMIFS($G$1:$G$349,$AS$1:$AS$349,$AS296,$B$1:$B$349,$B296))</f>
        <v/>
      </c>
      <c r="M296" s="0">
        <f>IF($A296="","",SUMIFS($H$1:$H$349,$AS$1:$AS$349,$AS296,$B$1:$B$349,$B296))</f>
        <v/>
      </c>
      <c r="N296" s="0">
        <f>IF($A296="","",SUMIFS($I$1:$I$349,$AS$1:$AS$349,$AS296,$B$1:$B$349,$B296))</f>
        <v/>
      </c>
      <c r="O296" s="0">
        <f>IF($A296="","",SUMIFS($K$1:$K$349,$AS$1:$AS$349,$AS296,$B$1:$B$349,$B296))</f>
        <v/>
      </c>
      <c r="P296" s="0">
        <f>IF($A296="","",SUMIFS($J$1:$J$349,$AS$1:$AS$349,$AS296,$B$1:$B$349,$B296))</f>
        <v/>
      </c>
      <c r="Q296" s="0">
        <f>IF($A296="","",SUMIFS($G$1:$G$349,$AS$1:$AS$349,$AS296,$C$1:$C$349,$C296))</f>
        <v/>
      </c>
      <c r="R296" s="0">
        <f>IF($A296="","",SUMIFS($H$1:$H$349,$AS$1:$AS$349,$AS296,$C$1:$C$349,$C296))</f>
        <v/>
      </c>
      <c r="S296" s="0">
        <f>IF($A296="","",SUMIFS($I$1:$I$349,$AS$1:$AS$349,$AS296,$C$1:$C$349,$C296))</f>
        <v/>
      </c>
      <c r="T296" s="0">
        <f>IF($A296="","",SUMIFS($G$1:$G$349,$AS$1:$AS$349,$AS296))</f>
        <v/>
      </c>
      <c r="U296" s="0">
        <f>IF($A296="","",SUMIFS($H$1:$H$349,$AS$1:$AS$349,$AS296))</f>
        <v/>
      </c>
      <c r="V296" s="0">
        <f>IF($A296="","",SUMIFS($I$1:$I$349,$AS$1:$AS$349,$AS296))</f>
        <v/>
      </c>
      <c r="W296" s="0">
        <f>IF($A296="","",Allocation!CD296)</f>
        <v/>
      </c>
      <c r="X296" s="0">
        <f>IF($A296="","",Allocation!CE296)</f>
        <v/>
      </c>
      <c r="Y296" s="0">
        <f>IF($A296="","",Allocation!CF296)</f>
        <v/>
      </c>
      <c r="Z296" s="0">
        <f>IF($A296="","",Allocation!CG296)</f>
        <v/>
      </c>
      <c r="AA296" s="0">
        <f>IF($A296="","",Allocation!CH296)</f>
        <v/>
      </c>
      <c r="AB296" s="0">
        <f>IF($A296="","",Allocation!CI296)</f>
        <v/>
      </c>
      <c r="AC296" s="0">
        <f>IF($A296="","",IF(Allocation!$N$4="VOL_EFF",$G296,IF(Allocation!$N$4="VOL_CLASS",$H296,$I296)))</f>
        <v/>
      </c>
      <c r="AD296" s="0">
        <f>IF($A296="","",IF(Allocation!$N$4="VOL_EFF",$L296,IF(Allocation!$N$4="VOL_CLASS",$M296,$N296)))</f>
        <v/>
      </c>
      <c r="AE296" s="0">
        <f>IF($A296="","",IF(Allocation!$N$3="VOL_EFF",$L296,IF(Allocation!$N$3="VOL_CLASS",$M296,$N296)))</f>
        <v/>
      </c>
      <c r="AF296" s="0">
        <f>IF($A296="","",IF(Allocation!$N$3="VOL_EFF",$Q296,IF(Allocation!$N$3="VOL_CLASS",$R296,$S296)))</f>
        <v/>
      </c>
      <c r="AG296" s="0">
        <f>IF($A296="","",IF(Allocation!$N$1="VOL_EFF",$Q296,IF(Allocation!$N$1="VOL_CLASS",$R296,$S296)))</f>
        <v/>
      </c>
      <c r="AH296" s="0">
        <f>IF($A296="","",IF(Allocation!$N$1="VOL_EFF",$T296,IF(Allocation!$N$1="VOL_CLASS",$U296,$V296)))</f>
        <v/>
      </c>
      <c r="AI296" s="0">
        <f>IF($A296="","",$W296*IFERROR($K296/$O296,0))</f>
        <v/>
      </c>
      <c r="AJ296" s="0">
        <f>IF($A296="","",$X296*IFERROR($K296/$O296,0))</f>
        <v/>
      </c>
      <c r="AK296" s="0">
        <f>IF($A296="","",$Y296*IFERROR($G296/$L296,0)+$Z296*IFERROR($J296/$P296,0))</f>
        <v/>
      </c>
      <c r="AL296" s="0">
        <f>IF($A296="","",$AA296*IFERROR($AC296/$AD296,0))</f>
        <v/>
      </c>
      <c r="AM296" s="0">
        <f>IF($A296="","",$AB296*IFERROR($AG296/$AH296,0)*IFERROR($AE296/$AF296,0)*IFERROR($AC296/$AD296,0))</f>
        <v/>
      </c>
      <c r="AN296" s="0">
        <f>IF($A296="","",$I296-($AI296+$AJ296+$AK296+$AL296+$AM296+$AR296))</f>
        <v/>
      </c>
      <c r="AO296" s="0">
        <f>IF($A296="","",Allocation!CJ296)</f>
        <v/>
      </c>
      <c r="AP296" s="0">
        <f>IF($A296="","",IF(Allocation!$N$2="VOL_EFF",$Q296,IF(Allocation!$N$2="VOL_CLASS",$R296,$S296)))</f>
        <v/>
      </c>
      <c r="AQ296" s="0">
        <f>IF($A296="","",IF(Allocation!$N$2="VOL_EFF",$T296,IF(Allocation!$N$2="VOL_CLASS",$U296,$V296)))</f>
        <v/>
      </c>
      <c r="AR296" s="0">
        <f>IF($A296="","",$AO296*IFERROR($AP296/$AQ296,0)*IFERROR($AE296/$AF296,0)*IFERROR($AC296/$AD296,0))</f>
        <v/>
      </c>
      <c r="AS296" s="0">
        <f>IF($A296="","",$A296&amp;"|"&amp;Allocation!BG296)</f>
        <v/>
      </c>
    </row>
    <row r="297" ht="14.4975" customHeight="1" s="64">
      <c r="A297" s="0">
        <f>IF(Allocation!BI297="","",Allocation!BI297)</f>
        <v/>
      </c>
      <c r="B297" s="0">
        <f>IF(Allocation!BJ297="","",Allocation!BJ297)</f>
        <v/>
      </c>
      <c r="C297" s="0">
        <f>IF(Allocation!BK297="","",Allocation!BK297)</f>
        <v/>
      </c>
      <c r="D297" s="0">
        <f>IF(Allocation!BL297="","",Allocation!BL297)</f>
        <v/>
      </c>
      <c r="E297" s="0">
        <f>IF(Allocation!BM297="","",Allocation!BM297)</f>
        <v/>
      </c>
      <c r="F297" s="0">
        <f>IF(Allocation!BN297="","",Allocation!BN297)</f>
        <v/>
      </c>
      <c r="G297" s="0">
        <f>IF(Allocation!BO297="","",Allocation!BO297)</f>
        <v/>
      </c>
      <c r="H297" s="0">
        <f>IF(Allocation!BP297="","",Allocation!BP297)</f>
        <v/>
      </c>
      <c r="I297" s="0">
        <f>IF(Allocation!BQ297="","",Allocation!BQ297)</f>
        <v/>
      </c>
      <c r="J297" s="0">
        <f>IF(Allocation!CC297="","",Allocation!CC297)</f>
        <v/>
      </c>
      <c r="K297" s="0">
        <f>IF($A297="","",$H297*IF(AND(LEFT($D297,3)="BAC",$F297="INIT"),600,IF(LEFT($D297,3)="BAC",480,IF(AND(LEFT($D297,3)="MAS",$F297="INIT"),520,IF(LEFT($D297,3)="MAS",420,IF($F297="INIT",1000,700))))))</f>
        <v/>
      </c>
      <c r="L297" s="0">
        <f>IF($A297="","",SUMIFS($G$1:$G$349,$AS$1:$AS$349,$AS297,$B$1:$B$349,$B297))</f>
        <v/>
      </c>
      <c r="M297" s="0">
        <f>IF($A297="","",SUMIFS($H$1:$H$349,$AS$1:$AS$349,$AS297,$B$1:$B$349,$B297))</f>
        <v/>
      </c>
      <c r="N297" s="0">
        <f>IF($A297="","",SUMIFS($I$1:$I$349,$AS$1:$AS$349,$AS297,$B$1:$B$349,$B297))</f>
        <v/>
      </c>
      <c r="O297" s="0">
        <f>IF($A297="","",SUMIFS($K$1:$K$349,$AS$1:$AS$349,$AS297,$B$1:$B$349,$B297))</f>
        <v/>
      </c>
      <c r="P297" s="0">
        <f>IF($A297="","",SUMIFS($J$1:$J$349,$AS$1:$AS$349,$AS297,$B$1:$B$349,$B297))</f>
        <v/>
      </c>
      <c r="Q297" s="0">
        <f>IF($A297="","",SUMIFS($G$1:$G$349,$AS$1:$AS$349,$AS297,$C$1:$C$349,$C297))</f>
        <v/>
      </c>
      <c r="R297" s="0">
        <f>IF($A297="","",SUMIFS($H$1:$H$349,$AS$1:$AS$349,$AS297,$C$1:$C$349,$C297))</f>
        <v/>
      </c>
      <c r="S297" s="0">
        <f>IF($A297="","",SUMIFS($I$1:$I$349,$AS$1:$AS$349,$AS297,$C$1:$C$349,$C297))</f>
        <v/>
      </c>
      <c r="T297" s="0">
        <f>IF($A297="","",SUMIFS($G$1:$G$349,$AS$1:$AS$349,$AS297))</f>
        <v/>
      </c>
      <c r="U297" s="0">
        <f>IF($A297="","",SUMIFS($H$1:$H$349,$AS$1:$AS$349,$AS297))</f>
        <v/>
      </c>
      <c r="V297" s="0">
        <f>IF($A297="","",SUMIFS($I$1:$I$349,$AS$1:$AS$349,$AS297))</f>
        <v/>
      </c>
      <c r="W297" s="0">
        <f>IF($A297="","",Allocation!CD297)</f>
        <v/>
      </c>
      <c r="X297" s="0">
        <f>IF($A297="","",Allocation!CE297)</f>
        <v/>
      </c>
      <c r="Y297" s="0">
        <f>IF($A297="","",Allocation!CF297)</f>
        <v/>
      </c>
      <c r="Z297" s="0">
        <f>IF($A297="","",Allocation!CG297)</f>
        <v/>
      </c>
      <c r="AA297" s="0">
        <f>IF($A297="","",Allocation!CH297)</f>
        <v/>
      </c>
      <c r="AB297" s="0">
        <f>IF($A297="","",Allocation!CI297)</f>
        <v/>
      </c>
      <c r="AC297" s="0">
        <f>IF($A297="","",IF(Allocation!$N$4="VOL_EFF",$G297,IF(Allocation!$N$4="VOL_CLASS",$H297,$I297)))</f>
        <v/>
      </c>
      <c r="AD297" s="0">
        <f>IF($A297="","",IF(Allocation!$N$4="VOL_EFF",$L297,IF(Allocation!$N$4="VOL_CLASS",$M297,$N297)))</f>
        <v/>
      </c>
      <c r="AE297" s="0">
        <f>IF($A297="","",IF(Allocation!$N$3="VOL_EFF",$L297,IF(Allocation!$N$3="VOL_CLASS",$M297,$N297)))</f>
        <v/>
      </c>
      <c r="AF297" s="0">
        <f>IF($A297="","",IF(Allocation!$N$3="VOL_EFF",$Q297,IF(Allocation!$N$3="VOL_CLASS",$R297,$S297)))</f>
        <v/>
      </c>
      <c r="AG297" s="0">
        <f>IF($A297="","",IF(Allocation!$N$1="VOL_EFF",$Q297,IF(Allocation!$N$1="VOL_CLASS",$R297,$S297)))</f>
        <v/>
      </c>
      <c r="AH297" s="0">
        <f>IF($A297="","",IF(Allocation!$N$1="VOL_EFF",$T297,IF(Allocation!$N$1="VOL_CLASS",$U297,$V297)))</f>
        <v/>
      </c>
      <c r="AI297" s="0">
        <f>IF($A297="","",$W297*IFERROR($K297/$O297,0))</f>
        <v/>
      </c>
      <c r="AJ297" s="0">
        <f>IF($A297="","",$X297*IFERROR($K297/$O297,0))</f>
        <v/>
      </c>
      <c r="AK297" s="0">
        <f>IF($A297="","",$Y297*IFERROR($G297/$L297,0)+$Z297*IFERROR($J297/$P297,0))</f>
        <v/>
      </c>
      <c r="AL297" s="0">
        <f>IF($A297="","",$AA297*IFERROR($AC297/$AD297,0))</f>
        <v/>
      </c>
      <c r="AM297" s="0">
        <f>IF($A297="","",$AB297*IFERROR($AG297/$AH297,0)*IFERROR($AE297/$AF297,0)*IFERROR($AC297/$AD297,0))</f>
        <v/>
      </c>
      <c r="AN297" s="0">
        <f>IF($A297="","",$I297-($AI297+$AJ297+$AK297+$AL297+$AM297+$AR297))</f>
        <v/>
      </c>
      <c r="AO297" s="0">
        <f>IF($A297="","",Allocation!CJ297)</f>
        <v/>
      </c>
      <c r="AP297" s="0">
        <f>IF($A297="","",IF(Allocation!$N$2="VOL_EFF",$Q297,IF(Allocation!$N$2="VOL_CLASS",$R297,$S297)))</f>
        <v/>
      </c>
      <c r="AQ297" s="0">
        <f>IF($A297="","",IF(Allocation!$N$2="VOL_EFF",$T297,IF(Allocation!$N$2="VOL_CLASS",$U297,$V297)))</f>
        <v/>
      </c>
      <c r="AR297" s="0">
        <f>IF($A297="","",$AO297*IFERROR($AP297/$AQ297,0)*IFERROR($AE297/$AF297,0)*IFERROR($AC297/$AD297,0))</f>
        <v/>
      </c>
      <c r="AS297" s="0">
        <f>IF($A297="","",$A297&amp;"|"&amp;Allocation!BG297)</f>
        <v/>
      </c>
    </row>
    <row r="298" ht="14.4975" customHeight="1" s="64">
      <c r="A298" s="0">
        <f>IF(Allocation!BI298="","",Allocation!BI298)</f>
        <v/>
      </c>
      <c r="B298" s="0">
        <f>IF(Allocation!BJ298="","",Allocation!BJ298)</f>
        <v/>
      </c>
      <c r="C298" s="0">
        <f>IF(Allocation!BK298="","",Allocation!BK298)</f>
        <v/>
      </c>
      <c r="D298" s="0">
        <f>IF(Allocation!BL298="","",Allocation!BL298)</f>
        <v/>
      </c>
      <c r="E298" s="0">
        <f>IF(Allocation!BM298="","",Allocation!BM298)</f>
        <v/>
      </c>
      <c r="F298" s="0">
        <f>IF(Allocation!BN298="","",Allocation!BN298)</f>
        <v/>
      </c>
      <c r="G298" s="0">
        <f>IF(Allocation!BO298="","",Allocation!BO298)</f>
        <v/>
      </c>
      <c r="H298" s="0">
        <f>IF(Allocation!BP298="","",Allocation!BP298)</f>
        <v/>
      </c>
      <c r="I298" s="0">
        <f>IF(Allocation!BQ298="","",Allocation!BQ298)</f>
        <v/>
      </c>
      <c r="J298" s="0">
        <f>IF(Allocation!CC298="","",Allocation!CC298)</f>
        <v/>
      </c>
      <c r="K298" s="0">
        <f>IF($A298="","",$H298*IF(AND(LEFT($D298,3)="BAC",$F298="INIT"),600,IF(LEFT($D298,3)="BAC",480,IF(AND(LEFT($D298,3)="MAS",$F298="INIT"),520,IF(LEFT($D298,3)="MAS",420,IF($F298="INIT",1000,700))))))</f>
        <v/>
      </c>
      <c r="L298" s="0">
        <f>IF($A298="","",SUMIFS($G$1:$G$349,$AS$1:$AS$349,$AS298,$B$1:$B$349,$B298))</f>
        <v/>
      </c>
      <c r="M298" s="0">
        <f>IF($A298="","",SUMIFS($H$1:$H$349,$AS$1:$AS$349,$AS298,$B$1:$B$349,$B298))</f>
        <v/>
      </c>
      <c r="N298" s="0">
        <f>IF($A298="","",SUMIFS($I$1:$I$349,$AS$1:$AS$349,$AS298,$B$1:$B$349,$B298))</f>
        <v/>
      </c>
      <c r="O298" s="0">
        <f>IF($A298="","",SUMIFS($K$1:$K$349,$AS$1:$AS$349,$AS298,$B$1:$B$349,$B298))</f>
        <v/>
      </c>
      <c r="P298" s="0">
        <f>IF($A298="","",SUMIFS($J$1:$J$349,$AS$1:$AS$349,$AS298,$B$1:$B$349,$B298))</f>
        <v/>
      </c>
      <c r="Q298" s="0">
        <f>IF($A298="","",SUMIFS($G$1:$G$349,$AS$1:$AS$349,$AS298,$C$1:$C$349,$C298))</f>
        <v/>
      </c>
      <c r="R298" s="0">
        <f>IF($A298="","",SUMIFS($H$1:$H$349,$AS$1:$AS$349,$AS298,$C$1:$C$349,$C298))</f>
        <v/>
      </c>
      <c r="S298" s="0">
        <f>IF($A298="","",SUMIFS($I$1:$I$349,$AS$1:$AS$349,$AS298,$C$1:$C$349,$C298))</f>
        <v/>
      </c>
      <c r="T298" s="0">
        <f>IF($A298="","",SUMIFS($G$1:$G$349,$AS$1:$AS$349,$AS298))</f>
        <v/>
      </c>
      <c r="U298" s="0">
        <f>IF($A298="","",SUMIFS($H$1:$H$349,$AS$1:$AS$349,$AS298))</f>
        <v/>
      </c>
      <c r="V298" s="0">
        <f>IF($A298="","",SUMIFS($I$1:$I$349,$AS$1:$AS$349,$AS298))</f>
        <v/>
      </c>
      <c r="W298" s="0">
        <f>IF($A298="","",Allocation!CD298)</f>
        <v/>
      </c>
      <c r="X298" s="0">
        <f>IF($A298="","",Allocation!CE298)</f>
        <v/>
      </c>
      <c r="Y298" s="0">
        <f>IF($A298="","",Allocation!CF298)</f>
        <v/>
      </c>
      <c r="Z298" s="0">
        <f>IF($A298="","",Allocation!CG298)</f>
        <v/>
      </c>
      <c r="AA298" s="0">
        <f>IF($A298="","",Allocation!CH298)</f>
        <v/>
      </c>
      <c r="AB298" s="0">
        <f>IF($A298="","",Allocation!CI298)</f>
        <v/>
      </c>
      <c r="AC298" s="0">
        <f>IF($A298="","",IF(Allocation!$N$4="VOL_EFF",$G298,IF(Allocation!$N$4="VOL_CLASS",$H298,$I298)))</f>
        <v/>
      </c>
      <c r="AD298" s="0">
        <f>IF($A298="","",IF(Allocation!$N$4="VOL_EFF",$L298,IF(Allocation!$N$4="VOL_CLASS",$M298,$N298)))</f>
        <v/>
      </c>
      <c r="AE298" s="0">
        <f>IF($A298="","",IF(Allocation!$N$3="VOL_EFF",$L298,IF(Allocation!$N$3="VOL_CLASS",$M298,$N298)))</f>
        <v/>
      </c>
      <c r="AF298" s="0">
        <f>IF($A298="","",IF(Allocation!$N$3="VOL_EFF",$Q298,IF(Allocation!$N$3="VOL_CLASS",$R298,$S298)))</f>
        <v/>
      </c>
      <c r="AG298" s="0">
        <f>IF($A298="","",IF(Allocation!$N$1="VOL_EFF",$Q298,IF(Allocation!$N$1="VOL_CLASS",$R298,$S298)))</f>
        <v/>
      </c>
      <c r="AH298" s="0">
        <f>IF($A298="","",IF(Allocation!$N$1="VOL_EFF",$T298,IF(Allocation!$N$1="VOL_CLASS",$U298,$V298)))</f>
        <v/>
      </c>
      <c r="AI298" s="0">
        <f>IF($A298="","",$W298*IFERROR($K298/$O298,0))</f>
        <v/>
      </c>
      <c r="AJ298" s="0">
        <f>IF($A298="","",$X298*IFERROR($K298/$O298,0))</f>
        <v/>
      </c>
      <c r="AK298" s="0">
        <f>IF($A298="","",$Y298*IFERROR($G298/$L298,0)+$Z298*IFERROR($J298/$P298,0))</f>
        <v/>
      </c>
      <c r="AL298" s="0">
        <f>IF($A298="","",$AA298*IFERROR($AC298/$AD298,0))</f>
        <v/>
      </c>
      <c r="AM298" s="0">
        <f>IF($A298="","",$AB298*IFERROR($AG298/$AH298,0)*IFERROR($AE298/$AF298,0)*IFERROR($AC298/$AD298,0))</f>
        <v/>
      </c>
      <c r="AN298" s="0">
        <f>IF($A298="","",$I298-($AI298+$AJ298+$AK298+$AL298+$AM298+$AR298))</f>
        <v/>
      </c>
      <c r="AO298" s="0">
        <f>IF($A298="","",Allocation!CJ298)</f>
        <v/>
      </c>
      <c r="AP298" s="0">
        <f>IF($A298="","",IF(Allocation!$N$2="VOL_EFF",$Q298,IF(Allocation!$N$2="VOL_CLASS",$R298,$S298)))</f>
        <v/>
      </c>
      <c r="AQ298" s="0">
        <f>IF($A298="","",IF(Allocation!$N$2="VOL_EFF",$T298,IF(Allocation!$N$2="VOL_CLASS",$U298,$V298)))</f>
        <v/>
      </c>
      <c r="AR298" s="0">
        <f>IF($A298="","",$AO298*IFERROR($AP298/$AQ298,0)*IFERROR($AE298/$AF298,0)*IFERROR($AC298/$AD298,0))</f>
        <v/>
      </c>
      <c r="AS298" s="0">
        <f>IF($A298="","",$A298&amp;"|"&amp;Allocation!BG298)</f>
        <v/>
      </c>
    </row>
    <row r="299" ht="14.4975" customHeight="1" s="64">
      <c r="A299" s="0">
        <f>IF(Allocation!BI299="","",Allocation!BI299)</f>
        <v/>
      </c>
      <c r="B299" s="0">
        <f>IF(Allocation!BJ299="","",Allocation!BJ299)</f>
        <v/>
      </c>
      <c r="C299" s="0">
        <f>IF(Allocation!BK299="","",Allocation!BK299)</f>
        <v/>
      </c>
      <c r="D299" s="0">
        <f>IF(Allocation!BL299="","",Allocation!BL299)</f>
        <v/>
      </c>
      <c r="E299" s="0">
        <f>IF(Allocation!BM299="","",Allocation!BM299)</f>
        <v/>
      </c>
      <c r="F299" s="0">
        <f>IF(Allocation!BN299="","",Allocation!BN299)</f>
        <v/>
      </c>
      <c r="G299" s="0">
        <f>IF(Allocation!BO299="","",Allocation!BO299)</f>
        <v/>
      </c>
      <c r="H299" s="0">
        <f>IF(Allocation!BP299="","",Allocation!BP299)</f>
        <v/>
      </c>
      <c r="I299" s="0">
        <f>IF(Allocation!BQ299="","",Allocation!BQ299)</f>
        <v/>
      </c>
      <c r="J299" s="0">
        <f>IF(Allocation!CC299="","",Allocation!CC299)</f>
        <v/>
      </c>
      <c r="K299" s="0">
        <f>IF($A299="","",$H299*IF(AND(LEFT($D299,3)="BAC",$F299="INIT"),600,IF(LEFT($D299,3)="BAC",480,IF(AND(LEFT($D299,3)="MAS",$F299="INIT"),520,IF(LEFT($D299,3)="MAS",420,IF($F299="INIT",1000,700))))))</f>
        <v/>
      </c>
      <c r="L299" s="0">
        <f>IF($A299="","",SUMIFS($G$1:$G$349,$AS$1:$AS$349,$AS299,$B$1:$B$349,$B299))</f>
        <v/>
      </c>
      <c r="M299" s="0">
        <f>IF($A299="","",SUMIFS($H$1:$H$349,$AS$1:$AS$349,$AS299,$B$1:$B$349,$B299))</f>
        <v/>
      </c>
      <c r="N299" s="0">
        <f>IF($A299="","",SUMIFS($I$1:$I$349,$AS$1:$AS$349,$AS299,$B$1:$B$349,$B299))</f>
        <v/>
      </c>
      <c r="O299" s="0">
        <f>IF($A299="","",SUMIFS($K$1:$K$349,$AS$1:$AS$349,$AS299,$B$1:$B$349,$B299))</f>
        <v/>
      </c>
      <c r="P299" s="0">
        <f>IF($A299="","",SUMIFS($J$1:$J$349,$AS$1:$AS$349,$AS299,$B$1:$B$349,$B299))</f>
        <v/>
      </c>
      <c r="Q299" s="0">
        <f>IF($A299="","",SUMIFS($G$1:$G$349,$AS$1:$AS$349,$AS299,$C$1:$C$349,$C299))</f>
        <v/>
      </c>
      <c r="R299" s="0">
        <f>IF($A299="","",SUMIFS($H$1:$H$349,$AS$1:$AS$349,$AS299,$C$1:$C$349,$C299))</f>
        <v/>
      </c>
      <c r="S299" s="0">
        <f>IF($A299="","",SUMIFS($I$1:$I$349,$AS$1:$AS$349,$AS299,$C$1:$C$349,$C299))</f>
        <v/>
      </c>
      <c r="T299" s="0">
        <f>IF($A299="","",SUMIFS($G$1:$G$349,$AS$1:$AS$349,$AS299))</f>
        <v/>
      </c>
      <c r="U299" s="0">
        <f>IF($A299="","",SUMIFS($H$1:$H$349,$AS$1:$AS$349,$AS299))</f>
        <v/>
      </c>
      <c r="V299" s="0">
        <f>IF($A299="","",SUMIFS($I$1:$I$349,$AS$1:$AS$349,$AS299))</f>
        <v/>
      </c>
      <c r="W299" s="0">
        <f>IF($A299="","",Allocation!CD299)</f>
        <v/>
      </c>
      <c r="X299" s="0">
        <f>IF($A299="","",Allocation!CE299)</f>
        <v/>
      </c>
      <c r="Y299" s="0">
        <f>IF($A299="","",Allocation!CF299)</f>
        <v/>
      </c>
      <c r="Z299" s="0">
        <f>IF($A299="","",Allocation!CG299)</f>
        <v/>
      </c>
      <c r="AA299" s="0">
        <f>IF($A299="","",Allocation!CH299)</f>
        <v/>
      </c>
      <c r="AB299" s="0">
        <f>IF($A299="","",Allocation!CI299)</f>
        <v/>
      </c>
      <c r="AC299" s="0">
        <f>IF($A299="","",IF(Allocation!$N$4="VOL_EFF",$G299,IF(Allocation!$N$4="VOL_CLASS",$H299,$I299)))</f>
        <v/>
      </c>
      <c r="AD299" s="0">
        <f>IF($A299="","",IF(Allocation!$N$4="VOL_EFF",$L299,IF(Allocation!$N$4="VOL_CLASS",$M299,$N299)))</f>
        <v/>
      </c>
      <c r="AE299" s="0">
        <f>IF($A299="","",IF(Allocation!$N$3="VOL_EFF",$L299,IF(Allocation!$N$3="VOL_CLASS",$M299,$N299)))</f>
        <v/>
      </c>
      <c r="AF299" s="0">
        <f>IF($A299="","",IF(Allocation!$N$3="VOL_EFF",$Q299,IF(Allocation!$N$3="VOL_CLASS",$R299,$S299)))</f>
        <v/>
      </c>
      <c r="AG299" s="0">
        <f>IF($A299="","",IF(Allocation!$N$1="VOL_EFF",$Q299,IF(Allocation!$N$1="VOL_CLASS",$R299,$S299)))</f>
        <v/>
      </c>
      <c r="AH299" s="0">
        <f>IF($A299="","",IF(Allocation!$N$1="VOL_EFF",$T299,IF(Allocation!$N$1="VOL_CLASS",$U299,$V299)))</f>
        <v/>
      </c>
      <c r="AI299" s="0">
        <f>IF($A299="","",$W299*IFERROR($K299/$O299,0))</f>
        <v/>
      </c>
      <c r="AJ299" s="0">
        <f>IF($A299="","",$X299*IFERROR($K299/$O299,0))</f>
        <v/>
      </c>
      <c r="AK299" s="0">
        <f>IF($A299="","",$Y299*IFERROR($G299/$L299,0)+$Z299*IFERROR($J299/$P299,0))</f>
        <v/>
      </c>
      <c r="AL299" s="0">
        <f>IF($A299="","",$AA299*IFERROR($AC299/$AD299,0))</f>
        <v/>
      </c>
      <c r="AM299" s="0">
        <f>IF($A299="","",$AB299*IFERROR($AG299/$AH299,0)*IFERROR($AE299/$AF299,0)*IFERROR($AC299/$AD299,0))</f>
        <v/>
      </c>
      <c r="AN299" s="0">
        <f>IF($A299="","",$I299-($AI299+$AJ299+$AK299+$AL299+$AM299+$AR299))</f>
        <v/>
      </c>
      <c r="AO299" s="0">
        <f>IF($A299="","",Allocation!CJ299)</f>
        <v/>
      </c>
      <c r="AP299" s="0">
        <f>IF($A299="","",IF(Allocation!$N$2="VOL_EFF",$Q299,IF(Allocation!$N$2="VOL_CLASS",$R299,$S299)))</f>
        <v/>
      </c>
      <c r="AQ299" s="0">
        <f>IF($A299="","",IF(Allocation!$N$2="VOL_EFF",$T299,IF(Allocation!$N$2="VOL_CLASS",$U299,$V299)))</f>
        <v/>
      </c>
      <c r="AR299" s="0">
        <f>IF($A299="","",$AO299*IFERROR($AP299/$AQ299,0)*IFERROR($AE299/$AF299,0)*IFERROR($AC299/$AD299,0))</f>
        <v/>
      </c>
      <c r="AS299" s="0">
        <f>IF($A299="","",$A299&amp;"|"&amp;Allocation!BG299)</f>
        <v/>
      </c>
    </row>
    <row r="300" ht="14.4975" customHeight="1" s="64">
      <c r="A300" s="0">
        <f>IF(Allocation!BI300="","",Allocation!BI300)</f>
        <v/>
      </c>
      <c r="B300" s="0">
        <f>IF(Allocation!BJ300="","",Allocation!BJ300)</f>
        <v/>
      </c>
      <c r="C300" s="0">
        <f>IF(Allocation!BK300="","",Allocation!BK300)</f>
        <v/>
      </c>
      <c r="D300" s="0">
        <f>IF(Allocation!BL300="","",Allocation!BL300)</f>
        <v/>
      </c>
      <c r="E300" s="0">
        <f>IF(Allocation!BM300="","",Allocation!BM300)</f>
        <v/>
      </c>
      <c r="F300" s="0">
        <f>IF(Allocation!BN300="","",Allocation!BN300)</f>
        <v/>
      </c>
      <c r="G300" s="0">
        <f>IF(Allocation!BO300="","",Allocation!BO300)</f>
        <v/>
      </c>
      <c r="H300" s="0">
        <f>IF(Allocation!BP300="","",Allocation!BP300)</f>
        <v/>
      </c>
      <c r="I300" s="0">
        <f>IF(Allocation!BQ300="","",Allocation!BQ300)</f>
        <v/>
      </c>
      <c r="J300" s="0">
        <f>IF(Allocation!CC300="","",Allocation!CC300)</f>
        <v/>
      </c>
      <c r="K300" s="0">
        <f>IF($A300="","",$H300*IF(AND(LEFT($D300,3)="BAC",$F300="INIT"),600,IF(LEFT($D300,3)="BAC",480,IF(AND(LEFT($D300,3)="MAS",$F300="INIT"),520,IF(LEFT($D300,3)="MAS",420,IF($F300="INIT",1000,700))))))</f>
        <v/>
      </c>
      <c r="L300" s="0">
        <f>IF($A300="","",SUMIFS($G$1:$G$349,$AS$1:$AS$349,$AS300,$B$1:$B$349,$B300))</f>
        <v/>
      </c>
      <c r="M300" s="0">
        <f>IF($A300="","",SUMIFS($H$1:$H$349,$AS$1:$AS$349,$AS300,$B$1:$B$349,$B300))</f>
        <v/>
      </c>
      <c r="N300" s="0">
        <f>IF($A300="","",SUMIFS($I$1:$I$349,$AS$1:$AS$349,$AS300,$B$1:$B$349,$B300))</f>
        <v/>
      </c>
      <c r="O300" s="0">
        <f>IF($A300="","",SUMIFS($K$1:$K$349,$AS$1:$AS$349,$AS300,$B$1:$B$349,$B300))</f>
        <v/>
      </c>
      <c r="P300" s="0">
        <f>IF($A300="","",SUMIFS($J$1:$J$349,$AS$1:$AS$349,$AS300,$B$1:$B$349,$B300))</f>
        <v/>
      </c>
      <c r="Q300" s="0">
        <f>IF($A300="","",SUMIFS($G$1:$G$349,$AS$1:$AS$349,$AS300,$C$1:$C$349,$C300))</f>
        <v/>
      </c>
      <c r="R300" s="0">
        <f>IF($A300="","",SUMIFS($H$1:$H$349,$AS$1:$AS$349,$AS300,$C$1:$C$349,$C300))</f>
        <v/>
      </c>
      <c r="S300" s="0">
        <f>IF($A300="","",SUMIFS($I$1:$I$349,$AS$1:$AS$349,$AS300,$C$1:$C$349,$C300))</f>
        <v/>
      </c>
      <c r="T300" s="0">
        <f>IF($A300="","",SUMIFS($G$1:$G$349,$AS$1:$AS$349,$AS300))</f>
        <v/>
      </c>
      <c r="U300" s="0">
        <f>IF($A300="","",SUMIFS($H$1:$H$349,$AS$1:$AS$349,$AS300))</f>
        <v/>
      </c>
      <c r="V300" s="0">
        <f>IF($A300="","",SUMIFS($I$1:$I$349,$AS$1:$AS$349,$AS300))</f>
        <v/>
      </c>
      <c r="W300" s="0">
        <f>IF($A300="","",Allocation!CD300)</f>
        <v/>
      </c>
      <c r="X300" s="0">
        <f>IF($A300="","",Allocation!CE300)</f>
        <v/>
      </c>
      <c r="Y300" s="0">
        <f>IF($A300="","",Allocation!CF300)</f>
        <v/>
      </c>
      <c r="Z300" s="0">
        <f>IF($A300="","",Allocation!CG300)</f>
        <v/>
      </c>
      <c r="AA300" s="0">
        <f>IF($A300="","",Allocation!CH300)</f>
        <v/>
      </c>
      <c r="AB300" s="0">
        <f>IF($A300="","",Allocation!CI300)</f>
        <v/>
      </c>
      <c r="AC300" s="0">
        <f>IF($A300="","",IF(Allocation!$N$4="VOL_EFF",$G300,IF(Allocation!$N$4="VOL_CLASS",$H300,$I300)))</f>
        <v/>
      </c>
      <c r="AD300" s="0">
        <f>IF($A300="","",IF(Allocation!$N$4="VOL_EFF",$L300,IF(Allocation!$N$4="VOL_CLASS",$M300,$N300)))</f>
        <v/>
      </c>
      <c r="AE300" s="0">
        <f>IF($A300="","",IF(Allocation!$N$3="VOL_EFF",$L300,IF(Allocation!$N$3="VOL_CLASS",$M300,$N300)))</f>
        <v/>
      </c>
      <c r="AF300" s="0">
        <f>IF($A300="","",IF(Allocation!$N$3="VOL_EFF",$Q300,IF(Allocation!$N$3="VOL_CLASS",$R300,$S300)))</f>
        <v/>
      </c>
      <c r="AG300" s="0">
        <f>IF($A300="","",IF(Allocation!$N$1="VOL_EFF",$Q300,IF(Allocation!$N$1="VOL_CLASS",$R300,$S300)))</f>
        <v/>
      </c>
      <c r="AH300" s="0">
        <f>IF($A300="","",IF(Allocation!$N$1="VOL_EFF",$T300,IF(Allocation!$N$1="VOL_CLASS",$U300,$V300)))</f>
        <v/>
      </c>
      <c r="AI300" s="0">
        <f>IF($A300="","",$W300*IFERROR($K300/$O300,0))</f>
        <v/>
      </c>
      <c r="AJ300" s="0">
        <f>IF($A300="","",$X300*IFERROR($K300/$O300,0))</f>
        <v/>
      </c>
      <c r="AK300" s="0">
        <f>IF($A300="","",$Y300*IFERROR($G300/$L300,0)+$Z300*IFERROR($J300/$P300,0))</f>
        <v/>
      </c>
      <c r="AL300" s="0">
        <f>IF($A300="","",$AA300*IFERROR($AC300/$AD300,0))</f>
        <v/>
      </c>
      <c r="AM300" s="0">
        <f>IF($A300="","",$AB300*IFERROR($AG300/$AH300,0)*IFERROR($AE300/$AF300,0)*IFERROR($AC300/$AD300,0))</f>
        <v/>
      </c>
      <c r="AN300" s="0">
        <f>IF($A300="","",$I300-($AI300+$AJ300+$AK300+$AL300+$AM300+$AR300))</f>
        <v/>
      </c>
      <c r="AO300" s="0">
        <f>IF($A300="","",Allocation!CJ300)</f>
        <v/>
      </c>
      <c r="AP300" s="0">
        <f>IF($A300="","",IF(Allocation!$N$2="VOL_EFF",$Q300,IF(Allocation!$N$2="VOL_CLASS",$R300,$S300)))</f>
        <v/>
      </c>
      <c r="AQ300" s="0">
        <f>IF($A300="","",IF(Allocation!$N$2="VOL_EFF",$T300,IF(Allocation!$N$2="VOL_CLASS",$U300,$V300)))</f>
        <v/>
      </c>
      <c r="AR300" s="0">
        <f>IF($A300="","",$AO300*IFERROR($AP300/$AQ300,0)*IFERROR($AE300/$AF300,0)*IFERROR($AC300/$AD300,0))</f>
        <v/>
      </c>
      <c r="AS300" s="0">
        <f>IF($A300="","",$A300&amp;"|"&amp;Allocation!BG300)</f>
        <v/>
      </c>
    </row>
    <row r="301" ht="14.4975" customHeight="1" s="64">
      <c r="A301" s="0">
        <f>IF(Allocation!BI301="","",Allocation!BI301)</f>
        <v/>
      </c>
      <c r="B301" s="0">
        <f>IF(Allocation!BJ301="","",Allocation!BJ301)</f>
        <v/>
      </c>
      <c r="C301" s="0">
        <f>IF(Allocation!BK301="","",Allocation!BK301)</f>
        <v/>
      </c>
      <c r="D301" s="0">
        <f>IF(Allocation!BL301="","",Allocation!BL301)</f>
        <v/>
      </c>
      <c r="E301" s="0">
        <f>IF(Allocation!BM301="","",Allocation!BM301)</f>
        <v/>
      </c>
      <c r="F301" s="0">
        <f>IF(Allocation!BN301="","",Allocation!BN301)</f>
        <v/>
      </c>
      <c r="G301" s="0">
        <f>IF(Allocation!BO301="","",Allocation!BO301)</f>
        <v/>
      </c>
      <c r="H301" s="0">
        <f>IF(Allocation!BP301="","",Allocation!BP301)</f>
        <v/>
      </c>
      <c r="I301" s="0">
        <f>IF(Allocation!BQ301="","",Allocation!BQ301)</f>
        <v/>
      </c>
      <c r="J301" s="0">
        <f>IF(Allocation!CC301="","",Allocation!CC301)</f>
        <v/>
      </c>
      <c r="K301" s="0">
        <f>IF($A301="","",$H301*IF(AND(LEFT($D301,3)="BAC",$F301="INIT"),600,IF(LEFT($D301,3)="BAC",480,IF(AND(LEFT($D301,3)="MAS",$F301="INIT"),520,IF(LEFT($D301,3)="MAS",420,IF($F301="INIT",1000,700))))))</f>
        <v/>
      </c>
      <c r="L301" s="0">
        <f>IF($A301="","",SUMIFS($G$1:$G$349,$AS$1:$AS$349,$AS301,$B$1:$B$349,$B301))</f>
        <v/>
      </c>
      <c r="M301" s="0">
        <f>IF($A301="","",SUMIFS($H$1:$H$349,$AS$1:$AS$349,$AS301,$B$1:$B$349,$B301))</f>
        <v/>
      </c>
      <c r="N301" s="0">
        <f>IF($A301="","",SUMIFS($I$1:$I$349,$AS$1:$AS$349,$AS301,$B$1:$B$349,$B301))</f>
        <v/>
      </c>
      <c r="O301" s="0">
        <f>IF($A301="","",SUMIFS($K$1:$K$349,$AS$1:$AS$349,$AS301,$B$1:$B$349,$B301))</f>
        <v/>
      </c>
      <c r="P301" s="0">
        <f>IF($A301="","",SUMIFS($J$1:$J$349,$AS$1:$AS$349,$AS301,$B$1:$B$349,$B301))</f>
        <v/>
      </c>
      <c r="Q301" s="0">
        <f>IF($A301="","",SUMIFS($G$1:$G$349,$AS$1:$AS$349,$AS301,$C$1:$C$349,$C301))</f>
        <v/>
      </c>
      <c r="R301" s="0">
        <f>IF($A301="","",SUMIFS($H$1:$H$349,$AS$1:$AS$349,$AS301,$C$1:$C$349,$C301))</f>
        <v/>
      </c>
      <c r="S301" s="0">
        <f>IF($A301="","",SUMIFS($I$1:$I$349,$AS$1:$AS$349,$AS301,$C$1:$C$349,$C301))</f>
        <v/>
      </c>
      <c r="T301" s="0">
        <f>IF($A301="","",SUMIFS($G$1:$G$349,$AS$1:$AS$349,$AS301))</f>
        <v/>
      </c>
      <c r="U301" s="0">
        <f>IF($A301="","",SUMIFS($H$1:$H$349,$AS$1:$AS$349,$AS301))</f>
        <v/>
      </c>
      <c r="V301" s="0">
        <f>IF($A301="","",SUMIFS($I$1:$I$349,$AS$1:$AS$349,$AS301))</f>
        <v/>
      </c>
      <c r="W301" s="0">
        <f>IF($A301="","",Allocation!CD301)</f>
        <v/>
      </c>
      <c r="X301" s="0">
        <f>IF($A301="","",Allocation!CE301)</f>
        <v/>
      </c>
      <c r="Y301" s="0">
        <f>IF($A301="","",Allocation!CF301)</f>
        <v/>
      </c>
      <c r="Z301" s="0">
        <f>IF($A301="","",Allocation!CG301)</f>
        <v/>
      </c>
      <c r="AA301" s="0">
        <f>IF($A301="","",Allocation!CH301)</f>
        <v/>
      </c>
      <c r="AB301" s="0">
        <f>IF($A301="","",Allocation!CI301)</f>
        <v/>
      </c>
      <c r="AC301" s="0">
        <f>IF($A301="","",IF(Allocation!$N$4="VOL_EFF",$G301,IF(Allocation!$N$4="VOL_CLASS",$H301,$I301)))</f>
        <v/>
      </c>
      <c r="AD301" s="0">
        <f>IF($A301="","",IF(Allocation!$N$4="VOL_EFF",$L301,IF(Allocation!$N$4="VOL_CLASS",$M301,$N301)))</f>
        <v/>
      </c>
      <c r="AE301" s="0">
        <f>IF($A301="","",IF(Allocation!$N$3="VOL_EFF",$L301,IF(Allocation!$N$3="VOL_CLASS",$M301,$N301)))</f>
        <v/>
      </c>
      <c r="AF301" s="0">
        <f>IF($A301="","",IF(Allocation!$N$3="VOL_EFF",$Q301,IF(Allocation!$N$3="VOL_CLASS",$R301,$S301)))</f>
        <v/>
      </c>
      <c r="AG301" s="0">
        <f>IF($A301="","",IF(Allocation!$N$1="VOL_EFF",$Q301,IF(Allocation!$N$1="VOL_CLASS",$R301,$S301)))</f>
        <v/>
      </c>
      <c r="AH301" s="0">
        <f>IF($A301="","",IF(Allocation!$N$1="VOL_EFF",$T301,IF(Allocation!$N$1="VOL_CLASS",$U301,$V301)))</f>
        <v/>
      </c>
      <c r="AI301" s="0">
        <f>IF($A301="","",$W301*IFERROR($K301/$O301,0))</f>
        <v/>
      </c>
      <c r="AJ301" s="0">
        <f>IF($A301="","",$X301*IFERROR($K301/$O301,0))</f>
        <v/>
      </c>
      <c r="AK301" s="0">
        <f>IF($A301="","",$Y301*IFERROR($G301/$L301,0)+$Z301*IFERROR($J301/$P301,0))</f>
        <v/>
      </c>
      <c r="AL301" s="0">
        <f>IF($A301="","",$AA301*IFERROR($AC301/$AD301,0))</f>
        <v/>
      </c>
      <c r="AM301" s="0">
        <f>IF($A301="","",$AB301*IFERROR($AG301/$AH301,0)*IFERROR($AE301/$AF301,0)*IFERROR($AC301/$AD301,0))</f>
        <v/>
      </c>
      <c r="AN301" s="0">
        <f>IF($A301="","",$I301-($AI301+$AJ301+$AK301+$AL301+$AM301+$AR301))</f>
        <v/>
      </c>
      <c r="AO301" s="0">
        <f>IF($A301="","",Allocation!CJ301)</f>
        <v/>
      </c>
      <c r="AP301" s="0">
        <f>IF($A301="","",IF(Allocation!$N$2="VOL_EFF",$Q301,IF(Allocation!$N$2="VOL_CLASS",$R301,$S301)))</f>
        <v/>
      </c>
      <c r="AQ301" s="0">
        <f>IF($A301="","",IF(Allocation!$N$2="VOL_EFF",$T301,IF(Allocation!$N$2="VOL_CLASS",$U301,$V301)))</f>
        <v/>
      </c>
      <c r="AR301" s="0">
        <f>IF($A301="","",$AO301*IFERROR($AP301/$AQ301,0)*IFERROR($AE301/$AF301,0)*IFERROR($AC301/$AD301,0))</f>
        <v/>
      </c>
      <c r="AS301" s="0">
        <f>IF($A301="","",$A301&amp;"|"&amp;Allocation!BG301)</f>
        <v/>
      </c>
    </row>
    <row r="302" ht="14.4975" customHeight="1" s="64">
      <c r="A302" s="0">
        <f>IF(Allocation!BI302="","",Allocation!BI302)</f>
        <v/>
      </c>
      <c r="B302" s="0">
        <f>IF(Allocation!BJ302="","",Allocation!BJ302)</f>
        <v/>
      </c>
      <c r="C302" s="0">
        <f>IF(Allocation!BK302="","",Allocation!BK302)</f>
        <v/>
      </c>
      <c r="D302" s="0">
        <f>IF(Allocation!BL302="","",Allocation!BL302)</f>
        <v/>
      </c>
      <c r="E302" s="0">
        <f>IF(Allocation!BM302="","",Allocation!BM302)</f>
        <v/>
      </c>
      <c r="F302" s="0">
        <f>IF(Allocation!BN302="","",Allocation!BN302)</f>
        <v/>
      </c>
      <c r="G302" s="0">
        <f>IF(Allocation!BO302="","",Allocation!BO302)</f>
        <v/>
      </c>
      <c r="H302" s="0">
        <f>IF(Allocation!BP302="","",Allocation!BP302)</f>
        <v/>
      </c>
      <c r="I302" s="0">
        <f>IF(Allocation!BQ302="","",Allocation!BQ302)</f>
        <v/>
      </c>
      <c r="J302" s="0">
        <f>IF(Allocation!CC302="","",Allocation!CC302)</f>
        <v/>
      </c>
      <c r="K302" s="0">
        <f>IF($A302="","",$H302*IF(AND(LEFT($D302,3)="BAC",$F302="INIT"),600,IF(LEFT($D302,3)="BAC",480,IF(AND(LEFT($D302,3)="MAS",$F302="INIT"),520,IF(LEFT($D302,3)="MAS",420,IF($F302="INIT",1000,700))))))</f>
        <v/>
      </c>
      <c r="L302" s="0">
        <f>IF($A302="","",SUMIFS($G$1:$G$349,$AS$1:$AS$349,$AS302,$B$1:$B$349,$B302))</f>
        <v/>
      </c>
      <c r="M302" s="0">
        <f>IF($A302="","",SUMIFS($H$1:$H$349,$AS$1:$AS$349,$AS302,$B$1:$B$349,$B302))</f>
        <v/>
      </c>
      <c r="N302" s="0">
        <f>IF($A302="","",SUMIFS($I$1:$I$349,$AS$1:$AS$349,$AS302,$B$1:$B$349,$B302))</f>
        <v/>
      </c>
      <c r="O302" s="0">
        <f>IF($A302="","",SUMIFS($K$1:$K$349,$AS$1:$AS$349,$AS302,$B$1:$B$349,$B302))</f>
        <v/>
      </c>
      <c r="P302" s="0">
        <f>IF($A302="","",SUMIFS($J$1:$J$349,$AS$1:$AS$349,$AS302,$B$1:$B$349,$B302))</f>
        <v/>
      </c>
      <c r="Q302" s="0">
        <f>IF($A302="","",SUMIFS($G$1:$G$349,$AS$1:$AS$349,$AS302,$C$1:$C$349,$C302))</f>
        <v/>
      </c>
      <c r="R302" s="0">
        <f>IF($A302="","",SUMIFS($H$1:$H$349,$AS$1:$AS$349,$AS302,$C$1:$C$349,$C302))</f>
        <v/>
      </c>
      <c r="S302" s="0">
        <f>IF($A302="","",SUMIFS($I$1:$I$349,$AS$1:$AS$349,$AS302,$C$1:$C$349,$C302))</f>
        <v/>
      </c>
      <c r="T302" s="0">
        <f>IF($A302="","",SUMIFS($G$1:$G$349,$AS$1:$AS$349,$AS302))</f>
        <v/>
      </c>
      <c r="U302" s="0">
        <f>IF($A302="","",SUMIFS($H$1:$H$349,$AS$1:$AS$349,$AS302))</f>
        <v/>
      </c>
      <c r="V302" s="0">
        <f>IF($A302="","",SUMIFS($I$1:$I$349,$AS$1:$AS$349,$AS302))</f>
        <v/>
      </c>
      <c r="W302" s="0">
        <f>IF($A302="","",Allocation!CD302)</f>
        <v/>
      </c>
      <c r="X302" s="0">
        <f>IF($A302="","",Allocation!CE302)</f>
        <v/>
      </c>
      <c r="Y302" s="0">
        <f>IF($A302="","",Allocation!CF302)</f>
        <v/>
      </c>
      <c r="Z302" s="0">
        <f>IF($A302="","",Allocation!CG302)</f>
        <v/>
      </c>
      <c r="AA302" s="0">
        <f>IF($A302="","",Allocation!CH302)</f>
        <v/>
      </c>
      <c r="AB302" s="0">
        <f>IF($A302="","",Allocation!CI302)</f>
        <v/>
      </c>
      <c r="AC302" s="0">
        <f>IF($A302="","",IF(Allocation!$N$4="VOL_EFF",$G302,IF(Allocation!$N$4="VOL_CLASS",$H302,$I302)))</f>
        <v/>
      </c>
      <c r="AD302" s="0">
        <f>IF($A302="","",IF(Allocation!$N$4="VOL_EFF",$L302,IF(Allocation!$N$4="VOL_CLASS",$M302,$N302)))</f>
        <v/>
      </c>
      <c r="AE302" s="0">
        <f>IF($A302="","",IF(Allocation!$N$3="VOL_EFF",$L302,IF(Allocation!$N$3="VOL_CLASS",$M302,$N302)))</f>
        <v/>
      </c>
      <c r="AF302" s="0">
        <f>IF($A302="","",IF(Allocation!$N$3="VOL_EFF",$Q302,IF(Allocation!$N$3="VOL_CLASS",$R302,$S302)))</f>
        <v/>
      </c>
      <c r="AG302" s="0">
        <f>IF($A302="","",IF(Allocation!$N$1="VOL_EFF",$Q302,IF(Allocation!$N$1="VOL_CLASS",$R302,$S302)))</f>
        <v/>
      </c>
      <c r="AH302" s="0">
        <f>IF($A302="","",IF(Allocation!$N$1="VOL_EFF",$T302,IF(Allocation!$N$1="VOL_CLASS",$U302,$V302)))</f>
        <v/>
      </c>
      <c r="AI302" s="0">
        <f>IF($A302="","",$W302*IFERROR($K302/$O302,0))</f>
        <v/>
      </c>
      <c r="AJ302" s="0">
        <f>IF($A302="","",$X302*IFERROR($K302/$O302,0))</f>
        <v/>
      </c>
      <c r="AK302" s="0">
        <f>IF($A302="","",$Y302*IFERROR($G302/$L302,0)+$Z302*IFERROR($J302/$P302,0))</f>
        <v/>
      </c>
      <c r="AL302" s="0">
        <f>IF($A302="","",$AA302*IFERROR($AC302/$AD302,0))</f>
        <v/>
      </c>
      <c r="AM302" s="0">
        <f>IF($A302="","",$AB302*IFERROR($AG302/$AH302,0)*IFERROR($AE302/$AF302,0)*IFERROR($AC302/$AD302,0))</f>
        <v/>
      </c>
      <c r="AN302" s="0">
        <f>IF($A302="","",$I302-($AI302+$AJ302+$AK302+$AL302+$AM302+$AR302))</f>
        <v/>
      </c>
      <c r="AO302" s="0">
        <f>IF($A302="","",Allocation!CJ302)</f>
        <v/>
      </c>
      <c r="AP302" s="0">
        <f>IF($A302="","",IF(Allocation!$N$2="VOL_EFF",$Q302,IF(Allocation!$N$2="VOL_CLASS",$R302,$S302)))</f>
        <v/>
      </c>
      <c r="AQ302" s="0">
        <f>IF($A302="","",IF(Allocation!$N$2="VOL_EFF",$T302,IF(Allocation!$N$2="VOL_CLASS",$U302,$V302)))</f>
        <v/>
      </c>
      <c r="AR302" s="0">
        <f>IF($A302="","",$AO302*IFERROR($AP302/$AQ302,0)*IFERROR($AE302/$AF302,0)*IFERROR($AC302/$AD302,0))</f>
        <v/>
      </c>
      <c r="AS302" s="0">
        <f>IF($A302="","",$A302&amp;"|"&amp;Allocation!BG302)</f>
        <v/>
      </c>
    </row>
    <row r="303" ht="14.4975" customHeight="1" s="64">
      <c r="A303" s="0">
        <f>IF(Allocation!BI303="","",Allocation!BI303)</f>
        <v/>
      </c>
      <c r="B303" s="0">
        <f>IF(Allocation!BJ303="","",Allocation!BJ303)</f>
        <v/>
      </c>
      <c r="C303" s="0">
        <f>IF(Allocation!BK303="","",Allocation!BK303)</f>
        <v/>
      </c>
      <c r="D303" s="0">
        <f>IF(Allocation!BL303="","",Allocation!BL303)</f>
        <v/>
      </c>
      <c r="E303" s="0">
        <f>IF(Allocation!BM303="","",Allocation!BM303)</f>
        <v/>
      </c>
      <c r="F303" s="0">
        <f>IF(Allocation!BN303="","",Allocation!BN303)</f>
        <v/>
      </c>
      <c r="G303" s="0">
        <f>IF(Allocation!BO303="","",Allocation!BO303)</f>
        <v/>
      </c>
      <c r="H303" s="0">
        <f>IF(Allocation!BP303="","",Allocation!BP303)</f>
        <v/>
      </c>
      <c r="I303" s="0">
        <f>IF(Allocation!BQ303="","",Allocation!BQ303)</f>
        <v/>
      </c>
      <c r="J303" s="0">
        <f>IF(Allocation!CC303="","",Allocation!CC303)</f>
        <v/>
      </c>
      <c r="K303" s="0">
        <f>IF($A303="","",$H303*IF(AND(LEFT($D303,3)="BAC",$F303="INIT"),600,IF(LEFT($D303,3)="BAC",480,IF(AND(LEFT($D303,3)="MAS",$F303="INIT"),520,IF(LEFT($D303,3)="MAS",420,IF($F303="INIT",1000,700))))))</f>
        <v/>
      </c>
      <c r="L303" s="0">
        <f>IF($A303="","",SUMIFS($G$1:$G$349,$AS$1:$AS$349,$AS303,$B$1:$B$349,$B303))</f>
        <v/>
      </c>
      <c r="M303" s="0">
        <f>IF($A303="","",SUMIFS($H$1:$H$349,$AS$1:$AS$349,$AS303,$B$1:$B$349,$B303))</f>
        <v/>
      </c>
      <c r="N303" s="0">
        <f>IF($A303="","",SUMIFS($I$1:$I$349,$AS$1:$AS$349,$AS303,$B$1:$B$349,$B303))</f>
        <v/>
      </c>
      <c r="O303" s="0">
        <f>IF($A303="","",SUMIFS($K$1:$K$349,$AS$1:$AS$349,$AS303,$B$1:$B$349,$B303))</f>
        <v/>
      </c>
      <c r="P303" s="0">
        <f>IF($A303="","",SUMIFS($J$1:$J$349,$AS$1:$AS$349,$AS303,$B$1:$B$349,$B303))</f>
        <v/>
      </c>
      <c r="Q303" s="0">
        <f>IF($A303="","",SUMIFS($G$1:$G$349,$AS$1:$AS$349,$AS303,$C$1:$C$349,$C303))</f>
        <v/>
      </c>
      <c r="R303" s="0">
        <f>IF($A303="","",SUMIFS($H$1:$H$349,$AS$1:$AS$349,$AS303,$C$1:$C$349,$C303))</f>
        <v/>
      </c>
      <c r="S303" s="0">
        <f>IF($A303="","",SUMIFS($I$1:$I$349,$AS$1:$AS$349,$AS303,$C$1:$C$349,$C303))</f>
        <v/>
      </c>
      <c r="T303" s="0">
        <f>IF($A303="","",SUMIFS($G$1:$G$349,$AS$1:$AS$349,$AS303))</f>
        <v/>
      </c>
      <c r="U303" s="0">
        <f>IF($A303="","",SUMIFS($H$1:$H$349,$AS$1:$AS$349,$AS303))</f>
        <v/>
      </c>
      <c r="V303" s="0">
        <f>IF($A303="","",SUMIFS($I$1:$I$349,$AS$1:$AS$349,$AS303))</f>
        <v/>
      </c>
      <c r="W303" s="0">
        <f>IF($A303="","",Allocation!CD303)</f>
        <v/>
      </c>
      <c r="X303" s="0">
        <f>IF($A303="","",Allocation!CE303)</f>
        <v/>
      </c>
      <c r="Y303" s="0">
        <f>IF($A303="","",Allocation!CF303)</f>
        <v/>
      </c>
      <c r="Z303" s="0">
        <f>IF($A303="","",Allocation!CG303)</f>
        <v/>
      </c>
      <c r="AA303" s="0">
        <f>IF($A303="","",Allocation!CH303)</f>
        <v/>
      </c>
      <c r="AB303" s="0">
        <f>IF($A303="","",Allocation!CI303)</f>
        <v/>
      </c>
      <c r="AC303" s="0">
        <f>IF($A303="","",IF(Allocation!$N$4="VOL_EFF",$G303,IF(Allocation!$N$4="VOL_CLASS",$H303,$I303)))</f>
        <v/>
      </c>
      <c r="AD303" s="0">
        <f>IF($A303="","",IF(Allocation!$N$4="VOL_EFF",$L303,IF(Allocation!$N$4="VOL_CLASS",$M303,$N303)))</f>
        <v/>
      </c>
      <c r="AE303" s="0">
        <f>IF($A303="","",IF(Allocation!$N$3="VOL_EFF",$L303,IF(Allocation!$N$3="VOL_CLASS",$M303,$N303)))</f>
        <v/>
      </c>
      <c r="AF303" s="0">
        <f>IF($A303="","",IF(Allocation!$N$3="VOL_EFF",$Q303,IF(Allocation!$N$3="VOL_CLASS",$R303,$S303)))</f>
        <v/>
      </c>
      <c r="AG303" s="0">
        <f>IF($A303="","",IF(Allocation!$N$1="VOL_EFF",$Q303,IF(Allocation!$N$1="VOL_CLASS",$R303,$S303)))</f>
        <v/>
      </c>
      <c r="AH303" s="0">
        <f>IF($A303="","",IF(Allocation!$N$1="VOL_EFF",$T303,IF(Allocation!$N$1="VOL_CLASS",$U303,$V303)))</f>
        <v/>
      </c>
      <c r="AI303" s="0">
        <f>IF($A303="","",$W303*IFERROR($K303/$O303,0))</f>
        <v/>
      </c>
      <c r="AJ303" s="0">
        <f>IF($A303="","",$X303*IFERROR($K303/$O303,0))</f>
        <v/>
      </c>
      <c r="AK303" s="0">
        <f>IF($A303="","",$Y303*IFERROR($G303/$L303,0)+$Z303*IFERROR($J303/$P303,0))</f>
        <v/>
      </c>
      <c r="AL303" s="0">
        <f>IF($A303="","",$AA303*IFERROR($AC303/$AD303,0))</f>
        <v/>
      </c>
      <c r="AM303" s="0">
        <f>IF($A303="","",$AB303*IFERROR($AG303/$AH303,0)*IFERROR($AE303/$AF303,0)*IFERROR($AC303/$AD303,0))</f>
        <v/>
      </c>
      <c r="AN303" s="0">
        <f>IF($A303="","",$I303-($AI303+$AJ303+$AK303+$AL303+$AM303+$AR303))</f>
        <v/>
      </c>
      <c r="AO303" s="0">
        <f>IF($A303="","",Allocation!CJ303)</f>
        <v/>
      </c>
      <c r="AP303" s="0">
        <f>IF($A303="","",IF(Allocation!$N$2="VOL_EFF",$Q303,IF(Allocation!$N$2="VOL_CLASS",$R303,$S303)))</f>
        <v/>
      </c>
      <c r="AQ303" s="0">
        <f>IF($A303="","",IF(Allocation!$N$2="VOL_EFF",$T303,IF(Allocation!$N$2="VOL_CLASS",$U303,$V303)))</f>
        <v/>
      </c>
      <c r="AR303" s="0">
        <f>IF($A303="","",$AO303*IFERROR($AP303/$AQ303,0)*IFERROR($AE303/$AF303,0)*IFERROR($AC303/$AD303,0))</f>
        <v/>
      </c>
      <c r="AS303" s="0">
        <f>IF($A303="","",$A303&amp;"|"&amp;Allocation!BG303)</f>
        <v/>
      </c>
    </row>
    <row r="304" ht="14.4975" customHeight="1" s="64">
      <c r="A304" s="0">
        <f>IF(Allocation!BI304="","",Allocation!BI304)</f>
        <v/>
      </c>
      <c r="B304" s="0">
        <f>IF(Allocation!BJ304="","",Allocation!BJ304)</f>
        <v/>
      </c>
      <c r="C304" s="0">
        <f>IF(Allocation!BK304="","",Allocation!BK304)</f>
        <v/>
      </c>
      <c r="D304" s="0">
        <f>IF(Allocation!BL304="","",Allocation!BL304)</f>
        <v/>
      </c>
      <c r="E304" s="0">
        <f>IF(Allocation!BM304="","",Allocation!BM304)</f>
        <v/>
      </c>
      <c r="F304" s="0">
        <f>IF(Allocation!BN304="","",Allocation!BN304)</f>
        <v/>
      </c>
      <c r="G304" s="0">
        <f>IF(Allocation!BO304="","",Allocation!BO304)</f>
        <v/>
      </c>
      <c r="H304" s="0">
        <f>IF(Allocation!BP304="","",Allocation!BP304)</f>
        <v/>
      </c>
      <c r="I304" s="0">
        <f>IF(Allocation!BQ304="","",Allocation!BQ304)</f>
        <v/>
      </c>
      <c r="J304" s="0">
        <f>IF(Allocation!CC304="","",Allocation!CC304)</f>
        <v/>
      </c>
      <c r="K304" s="0">
        <f>IF($A304="","",$H304*IF(AND(LEFT($D304,3)="BAC",$F304="INIT"),600,IF(LEFT($D304,3)="BAC",480,IF(AND(LEFT($D304,3)="MAS",$F304="INIT"),520,IF(LEFT($D304,3)="MAS",420,IF($F304="INIT",1000,700))))))</f>
        <v/>
      </c>
      <c r="L304" s="0">
        <f>IF($A304="","",SUMIFS($G$1:$G$349,$AS$1:$AS$349,$AS304,$B$1:$B$349,$B304))</f>
        <v/>
      </c>
      <c r="M304" s="0">
        <f>IF($A304="","",SUMIFS($H$1:$H$349,$AS$1:$AS$349,$AS304,$B$1:$B$349,$B304))</f>
        <v/>
      </c>
      <c r="N304" s="0">
        <f>IF($A304="","",SUMIFS($I$1:$I$349,$AS$1:$AS$349,$AS304,$B$1:$B$349,$B304))</f>
        <v/>
      </c>
      <c r="O304" s="0">
        <f>IF($A304="","",SUMIFS($K$1:$K$349,$AS$1:$AS$349,$AS304,$B$1:$B$349,$B304))</f>
        <v/>
      </c>
      <c r="P304" s="0">
        <f>IF($A304="","",SUMIFS($J$1:$J$349,$AS$1:$AS$349,$AS304,$B$1:$B$349,$B304))</f>
        <v/>
      </c>
      <c r="Q304" s="0">
        <f>IF($A304="","",SUMIFS($G$1:$G$349,$AS$1:$AS$349,$AS304,$C$1:$C$349,$C304))</f>
        <v/>
      </c>
      <c r="R304" s="0">
        <f>IF($A304="","",SUMIFS($H$1:$H$349,$AS$1:$AS$349,$AS304,$C$1:$C$349,$C304))</f>
        <v/>
      </c>
      <c r="S304" s="0">
        <f>IF($A304="","",SUMIFS($I$1:$I$349,$AS$1:$AS$349,$AS304,$C$1:$C$349,$C304))</f>
        <v/>
      </c>
      <c r="T304" s="0">
        <f>IF($A304="","",SUMIFS($G$1:$G$349,$AS$1:$AS$349,$AS304))</f>
        <v/>
      </c>
      <c r="U304" s="0">
        <f>IF($A304="","",SUMIFS($H$1:$H$349,$AS$1:$AS$349,$AS304))</f>
        <v/>
      </c>
      <c r="V304" s="0">
        <f>IF($A304="","",SUMIFS($I$1:$I$349,$AS$1:$AS$349,$AS304))</f>
        <v/>
      </c>
      <c r="W304" s="0">
        <f>IF($A304="","",Allocation!CD304)</f>
        <v/>
      </c>
      <c r="X304" s="0">
        <f>IF($A304="","",Allocation!CE304)</f>
        <v/>
      </c>
      <c r="Y304" s="0">
        <f>IF($A304="","",Allocation!CF304)</f>
        <v/>
      </c>
      <c r="Z304" s="0">
        <f>IF($A304="","",Allocation!CG304)</f>
        <v/>
      </c>
      <c r="AA304" s="0">
        <f>IF($A304="","",Allocation!CH304)</f>
        <v/>
      </c>
      <c r="AB304" s="0">
        <f>IF($A304="","",Allocation!CI304)</f>
        <v/>
      </c>
      <c r="AC304" s="0">
        <f>IF($A304="","",IF(Allocation!$N$4="VOL_EFF",$G304,IF(Allocation!$N$4="VOL_CLASS",$H304,$I304)))</f>
        <v/>
      </c>
      <c r="AD304" s="0">
        <f>IF($A304="","",IF(Allocation!$N$4="VOL_EFF",$L304,IF(Allocation!$N$4="VOL_CLASS",$M304,$N304)))</f>
        <v/>
      </c>
      <c r="AE304" s="0">
        <f>IF($A304="","",IF(Allocation!$N$3="VOL_EFF",$L304,IF(Allocation!$N$3="VOL_CLASS",$M304,$N304)))</f>
        <v/>
      </c>
      <c r="AF304" s="0">
        <f>IF($A304="","",IF(Allocation!$N$3="VOL_EFF",$Q304,IF(Allocation!$N$3="VOL_CLASS",$R304,$S304)))</f>
        <v/>
      </c>
      <c r="AG304" s="0">
        <f>IF($A304="","",IF(Allocation!$N$1="VOL_EFF",$Q304,IF(Allocation!$N$1="VOL_CLASS",$R304,$S304)))</f>
        <v/>
      </c>
      <c r="AH304" s="0">
        <f>IF($A304="","",IF(Allocation!$N$1="VOL_EFF",$T304,IF(Allocation!$N$1="VOL_CLASS",$U304,$V304)))</f>
        <v/>
      </c>
      <c r="AI304" s="0">
        <f>IF($A304="","",$W304*IFERROR($K304/$O304,0))</f>
        <v/>
      </c>
      <c r="AJ304" s="0">
        <f>IF($A304="","",$X304*IFERROR($K304/$O304,0))</f>
        <v/>
      </c>
      <c r="AK304" s="0">
        <f>IF($A304="","",$Y304*IFERROR($G304/$L304,0)+$Z304*IFERROR($J304/$P304,0))</f>
        <v/>
      </c>
      <c r="AL304" s="0">
        <f>IF($A304="","",$AA304*IFERROR($AC304/$AD304,0))</f>
        <v/>
      </c>
      <c r="AM304" s="0">
        <f>IF($A304="","",$AB304*IFERROR($AG304/$AH304,0)*IFERROR($AE304/$AF304,0)*IFERROR($AC304/$AD304,0))</f>
        <v/>
      </c>
      <c r="AN304" s="0">
        <f>IF($A304="","",$I304-($AI304+$AJ304+$AK304+$AL304+$AM304+$AR304))</f>
        <v/>
      </c>
      <c r="AO304" s="0">
        <f>IF($A304="","",Allocation!CJ304)</f>
        <v/>
      </c>
      <c r="AP304" s="0">
        <f>IF($A304="","",IF(Allocation!$N$2="VOL_EFF",$Q304,IF(Allocation!$N$2="VOL_CLASS",$R304,$S304)))</f>
        <v/>
      </c>
      <c r="AQ304" s="0">
        <f>IF($A304="","",IF(Allocation!$N$2="VOL_EFF",$T304,IF(Allocation!$N$2="VOL_CLASS",$U304,$V304)))</f>
        <v/>
      </c>
      <c r="AR304" s="0">
        <f>IF($A304="","",$AO304*IFERROR($AP304/$AQ304,0)*IFERROR($AE304/$AF304,0)*IFERROR($AC304/$AD304,0))</f>
        <v/>
      </c>
      <c r="AS304" s="0">
        <f>IF($A304="","",$A304&amp;"|"&amp;Allocation!BG304)</f>
        <v/>
      </c>
    </row>
    <row r="305" ht="14.4975" customHeight="1" s="64">
      <c r="A305" s="0">
        <f>IF(Allocation!BI305="","",Allocation!BI305)</f>
        <v/>
      </c>
      <c r="B305" s="0">
        <f>IF(Allocation!BJ305="","",Allocation!BJ305)</f>
        <v/>
      </c>
      <c r="C305" s="0">
        <f>IF(Allocation!BK305="","",Allocation!BK305)</f>
        <v/>
      </c>
      <c r="D305" s="0">
        <f>IF(Allocation!BL305="","",Allocation!BL305)</f>
        <v/>
      </c>
      <c r="E305" s="0">
        <f>IF(Allocation!BM305="","",Allocation!BM305)</f>
        <v/>
      </c>
      <c r="F305" s="0">
        <f>IF(Allocation!BN305="","",Allocation!BN305)</f>
        <v/>
      </c>
      <c r="G305" s="0">
        <f>IF(Allocation!BO305="","",Allocation!BO305)</f>
        <v/>
      </c>
      <c r="H305" s="0">
        <f>IF(Allocation!BP305="","",Allocation!BP305)</f>
        <v/>
      </c>
      <c r="I305" s="0">
        <f>IF(Allocation!BQ305="","",Allocation!BQ305)</f>
        <v/>
      </c>
      <c r="J305" s="0">
        <f>IF(Allocation!CC305="","",Allocation!CC305)</f>
        <v/>
      </c>
      <c r="K305" s="0">
        <f>IF($A305="","",$H305*IF(AND(LEFT($D305,3)="BAC",$F305="INIT"),600,IF(LEFT($D305,3)="BAC",480,IF(AND(LEFT($D305,3)="MAS",$F305="INIT"),520,IF(LEFT($D305,3)="MAS",420,IF($F305="INIT",1000,700))))))</f>
        <v/>
      </c>
      <c r="L305" s="0">
        <f>IF($A305="","",SUMIFS($G$1:$G$349,$AS$1:$AS$349,$AS305,$B$1:$B$349,$B305))</f>
        <v/>
      </c>
      <c r="M305" s="0">
        <f>IF($A305="","",SUMIFS($H$1:$H$349,$AS$1:$AS$349,$AS305,$B$1:$B$349,$B305))</f>
        <v/>
      </c>
      <c r="N305" s="0">
        <f>IF($A305="","",SUMIFS($I$1:$I$349,$AS$1:$AS$349,$AS305,$B$1:$B$349,$B305))</f>
        <v/>
      </c>
      <c r="O305" s="0">
        <f>IF($A305="","",SUMIFS($K$1:$K$349,$AS$1:$AS$349,$AS305,$B$1:$B$349,$B305))</f>
        <v/>
      </c>
      <c r="P305" s="0">
        <f>IF($A305="","",SUMIFS($J$1:$J$349,$AS$1:$AS$349,$AS305,$B$1:$B$349,$B305))</f>
        <v/>
      </c>
      <c r="Q305" s="0">
        <f>IF($A305="","",SUMIFS($G$1:$G$349,$AS$1:$AS$349,$AS305,$C$1:$C$349,$C305))</f>
        <v/>
      </c>
      <c r="R305" s="0">
        <f>IF($A305="","",SUMIFS($H$1:$H$349,$AS$1:$AS$349,$AS305,$C$1:$C$349,$C305))</f>
        <v/>
      </c>
      <c r="S305" s="0">
        <f>IF($A305="","",SUMIFS($I$1:$I$349,$AS$1:$AS$349,$AS305,$C$1:$C$349,$C305))</f>
        <v/>
      </c>
      <c r="T305" s="0">
        <f>IF($A305="","",SUMIFS($G$1:$G$349,$AS$1:$AS$349,$AS305))</f>
        <v/>
      </c>
      <c r="U305" s="0">
        <f>IF($A305="","",SUMIFS($H$1:$H$349,$AS$1:$AS$349,$AS305))</f>
        <v/>
      </c>
      <c r="V305" s="0">
        <f>IF($A305="","",SUMIFS($I$1:$I$349,$AS$1:$AS$349,$AS305))</f>
        <v/>
      </c>
      <c r="W305" s="0">
        <f>IF($A305="","",Allocation!CD305)</f>
        <v/>
      </c>
      <c r="X305" s="0">
        <f>IF($A305="","",Allocation!CE305)</f>
        <v/>
      </c>
      <c r="Y305" s="0">
        <f>IF($A305="","",Allocation!CF305)</f>
        <v/>
      </c>
      <c r="Z305" s="0">
        <f>IF($A305="","",Allocation!CG305)</f>
        <v/>
      </c>
      <c r="AA305" s="0">
        <f>IF($A305="","",Allocation!CH305)</f>
        <v/>
      </c>
      <c r="AB305" s="0">
        <f>IF($A305="","",Allocation!CI305)</f>
        <v/>
      </c>
      <c r="AC305" s="0">
        <f>IF($A305="","",IF(Allocation!$N$4="VOL_EFF",$G305,IF(Allocation!$N$4="VOL_CLASS",$H305,$I305)))</f>
        <v/>
      </c>
      <c r="AD305" s="0">
        <f>IF($A305="","",IF(Allocation!$N$4="VOL_EFF",$L305,IF(Allocation!$N$4="VOL_CLASS",$M305,$N305)))</f>
        <v/>
      </c>
      <c r="AE305" s="0">
        <f>IF($A305="","",IF(Allocation!$N$3="VOL_EFF",$L305,IF(Allocation!$N$3="VOL_CLASS",$M305,$N305)))</f>
        <v/>
      </c>
      <c r="AF305" s="0">
        <f>IF($A305="","",IF(Allocation!$N$3="VOL_EFF",$Q305,IF(Allocation!$N$3="VOL_CLASS",$R305,$S305)))</f>
        <v/>
      </c>
      <c r="AG305" s="0">
        <f>IF($A305="","",IF(Allocation!$N$1="VOL_EFF",$Q305,IF(Allocation!$N$1="VOL_CLASS",$R305,$S305)))</f>
        <v/>
      </c>
      <c r="AH305" s="0">
        <f>IF($A305="","",IF(Allocation!$N$1="VOL_EFF",$T305,IF(Allocation!$N$1="VOL_CLASS",$U305,$V305)))</f>
        <v/>
      </c>
      <c r="AI305" s="0">
        <f>IF($A305="","",$W305*IFERROR($K305/$O305,0))</f>
        <v/>
      </c>
      <c r="AJ305" s="0">
        <f>IF($A305="","",$X305*IFERROR($K305/$O305,0))</f>
        <v/>
      </c>
      <c r="AK305" s="0">
        <f>IF($A305="","",$Y305*IFERROR($G305/$L305,0)+$Z305*IFERROR($J305/$P305,0))</f>
        <v/>
      </c>
      <c r="AL305" s="0">
        <f>IF($A305="","",$AA305*IFERROR($AC305/$AD305,0))</f>
        <v/>
      </c>
      <c r="AM305" s="0">
        <f>IF($A305="","",$AB305*IFERROR($AG305/$AH305,0)*IFERROR($AE305/$AF305,0)*IFERROR($AC305/$AD305,0))</f>
        <v/>
      </c>
      <c r="AN305" s="0">
        <f>IF($A305="","",$I305-($AI305+$AJ305+$AK305+$AL305+$AM305+$AR305))</f>
        <v/>
      </c>
      <c r="AO305" s="0">
        <f>IF($A305="","",Allocation!CJ305)</f>
        <v/>
      </c>
      <c r="AP305" s="0">
        <f>IF($A305="","",IF(Allocation!$N$2="VOL_EFF",$Q305,IF(Allocation!$N$2="VOL_CLASS",$R305,$S305)))</f>
        <v/>
      </c>
      <c r="AQ305" s="0">
        <f>IF($A305="","",IF(Allocation!$N$2="VOL_EFF",$T305,IF(Allocation!$N$2="VOL_CLASS",$U305,$V305)))</f>
        <v/>
      </c>
      <c r="AR305" s="0">
        <f>IF($A305="","",$AO305*IFERROR($AP305/$AQ305,0)*IFERROR($AE305/$AF305,0)*IFERROR($AC305/$AD305,0))</f>
        <v/>
      </c>
      <c r="AS305" s="0">
        <f>IF($A305="","",$A305&amp;"|"&amp;Allocation!BG305)</f>
        <v/>
      </c>
    </row>
    <row r="306" ht="14.4975" customHeight="1" s="64">
      <c r="A306" s="0">
        <f>IF(Allocation!BI306="","",Allocation!BI306)</f>
        <v/>
      </c>
      <c r="B306" s="0">
        <f>IF(Allocation!BJ306="","",Allocation!BJ306)</f>
        <v/>
      </c>
      <c r="C306" s="0">
        <f>IF(Allocation!BK306="","",Allocation!BK306)</f>
        <v/>
      </c>
      <c r="D306" s="0">
        <f>IF(Allocation!BL306="","",Allocation!BL306)</f>
        <v/>
      </c>
      <c r="E306" s="0">
        <f>IF(Allocation!BM306="","",Allocation!BM306)</f>
        <v/>
      </c>
      <c r="F306" s="0">
        <f>IF(Allocation!BN306="","",Allocation!BN306)</f>
        <v/>
      </c>
      <c r="G306" s="0">
        <f>IF(Allocation!BO306="","",Allocation!BO306)</f>
        <v/>
      </c>
      <c r="H306" s="0">
        <f>IF(Allocation!BP306="","",Allocation!BP306)</f>
        <v/>
      </c>
      <c r="I306" s="0">
        <f>IF(Allocation!BQ306="","",Allocation!BQ306)</f>
        <v/>
      </c>
      <c r="J306" s="0">
        <f>IF(Allocation!CC306="","",Allocation!CC306)</f>
        <v/>
      </c>
      <c r="K306" s="0">
        <f>IF($A306="","",$H306*IF(AND(LEFT($D306,3)="BAC",$F306="INIT"),600,IF(LEFT($D306,3)="BAC",480,IF(AND(LEFT($D306,3)="MAS",$F306="INIT"),520,IF(LEFT($D306,3)="MAS",420,IF($F306="INIT",1000,700))))))</f>
        <v/>
      </c>
      <c r="L306" s="0">
        <f>IF($A306="","",SUMIFS($G$1:$G$349,$AS$1:$AS$349,$AS306,$B$1:$B$349,$B306))</f>
        <v/>
      </c>
      <c r="M306" s="0">
        <f>IF($A306="","",SUMIFS($H$1:$H$349,$AS$1:$AS$349,$AS306,$B$1:$B$349,$B306))</f>
        <v/>
      </c>
      <c r="N306" s="0">
        <f>IF($A306="","",SUMIFS($I$1:$I$349,$AS$1:$AS$349,$AS306,$B$1:$B$349,$B306))</f>
        <v/>
      </c>
      <c r="O306" s="0">
        <f>IF($A306="","",SUMIFS($K$1:$K$349,$AS$1:$AS$349,$AS306,$B$1:$B$349,$B306))</f>
        <v/>
      </c>
      <c r="P306" s="0">
        <f>IF($A306="","",SUMIFS($J$1:$J$349,$AS$1:$AS$349,$AS306,$B$1:$B$349,$B306))</f>
        <v/>
      </c>
      <c r="Q306" s="0">
        <f>IF($A306="","",SUMIFS($G$1:$G$349,$AS$1:$AS$349,$AS306,$C$1:$C$349,$C306))</f>
        <v/>
      </c>
      <c r="R306" s="0">
        <f>IF($A306="","",SUMIFS($H$1:$H$349,$AS$1:$AS$349,$AS306,$C$1:$C$349,$C306))</f>
        <v/>
      </c>
      <c r="S306" s="0">
        <f>IF($A306="","",SUMIFS($I$1:$I$349,$AS$1:$AS$349,$AS306,$C$1:$C$349,$C306))</f>
        <v/>
      </c>
      <c r="T306" s="0">
        <f>IF($A306="","",SUMIFS($G$1:$G$349,$AS$1:$AS$349,$AS306))</f>
        <v/>
      </c>
      <c r="U306" s="0">
        <f>IF($A306="","",SUMIFS($H$1:$H$349,$AS$1:$AS$349,$AS306))</f>
        <v/>
      </c>
      <c r="V306" s="0">
        <f>IF($A306="","",SUMIFS($I$1:$I$349,$AS$1:$AS$349,$AS306))</f>
        <v/>
      </c>
      <c r="W306" s="0">
        <f>IF($A306="","",Allocation!CD306)</f>
        <v/>
      </c>
      <c r="X306" s="0">
        <f>IF($A306="","",Allocation!CE306)</f>
        <v/>
      </c>
      <c r="Y306" s="0">
        <f>IF($A306="","",Allocation!CF306)</f>
        <v/>
      </c>
      <c r="Z306" s="0">
        <f>IF($A306="","",Allocation!CG306)</f>
        <v/>
      </c>
      <c r="AA306" s="0">
        <f>IF($A306="","",Allocation!CH306)</f>
        <v/>
      </c>
      <c r="AB306" s="0">
        <f>IF($A306="","",Allocation!CI306)</f>
        <v/>
      </c>
      <c r="AC306" s="0">
        <f>IF($A306="","",IF(Allocation!$N$4="VOL_EFF",$G306,IF(Allocation!$N$4="VOL_CLASS",$H306,$I306)))</f>
        <v/>
      </c>
      <c r="AD306" s="0">
        <f>IF($A306="","",IF(Allocation!$N$4="VOL_EFF",$L306,IF(Allocation!$N$4="VOL_CLASS",$M306,$N306)))</f>
        <v/>
      </c>
      <c r="AE306" s="0">
        <f>IF($A306="","",IF(Allocation!$N$3="VOL_EFF",$L306,IF(Allocation!$N$3="VOL_CLASS",$M306,$N306)))</f>
        <v/>
      </c>
      <c r="AF306" s="0">
        <f>IF($A306="","",IF(Allocation!$N$3="VOL_EFF",$Q306,IF(Allocation!$N$3="VOL_CLASS",$R306,$S306)))</f>
        <v/>
      </c>
      <c r="AG306" s="0">
        <f>IF($A306="","",IF(Allocation!$N$1="VOL_EFF",$Q306,IF(Allocation!$N$1="VOL_CLASS",$R306,$S306)))</f>
        <v/>
      </c>
      <c r="AH306" s="0">
        <f>IF($A306="","",IF(Allocation!$N$1="VOL_EFF",$T306,IF(Allocation!$N$1="VOL_CLASS",$U306,$V306)))</f>
        <v/>
      </c>
      <c r="AI306" s="0">
        <f>IF($A306="","",$W306*IFERROR($K306/$O306,0))</f>
        <v/>
      </c>
      <c r="AJ306" s="0">
        <f>IF($A306="","",$X306*IFERROR($K306/$O306,0))</f>
        <v/>
      </c>
      <c r="AK306" s="0">
        <f>IF($A306="","",$Y306*IFERROR($G306/$L306,0)+$Z306*IFERROR($J306/$P306,0))</f>
        <v/>
      </c>
      <c r="AL306" s="0">
        <f>IF($A306="","",$AA306*IFERROR($AC306/$AD306,0))</f>
        <v/>
      </c>
      <c r="AM306" s="0">
        <f>IF($A306="","",$AB306*IFERROR($AG306/$AH306,0)*IFERROR($AE306/$AF306,0)*IFERROR($AC306/$AD306,0))</f>
        <v/>
      </c>
      <c r="AN306" s="0">
        <f>IF($A306="","",$I306-($AI306+$AJ306+$AK306+$AL306+$AM306+$AR306))</f>
        <v/>
      </c>
      <c r="AO306" s="0">
        <f>IF($A306="","",Allocation!CJ306)</f>
        <v/>
      </c>
      <c r="AP306" s="0">
        <f>IF($A306="","",IF(Allocation!$N$2="VOL_EFF",$Q306,IF(Allocation!$N$2="VOL_CLASS",$R306,$S306)))</f>
        <v/>
      </c>
      <c r="AQ306" s="0">
        <f>IF($A306="","",IF(Allocation!$N$2="VOL_EFF",$T306,IF(Allocation!$N$2="VOL_CLASS",$U306,$V306)))</f>
        <v/>
      </c>
      <c r="AR306" s="0">
        <f>IF($A306="","",$AO306*IFERROR($AP306/$AQ306,0)*IFERROR($AE306/$AF306,0)*IFERROR($AC306/$AD306,0))</f>
        <v/>
      </c>
      <c r="AS306" s="0">
        <f>IF($A306="","",$A306&amp;"|"&amp;Allocation!BG306)</f>
        <v/>
      </c>
    </row>
    <row r="307" ht="14.4975" customHeight="1" s="64">
      <c r="A307" s="0">
        <f>IF(Allocation!BI307="","",Allocation!BI307)</f>
        <v/>
      </c>
      <c r="B307" s="0">
        <f>IF(Allocation!BJ307="","",Allocation!BJ307)</f>
        <v/>
      </c>
      <c r="C307" s="0">
        <f>IF(Allocation!BK307="","",Allocation!BK307)</f>
        <v/>
      </c>
      <c r="D307" s="0">
        <f>IF(Allocation!BL307="","",Allocation!BL307)</f>
        <v/>
      </c>
      <c r="E307" s="0">
        <f>IF(Allocation!BM307="","",Allocation!BM307)</f>
        <v/>
      </c>
      <c r="F307" s="0">
        <f>IF(Allocation!BN307="","",Allocation!BN307)</f>
        <v/>
      </c>
      <c r="G307" s="0">
        <f>IF(Allocation!BO307="","",Allocation!BO307)</f>
        <v/>
      </c>
      <c r="H307" s="0">
        <f>IF(Allocation!BP307="","",Allocation!BP307)</f>
        <v/>
      </c>
      <c r="I307" s="0">
        <f>IF(Allocation!BQ307="","",Allocation!BQ307)</f>
        <v/>
      </c>
      <c r="J307" s="0">
        <f>IF(Allocation!CC307="","",Allocation!CC307)</f>
        <v/>
      </c>
      <c r="K307" s="0">
        <f>IF($A307="","",$H307*IF(AND(LEFT($D307,3)="BAC",$F307="INIT"),600,IF(LEFT($D307,3)="BAC",480,IF(AND(LEFT($D307,3)="MAS",$F307="INIT"),520,IF(LEFT($D307,3)="MAS",420,IF($F307="INIT",1000,700))))))</f>
        <v/>
      </c>
      <c r="L307" s="0">
        <f>IF($A307="","",SUMIFS($G$1:$G$349,$AS$1:$AS$349,$AS307,$B$1:$B$349,$B307))</f>
        <v/>
      </c>
      <c r="M307" s="0">
        <f>IF($A307="","",SUMIFS($H$1:$H$349,$AS$1:$AS$349,$AS307,$B$1:$B$349,$B307))</f>
        <v/>
      </c>
      <c r="N307" s="0">
        <f>IF($A307="","",SUMIFS($I$1:$I$349,$AS$1:$AS$349,$AS307,$B$1:$B$349,$B307))</f>
        <v/>
      </c>
      <c r="O307" s="0">
        <f>IF($A307="","",SUMIFS($K$1:$K$349,$AS$1:$AS$349,$AS307,$B$1:$B$349,$B307))</f>
        <v/>
      </c>
      <c r="P307" s="0">
        <f>IF($A307="","",SUMIFS($J$1:$J$349,$AS$1:$AS$349,$AS307,$B$1:$B$349,$B307))</f>
        <v/>
      </c>
      <c r="Q307" s="0">
        <f>IF($A307="","",SUMIFS($G$1:$G$349,$AS$1:$AS$349,$AS307,$C$1:$C$349,$C307))</f>
        <v/>
      </c>
      <c r="R307" s="0">
        <f>IF($A307="","",SUMIFS($H$1:$H$349,$AS$1:$AS$349,$AS307,$C$1:$C$349,$C307))</f>
        <v/>
      </c>
      <c r="S307" s="0">
        <f>IF($A307="","",SUMIFS($I$1:$I$349,$AS$1:$AS$349,$AS307,$C$1:$C$349,$C307))</f>
        <v/>
      </c>
      <c r="T307" s="0">
        <f>IF($A307="","",SUMIFS($G$1:$G$349,$AS$1:$AS$349,$AS307))</f>
        <v/>
      </c>
      <c r="U307" s="0">
        <f>IF($A307="","",SUMIFS($H$1:$H$349,$AS$1:$AS$349,$AS307))</f>
        <v/>
      </c>
      <c r="V307" s="0">
        <f>IF($A307="","",SUMIFS($I$1:$I$349,$AS$1:$AS$349,$AS307))</f>
        <v/>
      </c>
      <c r="W307" s="0">
        <f>IF($A307="","",Allocation!CD307)</f>
        <v/>
      </c>
      <c r="X307" s="0">
        <f>IF($A307="","",Allocation!CE307)</f>
        <v/>
      </c>
      <c r="Y307" s="0">
        <f>IF($A307="","",Allocation!CF307)</f>
        <v/>
      </c>
      <c r="Z307" s="0">
        <f>IF($A307="","",Allocation!CG307)</f>
        <v/>
      </c>
      <c r="AA307" s="0">
        <f>IF($A307="","",Allocation!CH307)</f>
        <v/>
      </c>
      <c r="AB307" s="0">
        <f>IF($A307="","",Allocation!CI307)</f>
        <v/>
      </c>
      <c r="AC307" s="0">
        <f>IF($A307="","",IF(Allocation!$N$4="VOL_EFF",$G307,IF(Allocation!$N$4="VOL_CLASS",$H307,$I307)))</f>
        <v/>
      </c>
      <c r="AD307" s="0">
        <f>IF($A307="","",IF(Allocation!$N$4="VOL_EFF",$L307,IF(Allocation!$N$4="VOL_CLASS",$M307,$N307)))</f>
        <v/>
      </c>
      <c r="AE307" s="0">
        <f>IF($A307="","",IF(Allocation!$N$3="VOL_EFF",$L307,IF(Allocation!$N$3="VOL_CLASS",$M307,$N307)))</f>
        <v/>
      </c>
      <c r="AF307" s="0">
        <f>IF($A307="","",IF(Allocation!$N$3="VOL_EFF",$Q307,IF(Allocation!$N$3="VOL_CLASS",$R307,$S307)))</f>
        <v/>
      </c>
      <c r="AG307" s="0">
        <f>IF($A307="","",IF(Allocation!$N$1="VOL_EFF",$Q307,IF(Allocation!$N$1="VOL_CLASS",$R307,$S307)))</f>
        <v/>
      </c>
      <c r="AH307" s="0">
        <f>IF($A307="","",IF(Allocation!$N$1="VOL_EFF",$T307,IF(Allocation!$N$1="VOL_CLASS",$U307,$V307)))</f>
        <v/>
      </c>
      <c r="AI307" s="0">
        <f>IF($A307="","",$W307*IFERROR($K307/$O307,0))</f>
        <v/>
      </c>
      <c r="AJ307" s="0">
        <f>IF($A307="","",$X307*IFERROR($K307/$O307,0))</f>
        <v/>
      </c>
      <c r="AK307" s="0">
        <f>IF($A307="","",$Y307*IFERROR($G307/$L307,0)+$Z307*IFERROR($J307/$P307,0))</f>
        <v/>
      </c>
      <c r="AL307" s="0">
        <f>IF($A307="","",$AA307*IFERROR($AC307/$AD307,0))</f>
        <v/>
      </c>
      <c r="AM307" s="0">
        <f>IF($A307="","",$AB307*IFERROR($AG307/$AH307,0)*IFERROR($AE307/$AF307,0)*IFERROR($AC307/$AD307,0))</f>
        <v/>
      </c>
      <c r="AN307" s="0">
        <f>IF($A307="","",$I307-($AI307+$AJ307+$AK307+$AL307+$AM307+$AR307))</f>
        <v/>
      </c>
      <c r="AO307" s="0">
        <f>IF($A307="","",Allocation!CJ307)</f>
        <v/>
      </c>
      <c r="AP307" s="0">
        <f>IF($A307="","",IF(Allocation!$N$2="VOL_EFF",$Q307,IF(Allocation!$N$2="VOL_CLASS",$R307,$S307)))</f>
        <v/>
      </c>
      <c r="AQ307" s="0">
        <f>IF($A307="","",IF(Allocation!$N$2="VOL_EFF",$T307,IF(Allocation!$N$2="VOL_CLASS",$U307,$V307)))</f>
        <v/>
      </c>
      <c r="AR307" s="0">
        <f>IF($A307="","",$AO307*IFERROR($AP307/$AQ307,0)*IFERROR($AE307/$AF307,0)*IFERROR($AC307/$AD307,0))</f>
        <v/>
      </c>
      <c r="AS307" s="0">
        <f>IF($A307="","",$A307&amp;"|"&amp;Allocation!BG307)</f>
        <v/>
      </c>
    </row>
    <row r="308" ht="14.4975" customHeight="1" s="64">
      <c r="A308" s="0">
        <f>IF(Allocation!BI308="","",Allocation!BI308)</f>
        <v/>
      </c>
      <c r="B308" s="0">
        <f>IF(Allocation!BJ308="","",Allocation!BJ308)</f>
        <v/>
      </c>
      <c r="C308" s="0">
        <f>IF(Allocation!BK308="","",Allocation!BK308)</f>
        <v/>
      </c>
      <c r="D308" s="0">
        <f>IF(Allocation!BL308="","",Allocation!BL308)</f>
        <v/>
      </c>
      <c r="E308" s="0">
        <f>IF(Allocation!BM308="","",Allocation!BM308)</f>
        <v/>
      </c>
      <c r="F308" s="0">
        <f>IF(Allocation!BN308="","",Allocation!BN308)</f>
        <v/>
      </c>
      <c r="G308" s="0">
        <f>IF(Allocation!BO308="","",Allocation!BO308)</f>
        <v/>
      </c>
      <c r="H308" s="0">
        <f>IF(Allocation!BP308="","",Allocation!BP308)</f>
        <v/>
      </c>
      <c r="I308" s="0">
        <f>IF(Allocation!BQ308="","",Allocation!BQ308)</f>
        <v/>
      </c>
      <c r="J308" s="0">
        <f>IF(Allocation!CC308="","",Allocation!CC308)</f>
        <v/>
      </c>
      <c r="K308" s="0">
        <f>IF($A308="","",$H308*IF(AND(LEFT($D308,3)="BAC",$F308="INIT"),600,IF(LEFT($D308,3)="BAC",480,IF(AND(LEFT($D308,3)="MAS",$F308="INIT"),520,IF(LEFT($D308,3)="MAS",420,IF($F308="INIT",1000,700))))))</f>
        <v/>
      </c>
      <c r="L308" s="0">
        <f>IF($A308="","",SUMIFS($G$1:$G$349,$AS$1:$AS$349,$AS308,$B$1:$B$349,$B308))</f>
        <v/>
      </c>
      <c r="M308" s="0">
        <f>IF($A308="","",SUMIFS($H$1:$H$349,$AS$1:$AS$349,$AS308,$B$1:$B$349,$B308))</f>
        <v/>
      </c>
      <c r="N308" s="0">
        <f>IF($A308="","",SUMIFS($I$1:$I$349,$AS$1:$AS$349,$AS308,$B$1:$B$349,$B308))</f>
        <v/>
      </c>
      <c r="O308" s="0">
        <f>IF($A308="","",SUMIFS($K$1:$K$349,$AS$1:$AS$349,$AS308,$B$1:$B$349,$B308))</f>
        <v/>
      </c>
      <c r="P308" s="0">
        <f>IF($A308="","",SUMIFS($J$1:$J$349,$AS$1:$AS$349,$AS308,$B$1:$B$349,$B308))</f>
        <v/>
      </c>
      <c r="Q308" s="0">
        <f>IF($A308="","",SUMIFS($G$1:$G$349,$AS$1:$AS$349,$AS308,$C$1:$C$349,$C308))</f>
        <v/>
      </c>
      <c r="R308" s="0">
        <f>IF($A308="","",SUMIFS($H$1:$H$349,$AS$1:$AS$349,$AS308,$C$1:$C$349,$C308))</f>
        <v/>
      </c>
      <c r="S308" s="0">
        <f>IF($A308="","",SUMIFS($I$1:$I$349,$AS$1:$AS$349,$AS308,$C$1:$C$349,$C308))</f>
        <v/>
      </c>
      <c r="T308" s="0">
        <f>IF($A308="","",SUMIFS($G$1:$G$349,$AS$1:$AS$349,$AS308))</f>
        <v/>
      </c>
      <c r="U308" s="0">
        <f>IF($A308="","",SUMIFS($H$1:$H$349,$AS$1:$AS$349,$AS308))</f>
        <v/>
      </c>
      <c r="V308" s="0">
        <f>IF($A308="","",SUMIFS($I$1:$I$349,$AS$1:$AS$349,$AS308))</f>
        <v/>
      </c>
      <c r="W308" s="0">
        <f>IF($A308="","",Allocation!CD308)</f>
        <v/>
      </c>
      <c r="X308" s="0">
        <f>IF($A308="","",Allocation!CE308)</f>
        <v/>
      </c>
      <c r="Y308" s="0">
        <f>IF($A308="","",Allocation!CF308)</f>
        <v/>
      </c>
      <c r="Z308" s="0">
        <f>IF($A308="","",Allocation!CG308)</f>
        <v/>
      </c>
      <c r="AA308" s="0">
        <f>IF($A308="","",Allocation!CH308)</f>
        <v/>
      </c>
      <c r="AB308" s="0">
        <f>IF($A308="","",Allocation!CI308)</f>
        <v/>
      </c>
      <c r="AC308" s="0">
        <f>IF($A308="","",IF(Allocation!$N$4="VOL_EFF",$G308,IF(Allocation!$N$4="VOL_CLASS",$H308,$I308)))</f>
        <v/>
      </c>
      <c r="AD308" s="0">
        <f>IF($A308="","",IF(Allocation!$N$4="VOL_EFF",$L308,IF(Allocation!$N$4="VOL_CLASS",$M308,$N308)))</f>
        <v/>
      </c>
      <c r="AE308" s="0">
        <f>IF($A308="","",IF(Allocation!$N$3="VOL_EFF",$L308,IF(Allocation!$N$3="VOL_CLASS",$M308,$N308)))</f>
        <v/>
      </c>
      <c r="AF308" s="0">
        <f>IF($A308="","",IF(Allocation!$N$3="VOL_EFF",$Q308,IF(Allocation!$N$3="VOL_CLASS",$R308,$S308)))</f>
        <v/>
      </c>
      <c r="AG308" s="0">
        <f>IF($A308="","",IF(Allocation!$N$1="VOL_EFF",$Q308,IF(Allocation!$N$1="VOL_CLASS",$R308,$S308)))</f>
        <v/>
      </c>
      <c r="AH308" s="0">
        <f>IF($A308="","",IF(Allocation!$N$1="VOL_EFF",$T308,IF(Allocation!$N$1="VOL_CLASS",$U308,$V308)))</f>
        <v/>
      </c>
      <c r="AI308" s="0">
        <f>IF($A308="","",$W308*IFERROR($K308/$O308,0))</f>
        <v/>
      </c>
      <c r="AJ308" s="0">
        <f>IF($A308="","",$X308*IFERROR($K308/$O308,0))</f>
        <v/>
      </c>
      <c r="AK308" s="0">
        <f>IF($A308="","",$Y308*IFERROR($G308/$L308,0)+$Z308*IFERROR($J308/$P308,0))</f>
        <v/>
      </c>
      <c r="AL308" s="0">
        <f>IF($A308="","",$AA308*IFERROR($AC308/$AD308,0))</f>
        <v/>
      </c>
      <c r="AM308" s="0">
        <f>IF($A308="","",$AB308*IFERROR($AG308/$AH308,0)*IFERROR($AE308/$AF308,0)*IFERROR($AC308/$AD308,0))</f>
        <v/>
      </c>
      <c r="AN308" s="0">
        <f>IF($A308="","",$I308-($AI308+$AJ308+$AK308+$AL308+$AM308+$AR308))</f>
        <v/>
      </c>
      <c r="AO308" s="0">
        <f>IF($A308="","",Allocation!CJ308)</f>
        <v/>
      </c>
      <c r="AP308" s="0">
        <f>IF($A308="","",IF(Allocation!$N$2="VOL_EFF",$Q308,IF(Allocation!$N$2="VOL_CLASS",$R308,$S308)))</f>
        <v/>
      </c>
      <c r="AQ308" s="0">
        <f>IF($A308="","",IF(Allocation!$N$2="VOL_EFF",$T308,IF(Allocation!$N$2="VOL_CLASS",$U308,$V308)))</f>
        <v/>
      </c>
      <c r="AR308" s="0">
        <f>IF($A308="","",$AO308*IFERROR($AP308/$AQ308,0)*IFERROR($AE308/$AF308,0)*IFERROR($AC308/$AD308,0))</f>
        <v/>
      </c>
      <c r="AS308" s="0">
        <f>IF($A308="","",$A308&amp;"|"&amp;Allocation!BG308)</f>
        <v/>
      </c>
    </row>
    <row r="309" ht="14.4975" customHeight="1" s="64">
      <c r="A309" s="0">
        <f>IF(Allocation!BI309="","",Allocation!BI309)</f>
        <v/>
      </c>
      <c r="B309" s="0">
        <f>IF(Allocation!BJ309="","",Allocation!BJ309)</f>
        <v/>
      </c>
      <c r="C309" s="0">
        <f>IF(Allocation!BK309="","",Allocation!BK309)</f>
        <v/>
      </c>
      <c r="D309" s="0">
        <f>IF(Allocation!BL309="","",Allocation!BL309)</f>
        <v/>
      </c>
      <c r="E309" s="0">
        <f>IF(Allocation!BM309="","",Allocation!BM309)</f>
        <v/>
      </c>
      <c r="F309" s="0">
        <f>IF(Allocation!BN309="","",Allocation!BN309)</f>
        <v/>
      </c>
      <c r="G309" s="0">
        <f>IF(Allocation!BO309="","",Allocation!BO309)</f>
        <v/>
      </c>
      <c r="H309" s="0">
        <f>IF(Allocation!BP309="","",Allocation!BP309)</f>
        <v/>
      </c>
      <c r="I309" s="0">
        <f>IF(Allocation!BQ309="","",Allocation!BQ309)</f>
        <v/>
      </c>
      <c r="J309" s="0">
        <f>IF(Allocation!CC309="","",Allocation!CC309)</f>
        <v/>
      </c>
      <c r="K309" s="0">
        <f>IF($A309="","",$H309*IF(AND(LEFT($D309,3)="BAC",$F309="INIT"),600,IF(LEFT($D309,3)="BAC",480,IF(AND(LEFT($D309,3)="MAS",$F309="INIT"),520,IF(LEFT($D309,3)="MAS",420,IF($F309="INIT",1000,700))))))</f>
        <v/>
      </c>
      <c r="L309" s="0">
        <f>IF($A309="","",SUMIFS($G$1:$G$349,$AS$1:$AS$349,$AS309,$B$1:$B$349,$B309))</f>
        <v/>
      </c>
      <c r="M309" s="0">
        <f>IF($A309="","",SUMIFS($H$1:$H$349,$AS$1:$AS$349,$AS309,$B$1:$B$349,$B309))</f>
        <v/>
      </c>
      <c r="N309" s="0">
        <f>IF($A309="","",SUMIFS($I$1:$I$349,$AS$1:$AS$349,$AS309,$B$1:$B$349,$B309))</f>
        <v/>
      </c>
      <c r="O309" s="0">
        <f>IF($A309="","",SUMIFS($K$1:$K$349,$AS$1:$AS$349,$AS309,$B$1:$B$349,$B309))</f>
        <v/>
      </c>
      <c r="P309" s="0">
        <f>IF($A309="","",SUMIFS($J$1:$J$349,$AS$1:$AS$349,$AS309,$B$1:$B$349,$B309))</f>
        <v/>
      </c>
      <c r="Q309" s="0">
        <f>IF($A309="","",SUMIFS($G$1:$G$349,$AS$1:$AS$349,$AS309,$C$1:$C$349,$C309))</f>
        <v/>
      </c>
      <c r="R309" s="0">
        <f>IF($A309="","",SUMIFS($H$1:$H$349,$AS$1:$AS$349,$AS309,$C$1:$C$349,$C309))</f>
        <v/>
      </c>
      <c r="S309" s="0">
        <f>IF($A309="","",SUMIFS($I$1:$I$349,$AS$1:$AS$349,$AS309,$C$1:$C$349,$C309))</f>
        <v/>
      </c>
      <c r="T309" s="0">
        <f>IF($A309="","",SUMIFS($G$1:$G$349,$AS$1:$AS$349,$AS309))</f>
        <v/>
      </c>
      <c r="U309" s="0">
        <f>IF($A309="","",SUMIFS($H$1:$H$349,$AS$1:$AS$349,$AS309))</f>
        <v/>
      </c>
      <c r="V309" s="0">
        <f>IF($A309="","",SUMIFS($I$1:$I$349,$AS$1:$AS$349,$AS309))</f>
        <v/>
      </c>
      <c r="W309" s="0">
        <f>IF($A309="","",Allocation!CD309)</f>
        <v/>
      </c>
      <c r="X309" s="0">
        <f>IF($A309="","",Allocation!CE309)</f>
        <v/>
      </c>
      <c r="Y309" s="0">
        <f>IF($A309="","",Allocation!CF309)</f>
        <v/>
      </c>
      <c r="Z309" s="0">
        <f>IF($A309="","",Allocation!CG309)</f>
        <v/>
      </c>
      <c r="AA309" s="0">
        <f>IF($A309="","",Allocation!CH309)</f>
        <v/>
      </c>
      <c r="AB309" s="0">
        <f>IF($A309="","",Allocation!CI309)</f>
        <v/>
      </c>
      <c r="AC309" s="0">
        <f>IF($A309="","",IF(Allocation!$N$4="VOL_EFF",$G309,IF(Allocation!$N$4="VOL_CLASS",$H309,$I309)))</f>
        <v/>
      </c>
      <c r="AD309" s="0">
        <f>IF($A309="","",IF(Allocation!$N$4="VOL_EFF",$L309,IF(Allocation!$N$4="VOL_CLASS",$M309,$N309)))</f>
        <v/>
      </c>
      <c r="AE309" s="0">
        <f>IF($A309="","",IF(Allocation!$N$3="VOL_EFF",$L309,IF(Allocation!$N$3="VOL_CLASS",$M309,$N309)))</f>
        <v/>
      </c>
      <c r="AF309" s="0">
        <f>IF($A309="","",IF(Allocation!$N$3="VOL_EFF",$Q309,IF(Allocation!$N$3="VOL_CLASS",$R309,$S309)))</f>
        <v/>
      </c>
      <c r="AG309" s="0">
        <f>IF($A309="","",IF(Allocation!$N$1="VOL_EFF",$Q309,IF(Allocation!$N$1="VOL_CLASS",$R309,$S309)))</f>
        <v/>
      </c>
      <c r="AH309" s="0">
        <f>IF($A309="","",IF(Allocation!$N$1="VOL_EFF",$T309,IF(Allocation!$N$1="VOL_CLASS",$U309,$V309)))</f>
        <v/>
      </c>
      <c r="AI309" s="0">
        <f>IF($A309="","",$W309*IFERROR($K309/$O309,0))</f>
        <v/>
      </c>
      <c r="AJ309" s="0">
        <f>IF($A309="","",$X309*IFERROR($K309/$O309,0))</f>
        <v/>
      </c>
      <c r="AK309" s="0">
        <f>IF($A309="","",$Y309*IFERROR($G309/$L309,0)+$Z309*IFERROR($J309/$P309,0))</f>
        <v/>
      </c>
      <c r="AL309" s="0">
        <f>IF($A309="","",$AA309*IFERROR($AC309/$AD309,0))</f>
        <v/>
      </c>
      <c r="AM309" s="0">
        <f>IF($A309="","",$AB309*IFERROR($AG309/$AH309,0)*IFERROR($AE309/$AF309,0)*IFERROR($AC309/$AD309,0))</f>
        <v/>
      </c>
      <c r="AN309" s="0">
        <f>IF($A309="","",$I309-($AI309+$AJ309+$AK309+$AL309+$AM309+$AR309))</f>
        <v/>
      </c>
      <c r="AO309" s="0">
        <f>IF($A309="","",Allocation!CJ309)</f>
        <v/>
      </c>
      <c r="AP309" s="0">
        <f>IF($A309="","",IF(Allocation!$N$2="VOL_EFF",$Q309,IF(Allocation!$N$2="VOL_CLASS",$R309,$S309)))</f>
        <v/>
      </c>
      <c r="AQ309" s="0">
        <f>IF($A309="","",IF(Allocation!$N$2="VOL_EFF",$T309,IF(Allocation!$N$2="VOL_CLASS",$U309,$V309)))</f>
        <v/>
      </c>
      <c r="AR309" s="0">
        <f>IF($A309="","",$AO309*IFERROR($AP309/$AQ309,0)*IFERROR($AE309/$AF309,0)*IFERROR($AC309/$AD309,0))</f>
        <v/>
      </c>
      <c r="AS309" s="0">
        <f>IF($A309="","",$A309&amp;"|"&amp;Allocation!BG309)</f>
        <v/>
      </c>
    </row>
    <row r="310" ht="14.4975" customHeight="1" s="64">
      <c r="A310" s="0">
        <f>IF(Allocation!BI310="","",Allocation!BI310)</f>
        <v/>
      </c>
      <c r="B310" s="0">
        <f>IF(Allocation!BJ310="","",Allocation!BJ310)</f>
        <v/>
      </c>
      <c r="C310" s="0">
        <f>IF(Allocation!BK310="","",Allocation!BK310)</f>
        <v/>
      </c>
      <c r="D310" s="0">
        <f>IF(Allocation!BL310="","",Allocation!BL310)</f>
        <v/>
      </c>
      <c r="E310" s="0">
        <f>IF(Allocation!BM310="","",Allocation!BM310)</f>
        <v/>
      </c>
      <c r="F310" s="0">
        <f>IF(Allocation!BN310="","",Allocation!BN310)</f>
        <v/>
      </c>
      <c r="G310" s="0">
        <f>IF(Allocation!BO310="","",Allocation!BO310)</f>
        <v/>
      </c>
      <c r="H310" s="0">
        <f>IF(Allocation!BP310="","",Allocation!BP310)</f>
        <v/>
      </c>
      <c r="I310" s="0">
        <f>IF(Allocation!BQ310="","",Allocation!BQ310)</f>
        <v/>
      </c>
      <c r="J310" s="0">
        <f>IF(Allocation!CC310="","",Allocation!CC310)</f>
        <v/>
      </c>
      <c r="K310" s="0">
        <f>IF($A310="","",$H310*IF(AND(LEFT($D310,3)="BAC",$F310="INIT"),600,IF(LEFT($D310,3)="BAC",480,IF(AND(LEFT($D310,3)="MAS",$F310="INIT"),520,IF(LEFT($D310,3)="MAS",420,IF($F310="INIT",1000,700))))))</f>
        <v/>
      </c>
      <c r="L310" s="0">
        <f>IF($A310="","",SUMIFS($G$1:$G$349,$AS$1:$AS$349,$AS310,$B$1:$B$349,$B310))</f>
        <v/>
      </c>
      <c r="M310" s="0">
        <f>IF($A310="","",SUMIFS($H$1:$H$349,$AS$1:$AS$349,$AS310,$B$1:$B$349,$B310))</f>
        <v/>
      </c>
      <c r="N310" s="0">
        <f>IF($A310="","",SUMIFS($I$1:$I$349,$AS$1:$AS$349,$AS310,$B$1:$B$349,$B310))</f>
        <v/>
      </c>
      <c r="O310" s="0">
        <f>IF($A310="","",SUMIFS($K$1:$K$349,$AS$1:$AS$349,$AS310,$B$1:$B$349,$B310))</f>
        <v/>
      </c>
      <c r="P310" s="0">
        <f>IF($A310="","",SUMIFS($J$1:$J$349,$AS$1:$AS$349,$AS310,$B$1:$B$349,$B310))</f>
        <v/>
      </c>
      <c r="Q310" s="0">
        <f>IF($A310="","",SUMIFS($G$1:$G$349,$AS$1:$AS$349,$AS310,$C$1:$C$349,$C310))</f>
        <v/>
      </c>
      <c r="R310" s="0">
        <f>IF($A310="","",SUMIFS($H$1:$H$349,$AS$1:$AS$349,$AS310,$C$1:$C$349,$C310))</f>
        <v/>
      </c>
      <c r="S310" s="0">
        <f>IF($A310="","",SUMIFS($I$1:$I$349,$AS$1:$AS$349,$AS310,$C$1:$C$349,$C310))</f>
        <v/>
      </c>
      <c r="T310" s="0">
        <f>IF($A310="","",SUMIFS($G$1:$G$349,$AS$1:$AS$349,$AS310))</f>
        <v/>
      </c>
      <c r="U310" s="0">
        <f>IF($A310="","",SUMIFS($H$1:$H$349,$AS$1:$AS$349,$AS310))</f>
        <v/>
      </c>
      <c r="V310" s="0">
        <f>IF($A310="","",SUMIFS($I$1:$I$349,$AS$1:$AS$349,$AS310))</f>
        <v/>
      </c>
      <c r="W310" s="0">
        <f>IF($A310="","",Allocation!CD310)</f>
        <v/>
      </c>
      <c r="X310" s="0">
        <f>IF($A310="","",Allocation!CE310)</f>
        <v/>
      </c>
      <c r="Y310" s="0">
        <f>IF($A310="","",Allocation!CF310)</f>
        <v/>
      </c>
      <c r="Z310" s="0">
        <f>IF($A310="","",Allocation!CG310)</f>
        <v/>
      </c>
      <c r="AA310" s="0">
        <f>IF($A310="","",Allocation!CH310)</f>
        <v/>
      </c>
      <c r="AB310" s="0">
        <f>IF($A310="","",Allocation!CI310)</f>
        <v/>
      </c>
      <c r="AC310" s="0">
        <f>IF($A310="","",IF(Allocation!$N$4="VOL_EFF",$G310,IF(Allocation!$N$4="VOL_CLASS",$H310,$I310)))</f>
        <v/>
      </c>
      <c r="AD310" s="0">
        <f>IF($A310="","",IF(Allocation!$N$4="VOL_EFF",$L310,IF(Allocation!$N$4="VOL_CLASS",$M310,$N310)))</f>
        <v/>
      </c>
      <c r="AE310" s="0">
        <f>IF($A310="","",IF(Allocation!$N$3="VOL_EFF",$L310,IF(Allocation!$N$3="VOL_CLASS",$M310,$N310)))</f>
        <v/>
      </c>
      <c r="AF310" s="0">
        <f>IF($A310="","",IF(Allocation!$N$3="VOL_EFF",$Q310,IF(Allocation!$N$3="VOL_CLASS",$R310,$S310)))</f>
        <v/>
      </c>
      <c r="AG310" s="0">
        <f>IF($A310="","",IF(Allocation!$N$1="VOL_EFF",$Q310,IF(Allocation!$N$1="VOL_CLASS",$R310,$S310)))</f>
        <v/>
      </c>
      <c r="AH310" s="0">
        <f>IF($A310="","",IF(Allocation!$N$1="VOL_EFF",$T310,IF(Allocation!$N$1="VOL_CLASS",$U310,$V310)))</f>
        <v/>
      </c>
      <c r="AI310" s="0">
        <f>IF($A310="","",$W310*IFERROR($K310/$O310,0))</f>
        <v/>
      </c>
      <c r="AJ310" s="0">
        <f>IF($A310="","",$X310*IFERROR($K310/$O310,0))</f>
        <v/>
      </c>
      <c r="AK310" s="0">
        <f>IF($A310="","",$Y310*IFERROR($G310/$L310,0)+$Z310*IFERROR($J310/$P310,0))</f>
        <v/>
      </c>
      <c r="AL310" s="0">
        <f>IF($A310="","",$AA310*IFERROR($AC310/$AD310,0))</f>
        <v/>
      </c>
      <c r="AM310" s="0">
        <f>IF($A310="","",$AB310*IFERROR($AG310/$AH310,0)*IFERROR($AE310/$AF310,0)*IFERROR($AC310/$AD310,0))</f>
        <v/>
      </c>
      <c r="AN310" s="0">
        <f>IF($A310="","",$I310-($AI310+$AJ310+$AK310+$AL310+$AM310+$AR310))</f>
        <v/>
      </c>
      <c r="AO310" s="0">
        <f>IF($A310="","",Allocation!CJ310)</f>
        <v/>
      </c>
      <c r="AP310" s="0">
        <f>IF($A310="","",IF(Allocation!$N$2="VOL_EFF",$Q310,IF(Allocation!$N$2="VOL_CLASS",$R310,$S310)))</f>
        <v/>
      </c>
      <c r="AQ310" s="0">
        <f>IF($A310="","",IF(Allocation!$N$2="VOL_EFF",$T310,IF(Allocation!$N$2="VOL_CLASS",$U310,$V310)))</f>
        <v/>
      </c>
      <c r="AR310" s="0">
        <f>IF($A310="","",$AO310*IFERROR($AP310/$AQ310,0)*IFERROR($AE310/$AF310,0)*IFERROR($AC310/$AD310,0))</f>
        <v/>
      </c>
      <c r="AS310" s="0">
        <f>IF($A310="","",$A310&amp;"|"&amp;Allocation!BG310)</f>
        <v/>
      </c>
    </row>
    <row r="311" ht="14.4975" customHeight="1" s="64">
      <c r="A311" s="0">
        <f>IF(Allocation!BI311="","",Allocation!BI311)</f>
        <v/>
      </c>
      <c r="B311" s="0">
        <f>IF(Allocation!BJ311="","",Allocation!BJ311)</f>
        <v/>
      </c>
      <c r="C311" s="0">
        <f>IF(Allocation!BK311="","",Allocation!BK311)</f>
        <v/>
      </c>
      <c r="D311" s="0">
        <f>IF(Allocation!BL311="","",Allocation!BL311)</f>
        <v/>
      </c>
      <c r="E311" s="0">
        <f>IF(Allocation!BM311="","",Allocation!BM311)</f>
        <v/>
      </c>
      <c r="F311" s="0">
        <f>IF(Allocation!BN311="","",Allocation!BN311)</f>
        <v/>
      </c>
      <c r="G311" s="0">
        <f>IF(Allocation!BO311="","",Allocation!BO311)</f>
        <v/>
      </c>
      <c r="H311" s="0">
        <f>IF(Allocation!BP311="","",Allocation!BP311)</f>
        <v/>
      </c>
      <c r="I311" s="0">
        <f>IF(Allocation!BQ311="","",Allocation!BQ311)</f>
        <v/>
      </c>
      <c r="J311" s="0">
        <f>IF(Allocation!CC311="","",Allocation!CC311)</f>
        <v/>
      </c>
      <c r="K311" s="0">
        <f>IF($A311="","",$H311*IF(AND(LEFT($D311,3)="BAC",$F311="INIT"),600,IF(LEFT($D311,3)="BAC",480,IF(AND(LEFT($D311,3)="MAS",$F311="INIT"),520,IF(LEFT($D311,3)="MAS",420,IF($F311="INIT",1000,700))))))</f>
        <v/>
      </c>
      <c r="L311" s="0">
        <f>IF($A311="","",SUMIFS($G$1:$G$349,$AS$1:$AS$349,$AS311,$B$1:$B$349,$B311))</f>
        <v/>
      </c>
      <c r="M311" s="0">
        <f>IF($A311="","",SUMIFS($H$1:$H$349,$AS$1:$AS$349,$AS311,$B$1:$B$349,$B311))</f>
        <v/>
      </c>
      <c r="N311" s="0">
        <f>IF($A311="","",SUMIFS($I$1:$I$349,$AS$1:$AS$349,$AS311,$B$1:$B$349,$B311))</f>
        <v/>
      </c>
      <c r="O311" s="0">
        <f>IF($A311="","",SUMIFS($K$1:$K$349,$AS$1:$AS$349,$AS311,$B$1:$B$349,$B311))</f>
        <v/>
      </c>
      <c r="P311" s="0">
        <f>IF($A311="","",SUMIFS($J$1:$J$349,$AS$1:$AS$349,$AS311,$B$1:$B$349,$B311))</f>
        <v/>
      </c>
      <c r="Q311" s="0">
        <f>IF($A311="","",SUMIFS($G$1:$G$349,$AS$1:$AS$349,$AS311,$C$1:$C$349,$C311))</f>
        <v/>
      </c>
      <c r="R311" s="0">
        <f>IF($A311="","",SUMIFS($H$1:$H$349,$AS$1:$AS$349,$AS311,$C$1:$C$349,$C311))</f>
        <v/>
      </c>
      <c r="S311" s="0">
        <f>IF($A311="","",SUMIFS($I$1:$I$349,$AS$1:$AS$349,$AS311,$C$1:$C$349,$C311))</f>
        <v/>
      </c>
      <c r="T311" s="0">
        <f>IF($A311="","",SUMIFS($G$1:$G$349,$AS$1:$AS$349,$AS311))</f>
        <v/>
      </c>
      <c r="U311" s="0">
        <f>IF($A311="","",SUMIFS($H$1:$H$349,$AS$1:$AS$349,$AS311))</f>
        <v/>
      </c>
      <c r="V311" s="0">
        <f>IF($A311="","",SUMIFS($I$1:$I$349,$AS$1:$AS$349,$AS311))</f>
        <v/>
      </c>
      <c r="W311" s="0">
        <f>IF($A311="","",Allocation!CD311)</f>
        <v/>
      </c>
      <c r="X311" s="0">
        <f>IF($A311="","",Allocation!CE311)</f>
        <v/>
      </c>
      <c r="Y311" s="0">
        <f>IF($A311="","",Allocation!CF311)</f>
        <v/>
      </c>
      <c r="Z311" s="0">
        <f>IF($A311="","",Allocation!CG311)</f>
        <v/>
      </c>
      <c r="AA311" s="0">
        <f>IF($A311="","",Allocation!CH311)</f>
        <v/>
      </c>
      <c r="AB311" s="0">
        <f>IF($A311="","",Allocation!CI311)</f>
        <v/>
      </c>
      <c r="AC311" s="0">
        <f>IF($A311="","",IF(Allocation!$N$4="VOL_EFF",$G311,IF(Allocation!$N$4="VOL_CLASS",$H311,$I311)))</f>
        <v/>
      </c>
      <c r="AD311" s="0">
        <f>IF($A311="","",IF(Allocation!$N$4="VOL_EFF",$L311,IF(Allocation!$N$4="VOL_CLASS",$M311,$N311)))</f>
        <v/>
      </c>
      <c r="AE311" s="0">
        <f>IF($A311="","",IF(Allocation!$N$3="VOL_EFF",$L311,IF(Allocation!$N$3="VOL_CLASS",$M311,$N311)))</f>
        <v/>
      </c>
      <c r="AF311" s="0">
        <f>IF($A311="","",IF(Allocation!$N$3="VOL_EFF",$Q311,IF(Allocation!$N$3="VOL_CLASS",$R311,$S311)))</f>
        <v/>
      </c>
      <c r="AG311" s="0">
        <f>IF($A311="","",IF(Allocation!$N$1="VOL_EFF",$Q311,IF(Allocation!$N$1="VOL_CLASS",$R311,$S311)))</f>
        <v/>
      </c>
      <c r="AH311" s="0">
        <f>IF($A311="","",IF(Allocation!$N$1="VOL_EFF",$T311,IF(Allocation!$N$1="VOL_CLASS",$U311,$V311)))</f>
        <v/>
      </c>
      <c r="AI311" s="0">
        <f>IF($A311="","",$W311*IFERROR($K311/$O311,0))</f>
        <v/>
      </c>
      <c r="AJ311" s="0">
        <f>IF($A311="","",$X311*IFERROR($K311/$O311,0))</f>
        <v/>
      </c>
      <c r="AK311" s="0">
        <f>IF($A311="","",$Y311*IFERROR($G311/$L311,0)+$Z311*IFERROR($J311/$P311,0))</f>
        <v/>
      </c>
      <c r="AL311" s="0">
        <f>IF($A311="","",$AA311*IFERROR($AC311/$AD311,0))</f>
        <v/>
      </c>
      <c r="AM311" s="0">
        <f>IF($A311="","",$AB311*IFERROR($AG311/$AH311,0)*IFERROR($AE311/$AF311,0)*IFERROR($AC311/$AD311,0))</f>
        <v/>
      </c>
      <c r="AN311" s="0">
        <f>IF($A311="","",$I311-($AI311+$AJ311+$AK311+$AL311+$AM311+$AR311))</f>
        <v/>
      </c>
      <c r="AO311" s="0">
        <f>IF($A311="","",Allocation!CJ311)</f>
        <v/>
      </c>
      <c r="AP311" s="0">
        <f>IF($A311="","",IF(Allocation!$N$2="VOL_EFF",$Q311,IF(Allocation!$N$2="VOL_CLASS",$R311,$S311)))</f>
        <v/>
      </c>
      <c r="AQ311" s="0">
        <f>IF($A311="","",IF(Allocation!$N$2="VOL_EFF",$T311,IF(Allocation!$N$2="VOL_CLASS",$U311,$V311)))</f>
        <v/>
      </c>
      <c r="AR311" s="0">
        <f>IF($A311="","",$AO311*IFERROR($AP311/$AQ311,0)*IFERROR($AE311/$AF311,0)*IFERROR($AC311/$AD311,0))</f>
        <v/>
      </c>
      <c r="AS311" s="0">
        <f>IF($A311="","",$A311&amp;"|"&amp;Allocation!BG311)</f>
        <v/>
      </c>
    </row>
    <row r="312" ht="14.4975" customHeight="1" s="64">
      <c r="A312" s="0">
        <f>IF(Allocation!BI312="","",Allocation!BI312)</f>
        <v/>
      </c>
      <c r="B312" s="0">
        <f>IF(Allocation!BJ312="","",Allocation!BJ312)</f>
        <v/>
      </c>
      <c r="C312" s="0">
        <f>IF(Allocation!BK312="","",Allocation!BK312)</f>
        <v/>
      </c>
      <c r="D312" s="0">
        <f>IF(Allocation!BL312="","",Allocation!BL312)</f>
        <v/>
      </c>
      <c r="E312" s="0">
        <f>IF(Allocation!BM312="","",Allocation!BM312)</f>
        <v/>
      </c>
      <c r="F312" s="0">
        <f>IF(Allocation!BN312="","",Allocation!BN312)</f>
        <v/>
      </c>
      <c r="G312" s="0">
        <f>IF(Allocation!BO312="","",Allocation!BO312)</f>
        <v/>
      </c>
      <c r="H312" s="0">
        <f>IF(Allocation!BP312="","",Allocation!BP312)</f>
        <v/>
      </c>
      <c r="I312" s="0">
        <f>IF(Allocation!BQ312="","",Allocation!BQ312)</f>
        <v/>
      </c>
      <c r="J312" s="0">
        <f>IF(Allocation!CC312="","",Allocation!CC312)</f>
        <v/>
      </c>
      <c r="K312" s="0">
        <f>IF($A312="","",$H312*IF(AND(LEFT($D312,3)="BAC",$F312="INIT"),600,IF(LEFT($D312,3)="BAC",480,IF(AND(LEFT($D312,3)="MAS",$F312="INIT"),520,IF(LEFT($D312,3)="MAS",420,IF($F312="INIT",1000,700))))))</f>
        <v/>
      </c>
      <c r="L312" s="0">
        <f>IF($A312="","",SUMIFS($G$1:$G$349,$AS$1:$AS$349,$AS312,$B$1:$B$349,$B312))</f>
        <v/>
      </c>
      <c r="M312" s="0">
        <f>IF($A312="","",SUMIFS($H$1:$H$349,$AS$1:$AS$349,$AS312,$B$1:$B$349,$B312))</f>
        <v/>
      </c>
      <c r="N312" s="0">
        <f>IF($A312="","",SUMIFS($I$1:$I$349,$AS$1:$AS$349,$AS312,$B$1:$B$349,$B312))</f>
        <v/>
      </c>
      <c r="O312" s="0">
        <f>IF($A312="","",SUMIFS($K$1:$K$349,$AS$1:$AS$349,$AS312,$B$1:$B$349,$B312))</f>
        <v/>
      </c>
      <c r="P312" s="0">
        <f>IF($A312="","",SUMIFS($J$1:$J$349,$AS$1:$AS$349,$AS312,$B$1:$B$349,$B312))</f>
        <v/>
      </c>
      <c r="Q312" s="0">
        <f>IF($A312="","",SUMIFS($G$1:$G$349,$AS$1:$AS$349,$AS312,$C$1:$C$349,$C312))</f>
        <v/>
      </c>
      <c r="R312" s="0">
        <f>IF($A312="","",SUMIFS($H$1:$H$349,$AS$1:$AS$349,$AS312,$C$1:$C$349,$C312))</f>
        <v/>
      </c>
      <c r="S312" s="0">
        <f>IF($A312="","",SUMIFS($I$1:$I$349,$AS$1:$AS$349,$AS312,$C$1:$C$349,$C312))</f>
        <v/>
      </c>
      <c r="T312" s="0">
        <f>IF($A312="","",SUMIFS($G$1:$G$349,$AS$1:$AS$349,$AS312))</f>
        <v/>
      </c>
      <c r="U312" s="0">
        <f>IF($A312="","",SUMIFS($H$1:$H$349,$AS$1:$AS$349,$AS312))</f>
        <v/>
      </c>
      <c r="V312" s="0">
        <f>IF($A312="","",SUMIFS($I$1:$I$349,$AS$1:$AS$349,$AS312))</f>
        <v/>
      </c>
      <c r="W312" s="0">
        <f>IF($A312="","",Allocation!CD312)</f>
        <v/>
      </c>
      <c r="X312" s="0">
        <f>IF($A312="","",Allocation!CE312)</f>
        <v/>
      </c>
      <c r="Y312" s="0">
        <f>IF($A312="","",Allocation!CF312)</f>
        <v/>
      </c>
      <c r="Z312" s="0">
        <f>IF($A312="","",Allocation!CG312)</f>
        <v/>
      </c>
      <c r="AA312" s="0">
        <f>IF($A312="","",Allocation!CH312)</f>
        <v/>
      </c>
      <c r="AB312" s="0">
        <f>IF($A312="","",Allocation!CI312)</f>
        <v/>
      </c>
      <c r="AC312" s="0">
        <f>IF($A312="","",IF(Allocation!$N$4="VOL_EFF",$G312,IF(Allocation!$N$4="VOL_CLASS",$H312,$I312)))</f>
        <v/>
      </c>
      <c r="AD312" s="0">
        <f>IF($A312="","",IF(Allocation!$N$4="VOL_EFF",$L312,IF(Allocation!$N$4="VOL_CLASS",$M312,$N312)))</f>
        <v/>
      </c>
      <c r="AE312" s="0">
        <f>IF($A312="","",IF(Allocation!$N$3="VOL_EFF",$L312,IF(Allocation!$N$3="VOL_CLASS",$M312,$N312)))</f>
        <v/>
      </c>
      <c r="AF312" s="0">
        <f>IF($A312="","",IF(Allocation!$N$3="VOL_EFF",$Q312,IF(Allocation!$N$3="VOL_CLASS",$R312,$S312)))</f>
        <v/>
      </c>
      <c r="AG312" s="0">
        <f>IF($A312="","",IF(Allocation!$N$1="VOL_EFF",$Q312,IF(Allocation!$N$1="VOL_CLASS",$R312,$S312)))</f>
        <v/>
      </c>
      <c r="AH312" s="0">
        <f>IF($A312="","",IF(Allocation!$N$1="VOL_EFF",$T312,IF(Allocation!$N$1="VOL_CLASS",$U312,$V312)))</f>
        <v/>
      </c>
      <c r="AI312" s="0">
        <f>IF($A312="","",$W312*IFERROR($K312/$O312,0))</f>
        <v/>
      </c>
      <c r="AJ312" s="0">
        <f>IF($A312="","",$X312*IFERROR($K312/$O312,0))</f>
        <v/>
      </c>
      <c r="AK312" s="0">
        <f>IF($A312="","",$Y312*IFERROR($G312/$L312,0)+$Z312*IFERROR($J312/$P312,0))</f>
        <v/>
      </c>
      <c r="AL312" s="0">
        <f>IF($A312="","",$AA312*IFERROR($AC312/$AD312,0))</f>
        <v/>
      </c>
      <c r="AM312" s="0">
        <f>IF($A312="","",$AB312*IFERROR($AG312/$AH312,0)*IFERROR($AE312/$AF312,0)*IFERROR($AC312/$AD312,0))</f>
        <v/>
      </c>
      <c r="AN312" s="0">
        <f>IF($A312="","",$I312-($AI312+$AJ312+$AK312+$AL312+$AM312+$AR312))</f>
        <v/>
      </c>
      <c r="AO312" s="0">
        <f>IF($A312="","",Allocation!CJ312)</f>
        <v/>
      </c>
      <c r="AP312" s="0">
        <f>IF($A312="","",IF(Allocation!$N$2="VOL_EFF",$Q312,IF(Allocation!$N$2="VOL_CLASS",$R312,$S312)))</f>
        <v/>
      </c>
      <c r="AQ312" s="0">
        <f>IF($A312="","",IF(Allocation!$N$2="VOL_EFF",$T312,IF(Allocation!$N$2="VOL_CLASS",$U312,$V312)))</f>
        <v/>
      </c>
      <c r="AR312" s="0">
        <f>IF($A312="","",$AO312*IFERROR($AP312/$AQ312,0)*IFERROR($AE312/$AF312,0)*IFERROR($AC312/$AD312,0))</f>
        <v/>
      </c>
      <c r="AS312" s="0">
        <f>IF($A312="","",$A312&amp;"|"&amp;Allocation!BG312)</f>
        <v/>
      </c>
    </row>
    <row r="313" ht="14.4975" customHeight="1" s="64">
      <c r="A313" s="0">
        <f>IF(Allocation!BI313="","",Allocation!BI313)</f>
        <v/>
      </c>
      <c r="B313" s="0">
        <f>IF(Allocation!BJ313="","",Allocation!BJ313)</f>
        <v/>
      </c>
      <c r="C313" s="0">
        <f>IF(Allocation!BK313="","",Allocation!BK313)</f>
        <v/>
      </c>
      <c r="D313" s="0">
        <f>IF(Allocation!BL313="","",Allocation!BL313)</f>
        <v/>
      </c>
      <c r="E313" s="0">
        <f>IF(Allocation!BM313="","",Allocation!BM313)</f>
        <v/>
      </c>
      <c r="F313" s="0">
        <f>IF(Allocation!BN313="","",Allocation!BN313)</f>
        <v/>
      </c>
      <c r="G313" s="0">
        <f>IF(Allocation!BO313="","",Allocation!BO313)</f>
        <v/>
      </c>
      <c r="H313" s="0">
        <f>IF(Allocation!BP313="","",Allocation!BP313)</f>
        <v/>
      </c>
      <c r="I313" s="0">
        <f>IF(Allocation!BQ313="","",Allocation!BQ313)</f>
        <v/>
      </c>
      <c r="J313" s="0">
        <f>IF(Allocation!CC313="","",Allocation!CC313)</f>
        <v/>
      </c>
      <c r="K313" s="0">
        <f>IF($A313="","",$H313*IF(AND(LEFT($D313,3)="BAC",$F313="INIT"),600,IF(LEFT($D313,3)="BAC",480,IF(AND(LEFT($D313,3)="MAS",$F313="INIT"),520,IF(LEFT($D313,3)="MAS",420,IF($F313="INIT",1000,700))))))</f>
        <v/>
      </c>
      <c r="L313" s="0">
        <f>IF($A313="","",SUMIFS($G$1:$G$349,$AS$1:$AS$349,$AS313,$B$1:$B$349,$B313))</f>
        <v/>
      </c>
      <c r="M313" s="0">
        <f>IF($A313="","",SUMIFS($H$1:$H$349,$AS$1:$AS$349,$AS313,$B$1:$B$349,$B313))</f>
        <v/>
      </c>
      <c r="N313" s="0">
        <f>IF($A313="","",SUMIFS($I$1:$I$349,$AS$1:$AS$349,$AS313,$B$1:$B$349,$B313))</f>
        <v/>
      </c>
      <c r="O313" s="0">
        <f>IF($A313="","",SUMIFS($K$1:$K$349,$AS$1:$AS$349,$AS313,$B$1:$B$349,$B313))</f>
        <v/>
      </c>
      <c r="P313" s="0">
        <f>IF($A313="","",SUMIFS($J$1:$J$349,$AS$1:$AS$349,$AS313,$B$1:$B$349,$B313))</f>
        <v/>
      </c>
      <c r="Q313" s="0">
        <f>IF($A313="","",SUMIFS($G$1:$G$349,$AS$1:$AS$349,$AS313,$C$1:$C$349,$C313))</f>
        <v/>
      </c>
      <c r="R313" s="0">
        <f>IF($A313="","",SUMIFS($H$1:$H$349,$AS$1:$AS$349,$AS313,$C$1:$C$349,$C313))</f>
        <v/>
      </c>
      <c r="S313" s="0">
        <f>IF($A313="","",SUMIFS($I$1:$I$349,$AS$1:$AS$349,$AS313,$C$1:$C$349,$C313))</f>
        <v/>
      </c>
      <c r="T313" s="0">
        <f>IF($A313="","",SUMIFS($G$1:$G$349,$AS$1:$AS$349,$AS313))</f>
        <v/>
      </c>
      <c r="U313" s="0">
        <f>IF($A313="","",SUMIFS($H$1:$H$349,$AS$1:$AS$349,$AS313))</f>
        <v/>
      </c>
      <c r="V313" s="0">
        <f>IF($A313="","",SUMIFS($I$1:$I$349,$AS$1:$AS$349,$AS313))</f>
        <v/>
      </c>
      <c r="W313" s="0">
        <f>IF($A313="","",Allocation!CD313)</f>
        <v/>
      </c>
      <c r="X313" s="0">
        <f>IF($A313="","",Allocation!CE313)</f>
        <v/>
      </c>
      <c r="Y313" s="0">
        <f>IF($A313="","",Allocation!CF313)</f>
        <v/>
      </c>
      <c r="Z313" s="0">
        <f>IF($A313="","",Allocation!CG313)</f>
        <v/>
      </c>
      <c r="AA313" s="0">
        <f>IF($A313="","",Allocation!CH313)</f>
        <v/>
      </c>
      <c r="AB313" s="0">
        <f>IF($A313="","",Allocation!CI313)</f>
        <v/>
      </c>
      <c r="AC313" s="0">
        <f>IF($A313="","",IF(Allocation!$N$4="VOL_EFF",$G313,IF(Allocation!$N$4="VOL_CLASS",$H313,$I313)))</f>
        <v/>
      </c>
      <c r="AD313" s="0">
        <f>IF($A313="","",IF(Allocation!$N$4="VOL_EFF",$L313,IF(Allocation!$N$4="VOL_CLASS",$M313,$N313)))</f>
        <v/>
      </c>
      <c r="AE313" s="0">
        <f>IF($A313="","",IF(Allocation!$N$3="VOL_EFF",$L313,IF(Allocation!$N$3="VOL_CLASS",$M313,$N313)))</f>
        <v/>
      </c>
      <c r="AF313" s="0">
        <f>IF($A313="","",IF(Allocation!$N$3="VOL_EFF",$Q313,IF(Allocation!$N$3="VOL_CLASS",$R313,$S313)))</f>
        <v/>
      </c>
      <c r="AG313" s="0">
        <f>IF($A313="","",IF(Allocation!$N$1="VOL_EFF",$Q313,IF(Allocation!$N$1="VOL_CLASS",$R313,$S313)))</f>
        <v/>
      </c>
      <c r="AH313" s="0">
        <f>IF($A313="","",IF(Allocation!$N$1="VOL_EFF",$T313,IF(Allocation!$N$1="VOL_CLASS",$U313,$V313)))</f>
        <v/>
      </c>
      <c r="AI313" s="0">
        <f>IF($A313="","",$W313*IFERROR($K313/$O313,0))</f>
        <v/>
      </c>
      <c r="AJ313" s="0">
        <f>IF($A313="","",$X313*IFERROR($K313/$O313,0))</f>
        <v/>
      </c>
      <c r="AK313" s="0">
        <f>IF($A313="","",$Y313*IFERROR($G313/$L313,0)+$Z313*IFERROR($J313/$P313,0))</f>
        <v/>
      </c>
      <c r="AL313" s="0">
        <f>IF($A313="","",$AA313*IFERROR($AC313/$AD313,0))</f>
        <v/>
      </c>
      <c r="AM313" s="0">
        <f>IF($A313="","",$AB313*IFERROR($AG313/$AH313,0)*IFERROR($AE313/$AF313,0)*IFERROR($AC313/$AD313,0))</f>
        <v/>
      </c>
      <c r="AN313" s="0">
        <f>IF($A313="","",$I313-($AI313+$AJ313+$AK313+$AL313+$AM313+$AR313))</f>
        <v/>
      </c>
      <c r="AO313" s="0">
        <f>IF($A313="","",Allocation!CJ313)</f>
        <v/>
      </c>
      <c r="AP313" s="0">
        <f>IF($A313="","",IF(Allocation!$N$2="VOL_EFF",$Q313,IF(Allocation!$N$2="VOL_CLASS",$R313,$S313)))</f>
        <v/>
      </c>
      <c r="AQ313" s="0">
        <f>IF($A313="","",IF(Allocation!$N$2="VOL_EFF",$T313,IF(Allocation!$N$2="VOL_CLASS",$U313,$V313)))</f>
        <v/>
      </c>
      <c r="AR313" s="0">
        <f>IF($A313="","",$AO313*IFERROR($AP313/$AQ313,0)*IFERROR($AE313/$AF313,0)*IFERROR($AC313/$AD313,0))</f>
        <v/>
      </c>
      <c r="AS313" s="0">
        <f>IF($A313="","",$A313&amp;"|"&amp;Allocation!BG313)</f>
        <v/>
      </c>
    </row>
    <row r="314" ht="14.4975" customHeight="1" s="64">
      <c r="A314" s="0">
        <f>IF(Allocation!BI314="","",Allocation!BI314)</f>
        <v/>
      </c>
      <c r="B314" s="0">
        <f>IF(Allocation!BJ314="","",Allocation!BJ314)</f>
        <v/>
      </c>
      <c r="C314" s="0">
        <f>IF(Allocation!BK314="","",Allocation!BK314)</f>
        <v/>
      </c>
      <c r="D314" s="0">
        <f>IF(Allocation!BL314="","",Allocation!BL314)</f>
        <v/>
      </c>
      <c r="E314" s="0">
        <f>IF(Allocation!BM314="","",Allocation!BM314)</f>
        <v/>
      </c>
      <c r="F314" s="0">
        <f>IF(Allocation!BN314="","",Allocation!BN314)</f>
        <v/>
      </c>
      <c r="G314" s="0">
        <f>IF(Allocation!BO314="","",Allocation!BO314)</f>
        <v/>
      </c>
      <c r="H314" s="0">
        <f>IF(Allocation!BP314="","",Allocation!BP314)</f>
        <v/>
      </c>
      <c r="I314" s="0">
        <f>IF(Allocation!BQ314="","",Allocation!BQ314)</f>
        <v/>
      </c>
      <c r="J314" s="0">
        <f>IF(Allocation!CC314="","",Allocation!CC314)</f>
        <v/>
      </c>
      <c r="K314" s="0">
        <f>IF($A314="","",$H314*IF(AND(LEFT($D314,3)="BAC",$F314="INIT"),600,IF(LEFT($D314,3)="BAC",480,IF(AND(LEFT($D314,3)="MAS",$F314="INIT"),520,IF(LEFT($D314,3)="MAS",420,IF($F314="INIT",1000,700))))))</f>
        <v/>
      </c>
      <c r="L314" s="0">
        <f>IF($A314="","",SUMIFS($G$1:$G$349,$AS$1:$AS$349,$AS314,$B$1:$B$349,$B314))</f>
        <v/>
      </c>
      <c r="M314" s="0">
        <f>IF($A314="","",SUMIFS($H$1:$H$349,$AS$1:$AS$349,$AS314,$B$1:$B$349,$B314))</f>
        <v/>
      </c>
      <c r="N314" s="0">
        <f>IF($A314="","",SUMIFS($I$1:$I$349,$AS$1:$AS$349,$AS314,$B$1:$B$349,$B314))</f>
        <v/>
      </c>
      <c r="O314" s="0">
        <f>IF($A314="","",SUMIFS($K$1:$K$349,$AS$1:$AS$349,$AS314,$B$1:$B$349,$B314))</f>
        <v/>
      </c>
      <c r="P314" s="0">
        <f>IF($A314="","",SUMIFS($J$1:$J$349,$AS$1:$AS$349,$AS314,$B$1:$B$349,$B314))</f>
        <v/>
      </c>
      <c r="Q314" s="0">
        <f>IF($A314="","",SUMIFS($G$1:$G$349,$AS$1:$AS$349,$AS314,$C$1:$C$349,$C314))</f>
        <v/>
      </c>
      <c r="R314" s="0">
        <f>IF($A314="","",SUMIFS($H$1:$H$349,$AS$1:$AS$349,$AS314,$C$1:$C$349,$C314))</f>
        <v/>
      </c>
      <c r="S314" s="0">
        <f>IF($A314="","",SUMIFS($I$1:$I$349,$AS$1:$AS$349,$AS314,$C$1:$C$349,$C314))</f>
        <v/>
      </c>
      <c r="T314" s="0">
        <f>IF($A314="","",SUMIFS($G$1:$G$349,$AS$1:$AS$349,$AS314))</f>
        <v/>
      </c>
      <c r="U314" s="0">
        <f>IF($A314="","",SUMIFS($H$1:$H$349,$AS$1:$AS$349,$AS314))</f>
        <v/>
      </c>
      <c r="V314" s="0">
        <f>IF($A314="","",SUMIFS($I$1:$I$349,$AS$1:$AS$349,$AS314))</f>
        <v/>
      </c>
      <c r="W314" s="0">
        <f>IF($A314="","",Allocation!CD314)</f>
        <v/>
      </c>
      <c r="X314" s="0">
        <f>IF($A314="","",Allocation!CE314)</f>
        <v/>
      </c>
      <c r="Y314" s="0">
        <f>IF($A314="","",Allocation!CF314)</f>
        <v/>
      </c>
      <c r="Z314" s="0">
        <f>IF($A314="","",Allocation!CG314)</f>
        <v/>
      </c>
      <c r="AA314" s="0">
        <f>IF($A314="","",Allocation!CH314)</f>
        <v/>
      </c>
      <c r="AB314" s="0">
        <f>IF($A314="","",Allocation!CI314)</f>
        <v/>
      </c>
      <c r="AC314" s="0">
        <f>IF($A314="","",IF(Allocation!$N$4="VOL_EFF",$G314,IF(Allocation!$N$4="VOL_CLASS",$H314,$I314)))</f>
        <v/>
      </c>
      <c r="AD314" s="0">
        <f>IF($A314="","",IF(Allocation!$N$4="VOL_EFF",$L314,IF(Allocation!$N$4="VOL_CLASS",$M314,$N314)))</f>
        <v/>
      </c>
      <c r="AE314" s="0">
        <f>IF($A314="","",IF(Allocation!$N$3="VOL_EFF",$L314,IF(Allocation!$N$3="VOL_CLASS",$M314,$N314)))</f>
        <v/>
      </c>
      <c r="AF314" s="0">
        <f>IF($A314="","",IF(Allocation!$N$3="VOL_EFF",$Q314,IF(Allocation!$N$3="VOL_CLASS",$R314,$S314)))</f>
        <v/>
      </c>
      <c r="AG314" s="0">
        <f>IF($A314="","",IF(Allocation!$N$1="VOL_EFF",$Q314,IF(Allocation!$N$1="VOL_CLASS",$R314,$S314)))</f>
        <v/>
      </c>
      <c r="AH314" s="0">
        <f>IF($A314="","",IF(Allocation!$N$1="VOL_EFF",$T314,IF(Allocation!$N$1="VOL_CLASS",$U314,$V314)))</f>
        <v/>
      </c>
      <c r="AI314" s="0">
        <f>IF($A314="","",$W314*IFERROR($K314/$O314,0))</f>
        <v/>
      </c>
      <c r="AJ314" s="0">
        <f>IF($A314="","",$X314*IFERROR($K314/$O314,0))</f>
        <v/>
      </c>
      <c r="AK314" s="0">
        <f>IF($A314="","",$Y314*IFERROR($G314/$L314,0)+$Z314*IFERROR($J314/$P314,0))</f>
        <v/>
      </c>
      <c r="AL314" s="0">
        <f>IF($A314="","",$AA314*IFERROR($AC314/$AD314,0))</f>
        <v/>
      </c>
      <c r="AM314" s="0">
        <f>IF($A314="","",$AB314*IFERROR($AG314/$AH314,0)*IFERROR($AE314/$AF314,0)*IFERROR($AC314/$AD314,0))</f>
        <v/>
      </c>
      <c r="AN314" s="0">
        <f>IF($A314="","",$I314-($AI314+$AJ314+$AK314+$AL314+$AM314+$AR314))</f>
        <v/>
      </c>
      <c r="AO314" s="0">
        <f>IF($A314="","",Allocation!CJ314)</f>
        <v/>
      </c>
      <c r="AP314" s="0">
        <f>IF($A314="","",IF(Allocation!$N$2="VOL_EFF",$Q314,IF(Allocation!$N$2="VOL_CLASS",$R314,$S314)))</f>
        <v/>
      </c>
      <c r="AQ314" s="0">
        <f>IF($A314="","",IF(Allocation!$N$2="VOL_EFF",$T314,IF(Allocation!$N$2="VOL_CLASS",$U314,$V314)))</f>
        <v/>
      </c>
      <c r="AR314" s="0">
        <f>IF($A314="","",$AO314*IFERROR($AP314/$AQ314,0)*IFERROR($AE314/$AF314,0)*IFERROR($AC314/$AD314,0))</f>
        <v/>
      </c>
      <c r="AS314" s="0">
        <f>IF($A314="","",$A314&amp;"|"&amp;Allocation!BG314)</f>
        <v/>
      </c>
    </row>
    <row r="315" ht="14.4975" customHeight="1" s="64">
      <c r="A315" s="0">
        <f>IF(Allocation!BI315="","",Allocation!BI315)</f>
        <v/>
      </c>
      <c r="B315" s="0">
        <f>IF(Allocation!BJ315="","",Allocation!BJ315)</f>
        <v/>
      </c>
      <c r="C315" s="0">
        <f>IF(Allocation!BK315="","",Allocation!BK315)</f>
        <v/>
      </c>
      <c r="D315" s="0">
        <f>IF(Allocation!BL315="","",Allocation!BL315)</f>
        <v/>
      </c>
      <c r="E315" s="0">
        <f>IF(Allocation!BM315="","",Allocation!BM315)</f>
        <v/>
      </c>
      <c r="F315" s="0">
        <f>IF(Allocation!BN315="","",Allocation!BN315)</f>
        <v/>
      </c>
      <c r="G315" s="0">
        <f>IF(Allocation!BO315="","",Allocation!BO315)</f>
        <v/>
      </c>
      <c r="H315" s="0">
        <f>IF(Allocation!BP315="","",Allocation!BP315)</f>
        <v/>
      </c>
      <c r="I315" s="0">
        <f>IF(Allocation!BQ315="","",Allocation!BQ315)</f>
        <v/>
      </c>
      <c r="J315" s="0">
        <f>IF(Allocation!CC315="","",Allocation!CC315)</f>
        <v/>
      </c>
      <c r="K315" s="0">
        <f>IF($A315="","",$H315*IF(AND(LEFT($D315,3)="BAC",$F315="INIT"),600,IF(LEFT($D315,3)="BAC",480,IF(AND(LEFT($D315,3)="MAS",$F315="INIT"),520,IF(LEFT($D315,3)="MAS",420,IF($F315="INIT",1000,700))))))</f>
        <v/>
      </c>
      <c r="L315" s="0">
        <f>IF($A315="","",SUMIFS($G$1:$G$349,$AS$1:$AS$349,$AS315,$B$1:$B$349,$B315))</f>
        <v/>
      </c>
      <c r="M315" s="0">
        <f>IF($A315="","",SUMIFS($H$1:$H$349,$AS$1:$AS$349,$AS315,$B$1:$B$349,$B315))</f>
        <v/>
      </c>
      <c r="N315" s="0">
        <f>IF($A315="","",SUMIFS($I$1:$I$349,$AS$1:$AS$349,$AS315,$B$1:$B$349,$B315))</f>
        <v/>
      </c>
      <c r="O315" s="0">
        <f>IF($A315="","",SUMIFS($K$1:$K$349,$AS$1:$AS$349,$AS315,$B$1:$B$349,$B315))</f>
        <v/>
      </c>
      <c r="P315" s="0">
        <f>IF($A315="","",SUMIFS($J$1:$J$349,$AS$1:$AS$349,$AS315,$B$1:$B$349,$B315))</f>
        <v/>
      </c>
      <c r="Q315" s="0">
        <f>IF($A315="","",SUMIFS($G$1:$G$349,$AS$1:$AS$349,$AS315,$C$1:$C$349,$C315))</f>
        <v/>
      </c>
      <c r="R315" s="0">
        <f>IF($A315="","",SUMIFS($H$1:$H$349,$AS$1:$AS$349,$AS315,$C$1:$C$349,$C315))</f>
        <v/>
      </c>
      <c r="S315" s="0">
        <f>IF($A315="","",SUMIFS($I$1:$I$349,$AS$1:$AS$349,$AS315,$C$1:$C$349,$C315))</f>
        <v/>
      </c>
      <c r="T315" s="0">
        <f>IF($A315="","",SUMIFS($G$1:$G$349,$AS$1:$AS$349,$AS315))</f>
        <v/>
      </c>
      <c r="U315" s="0">
        <f>IF($A315="","",SUMIFS($H$1:$H$349,$AS$1:$AS$349,$AS315))</f>
        <v/>
      </c>
      <c r="V315" s="0">
        <f>IF($A315="","",SUMIFS($I$1:$I$349,$AS$1:$AS$349,$AS315))</f>
        <v/>
      </c>
      <c r="W315" s="0">
        <f>IF($A315="","",Allocation!CD315)</f>
        <v/>
      </c>
      <c r="X315" s="0">
        <f>IF($A315="","",Allocation!CE315)</f>
        <v/>
      </c>
      <c r="Y315" s="0">
        <f>IF($A315="","",Allocation!CF315)</f>
        <v/>
      </c>
      <c r="Z315" s="0">
        <f>IF($A315="","",Allocation!CG315)</f>
        <v/>
      </c>
      <c r="AA315" s="0">
        <f>IF($A315="","",Allocation!CH315)</f>
        <v/>
      </c>
      <c r="AB315" s="0">
        <f>IF($A315="","",Allocation!CI315)</f>
        <v/>
      </c>
      <c r="AC315" s="0">
        <f>IF($A315="","",IF(Allocation!$N$4="VOL_EFF",$G315,IF(Allocation!$N$4="VOL_CLASS",$H315,$I315)))</f>
        <v/>
      </c>
      <c r="AD315" s="0">
        <f>IF($A315="","",IF(Allocation!$N$4="VOL_EFF",$L315,IF(Allocation!$N$4="VOL_CLASS",$M315,$N315)))</f>
        <v/>
      </c>
      <c r="AE315" s="0">
        <f>IF($A315="","",IF(Allocation!$N$3="VOL_EFF",$L315,IF(Allocation!$N$3="VOL_CLASS",$M315,$N315)))</f>
        <v/>
      </c>
      <c r="AF315" s="0">
        <f>IF($A315="","",IF(Allocation!$N$3="VOL_EFF",$Q315,IF(Allocation!$N$3="VOL_CLASS",$R315,$S315)))</f>
        <v/>
      </c>
      <c r="AG315" s="0">
        <f>IF($A315="","",IF(Allocation!$N$1="VOL_EFF",$Q315,IF(Allocation!$N$1="VOL_CLASS",$R315,$S315)))</f>
        <v/>
      </c>
      <c r="AH315" s="0">
        <f>IF($A315="","",IF(Allocation!$N$1="VOL_EFF",$T315,IF(Allocation!$N$1="VOL_CLASS",$U315,$V315)))</f>
        <v/>
      </c>
      <c r="AI315" s="0">
        <f>IF($A315="","",$W315*IFERROR($K315/$O315,0))</f>
        <v/>
      </c>
      <c r="AJ315" s="0">
        <f>IF($A315="","",$X315*IFERROR($K315/$O315,0))</f>
        <v/>
      </c>
      <c r="AK315" s="0">
        <f>IF($A315="","",$Y315*IFERROR($G315/$L315,0)+$Z315*IFERROR($J315/$P315,0))</f>
        <v/>
      </c>
      <c r="AL315" s="0">
        <f>IF($A315="","",$AA315*IFERROR($AC315/$AD315,0))</f>
        <v/>
      </c>
      <c r="AM315" s="0">
        <f>IF($A315="","",$AB315*IFERROR($AG315/$AH315,0)*IFERROR($AE315/$AF315,0)*IFERROR($AC315/$AD315,0))</f>
        <v/>
      </c>
      <c r="AN315" s="0">
        <f>IF($A315="","",$I315-($AI315+$AJ315+$AK315+$AL315+$AM315+$AR315))</f>
        <v/>
      </c>
      <c r="AO315" s="0">
        <f>IF($A315="","",Allocation!CJ315)</f>
        <v/>
      </c>
      <c r="AP315" s="0">
        <f>IF($A315="","",IF(Allocation!$N$2="VOL_EFF",$Q315,IF(Allocation!$N$2="VOL_CLASS",$R315,$S315)))</f>
        <v/>
      </c>
      <c r="AQ315" s="0">
        <f>IF($A315="","",IF(Allocation!$N$2="VOL_EFF",$T315,IF(Allocation!$N$2="VOL_CLASS",$U315,$V315)))</f>
        <v/>
      </c>
      <c r="AR315" s="0">
        <f>IF($A315="","",$AO315*IFERROR($AP315/$AQ315,0)*IFERROR($AE315/$AF315,0)*IFERROR($AC315/$AD315,0))</f>
        <v/>
      </c>
      <c r="AS315" s="0">
        <f>IF($A315="","",$A315&amp;"|"&amp;Allocation!BG315)</f>
        <v/>
      </c>
    </row>
    <row r="316" ht="14.4975" customHeight="1" s="64">
      <c r="A316" s="0">
        <f>IF(Allocation!BI316="","",Allocation!BI316)</f>
        <v/>
      </c>
      <c r="B316" s="0">
        <f>IF(Allocation!BJ316="","",Allocation!BJ316)</f>
        <v/>
      </c>
      <c r="C316" s="0">
        <f>IF(Allocation!BK316="","",Allocation!BK316)</f>
        <v/>
      </c>
      <c r="D316" s="0">
        <f>IF(Allocation!BL316="","",Allocation!BL316)</f>
        <v/>
      </c>
      <c r="E316" s="0">
        <f>IF(Allocation!BM316="","",Allocation!BM316)</f>
        <v/>
      </c>
      <c r="F316" s="0">
        <f>IF(Allocation!BN316="","",Allocation!BN316)</f>
        <v/>
      </c>
      <c r="G316" s="0">
        <f>IF(Allocation!BO316="","",Allocation!BO316)</f>
        <v/>
      </c>
      <c r="H316" s="0">
        <f>IF(Allocation!BP316="","",Allocation!BP316)</f>
        <v/>
      </c>
      <c r="I316" s="0">
        <f>IF(Allocation!BQ316="","",Allocation!BQ316)</f>
        <v/>
      </c>
      <c r="J316" s="0">
        <f>IF(Allocation!CC316="","",Allocation!CC316)</f>
        <v/>
      </c>
      <c r="K316" s="0">
        <f>IF($A316="","",$H316*IF(AND(LEFT($D316,3)="BAC",$F316="INIT"),600,IF(LEFT($D316,3)="BAC",480,IF(AND(LEFT($D316,3)="MAS",$F316="INIT"),520,IF(LEFT($D316,3)="MAS",420,IF($F316="INIT",1000,700))))))</f>
        <v/>
      </c>
      <c r="L316" s="0">
        <f>IF($A316="","",SUMIFS($G$1:$G$349,$AS$1:$AS$349,$AS316,$B$1:$B$349,$B316))</f>
        <v/>
      </c>
      <c r="M316" s="0">
        <f>IF($A316="","",SUMIFS($H$1:$H$349,$AS$1:$AS$349,$AS316,$B$1:$B$349,$B316))</f>
        <v/>
      </c>
      <c r="N316" s="0">
        <f>IF($A316="","",SUMIFS($I$1:$I$349,$AS$1:$AS$349,$AS316,$B$1:$B$349,$B316))</f>
        <v/>
      </c>
      <c r="O316" s="0">
        <f>IF($A316="","",SUMIFS($K$1:$K$349,$AS$1:$AS$349,$AS316,$B$1:$B$349,$B316))</f>
        <v/>
      </c>
      <c r="P316" s="0">
        <f>IF($A316="","",SUMIFS($J$1:$J$349,$AS$1:$AS$349,$AS316,$B$1:$B$349,$B316))</f>
        <v/>
      </c>
      <c r="Q316" s="0">
        <f>IF($A316="","",SUMIFS($G$1:$G$349,$AS$1:$AS$349,$AS316,$C$1:$C$349,$C316))</f>
        <v/>
      </c>
      <c r="R316" s="0">
        <f>IF($A316="","",SUMIFS($H$1:$H$349,$AS$1:$AS$349,$AS316,$C$1:$C$349,$C316))</f>
        <v/>
      </c>
      <c r="S316" s="0">
        <f>IF($A316="","",SUMIFS($I$1:$I$349,$AS$1:$AS$349,$AS316,$C$1:$C$349,$C316))</f>
        <v/>
      </c>
      <c r="T316" s="0">
        <f>IF($A316="","",SUMIFS($G$1:$G$349,$AS$1:$AS$349,$AS316))</f>
        <v/>
      </c>
      <c r="U316" s="0">
        <f>IF($A316="","",SUMIFS($H$1:$H$349,$AS$1:$AS$349,$AS316))</f>
        <v/>
      </c>
      <c r="V316" s="0">
        <f>IF($A316="","",SUMIFS($I$1:$I$349,$AS$1:$AS$349,$AS316))</f>
        <v/>
      </c>
      <c r="W316" s="0">
        <f>IF($A316="","",Allocation!CD316)</f>
        <v/>
      </c>
      <c r="X316" s="0">
        <f>IF($A316="","",Allocation!CE316)</f>
        <v/>
      </c>
      <c r="Y316" s="0">
        <f>IF($A316="","",Allocation!CF316)</f>
        <v/>
      </c>
      <c r="Z316" s="0">
        <f>IF($A316="","",Allocation!CG316)</f>
        <v/>
      </c>
      <c r="AA316" s="0">
        <f>IF($A316="","",Allocation!CH316)</f>
        <v/>
      </c>
      <c r="AB316" s="0">
        <f>IF($A316="","",Allocation!CI316)</f>
        <v/>
      </c>
      <c r="AC316" s="0">
        <f>IF($A316="","",IF(Allocation!$N$4="VOL_EFF",$G316,IF(Allocation!$N$4="VOL_CLASS",$H316,$I316)))</f>
        <v/>
      </c>
      <c r="AD316" s="0">
        <f>IF($A316="","",IF(Allocation!$N$4="VOL_EFF",$L316,IF(Allocation!$N$4="VOL_CLASS",$M316,$N316)))</f>
        <v/>
      </c>
      <c r="AE316" s="0">
        <f>IF($A316="","",IF(Allocation!$N$3="VOL_EFF",$L316,IF(Allocation!$N$3="VOL_CLASS",$M316,$N316)))</f>
        <v/>
      </c>
      <c r="AF316" s="0">
        <f>IF($A316="","",IF(Allocation!$N$3="VOL_EFF",$Q316,IF(Allocation!$N$3="VOL_CLASS",$R316,$S316)))</f>
        <v/>
      </c>
      <c r="AG316" s="0">
        <f>IF($A316="","",IF(Allocation!$N$1="VOL_EFF",$Q316,IF(Allocation!$N$1="VOL_CLASS",$R316,$S316)))</f>
        <v/>
      </c>
      <c r="AH316" s="0">
        <f>IF($A316="","",IF(Allocation!$N$1="VOL_EFF",$T316,IF(Allocation!$N$1="VOL_CLASS",$U316,$V316)))</f>
        <v/>
      </c>
      <c r="AI316" s="0">
        <f>IF($A316="","",$W316*IFERROR($K316/$O316,0))</f>
        <v/>
      </c>
      <c r="AJ316" s="0">
        <f>IF($A316="","",$X316*IFERROR($K316/$O316,0))</f>
        <v/>
      </c>
      <c r="AK316" s="0">
        <f>IF($A316="","",$Y316*IFERROR($G316/$L316,0)+$Z316*IFERROR($J316/$P316,0))</f>
        <v/>
      </c>
      <c r="AL316" s="0">
        <f>IF($A316="","",$AA316*IFERROR($AC316/$AD316,0))</f>
        <v/>
      </c>
      <c r="AM316" s="0">
        <f>IF($A316="","",$AB316*IFERROR($AG316/$AH316,0)*IFERROR($AE316/$AF316,0)*IFERROR($AC316/$AD316,0))</f>
        <v/>
      </c>
      <c r="AN316" s="0">
        <f>IF($A316="","",$I316-($AI316+$AJ316+$AK316+$AL316+$AM316+$AR316))</f>
        <v/>
      </c>
      <c r="AO316" s="0">
        <f>IF($A316="","",Allocation!CJ316)</f>
        <v/>
      </c>
      <c r="AP316" s="0">
        <f>IF($A316="","",IF(Allocation!$N$2="VOL_EFF",$Q316,IF(Allocation!$N$2="VOL_CLASS",$R316,$S316)))</f>
        <v/>
      </c>
      <c r="AQ316" s="0">
        <f>IF($A316="","",IF(Allocation!$N$2="VOL_EFF",$T316,IF(Allocation!$N$2="VOL_CLASS",$U316,$V316)))</f>
        <v/>
      </c>
      <c r="AR316" s="0">
        <f>IF($A316="","",$AO316*IFERROR($AP316/$AQ316,0)*IFERROR($AE316/$AF316,0)*IFERROR($AC316/$AD316,0))</f>
        <v/>
      </c>
      <c r="AS316" s="0">
        <f>IF($A316="","",$A316&amp;"|"&amp;Allocation!BG316)</f>
        <v/>
      </c>
    </row>
    <row r="317" ht="14.4975" customHeight="1" s="64">
      <c r="A317" s="0">
        <f>IF(Allocation!BI317="","",Allocation!BI317)</f>
        <v/>
      </c>
      <c r="B317" s="0">
        <f>IF(Allocation!BJ317="","",Allocation!BJ317)</f>
        <v/>
      </c>
      <c r="C317" s="0">
        <f>IF(Allocation!BK317="","",Allocation!BK317)</f>
        <v/>
      </c>
      <c r="D317" s="0">
        <f>IF(Allocation!BL317="","",Allocation!BL317)</f>
        <v/>
      </c>
      <c r="E317" s="0">
        <f>IF(Allocation!BM317="","",Allocation!BM317)</f>
        <v/>
      </c>
      <c r="F317" s="0">
        <f>IF(Allocation!BN317="","",Allocation!BN317)</f>
        <v/>
      </c>
      <c r="G317" s="0">
        <f>IF(Allocation!BO317="","",Allocation!BO317)</f>
        <v/>
      </c>
      <c r="H317" s="0">
        <f>IF(Allocation!BP317="","",Allocation!BP317)</f>
        <v/>
      </c>
      <c r="I317" s="0">
        <f>IF(Allocation!BQ317="","",Allocation!BQ317)</f>
        <v/>
      </c>
      <c r="J317" s="0">
        <f>IF(Allocation!CC317="","",Allocation!CC317)</f>
        <v/>
      </c>
      <c r="K317" s="0">
        <f>IF($A317="","",$H317*IF(AND(LEFT($D317,3)="BAC",$F317="INIT"),600,IF(LEFT($D317,3)="BAC",480,IF(AND(LEFT($D317,3)="MAS",$F317="INIT"),520,IF(LEFT($D317,3)="MAS",420,IF($F317="INIT",1000,700))))))</f>
        <v/>
      </c>
      <c r="L317" s="0">
        <f>IF($A317="","",SUMIFS($G$1:$G$349,$AS$1:$AS$349,$AS317,$B$1:$B$349,$B317))</f>
        <v/>
      </c>
      <c r="M317" s="0">
        <f>IF($A317="","",SUMIFS($H$1:$H$349,$AS$1:$AS$349,$AS317,$B$1:$B$349,$B317))</f>
        <v/>
      </c>
      <c r="N317" s="0">
        <f>IF($A317="","",SUMIFS($I$1:$I$349,$AS$1:$AS$349,$AS317,$B$1:$B$349,$B317))</f>
        <v/>
      </c>
      <c r="O317" s="0">
        <f>IF($A317="","",SUMIFS($K$1:$K$349,$AS$1:$AS$349,$AS317,$B$1:$B$349,$B317))</f>
        <v/>
      </c>
      <c r="P317" s="0">
        <f>IF($A317="","",SUMIFS($J$1:$J$349,$AS$1:$AS$349,$AS317,$B$1:$B$349,$B317))</f>
        <v/>
      </c>
      <c r="Q317" s="0">
        <f>IF($A317="","",SUMIFS($G$1:$G$349,$AS$1:$AS$349,$AS317,$C$1:$C$349,$C317))</f>
        <v/>
      </c>
      <c r="R317" s="0">
        <f>IF($A317="","",SUMIFS($H$1:$H$349,$AS$1:$AS$349,$AS317,$C$1:$C$349,$C317))</f>
        <v/>
      </c>
      <c r="S317" s="0">
        <f>IF($A317="","",SUMIFS($I$1:$I$349,$AS$1:$AS$349,$AS317,$C$1:$C$349,$C317))</f>
        <v/>
      </c>
      <c r="T317" s="0">
        <f>IF($A317="","",SUMIFS($G$1:$G$349,$AS$1:$AS$349,$AS317))</f>
        <v/>
      </c>
      <c r="U317" s="0">
        <f>IF($A317="","",SUMIFS($H$1:$H$349,$AS$1:$AS$349,$AS317))</f>
        <v/>
      </c>
      <c r="V317" s="0">
        <f>IF($A317="","",SUMIFS($I$1:$I$349,$AS$1:$AS$349,$AS317))</f>
        <v/>
      </c>
      <c r="W317" s="0">
        <f>IF($A317="","",Allocation!CD317)</f>
        <v/>
      </c>
      <c r="X317" s="0">
        <f>IF($A317="","",Allocation!CE317)</f>
        <v/>
      </c>
      <c r="Y317" s="0">
        <f>IF($A317="","",Allocation!CF317)</f>
        <v/>
      </c>
      <c r="Z317" s="0">
        <f>IF($A317="","",Allocation!CG317)</f>
        <v/>
      </c>
      <c r="AA317" s="0">
        <f>IF($A317="","",Allocation!CH317)</f>
        <v/>
      </c>
      <c r="AB317" s="0">
        <f>IF($A317="","",Allocation!CI317)</f>
        <v/>
      </c>
      <c r="AC317" s="0">
        <f>IF($A317="","",IF(Allocation!$N$4="VOL_EFF",$G317,IF(Allocation!$N$4="VOL_CLASS",$H317,$I317)))</f>
        <v/>
      </c>
      <c r="AD317" s="0">
        <f>IF($A317="","",IF(Allocation!$N$4="VOL_EFF",$L317,IF(Allocation!$N$4="VOL_CLASS",$M317,$N317)))</f>
        <v/>
      </c>
      <c r="AE317" s="0">
        <f>IF($A317="","",IF(Allocation!$N$3="VOL_EFF",$L317,IF(Allocation!$N$3="VOL_CLASS",$M317,$N317)))</f>
        <v/>
      </c>
      <c r="AF317" s="0">
        <f>IF($A317="","",IF(Allocation!$N$3="VOL_EFF",$Q317,IF(Allocation!$N$3="VOL_CLASS",$R317,$S317)))</f>
        <v/>
      </c>
      <c r="AG317" s="0">
        <f>IF($A317="","",IF(Allocation!$N$1="VOL_EFF",$Q317,IF(Allocation!$N$1="VOL_CLASS",$R317,$S317)))</f>
        <v/>
      </c>
      <c r="AH317" s="0">
        <f>IF($A317="","",IF(Allocation!$N$1="VOL_EFF",$T317,IF(Allocation!$N$1="VOL_CLASS",$U317,$V317)))</f>
        <v/>
      </c>
      <c r="AI317" s="0">
        <f>IF($A317="","",$W317*IFERROR($K317/$O317,0))</f>
        <v/>
      </c>
      <c r="AJ317" s="0">
        <f>IF($A317="","",$X317*IFERROR($K317/$O317,0))</f>
        <v/>
      </c>
      <c r="AK317" s="0">
        <f>IF($A317="","",$Y317*IFERROR($G317/$L317,0)+$Z317*IFERROR($J317/$P317,0))</f>
        <v/>
      </c>
      <c r="AL317" s="0">
        <f>IF($A317="","",$AA317*IFERROR($AC317/$AD317,0))</f>
        <v/>
      </c>
      <c r="AM317" s="0">
        <f>IF($A317="","",$AB317*IFERROR($AG317/$AH317,0)*IFERROR($AE317/$AF317,0)*IFERROR($AC317/$AD317,0))</f>
        <v/>
      </c>
      <c r="AN317" s="0">
        <f>IF($A317="","",$I317-($AI317+$AJ317+$AK317+$AL317+$AM317+$AR317))</f>
        <v/>
      </c>
      <c r="AO317" s="0">
        <f>IF($A317="","",Allocation!CJ317)</f>
        <v/>
      </c>
      <c r="AP317" s="0">
        <f>IF($A317="","",IF(Allocation!$N$2="VOL_EFF",$Q317,IF(Allocation!$N$2="VOL_CLASS",$R317,$S317)))</f>
        <v/>
      </c>
      <c r="AQ317" s="0">
        <f>IF($A317="","",IF(Allocation!$N$2="VOL_EFF",$T317,IF(Allocation!$N$2="VOL_CLASS",$U317,$V317)))</f>
        <v/>
      </c>
      <c r="AR317" s="0">
        <f>IF($A317="","",$AO317*IFERROR($AP317/$AQ317,0)*IFERROR($AE317/$AF317,0)*IFERROR($AC317/$AD317,0))</f>
        <v/>
      </c>
      <c r="AS317" s="0">
        <f>IF($A317="","",$A317&amp;"|"&amp;Allocation!BG317)</f>
        <v/>
      </c>
    </row>
    <row r="318" ht="14.4975" customHeight="1" s="64">
      <c r="A318" s="0">
        <f>IF(Allocation!BI318="","",Allocation!BI318)</f>
        <v/>
      </c>
      <c r="B318" s="0">
        <f>IF(Allocation!BJ318="","",Allocation!BJ318)</f>
        <v/>
      </c>
      <c r="C318" s="0">
        <f>IF(Allocation!BK318="","",Allocation!BK318)</f>
        <v/>
      </c>
      <c r="D318" s="0">
        <f>IF(Allocation!BL318="","",Allocation!BL318)</f>
        <v/>
      </c>
      <c r="E318" s="0">
        <f>IF(Allocation!BM318="","",Allocation!BM318)</f>
        <v/>
      </c>
      <c r="F318" s="0">
        <f>IF(Allocation!BN318="","",Allocation!BN318)</f>
        <v/>
      </c>
      <c r="G318" s="0">
        <f>IF(Allocation!BO318="","",Allocation!BO318)</f>
        <v/>
      </c>
      <c r="H318" s="0">
        <f>IF(Allocation!BP318="","",Allocation!BP318)</f>
        <v/>
      </c>
      <c r="I318" s="0">
        <f>IF(Allocation!BQ318="","",Allocation!BQ318)</f>
        <v/>
      </c>
      <c r="J318" s="0">
        <f>IF(Allocation!CC318="","",Allocation!CC318)</f>
        <v/>
      </c>
      <c r="K318" s="0">
        <f>IF($A318="","",$H318*IF(AND(LEFT($D318,3)="BAC",$F318="INIT"),600,IF(LEFT($D318,3)="BAC",480,IF(AND(LEFT($D318,3)="MAS",$F318="INIT"),520,IF(LEFT($D318,3)="MAS",420,IF($F318="INIT",1000,700))))))</f>
        <v/>
      </c>
      <c r="L318" s="0">
        <f>IF($A318="","",SUMIFS($G$1:$G$349,$AS$1:$AS$349,$AS318,$B$1:$B$349,$B318))</f>
        <v/>
      </c>
      <c r="M318" s="0">
        <f>IF($A318="","",SUMIFS($H$1:$H$349,$AS$1:$AS$349,$AS318,$B$1:$B$349,$B318))</f>
        <v/>
      </c>
      <c r="N318" s="0">
        <f>IF($A318="","",SUMIFS($I$1:$I$349,$AS$1:$AS$349,$AS318,$B$1:$B$349,$B318))</f>
        <v/>
      </c>
      <c r="O318" s="0">
        <f>IF($A318="","",SUMIFS($K$1:$K$349,$AS$1:$AS$349,$AS318,$B$1:$B$349,$B318))</f>
        <v/>
      </c>
      <c r="P318" s="0">
        <f>IF($A318="","",SUMIFS($J$1:$J$349,$AS$1:$AS$349,$AS318,$B$1:$B$349,$B318))</f>
        <v/>
      </c>
      <c r="Q318" s="0">
        <f>IF($A318="","",SUMIFS($G$1:$G$349,$AS$1:$AS$349,$AS318,$C$1:$C$349,$C318))</f>
        <v/>
      </c>
      <c r="R318" s="0">
        <f>IF($A318="","",SUMIFS($H$1:$H$349,$AS$1:$AS$349,$AS318,$C$1:$C$349,$C318))</f>
        <v/>
      </c>
      <c r="S318" s="0">
        <f>IF($A318="","",SUMIFS($I$1:$I$349,$AS$1:$AS$349,$AS318,$C$1:$C$349,$C318))</f>
        <v/>
      </c>
      <c r="T318" s="0">
        <f>IF($A318="","",SUMIFS($G$1:$G$349,$AS$1:$AS$349,$AS318))</f>
        <v/>
      </c>
      <c r="U318" s="0">
        <f>IF($A318="","",SUMIFS($H$1:$H$349,$AS$1:$AS$349,$AS318))</f>
        <v/>
      </c>
      <c r="V318" s="0">
        <f>IF($A318="","",SUMIFS($I$1:$I$349,$AS$1:$AS$349,$AS318))</f>
        <v/>
      </c>
      <c r="W318" s="0">
        <f>IF($A318="","",Allocation!CD318)</f>
        <v/>
      </c>
      <c r="X318" s="0">
        <f>IF($A318="","",Allocation!CE318)</f>
        <v/>
      </c>
      <c r="Y318" s="0">
        <f>IF($A318="","",Allocation!CF318)</f>
        <v/>
      </c>
      <c r="Z318" s="0">
        <f>IF($A318="","",Allocation!CG318)</f>
        <v/>
      </c>
      <c r="AA318" s="0">
        <f>IF($A318="","",Allocation!CH318)</f>
        <v/>
      </c>
      <c r="AB318" s="0">
        <f>IF($A318="","",Allocation!CI318)</f>
        <v/>
      </c>
      <c r="AC318" s="0">
        <f>IF($A318="","",IF(Allocation!$N$4="VOL_EFF",$G318,IF(Allocation!$N$4="VOL_CLASS",$H318,$I318)))</f>
        <v/>
      </c>
      <c r="AD318" s="0">
        <f>IF($A318="","",IF(Allocation!$N$4="VOL_EFF",$L318,IF(Allocation!$N$4="VOL_CLASS",$M318,$N318)))</f>
        <v/>
      </c>
      <c r="AE318" s="0">
        <f>IF($A318="","",IF(Allocation!$N$3="VOL_EFF",$L318,IF(Allocation!$N$3="VOL_CLASS",$M318,$N318)))</f>
        <v/>
      </c>
      <c r="AF318" s="0">
        <f>IF($A318="","",IF(Allocation!$N$3="VOL_EFF",$Q318,IF(Allocation!$N$3="VOL_CLASS",$R318,$S318)))</f>
        <v/>
      </c>
      <c r="AG318" s="0">
        <f>IF($A318="","",IF(Allocation!$N$1="VOL_EFF",$Q318,IF(Allocation!$N$1="VOL_CLASS",$R318,$S318)))</f>
        <v/>
      </c>
      <c r="AH318" s="0">
        <f>IF($A318="","",IF(Allocation!$N$1="VOL_EFF",$T318,IF(Allocation!$N$1="VOL_CLASS",$U318,$V318)))</f>
        <v/>
      </c>
      <c r="AI318" s="0">
        <f>IF($A318="","",$W318*IFERROR($K318/$O318,0))</f>
        <v/>
      </c>
      <c r="AJ318" s="0">
        <f>IF($A318="","",$X318*IFERROR($K318/$O318,0))</f>
        <v/>
      </c>
      <c r="AK318" s="0">
        <f>IF($A318="","",$Y318*IFERROR($G318/$L318,0)+$Z318*IFERROR($J318/$P318,0))</f>
        <v/>
      </c>
      <c r="AL318" s="0">
        <f>IF($A318="","",$AA318*IFERROR($AC318/$AD318,0))</f>
        <v/>
      </c>
      <c r="AM318" s="0">
        <f>IF($A318="","",$AB318*IFERROR($AG318/$AH318,0)*IFERROR($AE318/$AF318,0)*IFERROR($AC318/$AD318,0))</f>
        <v/>
      </c>
      <c r="AN318" s="0">
        <f>IF($A318="","",$I318-($AI318+$AJ318+$AK318+$AL318+$AM318+$AR318))</f>
        <v/>
      </c>
      <c r="AO318" s="0">
        <f>IF($A318="","",Allocation!CJ318)</f>
        <v/>
      </c>
      <c r="AP318" s="0">
        <f>IF($A318="","",IF(Allocation!$N$2="VOL_EFF",$Q318,IF(Allocation!$N$2="VOL_CLASS",$R318,$S318)))</f>
        <v/>
      </c>
      <c r="AQ318" s="0">
        <f>IF($A318="","",IF(Allocation!$N$2="VOL_EFF",$T318,IF(Allocation!$N$2="VOL_CLASS",$U318,$V318)))</f>
        <v/>
      </c>
      <c r="AR318" s="0">
        <f>IF($A318="","",$AO318*IFERROR($AP318/$AQ318,0)*IFERROR($AE318/$AF318,0)*IFERROR($AC318/$AD318,0))</f>
        <v/>
      </c>
      <c r="AS318" s="0">
        <f>IF($A318="","",$A318&amp;"|"&amp;Allocation!BG318)</f>
        <v/>
      </c>
    </row>
    <row r="319" ht="14.4975" customHeight="1" s="64">
      <c r="A319" s="0">
        <f>IF(Allocation!BI319="","",Allocation!BI319)</f>
        <v/>
      </c>
      <c r="B319" s="0">
        <f>IF(Allocation!BJ319="","",Allocation!BJ319)</f>
        <v/>
      </c>
      <c r="C319" s="0">
        <f>IF(Allocation!BK319="","",Allocation!BK319)</f>
        <v/>
      </c>
      <c r="D319" s="0">
        <f>IF(Allocation!BL319="","",Allocation!BL319)</f>
        <v/>
      </c>
      <c r="E319" s="0">
        <f>IF(Allocation!BM319="","",Allocation!BM319)</f>
        <v/>
      </c>
      <c r="F319" s="0">
        <f>IF(Allocation!BN319="","",Allocation!BN319)</f>
        <v/>
      </c>
      <c r="G319" s="0">
        <f>IF(Allocation!BO319="","",Allocation!BO319)</f>
        <v/>
      </c>
      <c r="H319" s="0">
        <f>IF(Allocation!BP319="","",Allocation!BP319)</f>
        <v/>
      </c>
      <c r="I319" s="0">
        <f>IF(Allocation!BQ319="","",Allocation!BQ319)</f>
        <v/>
      </c>
      <c r="J319" s="0">
        <f>IF(Allocation!CC319="","",Allocation!CC319)</f>
        <v/>
      </c>
      <c r="K319" s="0">
        <f>IF($A319="","",$H319*IF(AND(LEFT($D319,3)="BAC",$F319="INIT"),600,IF(LEFT($D319,3)="BAC",480,IF(AND(LEFT($D319,3)="MAS",$F319="INIT"),520,IF(LEFT($D319,3)="MAS",420,IF($F319="INIT",1000,700))))))</f>
        <v/>
      </c>
      <c r="L319" s="0">
        <f>IF($A319="","",SUMIFS($G$1:$G$349,$AS$1:$AS$349,$AS319,$B$1:$B$349,$B319))</f>
        <v/>
      </c>
      <c r="M319" s="0">
        <f>IF($A319="","",SUMIFS($H$1:$H$349,$AS$1:$AS$349,$AS319,$B$1:$B$349,$B319))</f>
        <v/>
      </c>
      <c r="N319" s="0">
        <f>IF($A319="","",SUMIFS($I$1:$I$349,$AS$1:$AS$349,$AS319,$B$1:$B$349,$B319))</f>
        <v/>
      </c>
      <c r="O319" s="0">
        <f>IF($A319="","",SUMIFS($K$1:$K$349,$AS$1:$AS$349,$AS319,$B$1:$B$349,$B319))</f>
        <v/>
      </c>
      <c r="P319" s="0">
        <f>IF($A319="","",SUMIFS($J$1:$J$349,$AS$1:$AS$349,$AS319,$B$1:$B$349,$B319))</f>
        <v/>
      </c>
      <c r="Q319" s="0">
        <f>IF($A319="","",SUMIFS($G$1:$G$349,$AS$1:$AS$349,$AS319,$C$1:$C$349,$C319))</f>
        <v/>
      </c>
      <c r="R319" s="0">
        <f>IF($A319="","",SUMIFS($H$1:$H$349,$AS$1:$AS$349,$AS319,$C$1:$C$349,$C319))</f>
        <v/>
      </c>
      <c r="S319" s="0">
        <f>IF($A319="","",SUMIFS($I$1:$I$349,$AS$1:$AS$349,$AS319,$C$1:$C$349,$C319))</f>
        <v/>
      </c>
      <c r="T319" s="0">
        <f>IF($A319="","",SUMIFS($G$1:$G$349,$AS$1:$AS$349,$AS319))</f>
        <v/>
      </c>
      <c r="U319" s="0">
        <f>IF($A319="","",SUMIFS($H$1:$H$349,$AS$1:$AS$349,$AS319))</f>
        <v/>
      </c>
      <c r="V319" s="0">
        <f>IF($A319="","",SUMIFS($I$1:$I$349,$AS$1:$AS$349,$AS319))</f>
        <v/>
      </c>
      <c r="W319" s="0">
        <f>IF($A319="","",Allocation!CD319)</f>
        <v/>
      </c>
      <c r="X319" s="0">
        <f>IF($A319="","",Allocation!CE319)</f>
        <v/>
      </c>
      <c r="Y319" s="0">
        <f>IF($A319="","",Allocation!CF319)</f>
        <v/>
      </c>
      <c r="Z319" s="0">
        <f>IF($A319="","",Allocation!CG319)</f>
        <v/>
      </c>
      <c r="AA319" s="0">
        <f>IF($A319="","",Allocation!CH319)</f>
        <v/>
      </c>
      <c r="AB319" s="0">
        <f>IF($A319="","",Allocation!CI319)</f>
        <v/>
      </c>
      <c r="AC319" s="0">
        <f>IF($A319="","",IF(Allocation!$N$4="VOL_EFF",$G319,IF(Allocation!$N$4="VOL_CLASS",$H319,$I319)))</f>
        <v/>
      </c>
      <c r="AD319" s="0">
        <f>IF($A319="","",IF(Allocation!$N$4="VOL_EFF",$L319,IF(Allocation!$N$4="VOL_CLASS",$M319,$N319)))</f>
        <v/>
      </c>
      <c r="AE319" s="0">
        <f>IF($A319="","",IF(Allocation!$N$3="VOL_EFF",$L319,IF(Allocation!$N$3="VOL_CLASS",$M319,$N319)))</f>
        <v/>
      </c>
      <c r="AF319" s="0">
        <f>IF($A319="","",IF(Allocation!$N$3="VOL_EFF",$Q319,IF(Allocation!$N$3="VOL_CLASS",$R319,$S319)))</f>
        <v/>
      </c>
      <c r="AG319" s="0">
        <f>IF($A319="","",IF(Allocation!$N$1="VOL_EFF",$Q319,IF(Allocation!$N$1="VOL_CLASS",$R319,$S319)))</f>
        <v/>
      </c>
      <c r="AH319" s="0">
        <f>IF($A319="","",IF(Allocation!$N$1="VOL_EFF",$T319,IF(Allocation!$N$1="VOL_CLASS",$U319,$V319)))</f>
        <v/>
      </c>
      <c r="AI319" s="0">
        <f>IF($A319="","",$W319*IFERROR($K319/$O319,0))</f>
        <v/>
      </c>
      <c r="AJ319" s="0">
        <f>IF($A319="","",$X319*IFERROR($K319/$O319,0))</f>
        <v/>
      </c>
      <c r="AK319" s="0">
        <f>IF($A319="","",$Y319*IFERROR($G319/$L319,0)+$Z319*IFERROR($J319/$P319,0))</f>
        <v/>
      </c>
      <c r="AL319" s="0">
        <f>IF($A319="","",$AA319*IFERROR($AC319/$AD319,0))</f>
        <v/>
      </c>
      <c r="AM319" s="0">
        <f>IF($A319="","",$AB319*IFERROR($AG319/$AH319,0)*IFERROR($AE319/$AF319,0)*IFERROR($AC319/$AD319,0))</f>
        <v/>
      </c>
      <c r="AN319" s="0">
        <f>IF($A319="","",$I319-($AI319+$AJ319+$AK319+$AL319+$AM319+$AR319))</f>
        <v/>
      </c>
      <c r="AO319" s="0">
        <f>IF($A319="","",Allocation!CJ319)</f>
        <v/>
      </c>
      <c r="AP319" s="0">
        <f>IF($A319="","",IF(Allocation!$N$2="VOL_EFF",$Q319,IF(Allocation!$N$2="VOL_CLASS",$R319,$S319)))</f>
        <v/>
      </c>
      <c r="AQ319" s="0">
        <f>IF($A319="","",IF(Allocation!$N$2="VOL_EFF",$T319,IF(Allocation!$N$2="VOL_CLASS",$U319,$V319)))</f>
        <v/>
      </c>
      <c r="AR319" s="0">
        <f>IF($A319="","",$AO319*IFERROR($AP319/$AQ319,0)*IFERROR($AE319/$AF319,0)*IFERROR($AC319/$AD319,0))</f>
        <v/>
      </c>
      <c r="AS319" s="0">
        <f>IF($A319="","",$A319&amp;"|"&amp;Allocation!BG319)</f>
        <v/>
      </c>
    </row>
    <row r="320" ht="14.4975" customHeight="1" s="64">
      <c r="A320" s="0">
        <f>IF(Allocation!BI320="","",Allocation!BI320)</f>
        <v/>
      </c>
      <c r="B320" s="0">
        <f>IF(Allocation!BJ320="","",Allocation!BJ320)</f>
        <v/>
      </c>
      <c r="C320" s="0">
        <f>IF(Allocation!BK320="","",Allocation!BK320)</f>
        <v/>
      </c>
      <c r="D320" s="0">
        <f>IF(Allocation!BL320="","",Allocation!BL320)</f>
        <v/>
      </c>
      <c r="E320" s="0">
        <f>IF(Allocation!BM320="","",Allocation!BM320)</f>
        <v/>
      </c>
      <c r="F320" s="0">
        <f>IF(Allocation!BN320="","",Allocation!BN320)</f>
        <v/>
      </c>
      <c r="G320" s="0">
        <f>IF(Allocation!BO320="","",Allocation!BO320)</f>
        <v/>
      </c>
      <c r="H320" s="0">
        <f>IF(Allocation!BP320="","",Allocation!BP320)</f>
        <v/>
      </c>
      <c r="I320" s="0">
        <f>IF(Allocation!BQ320="","",Allocation!BQ320)</f>
        <v/>
      </c>
      <c r="J320" s="0">
        <f>IF(Allocation!CC320="","",Allocation!CC320)</f>
        <v/>
      </c>
      <c r="K320" s="0">
        <f>IF($A320="","",$H320*IF(AND(LEFT($D320,3)="BAC",$F320="INIT"),600,IF(LEFT($D320,3)="BAC",480,IF(AND(LEFT($D320,3)="MAS",$F320="INIT"),520,IF(LEFT($D320,3)="MAS",420,IF($F320="INIT",1000,700))))))</f>
        <v/>
      </c>
      <c r="L320" s="0">
        <f>IF($A320="","",SUMIFS($G$1:$G$349,$AS$1:$AS$349,$AS320,$B$1:$B$349,$B320))</f>
        <v/>
      </c>
      <c r="M320" s="0">
        <f>IF($A320="","",SUMIFS($H$1:$H$349,$AS$1:$AS$349,$AS320,$B$1:$B$349,$B320))</f>
        <v/>
      </c>
      <c r="N320" s="0">
        <f>IF($A320="","",SUMIFS($I$1:$I$349,$AS$1:$AS$349,$AS320,$B$1:$B$349,$B320))</f>
        <v/>
      </c>
      <c r="O320" s="0">
        <f>IF($A320="","",SUMIFS($K$1:$K$349,$AS$1:$AS$349,$AS320,$B$1:$B$349,$B320))</f>
        <v/>
      </c>
      <c r="P320" s="0">
        <f>IF($A320="","",SUMIFS($J$1:$J$349,$AS$1:$AS$349,$AS320,$B$1:$B$349,$B320))</f>
        <v/>
      </c>
      <c r="Q320" s="0">
        <f>IF($A320="","",SUMIFS($G$1:$G$349,$AS$1:$AS$349,$AS320,$C$1:$C$349,$C320))</f>
        <v/>
      </c>
      <c r="R320" s="0">
        <f>IF($A320="","",SUMIFS($H$1:$H$349,$AS$1:$AS$349,$AS320,$C$1:$C$349,$C320))</f>
        <v/>
      </c>
      <c r="S320" s="0">
        <f>IF($A320="","",SUMIFS($I$1:$I$349,$AS$1:$AS$349,$AS320,$C$1:$C$349,$C320))</f>
        <v/>
      </c>
      <c r="T320" s="0">
        <f>IF($A320="","",SUMIFS($G$1:$G$349,$AS$1:$AS$349,$AS320))</f>
        <v/>
      </c>
      <c r="U320" s="0">
        <f>IF($A320="","",SUMIFS($H$1:$H$349,$AS$1:$AS$349,$AS320))</f>
        <v/>
      </c>
      <c r="V320" s="0">
        <f>IF($A320="","",SUMIFS($I$1:$I$349,$AS$1:$AS$349,$AS320))</f>
        <v/>
      </c>
      <c r="W320" s="0">
        <f>IF($A320="","",Allocation!CD320)</f>
        <v/>
      </c>
      <c r="X320" s="0">
        <f>IF($A320="","",Allocation!CE320)</f>
        <v/>
      </c>
      <c r="Y320" s="0">
        <f>IF($A320="","",Allocation!CF320)</f>
        <v/>
      </c>
      <c r="Z320" s="0">
        <f>IF($A320="","",Allocation!CG320)</f>
        <v/>
      </c>
      <c r="AA320" s="0">
        <f>IF($A320="","",Allocation!CH320)</f>
        <v/>
      </c>
      <c r="AB320" s="0">
        <f>IF($A320="","",Allocation!CI320)</f>
        <v/>
      </c>
      <c r="AC320" s="0">
        <f>IF($A320="","",IF(Allocation!$N$4="VOL_EFF",$G320,IF(Allocation!$N$4="VOL_CLASS",$H320,$I320)))</f>
        <v/>
      </c>
      <c r="AD320" s="0">
        <f>IF($A320="","",IF(Allocation!$N$4="VOL_EFF",$L320,IF(Allocation!$N$4="VOL_CLASS",$M320,$N320)))</f>
        <v/>
      </c>
      <c r="AE320" s="0">
        <f>IF($A320="","",IF(Allocation!$N$3="VOL_EFF",$L320,IF(Allocation!$N$3="VOL_CLASS",$M320,$N320)))</f>
        <v/>
      </c>
      <c r="AF320" s="0">
        <f>IF($A320="","",IF(Allocation!$N$3="VOL_EFF",$Q320,IF(Allocation!$N$3="VOL_CLASS",$R320,$S320)))</f>
        <v/>
      </c>
      <c r="AG320" s="0">
        <f>IF($A320="","",IF(Allocation!$N$1="VOL_EFF",$Q320,IF(Allocation!$N$1="VOL_CLASS",$R320,$S320)))</f>
        <v/>
      </c>
      <c r="AH320" s="0">
        <f>IF($A320="","",IF(Allocation!$N$1="VOL_EFF",$T320,IF(Allocation!$N$1="VOL_CLASS",$U320,$V320)))</f>
        <v/>
      </c>
      <c r="AI320" s="0">
        <f>IF($A320="","",$W320*IFERROR($K320/$O320,0))</f>
        <v/>
      </c>
      <c r="AJ320" s="0">
        <f>IF($A320="","",$X320*IFERROR($K320/$O320,0))</f>
        <v/>
      </c>
      <c r="AK320" s="0">
        <f>IF($A320="","",$Y320*IFERROR($G320/$L320,0)+$Z320*IFERROR($J320/$P320,0))</f>
        <v/>
      </c>
      <c r="AL320" s="0">
        <f>IF($A320="","",$AA320*IFERROR($AC320/$AD320,0))</f>
        <v/>
      </c>
      <c r="AM320" s="0">
        <f>IF($A320="","",$AB320*IFERROR($AG320/$AH320,0)*IFERROR($AE320/$AF320,0)*IFERROR($AC320/$AD320,0))</f>
        <v/>
      </c>
      <c r="AN320" s="0">
        <f>IF($A320="","",$I320-($AI320+$AJ320+$AK320+$AL320+$AM320+$AR320))</f>
        <v/>
      </c>
      <c r="AO320" s="0">
        <f>IF($A320="","",Allocation!CJ320)</f>
        <v/>
      </c>
      <c r="AP320" s="0">
        <f>IF($A320="","",IF(Allocation!$N$2="VOL_EFF",$Q320,IF(Allocation!$N$2="VOL_CLASS",$R320,$S320)))</f>
        <v/>
      </c>
      <c r="AQ320" s="0">
        <f>IF($A320="","",IF(Allocation!$N$2="VOL_EFF",$T320,IF(Allocation!$N$2="VOL_CLASS",$U320,$V320)))</f>
        <v/>
      </c>
      <c r="AR320" s="0">
        <f>IF($A320="","",$AO320*IFERROR($AP320/$AQ320,0)*IFERROR($AE320/$AF320,0)*IFERROR($AC320/$AD320,0))</f>
        <v/>
      </c>
      <c r="AS320" s="0">
        <f>IF($A320="","",$A320&amp;"|"&amp;Allocation!BG320)</f>
        <v/>
      </c>
    </row>
    <row r="321" ht="14.4975" customHeight="1" s="64">
      <c r="A321" s="0">
        <f>IF(Allocation!BI321="","",Allocation!BI321)</f>
        <v/>
      </c>
      <c r="B321" s="0">
        <f>IF(Allocation!BJ321="","",Allocation!BJ321)</f>
        <v/>
      </c>
      <c r="C321" s="0">
        <f>IF(Allocation!BK321="","",Allocation!BK321)</f>
        <v/>
      </c>
      <c r="D321" s="0">
        <f>IF(Allocation!BL321="","",Allocation!BL321)</f>
        <v/>
      </c>
      <c r="E321" s="0">
        <f>IF(Allocation!BM321="","",Allocation!BM321)</f>
        <v/>
      </c>
      <c r="F321" s="0">
        <f>IF(Allocation!BN321="","",Allocation!BN321)</f>
        <v/>
      </c>
      <c r="G321" s="0">
        <f>IF(Allocation!BO321="","",Allocation!BO321)</f>
        <v/>
      </c>
      <c r="H321" s="0">
        <f>IF(Allocation!BP321="","",Allocation!BP321)</f>
        <v/>
      </c>
      <c r="I321" s="0">
        <f>IF(Allocation!BQ321="","",Allocation!BQ321)</f>
        <v/>
      </c>
      <c r="J321" s="0">
        <f>IF(Allocation!CC321="","",Allocation!CC321)</f>
        <v/>
      </c>
      <c r="K321" s="0">
        <f>IF($A321="","",$H321*IF(AND(LEFT($D321,3)="BAC",$F321="INIT"),600,IF(LEFT($D321,3)="BAC",480,IF(AND(LEFT($D321,3)="MAS",$F321="INIT"),520,IF(LEFT($D321,3)="MAS",420,IF($F321="INIT",1000,700))))))</f>
        <v/>
      </c>
      <c r="L321" s="0">
        <f>IF($A321="","",SUMIFS($G$1:$G$349,$AS$1:$AS$349,$AS321,$B$1:$B$349,$B321))</f>
        <v/>
      </c>
      <c r="M321" s="0">
        <f>IF($A321="","",SUMIFS($H$1:$H$349,$AS$1:$AS$349,$AS321,$B$1:$B$349,$B321))</f>
        <v/>
      </c>
      <c r="N321" s="0">
        <f>IF($A321="","",SUMIFS($I$1:$I$349,$AS$1:$AS$349,$AS321,$B$1:$B$349,$B321))</f>
        <v/>
      </c>
      <c r="O321" s="0">
        <f>IF($A321="","",SUMIFS($K$1:$K$349,$AS$1:$AS$349,$AS321,$B$1:$B$349,$B321))</f>
        <v/>
      </c>
      <c r="P321" s="0">
        <f>IF($A321="","",SUMIFS($J$1:$J$349,$AS$1:$AS$349,$AS321,$B$1:$B$349,$B321))</f>
        <v/>
      </c>
      <c r="Q321" s="0">
        <f>IF($A321="","",SUMIFS($G$1:$G$349,$AS$1:$AS$349,$AS321,$C$1:$C$349,$C321))</f>
        <v/>
      </c>
      <c r="R321" s="0">
        <f>IF($A321="","",SUMIFS($H$1:$H$349,$AS$1:$AS$349,$AS321,$C$1:$C$349,$C321))</f>
        <v/>
      </c>
      <c r="S321" s="0">
        <f>IF($A321="","",SUMIFS($I$1:$I$349,$AS$1:$AS$349,$AS321,$C$1:$C$349,$C321))</f>
        <v/>
      </c>
      <c r="T321" s="0">
        <f>IF($A321="","",SUMIFS($G$1:$G$349,$AS$1:$AS$349,$AS321))</f>
        <v/>
      </c>
      <c r="U321" s="0">
        <f>IF($A321="","",SUMIFS($H$1:$H$349,$AS$1:$AS$349,$AS321))</f>
        <v/>
      </c>
      <c r="V321" s="0">
        <f>IF($A321="","",SUMIFS($I$1:$I$349,$AS$1:$AS$349,$AS321))</f>
        <v/>
      </c>
      <c r="W321" s="0">
        <f>IF($A321="","",Allocation!CD321)</f>
        <v/>
      </c>
      <c r="X321" s="0">
        <f>IF($A321="","",Allocation!CE321)</f>
        <v/>
      </c>
      <c r="Y321" s="0">
        <f>IF($A321="","",Allocation!CF321)</f>
        <v/>
      </c>
      <c r="Z321" s="0">
        <f>IF($A321="","",Allocation!CG321)</f>
        <v/>
      </c>
      <c r="AA321" s="0">
        <f>IF($A321="","",Allocation!CH321)</f>
        <v/>
      </c>
      <c r="AB321" s="0">
        <f>IF($A321="","",Allocation!CI321)</f>
        <v/>
      </c>
      <c r="AC321" s="0">
        <f>IF($A321="","",IF(Allocation!$N$4="VOL_EFF",$G321,IF(Allocation!$N$4="VOL_CLASS",$H321,$I321)))</f>
        <v/>
      </c>
      <c r="AD321" s="0">
        <f>IF($A321="","",IF(Allocation!$N$4="VOL_EFF",$L321,IF(Allocation!$N$4="VOL_CLASS",$M321,$N321)))</f>
        <v/>
      </c>
      <c r="AE321" s="0">
        <f>IF($A321="","",IF(Allocation!$N$3="VOL_EFF",$L321,IF(Allocation!$N$3="VOL_CLASS",$M321,$N321)))</f>
        <v/>
      </c>
      <c r="AF321" s="0">
        <f>IF($A321="","",IF(Allocation!$N$3="VOL_EFF",$Q321,IF(Allocation!$N$3="VOL_CLASS",$R321,$S321)))</f>
        <v/>
      </c>
      <c r="AG321" s="0">
        <f>IF($A321="","",IF(Allocation!$N$1="VOL_EFF",$Q321,IF(Allocation!$N$1="VOL_CLASS",$R321,$S321)))</f>
        <v/>
      </c>
      <c r="AH321" s="0">
        <f>IF($A321="","",IF(Allocation!$N$1="VOL_EFF",$T321,IF(Allocation!$N$1="VOL_CLASS",$U321,$V321)))</f>
        <v/>
      </c>
      <c r="AI321" s="0">
        <f>IF($A321="","",$W321*IFERROR($K321/$O321,0))</f>
        <v/>
      </c>
      <c r="AJ321" s="0">
        <f>IF($A321="","",$X321*IFERROR($K321/$O321,0))</f>
        <v/>
      </c>
      <c r="AK321" s="0">
        <f>IF($A321="","",$Y321*IFERROR($G321/$L321,0)+$Z321*IFERROR($J321/$P321,0))</f>
        <v/>
      </c>
      <c r="AL321" s="0">
        <f>IF($A321="","",$AA321*IFERROR($AC321/$AD321,0))</f>
        <v/>
      </c>
      <c r="AM321" s="0">
        <f>IF($A321="","",$AB321*IFERROR($AG321/$AH321,0)*IFERROR($AE321/$AF321,0)*IFERROR($AC321/$AD321,0))</f>
        <v/>
      </c>
      <c r="AN321" s="0">
        <f>IF($A321="","",$I321-($AI321+$AJ321+$AK321+$AL321+$AM321+$AR321))</f>
        <v/>
      </c>
      <c r="AO321" s="0">
        <f>IF($A321="","",Allocation!CJ321)</f>
        <v/>
      </c>
      <c r="AP321" s="0">
        <f>IF($A321="","",IF(Allocation!$N$2="VOL_EFF",$Q321,IF(Allocation!$N$2="VOL_CLASS",$R321,$S321)))</f>
        <v/>
      </c>
      <c r="AQ321" s="0">
        <f>IF($A321="","",IF(Allocation!$N$2="VOL_EFF",$T321,IF(Allocation!$N$2="VOL_CLASS",$U321,$V321)))</f>
        <v/>
      </c>
      <c r="AR321" s="0">
        <f>IF($A321="","",$AO321*IFERROR($AP321/$AQ321,0)*IFERROR($AE321/$AF321,0)*IFERROR($AC321/$AD321,0))</f>
        <v/>
      </c>
      <c r="AS321" s="0">
        <f>IF($A321="","",$A321&amp;"|"&amp;Allocation!BG321)</f>
        <v/>
      </c>
    </row>
    <row r="322" ht="14.4975" customHeight="1" s="64">
      <c r="A322" s="0">
        <f>IF(Allocation!BI322="","",Allocation!BI322)</f>
        <v/>
      </c>
      <c r="B322" s="0">
        <f>IF(Allocation!BJ322="","",Allocation!BJ322)</f>
        <v/>
      </c>
      <c r="C322" s="0">
        <f>IF(Allocation!BK322="","",Allocation!BK322)</f>
        <v/>
      </c>
      <c r="D322" s="0">
        <f>IF(Allocation!BL322="","",Allocation!BL322)</f>
        <v/>
      </c>
      <c r="E322" s="0">
        <f>IF(Allocation!BM322="","",Allocation!BM322)</f>
        <v/>
      </c>
      <c r="F322" s="0">
        <f>IF(Allocation!BN322="","",Allocation!BN322)</f>
        <v/>
      </c>
      <c r="G322" s="0">
        <f>IF(Allocation!BO322="","",Allocation!BO322)</f>
        <v/>
      </c>
      <c r="H322" s="0">
        <f>IF(Allocation!BP322="","",Allocation!BP322)</f>
        <v/>
      </c>
      <c r="I322" s="0">
        <f>IF(Allocation!BQ322="","",Allocation!BQ322)</f>
        <v/>
      </c>
      <c r="J322" s="0">
        <f>IF(Allocation!CC322="","",Allocation!CC322)</f>
        <v/>
      </c>
      <c r="K322" s="0">
        <f>IF($A322="","",$H322*IF(AND(LEFT($D322,3)="BAC",$F322="INIT"),600,IF(LEFT($D322,3)="BAC",480,IF(AND(LEFT($D322,3)="MAS",$F322="INIT"),520,IF(LEFT($D322,3)="MAS",420,IF($F322="INIT",1000,700))))))</f>
        <v/>
      </c>
      <c r="L322" s="0">
        <f>IF($A322="","",SUMIFS($G$1:$G$349,$AS$1:$AS$349,$AS322,$B$1:$B$349,$B322))</f>
        <v/>
      </c>
      <c r="M322" s="0">
        <f>IF($A322="","",SUMIFS($H$1:$H$349,$AS$1:$AS$349,$AS322,$B$1:$B$349,$B322))</f>
        <v/>
      </c>
      <c r="N322" s="0">
        <f>IF($A322="","",SUMIFS($I$1:$I$349,$AS$1:$AS$349,$AS322,$B$1:$B$349,$B322))</f>
        <v/>
      </c>
      <c r="O322" s="0">
        <f>IF($A322="","",SUMIFS($K$1:$K$349,$AS$1:$AS$349,$AS322,$B$1:$B$349,$B322))</f>
        <v/>
      </c>
      <c r="P322" s="0">
        <f>IF($A322="","",SUMIFS($J$1:$J$349,$AS$1:$AS$349,$AS322,$B$1:$B$349,$B322))</f>
        <v/>
      </c>
      <c r="Q322" s="0">
        <f>IF($A322="","",SUMIFS($G$1:$G$349,$AS$1:$AS$349,$AS322,$C$1:$C$349,$C322))</f>
        <v/>
      </c>
      <c r="R322" s="0">
        <f>IF($A322="","",SUMIFS($H$1:$H$349,$AS$1:$AS$349,$AS322,$C$1:$C$349,$C322))</f>
        <v/>
      </c>
      <c r="S322" s="0">
        <f>IF($A322="","",SUMIFS($I$1:$I$349,$AS$1:$AS$349,$AS322,$C$1:$C$349,$C322))</f>
        <v/>
      </c>
      <c r="T322" s="0">
        <f>IF($A322="","",SUMIFS($G$1:$G$349,$AS$1:$AS$349,$AS322))</f>
        <v/>
      </c>
      <c r="U322" s="0">
        <f>IF($A322="","",SUMIFS($H$1:$H$349,$AS$1:$AS$349,$AS322))</f>
        <v/>
      </c>
      <c r="V322" s="0">
        <f>IF($A322="","",SUMIFS($I$1:$I$349,$AS$1:$AS$349,$AS322))</f>
        <v/>
      </c>
      <c r="W322" s="0">
        <f>IF($A322="","",Allocation!CD322)</f>
        <v/>
      </c>
      <c r="X322" s="0">
        <f>IF($A322="","",Allocation!CE322)</f>
        <v/>
      </c>
      <c r="Y322" s="0">
        <f>IF($A322="","",Allocation!CF322)</f>
        <v/>
      </c>
      <c r="Z322" s="0">
        <f>IF($A322="","",Allocation!CG322)</f>
        <v/>
      </c>
      <c r="AA322" s="0">
        <f>IF($A322="","",Allocation!CH322)</f>
        <v/>
      </c>
      <c r="AB322" s="0">
        <f>IF($A322="","",Allocation!CI322)</f>
        <v/>
      </c>
      <c r="AC322" s="0">
        <f>IF($A322="","",IF(Allocation!$N$4="VOL_EFF",$G322,IF(Allocation!$N$4="VOL_CLASS",$H322,$I322)))</f>
        <v/>
      </c>
      <c r="AD322" s="0">
        <f>IF($A322="","",IF(Allocation!$N$4="VOL_EFF",$L322,IF(Allocation!$N$4="VOL_CLASS",$M322,$N322)))</f>
        <v/>
      </c>
      <c r="AE322" s="0">
        <f>IF($A322="","",IF(Allocation!$N$3="VOL_EFF",$L322,IF(Allocation!$N$3="VOL_CLASS",$M322,$N322)))</f>
        <v/>
      </c>
      <c r="AF322" s="0">
        <f>IF($A322="","",IF(Allocation!$N$3="VOL_EFF",$Q322,IF(Allocation!$N$3="VOL_CLASS",$R322,$S322)))</f>
        <v/>
      </c>
      <c r="AG322" s="0">
        <f>IF($A322="","",IF(Allocation!$N$1="VOL_EFF",$Q322,IF(Allocation!$N$1="VOL_CLASS",$R322,$S322)))</f>
        <v/>
      </c>
      <c r="AH322" s="0">
        <f>IF($A322="","",IF(Allocation!$N$1="VOL_EFF",$T322,IF(Allocation!$N$1="VOL_CLASS",$U322,$V322)))</f>
        <v/>
      </c>
      <c r="AI322" s="0">
        <f>IF($A322="","",$W322*IFERROR($K322/$O322,0))</f>
        <v/>
      </c>
      <c r="AJ322" s="0">
        <f>IF($A322="","",$X322*IFERROR($K322/$O322,0))</f>
        <v/>
      </c>
      <c r="AK322" s="0">
        <f>IF($A322="","",$Y322*IFERROR($G322/$L322,0)+$Z322*IFERROR($J322/$P322,0))</f>
        <v/>
      </c>
      <c r="AL322" s="0">
        <f>IF($A322="","",$AA322*IFERROR($AC322/$AD322,0))</f>
        <v/>
      </c>
      <c r="AM322" s="0">
        <f>IF($A322="","",$AB322*IFERROR($AG322/$AH322,0)*IFERROR($AE322/$AF322,0)*IFERROR($AC322/$AD322,0))</f>
        <v/>
      </c>
      <c r="AN322" s="0">
        <f>IF($A322="","",$I322-($AI322+$AJ322+$AK322+$AL322+$AM322+$AR322))</f>
        <v/>
      </c>
      <c r="AO322" s="0">
        <f>IF($A322="","",Allocation!CJ322)</f>
        <v/>
      </c>
      <c r="AP322" s="0">
        <f>IF($A322="","",IF(Allocation!$N$2="VOL_EFF",$Q322,IF(Allocation!$N$2="VOL_CLASS",$R322,$S322)))</f>
        <v/>
      </c>
      <c r="AQ322" s="0">
        <f>IF($A322="","",IF(Allocation!$N$2="VOL_EFF",$T322,IF(Allocation!$N$2="VOL_CLASS",$U322,$V322)))</f>
        <v/>
      </c>
      <c r="AR322" s="0">
        <f>IF($A322="","",$AO322*IFERROR($AP322/$AQ322,0)*IFERROR($AE322/$AF322,0)*IFERROR($AC322/$AD322,0))</f>
        <v/>
      </c>
      <c r="AS322" s="0">
        <f>IF($A322="","",$A322&amp;"|"&amp;Allocation!BG322)</f>
        <v/>
      </c>
    </row>
    <row r="323" ht="14.4975" customHeight="1" s="64">
      <c r="A323" s="0">
        <f>IF(Allocation!BI323="","",Allocation!BI323)</f>
        <v/>
      </c>
      <c r="B323" s="0">
        <f>IF(Allocation!BJ323="","",Allocation!BJ323)</f>
        <v/>
      </c>
      <c r="C323" s="0">
        <f>IF(Allocation!BK323="","",Allocation!BK323)</f>
        <v/>
      </c>
      <c r="D323" s="0">
        <f>IF(Allocation!BL323="","",Allocation!BL323)</f>
        <v/>
      </c>
      <c r="E323" s="0">
        <f>IF(Allocation!BM323="","",Allocation!BM323)</f>
        <v/>
      </c>
      <c r="F323" s="0">
        <f>IF(Allocation!BN323="","",Allocation!BN323)</f>
        <v/>
      </c>
      <c r="G323" s="0">
        <f>IF(Allocation!BO323="","",Allocation!BO323)</f>
        <v/>
      </c>
      <c r="H323" s="0">
        <f>IF(Allocation!BP323="","",Allocation!BP323)</f>
        <v/>
      </c>
      <c r="I323" s="0">
        <f>IF(Allocation!BQ323="","",Allocation!BQ323)</f>
        <v/>
      </c>
      <c r="J323" s="0">
        <f>IF(Allocation!CC323="","",Allocation!CC323)</f>
        <v/>
      </c>
      <c r="K323" s="0">
        <f>IF($A323="","",$H323*IF(AND(LEFT($D323,3)="BAC",$F323="INIT"),600,IF(LEFT($D323,3)="BAC",480,IF(AND(LEFT($D323,3)="MAS",$F323="INIT"),520,IF(LEFT($D323,3)="MAS",420,IF($F323="INIT",1000,700))))))</f>
        <v/>
      </c>
      <c r="L323" s="0">
        <f>IF($A323="","",SUMIFS($G$1:$G$349,$AS$1:$AS$349,$AS323,$B$1:$B$349,$B323))</f>
        <v/>
      </c>
      <c r="M323" s="0">
        <f>IF($A323="","",SUMIFS($H$1:$H$349,$AS$1:$AS$349,$AS323,$B$1:$B$349,$B323))</f>
        <v/>
      </c>
      <c r="N323" s="0">
        <f>IF($A323="","",SUMIFS($I$1:$I$349,$AS$1:$AS$349,$AS323,$B$1:$B$349,$B323))</f>
        <v/>
      </c>
      <c r="O323" s="0">
        <f>IF($A323="","",SUMIFS($K$1:$K$349,$AS$1:$AS$349,$AS323,$B$1:$B$349,$B323))</f>
        <v/>
      </c>
      <c r="P323" s="0">
        <f>IF($A323="","",SUMIFS($J$1:$J$349,$AS$1:$AS$349,$AS323,$B$1:$B$349,$B323))</f>
        <v/>
      </c>
      <c r="Q323" s="0">
        <f>IF($A323="","",SUMIFS($G$1:$G$349,$AS$1:$AS$349,$AS323,$C$1:$C$349,$C323))</f>
        <v/>
      </c>
      <c r="R323" s="0">
        <f>IF($A323="","",SUMIFS($H$1:$H$349,$AS$1:$AS$349,$AS323,$C$1:$C$349,$C323))</f>
        <v/>
      </c>
      <c r="S323" s="0">
        <f>IF($A323="","",SUMIFS($I$1:$I$349,$AS$1:$AS$349,$AS323,$C$1:$C$349,$C323))</f>
        <v/>
      </c>
      <c r="T323" s="0">
        <f>IF($A323="","",SUMIFS($G$1:$G$349,$AS$1:$AS$349,$AS323))</f>
        <v/>
      </c>
      <c r="U323" s="0">
        <f>IF($A323="","",SUMIFS($H$1:$H$349,$AS$1:$AS$349,$AS323))</f>
        <v/>
      </c>
      <c r="V323" s="0">
        <f>IF($A323="","",SUMIFS($I$1:$I$349,$AS$1:$AS$349,$AS323))</f>
        <v/>
      </c>
      <c r="W323" s="0">
        <f>IF($A323="","",Allocation!CD323)</f>
        <v/>
      </c>
      <c r="X323" s="0">
        <f>IF($A323="","",Allocation!CE323)</f>
        <v/>
      </c>
      <c r="Y323" s="0">
        <f>IF($A323="","",Allocation!CF323)</f>
        <v/>
      </c>
      <c r="Z323" s="0">
        <f>IF($A323="","",Allocation!CG323)</f>
        <v/>
      </c>
      <c r="AA323" s="0">
        <f>IF($A323="","",Allocation!CH323)</f>
        <v/>
      </c>
      <c r="AB323" s="0">
        <f>IF($A323="","",Allocation!CI323)</f>
        <v/>
      </c>
      <c r="AC323" s="0">
        <f>IF($A323="","",IF(Allocation!$N$4="VOL_EFF",$G323,IF(Allocation!$N$4="VOL_CLASS",$H323,$I323)))</f>
        <v/>
      </c>
      <c r="AD323" s="0">
        <f>IF($A323="","",IF(Allocation!$N$4="VOL_EFF",$L323,IF(Allocation!$N$4="VOL_CLASS",$M323,$N323)))</f>
        <v/>
      </c>
      <c r="AE323" s="0">
        <f>IF($A323="","",IF(Allocation!$N$3="VOL_EFF",$L323,IF(Allocation!$N$3="VOL_CLASS",$M323,$N323)))</f>
        <v/>
      </c>
      <c r="AF323" s="0">
        <f>IF($A323="","",IF(Allocation!$N$3="VOL_EFF",$Q323,IF(Allocation!$N$3="VOL_CLASS",$R323,$S323)))</f>
        <v/>
      </c>
      <c r="AG323" s="0">
        <f>IF($A323="","",IF(Allocation!$N$1="VOL_EFF",$Q323,IF(Allocation!$N$1="VOL_CLASS",$R323,$S323)))</f>
        <v/>
      </c>
      <c r="AH323" s="0">
        <f>IF($A323="","",IF(Allocation!$N$1="VOL_EFF",$T323,IF(Allocation!$N$1="VOL_CLASS",$U323,$V323)))</f>
        <v/>
      </c>
      <c r="AI323" s="0">
        <f>IF($A323="","",$W323*IFERROR($K323/$O323,0))</f>
        <v/>
      </c>
      <c r="AJ323" s="0">
        <f>IF($A323="","",$X323*IFERROR($K323/$O323,0))</f>
        <v/>
      </c>
      <c r="AK323" s="0">
        <f>IF($A323="","",$Y323*IFERROR($G323/$L323,0)+$Z323*IFERROR($J323/$P323,0))</f>
        <v/>
      </c>
      <c r="AL323" s="0">
        <f>IF($A323="","",$AA323*IFERROR($AC323/$AD323,0))</f>
        <v/>
      </c>
      <c r="AM323" s="0">
        <f>IF($A323="","",$AB323*IFERROR($AG323/$AH323,0)*IFERROR($AE323/$AF323,0)*IFERROR($AC323/$AD323,0))</f>
        <v/>
      </c>
      <c r="AN323" s="0">
        <f>IF($A323="","",$I323-($AI323+$AJ323+$AK323+$AL323+$AM323+$AR323))</f>
        <v/>
      </c>
      <c r="AO323" s="0">
        <f>IF($A323="","",Allocation!CJ323)</f>
        <v/>
      </c>
      <c r="AP323" s="0">
        <f>IF($A323="","",IF(Allocation!$N$2="VOL_EFF",$Q323,IF(Allocation!$N$2="VOL_CLASS",$R323,$S323)))</f>
        <v/>
      </c>
      <c r="AQ323" s="0">
        <f>IF($A323="","",IF(Allocation!$N$2="VOL_EFF",$T323,IF(Allocation!$N$2="VOL_CLASS",$U323,$V323)))</f>
        <v/>
      </c>
      <c r="AR323" s="0">
        <f>IF($A323="","",$AO323*IFERROR($AP323/$AQ323,0)*IFERROR($AE323/$AF323,0)*IFERROR($AC323/$AD323,0))</f>
        <v/>
      </c>
      <c r="AS323" s="0">
        <f>IF($A323="","",$A323&amp;"|"&amp;Allocation!BG323)</f>
        <v/>
      </c>
    </row>
    <row r="324" ht="14.4975" customHeight="1" s="64">
      <c r="A324" s="0">
        <f>IF(Allocation!BI324="","",Allocation!BI324)</f>
        <v/>
      </c>
      <c r="B324" s="0">
        <f>IF(Allocation!BJ324="","",Allocation!BJ324)</f>
        <v/>
      </c>
      <c r="C324" s="0">
        <f>IF(Allocation!BK324="","",Allocation!BK324)</f>
        <v/>
      </c>
      <c r="D324" s="0">
        <f>IF(Allocation!BL324="","",Allocation!BL324)</f>
        <v/>
      </c>
      <c r="E324" s="0">
        <f>IF(Allocation!BM324="","",Allocation!BM324)</f>
        <v/>
      </c>
      <c r="F324" s="0">
        <f>IF(Allocation!BN324="","",Allocation!BN324)</f>
        <v/>
      </c>
      <c r="G324" s="0">
        <f>IF(Allocation!BO324="","",Allocation!BO324)</f>
        <v/>
      </c>
      <c r="H324" s="0">
        <f>IF(Allocation!BP324="","",Allocation!BP324)</f>
        <v/>
      </c>
      <c r="I324" s="0">
        <f>IF(Allocation!BQ324="","",Allocation!BQ324)</f>
        <v/>
      </c>
      <c r="J324" s="0">
        <f>IF(Allocation!CC324="","",Allocation!CC324)</f>
        <v/>
      </c>
      <c r="K324" s="0">
        <f>IF($A324="","",$H324*IF(AND(LEFT($D324,3)="BAC",$F324="INIT"),600,IF(LEFT($D324,3)="BAC",480,IF(AND(LEFT($D324,3)="MAS",$F324="INIT"),520,IF(LEFT($D324,3)="MAS",420,IF($F324="INIT",1000,700))))))</f>
        <v/>
      </c>
      <c r="L324" s="0">
        <f>IF($A324="","",SUMIFS($G$1:$G$349,$AS$1:$AS$349,$AS324,$B$1:$B$349,$B324))</f>
        <v/>
      </c>
      <c r="M324" s="0">
        <f>IF($A324="","",SUMIFS($H$1:$H$349,$AS$1:$AS$349,$AS324,$B$1:$B$349,$B324))</f>
        <v/>
      </c>
      <c r="N324" s="0">
        <f>IF($A324="","",SUMIFS($I$1:$I$349,$AS$1:$AS$349,$AS324,$B$1:$B$349,$B324))</f>
        <v/>
      </c>
      <c r="O324" s="0">
        <f>IF($A324="","",SUMIFS($K$1:$K$349,$AS$1:$AS$349,$AS324,$B$1:$B$349,$B324))</f>
        <v/>
      </c>
      <c r="P324" s="0">
        <f>IF($A324="","",SUMIFS($J$1:$J$349,$AS$1:$AS$349,$AS324,$B$1:$B$349,$B324))</f>
        <v/>
      </c>
      <c r="Q324" s="0">
        <f>IF($A324="","",SUMIFS($G$1:$G$349,$AS$1:$AS$349,$AS324,$C$1:$C$349,$C324))</f>
        <v/>
      </c>
      <c r="R324" s="0">
        <f>IF($A324="","",SUMIFS($H$1:$H$349,$AS$1:$AS$349,$AS324,$C$1:$C$349,$C324))</f>
        <v/>
      </c>
      <c r="S324" s="0">
        <f>IF($A324="","",SUMIFS($I$1:$I$349,$AS$1:$AS$349,$AS324,$C$1:$C$349,$C324))</f>
        <v/>
      </c>
      <c r="T324" s="0">
        <f>IF($A324="","",SUMIFS($G$1:$G$349,$AS$1:$AS$349,$AS324))</f>
        <v/>
      </c>
      <c r="U324" s="0">
        <f>IF($A324="","",SUMIFS($H$1:$H$349,$AS$1:$AS$349,$AS324))</f>
        <v/>
      </c>
      <c r="V324" s="0">
        <f>IF($A324="","",SUMIFS($I$1:$I$349,$AS$1:$AS$349,$AS324))</f>
        <v/>
      </c>
      <c r="W324" s="0">
        <f>IF($A324="","",Allocation!CD324)</f>
        <v/>
      </c>
      <c r="X324" s="0">
        <f>IF($A324="","",Allocation!CE324)</f>
        <v/>
      </c>
      <c r="Y324" s="0">
        <f>IF($A324="","",Allocation!CF324)</f>
        <v/>
      </c>
      <c r="Z324" s="0">
        <f>IF($A324="","",Allocation!CG324)</f>
        <v/>
      </c>
      <c r="AA324" s="0">
        <f>IF($A324="","",Allocation!CH324)</f>
        <v/>
      </c>
      <c r="AB324" s="0">
        <f>IF($A324="","",Allocation!CI324)</f>
        <v/>
      </c>
      <c r="AC324" s="0">
        <f>IF($A324="","",IF(Allocation!$N$4="VOL_EFF",$G324,IF(Allocation!$N$4="VOL_CLASS",$H324,$I324)))</f>
        <v/>
      </c>
      <c r="AD324" s="0">
        <f>IF($A324="","",IF(Allocation!$N$4="VOL_EFF",$L324,IF(Allocation!$N$4="VOL_CLASS",$M324,$N324)))</f>
        <v/>
      </c>
      <c r="AE324" s="0">
        <f>IF($A324="","",IF(Allocation!$N$3="VOL_EFF",$L324,IF(Allocation!$N$3="VOL_CLASS",$M324,$N324)))</f>
        <v/>
      </c>
      <c r="AF324" s="0">
        <f>IF($A324="","",IF(Allocation!$N$3="VOL_EFF",$Q324,IF(Allocation!$N$3="VOL_CLASS",$R324,$S324)))</f>
        <v/>
      </c>
      <c r="AG324" s="0">
        <f>IF($A324="","",IF(Allocation!$N$1="VOL_EFF",$Q324,IF(Allocation!$N$1="VOL_CLASS",$R324,$S324)))</f>
        <v/>
      </c>
      <c r="AH324" s="0">
        <f>IF($A324="","",IF(Allocation!$N$1="VOL_EFF",$T324,IF(Allocation!$N$1="VOL_CLASS",$U324,$V324)))</f>
        <v/>
      </c>
      <c r="AI324" s="0">
        <f>IF($A324="","",$W324*IFERROR($K324/$O324,0))</f>
        <v/>
      </c>
      <c r="AJ324" s="0">
        <f>IF($A324="","",$X324*IFERROR($K324/$O324,0))</f>
        <v/>
      </c>
      <c r="AK324" s="0">
        <f>IF($A324="","",$Y324*IFERROR($G324/$L324,0)+$Z324*IFERROR($J324/$P324,0))</f>
        <v/>
      </c>
      <c r="AL324" s="0">
        <f>IF($A324="","",$AA324*IFERROR($AC324/$AD324,0))</f>
        <v/>
      </c>
      <c r="AM324" s="0">
        <f>IF($A324="","",$AB324*IFERROR($AG324/$AH324,0)*IFERROR($AE324/$AF324,0)*IFERROR($AC324/$AD324,0))</f>
        <v/>
      </c>
      <c r="AN324" s="0">
        <f>IF($A324="","",$I324-($AI324+$AJ324+$AK324+$AL324+$AM324+$AR324))</f>
        <v/>
      </c>
      <c r="AO324" s="0">
        <f>IF($A324="","",Allocation!CJ324)</f>
        <v/>
      </c>
      <c r="AP324" s="0">
        <f>IF($A324="","",IF(Allocation!$N$2="VOL_EFF",$Q324,IF(Allocation!$N$2="VOL_CLASS",$R324,$S324)))</f>
        <v/>
      </c>
      <c r="AQ324" s="0">
        <f>IF($A324="","",IF(Allocation!$N$2="VOL_EFF",$T324,IF(Allocation!$N$2="VOL_CLASS",$U324,$V324)))</f>
        <v/>
      </c>
      <c r="AR324" s="0">
        <f>IF($A324="","",$AO324*IFERROR($AP324/$AQ324,0)*IFERROR($AE324/$AF324,0)*IFERROR($AC324/$AD324,0))</f>
        <v/>
      </c>
      <c r="AS324" s="0">
        <f>IF($A324="","",$A324&amp;"|"&amp;Allocation!BG324)</f>
        <v/>
      </c>
    </row>
    <row r="325" ht="14.4975" customHeight="1" s="64">
      <c r="A325" s="0">
        <f>IF(Allocation!BI325="","",Allocation!BI325)</f>
        <v/>
      </c>
      <c r="B325" s="0">
        <f>IF(Allocation!BJ325="","",Allocation!BJ325)</f>
        <v/>
      </c>
      <c r="C325" s="0">
        <f>IF(Allocation!BK325="","",Allocation!BK325)</f>
        <v/>
      </c>
      <c r="D325" s="0">
        <f>IF(Allocation!BL325="","",Allocation!BL325)</f>
        <v/>
      </c>
      <c r="E325" s="0">
        <f>IF(Allocation!BM325="","",Allocation!BM325)</f>
        <v/>
      </c>
      <c r="F325" s="0">
        <f>IF(Allocation!BN325="","",Allocation!BN325)</f>
        <v/>
      </c>
      <c r="G325" s="0">
        <f>IF(Allocation!BO325="","",Allocation!BO325)</f>
        <v/>
      </c>
      <c r="H325" s="0">
        <f>IF(Allocation!BP325="","",Allocation!BP325)</f>
        <v/>
      </c>
      <c r="I325" s="0">
        <f>IF(Allocation!BQ325="","",Allocation!BQ325)</f>
        <v/>
      </c>
      <c r="J325" s="0">
        <f>IF(Allocation!CC325="","",Allocation!CC325)</f>
        <v/>
      </c>
      <c r="K325" s="0">
        <f>IF($A325="","",$H325*IF(AND(LEFT($D325,3)="BAC",$F325="INIT"),600,IF(LEFT($D325,3)="BAC",480,IF(AND(LEFT($D325,3)="MAS",$F325="INIT"),520,IF(LEFT($D325,3)="MAS",420,IF($F325="INIT",1000,700))))))</f>
        <v/>
      </c>
      <c r="L325" s="0">
        <f>IF($A325="","",SUMIFS($G$1:$G$349,$AS$1:$AS$349,$AS325,$B$1:$B$349,$B325))</f>
        <v/>
      </c>
      <c r="M325" s="0">
        <f>IF($A325="","",SUMIFS($H$1:$H$349,$AS$1:$AS$349,$AS325,$B$1:$B$349,$B325))</f>
        <v/>
      </c>
      <c r="N325" s="0">
        <f>IF($A325="","",SUMIFS($I$1:$I$349,$AS$1:$AS$349,$AS325,$B$1:$B$349,$B325))</f>
        <v/>
      </c>
      <c r="O325" s="0">
        <f>IF($A325="","",SUMIFS($K$1:$K$349,$AS$1:$AS$349,$AS325,$B$1:$B$349,$B325))</f>
        <v/>
      </c>
      <c r="P325" s="0">
        <f>IF($A325="","",SUMIFS($J$1:$J$349,$AS$1:$AS$349,$AS325,$B$1:$B$349,$B325))</f>
        <v/>
      </c>
      <c r="Q325" s="0">
        <f>IF($A325="","",SUMIFS($G$1:$G$349,$AS$1:$AS$349,$AS325,$C$1:$C$349,$C325))</f>
        <v/>
      </c>
      <c r="R325" s="0">
        <f>IF($A325="","",SUMIFS($H$1:$H$349,$AS$1:$AS$349,$AS325,$C$1:$C$349,$C325))</f>
        <v/>
      </c>
      <c r="S325" s="0">
        <f>IF($A325="","",SUMIFS($I$1:$I$349,$AS$1:$AS$349,$AS325,$C$1:$C$349,$C325))</f>
        <v/>
      </c>
      <c r="T325" s="0">
        <f>IF($A325="","",SUMIFS($G$1:$G$349,$AS$1:$AS$349,$AS325))</f>
        <v/>
      </c>
      <c r="U325" s="0">
        <f>IF($A325="","",SUMIFS($H$1:$H$349,$AS$1:$AS$349,$AS325))</f>
        <v/>
      </c>
      <c r="V325" s="0">
        <f>IF($A325="","",SUMIFS($I$1:$I$349,$AS$1:$AS$349,$AS325))</f>
        <v/>
      </c>
      <c r="W325" s="0">
        <f>IF($A325="","",Allocation!CD325)</f>
        <v/>
      </c>
      <c r="X325" s="0">
        <f>IF($A325="","",Allocation!CE325)</f>
        <v/>
      </c>
      <c r="Y325" s="0">
        <f>IF($A325="","",Allocation!CF325)</f>
        <v/>
      </c>
      <c r="Z325" s="0">
        <f>IF($A325="","",Allocation!CG325)</f>
        <v/>
      </c>
      <c r="AA325" s="0">
        <f>IF($A325="","",Allocation!CH325)</f>
        <v/>
      </c>
      <c r="AB325" s="0">
        <f>IF($A325="","",Allocation!CI325)</f>
        <v/>
      </c>
      <c r="AC325" s="0">
        <f>IF($A325="","",IF(Allocation!$N$4="VOL_EFF",$G325,IF(Allocation!$N$4="VOL_CLASS",$H325,$I325)))</f>
        <v/>
      </c>
      <c r="AD325" s="0">
        <f>IF($A325="","",IF(Allocation!$N$4="VOL_EFF",$L325,IF(Allocation!$N$4="VOL_CLASS",$M325,$N325)))</f>
        <v/>
      </c>
      <c r="AE325" s="0">
        <f>IF($A325="","",IF(Allocation!$N$3="VOL_EFF",$L325,IF(Allocation!$N$3="VOL_CLASS",$M325,$N325)))</f>
        <v/>
      </c>
      <c r="AF325" s="0">
        <f>IF($A325="","",IF(Allocation!$N$3="VOL_EFF",$Q325,IF(Allocation!$N$3="VOL_CLASS",$R325,$S325)))</f>
        <v/>
      </c>
      <c r="AG325" s="0">
        <f>IF($A325="","",IF(Allocation!$N$1="VOL_EFF",$Q325,IF(Allocation!$N$1="VOL_CLASS",$R325,$S325)))</f>
        <v/>
      </c>
      <c r="AH325" s="0">
        <f>IF($A325="","",IF(Allocation!$N$1="VOL_EFF",$T325,IF(Allocation!$N$1="VOL_CLASS",$U325,$V325)))</f>
        <v/>
      </c>
      <c r="AI325" s="0">
        <f>IF($A325="","",$W325*IFERROR($K325/$O325,0))</f>
        <v/>
      </c>
      <c r="AJ325" s="0">
        <f>IF($A325="","",$X325*IFERROR($K325/$O325,0))</f>
        <v/>
      </c>
      <c r="AK325" s="0">
        <f>IF($A325="","",$Y325*IFERROR($G325/$L325,0)+$Z325*IFERROR($J325/$P325,0))</f>
        <v/>
      </c>
      <c r="AL325" s="0">
        <f>IF($A325="","",$AA325*IFERROR($AC325/$AD325,0))</f>
        <v/>
      </c>
      <c r="AM325" s="0">
        <f>IF($A325="","",$AB325*IFERROR($AG325/$AH325,0)*IFERROR($AE325/$AF325,0)*IFERROR($AC325/$AD325,0))</f>
        <v/>
      </c>
      <c r="AN325" s="0">
        <f>IF($A325="","",$I325-($AI325+$AJ325+$AK325+$AL325+$AM325+$AR325))</f>
        <v/>
      </c>
      <c r="AO325" s="0">
        <f>IF($A325="","",Allocation!CJ325)</f>
        <v/>
      </c>
      <c r="AP325" s="0">
        <f>IF($A325="","",IF(Allocation!$N$2="VOL_EFF",$Q325,IF(Allocation!$N$2="VOL_CLASS",$R325,$S325)))</f>
        <v/>
      </c>
      <c r="AQ325" s="0">
        <f>IF($A325="","",IF(Allocation!$N$2="VOL_EFF",$T325,IF(Allocation!$N$2="VOL_CLASS",$U325,$V325)))</f>
        <v/>
      </c>
      <c r="AR325" s="0">
        <f>IF($A325="","",$AO325*IFERROR($AP325/$AQ325,0)*IFERROR($AE325/$AF325,0)*IFERROR($AC325/$AD325,0))</f>
        <v/>
      </c>
      <c r="AS325" s="0">
        <f>IF($A325="","",$A325&amp;"|"&amp;Allocation!BG325)</f>
        <v/>
      </c>
    </row>
    <row r="326" ht="14.4975" customHeight="1" s="64">
      <c r="A326" s="0">
        <f>IF(Allocation!BI326="","",Allocation!BI326)</f>
        <v/>
      </c>
      <c r="B326" s="0">
        <f>IF(Allocation!BJ326="","",Allocation!BJ326)</f>
        <v/>
      </c>
      <c r="C326" s="0">
        <f>IF(Allocation!BK326="","",Allocation!BK326)</f>
        <v/>
      </c>
      <c r="D326" s="0">
        <f>IF(Allocation!BL326="","",Allocation!BL326)</f>
        <v/>
      </c>
      <c r="E326" s="0">
        <f>IF(Allocation!BM326="","",Allocation!BM326)</f>
        <v/>
      </c>
      <c r="F326" s="0">
        <f>IF(Allocation!BN326="","",Allocation!BN326)</f>
        <v/>
      </c>
      <c r="G326" s="0">
        <f>IF(Allocation!BO326="","",Allocation!BO326)</f>
        <v/>
      </c>
      <c r="H326" s="0">
        <f>IF(Allocation!BP326="","",Allocation!BP326)</f>
        <v/>
      </c>
      <c r="I326" s="0">
        <f>IF(Allocation!BQ326="","",Allocation!BQ326)</f>
        <v/>
      </c>
      <c r="J326" s="0">
        <f>IF(Allocation!CC326="","",Allocation!CC326)</f>
        <v/>
      </c>
      <c r="K326" s="0">
        <f>IF($A326="","",$H326*IF(AND(LEFT($D326,3)="BAC",$F326="INIT"),600,IF(LEFT($D326,3)="BAC",480,IF(AND(LEFT($D326,3)="MAS",$F326="INIT"),520,IF(LEFT($D326,3)="MAS",420,IF($F326="INIT",1000,700))))))</f>
        <v/>
      </c>
      <c r="L326" s="0">
        <f>IF($A326="","",SUMIFS($G$1:$G$349,$AS$1:$AS$349,$AS326,$B$1:$B$349,$B326))</f>
        <v/>
      </c>
      <c r="M326" s="0">
        <f>IF($A326="","",SUMIFS($H$1:$H$349,$AS$1:$AS$349,$AS326,$B$1:$B$349,$B326))</f>
        <v/>
      </c>
      <c r="N326" s="0">
        <f>IF($A326="","",SUMIFS($I$1:$I$349,$AS$1:$AS$349,$AS326,$B$1:$B$349,$B326))</f>
        <v/>
      </c>
      <c r="O326" s="0">
        <f>IF($A326="","",SUMIFS($K$1:$K$349,$AS$1:$AS$349,$AS326,$B$1:$B$349,$B326))</f>
        <v/>
      </c>
      <c r="P326" s="0">
        <f>IF($A326="","",SUMIFS($J$1:$J$349,$AS$1:$AS$349,$AS326,$B$1:$B$349,$B326))</f>
        <v/>
      </c>
      <c r="Q326" s="0">
        <f>IF($A326="","",SUMIFS($G$1:$G$349,$AS$1:$AS$349,$AS326,$C$1:$C$349,$C326))</f>
        <v/>
      </c>
      <c r="R326" s="0">
        <f>IF($A326="","",SUMIFS($H$1:$H$349,$AS$1:$AS$349,$AS326,$C$1:$C$349,$C326))</f>
        <v/>
      </c>
      <c r="S326" s="0">
        <f>IF($A326="","",SUMIFS($I$1:$I$349,$AS$1:$AS$349,$AS326,$C$1:$C$349,$C326))</f>
        <v/>
      </c>
      <c r="T326" s="0">
        <f>IF($A326="","",SUMIFS($G$1:$G$349,$AS$1:$AS$349,$AS326))</f>
        <v/>
      </c>
      <c r="U326" s="0">
        <f>IF($A326="","",SUMIFS($H$1:$H$349,$AS$1:$AS$349,$AS326))</f>
        <v/>
      </c>
      <c r="V326" s="0">
        <f>IF($A326="","",SUMIFS($I$1:$I$349,$AS$1:$AS$349,$AS326))</f>
        <v/>
      </c>
      <c r="W326" s="0">
        <f>IF($A326="","",Allocation!CD326)</f>
        <v/>
      </c>
      <c r="X326" s="0">
        <f>IF($A326="","",Allocation!CE326)</f>
        <v/>
      </c>
      <c r="Y326" s="0">
        <f>IF($A326="","",Allocation!CF326)</f>
        <v/>
      </c>
      <c r="Z326" s="0">
        <f>IF($A326="","",Allocation!CG326)</f>
        <v/>
      </c>
      <c r="AA326" s="0">
        <f>IF($A326="","",Allocation!CH326)</f>
        <v/>
      </c>
      <c r="AB326" s="0">
        <f>IF($A326="","",Allocation!CI326)</f>
        <v/>
      </c>
      <c r="AC326" s="0">
        <f>IF($A326="","",IF(Allocation!$N$4="VOL_EFF",$G326,IF(Allocation!$N$4="VOL_CLASS",$H326,$I326)))</f>
        <v/>
      </c>
      <c r="AD326" s="0">
        <f>IF($A326="","",IF(Allocation!$N$4="VOL_EFF",$L326,IF(Allocation!$N$4="VOL_CLASS",$M326,$N326)))</f>
        <v/>
      </c>
      <c r="AE326" s="0">
        <f>IF($A326="","",IF(Allocation!$N$3="VOL_EFF",$L326,IF(Allocation!$N$3="VOL_CLASS",$M326,$N326)))</f>
        <v/>
      </c>
      <c r="AF326" s="0">
        <f>IF($A326="","",IF(Allocation!$N$3="VOL_EFF",$Q326,IF(Allocation!$N$3="VOL_CLASS",$R326,$S326)))</f>
        <v/>
      </c>
      <c r="AG326" s="0">
        <f>IF($A326="","",IF(Allocation!$N$1="VOL_EFF",$Q326,IF(Allocation!$N$1="VOL_CLASS",$R326,$S326)))</f>
        <v/>
      </c>
      <c r="AH326" s="0">
        <f>IF($A326="","",IF(Allocation!$N$1="VOL_EFF",$T326,IF(Allocation!$N$1="VOL_CLASS",$U326,$V326)))</f>
        <v/>
      </c>
      <c r="AI326" s="0">
        <f>IF($A326="","",$W326*IFERROR($K326/$O326,0))</f>
        <v/>
      </c>
      <c r="AJ326" s="0">
        <f>IF($A326="","",$X326*IFERROR($K326/$O326,0))</f>
        <v/>
      </c>
      <c r="AK326" s="0">
        <f>IF($A326="","",$Y326*IFERROR($G326/$L326,0)+$Z326*IFERROR($J326/$P326,0))</f>
        <v/>
      </c>
      <c r="AL326" s="0">
        <f>IF($A326="","",$AA326*IFERROR($AC326/$AD326,0))</f>
        <v/>
      </c>
      <c r="AM326" s="0">
        <f>IF($A326="","",$AB326*IFERROR($AG326/$AH326,0)*IFERROR($AE326/$AF326,0)*IFERROR($AC326/$AD326,0))</f>
        <v/>
      </c>
      <c r="AN326" s="0">
        <f>IF($A326="","",$I326-($AI326+$AJ326+$AK326+$AL326+$AM326+$AR326))</f>
        <v/>
      </c>
      <c r="AO326" s="0">
        <f>IF($A326="","",Allocation!CJ326)</f>
        <v/>
      </c>
      <c r="AP326" s="0">
        <f>IF($A326="","",IF(Allocation!$N$2="VOL_EFF",$Q326,IF(Allocation!$N$2="VOL_CLASS",$R326,$S326)))</f>
        <v/>
      </c>
      <c r="AQ326" s="0">
        <f>IF($A326="","",IF(Allocation!$N$2="VOL_EFF",$T326,IF(Allocation!$N$2="VOL_CLASS",$U326,$V326)))</f>
        <v/>
      </c>
      <c r="AR326" s="0">
        <f>IF($A326="","",$AO326*IFERROR($AP326/$AQ326,0)*IFERROR($AE326/$AF326,0)*IFERROR($AC326/$AD326,0))</f>
        <v/>
      </c>
      <c r="AS326" s="0">
        <f>IF($A326="","",$A326&amp;"|"&amp;Allocation!BG326)</f>
        <v/>
      </c>
    </row>
    <row r="327" ht="14.4975" customHeight="1" s="64">
      <c r="A327" s="0">
        <f>IF(Allocation!BI327="","",Allocation!BI327)</f>
        <v/>
      </c>
      <c r="B327" s="0">
        <f>IF(Allocation!BJ327="","",Allocation!BJ327)</f>
        <v/>
      </c>
      <c r="C327" s="0">
        <f>IF(Allocation!BK327="","",Allocation!BK327)</f>
        <v/>
      </c>
      <c r="D327" s="0">
        <f>IF(Allocation!BL327="","",Allocation!BL327)</f>
        <v/>
      </c>
      <c r="E327" s="0">
        <f>IF(Allocation!BM327="","",Allocation!BM327)</f>
        <v/>
      </c>
      <c r="F327" s="0">
        <f>IF(Allocation!BN327="","",Allocation!BN327)</f>
        <v/>
      </c>
      <c r="G327" s="0">
        <f>IF(Allocation!BO327="","",Allocation!BO327)</f>
        <v/>
      </c>
      <c r="H327" s="0">
        <f>IF(Allocation!BP327="","",Allocation!BP327)</f>
        <v/>
      </c>
      <c r="I327" s="0">
        <f>IF(Allocation!BQ327="","",Allocation!BQ327)</f>
        <v/>
      </c>
      <c r="J327" s="0">
        <f>IF(Allocation!CC327="","",Allocation!CC327)</f>
        <v/>
      </c>
      <c r="K327" s="0">
        <f>IF($A327="","",$H327*IF(AND(LEFT($D327,3)="BAC",$F327="INIT"),600,IF(LEFT($D327,3)="BAC",480,IF(AND(LEFT($D327,3)="MAS",$F327="INIT"),520,IF(LEFT($D327,3)="MAS",420,IF($F327="INIT",1000,700))))))</f>
        <v/>
      </c>
      <c r="L327" s="0">
        <f>IF($A327="","",SUMIFS($G$1:$G$349,$AS$1:$AS$349,$AS327,$B$1:$B$349,$B327))</f>
        <v/>
      </c>
      <c r="M327" s="0">
        <f>IF($A327="","",SUMIFS($H$1:$H$349,$AS$1:$AS$349,$AS327,$B$1:$B$349,$B327))</f>
        <v/>
      </c>
      <c r="N327" s="0">
        <f>IF($A327="","",SUMIFS($I$1:$I$349,$AS$1:$AS$349,$AS327,$B$1:$B$349,$B327))</f>
        <v/>
      </c>
      <c r="O327" s="0">
        <f>IF($A327="","",SUMIFS($K$1:$K$349,$AS$1:$AS$349,$AS327,$B$1:$B$349,$B327))</f>
        <v/>
      </c>
      <c r="P327" s="0">
        <f>IF($A327="","",SUMIFS($J$1:$J$349,$AS$1:$AS$349,$AS327,$B$1:$B$349,$B327))</f>
        <v/>
      </c>
      <c r="Q327" s="0">
        <f>IF($A327="","",SUMIFS($G$1:$G$349,$AS$1:$AS$349,$AS327,$C$1:$C$349,$C327))</f>
        <v/>
      </c>
      <c r="R327" s="0">
        <f>IF($A327="","",SUMIFS($H$1:$H$349,$AS$1:$AS$349,$AS327,$C$1:$C$349,$C327))</f>
        <v/>
      </c>
      <c r="S327" s="0">
        <f>IF($A327="","",SUMIFS($I$1:$I$349,$AS$1:$AS$349,$AS327,$C$1:$C$349,$C327))</f>
        <v/>
      </c>
      <c r="T327" s="0">
        <f>IF($A327="","",SUMIFS($G$1:$G$349,$AS$1:$AS$349,$AS327))</f>
        <v/>
      </c>
      <c r="U327" s="0">
        <f>IF($A327="","",SUMIFS($H$1:$H$349,$AS$1:$AS$349,$AS327))</f>
        <v/>
      </c>
      <c r="V327" s="0">
        <f>IF($A327="","",SUMIFS($I$1:$I$349,$AS$1:$AS$349,$AS327))</f>
        <v/>
      </c>
      <c r="W327" s="0">
        <f>IF($A327="","",Allocation!CD327)</f>
        <v/>
      </c>
      <c r="X327" s="0">
        <f>IF($A327="","",Allocation!CE327)</f>
        <v/>
      </c>
      <c r="Y327" s="0">
        <f>IF($A327="","",Allocation!CF327)</f>
        <v/>
      </c>
      <c r="Z327" s="0">
        <f>IF($A327="","",Allocation!CG327)</f>
        <v/>
      </c>
      <c r="AA327" s="0">
        <f>IF($A327="","",Allocation!CH327)</f>
        <v/>
      </c>
      <c r="AB327" s="0">
        <f>IF($A327="","",Allocation!CI327)</f>
        <v/>
      </c>
      <c r="AC327" s="0">
        <f>IF($A327="","",IF(Allocation!$N$4="VOL_EFF",$G327,IF(Allocation!$N$4="VOL_CLASS",$H327,$I327)))</f>
        <v/>
      </c>
      <c r="AD327" s="0">
        <f>IF($A327="","",IF(Allocation!$N$4="VOL_EFF",$L327,IF(Allocation!$N$4="VOL_CLASS",$M327,$N327)))</f>
        <v/>
      </c>
      <c r="AE327" s="0">
        <f>IF($A327="","",IF(Allocation!$N$3="VOL_EFF",$L327,IF(Allocation!$N$3="VOL_CLASS",$M327,$N327)))</f>
        <v/>
      </c>
      <c r="AF327" s="0">
        <f>IF($A327="","",IF(Allocation!$N$3="VOL_EFF",$Q327,IF(Allocation!$N$3="VOL_CLASS",$R327,$S327)))</f>
        <v/>
      </c>
      <c r="AG327" s="0">
        <f>IF($A327="","",IF(Allocation!$N$1="VOL_EFF",$Q327,IF(Allocation!$N$1="VOL_CLASS",$R327,$S327)))</f>
        <v/>
      </c>
      <c r="AH327" s="0">
        <f>IF($A327="","",IF(Allocation!$N$1="VOL_EFF",$T327,IF(Allocation!$N$1="VOL_CLASS",$U327,$V327)))</f>
        <v/>
      </c>
      <c r="AI327" s="0">
        <f>IF($A327="","",$W327*IFERROR($K327/$O327,0))</f>
        <v/>
      </c>
      <c r="AJ327" s="0">
        <f>IF($A327="","",$X327*IFERROR($K327/$O327,0))</f>
        <v/>
      </c>
      <c r="AK327" s="0">
        <f>IF($A327="","",$Y327*IFERROR($G327/$L327,0)+$Z327*IFERROR($J327/$P327,0))</f>
        <v/>
      </c>
      <c r="AL327" s="0">
        <f>IF($A327="","",$AA327*IFERROR($AC327/$AD327,0))</f>
        <v/>
      </c>
      <c r="AM327" s="0">
        <f>IF($A327="","",$AB327*IFERROR($AG327/$AH327,0)*IFERROR($AE327/$AF327,0)*IFERROR($AC327/$AD327,0))</f>
        <v/>
      </c>
      <c r="AN327" s="0">
        <f>IF($A327="","",$I327-($AI327+$AJ327+$AK327+$AL327+$AM327+$AR327))</f>
        <v/>
      </c>
      <c r="AO327" s="0">
        <f>IF($A327="","",Allocation!CJ327)</f>
        <v/>
      </c>
      <c r="AP327" s="0">
        <f>IF($A327="","",IF(Allocation!$N$2="VOL_EFF",$Q327,IF(Allocation!$N$2="VOL_CLASS",$R327,$S327)))</f>
        <v/>
      </c>
      <c r="AQ327" s="0">
        <f>IF($A327="","",IF(Allocation!$N$2="VOL_EFF",$T327,IF(Allocation!$N$2="VOL_CLASS",$U327,$V327)))</f>
        <v/>
      </c>
      <c r="AR327" s="0">
        <f>IF($A327="","",$AO327*IFERROR($AP327/$AQ327,0)*IFERROR($AE327/$AF327,0)*IFERROR($AC327/$AD327,0))</f>
        <v/>
      </c>
      <c r="AS327" s="0">
        <f>IF($A327="","",$A327&amp;"|"&amp;Allocation!BG327)</f>
        <v/>
      </c>
    </row>
    <row r="328" ht="14.4975" customHeight="1" s="64">
      <c r="A328" s="0">
        <f>IF(Allocation!BI328="","",Allocation!BI328)</f>
        <v/>
      </c>
      <c r="B328" s="0">
        <f>IF(Allocation!BJ328="","",Allocation!BJ328)</f>
        <v/>
      </c>
      <c r="C328" s="0">
        <f>IF(Allocation!BK328="","",Allocation!BK328)</f>
        <v/>
      </c>
      <c r="D328" s="0">
        <f>IF(Allocation!BL328="","",Allocation!BL328)</f>
        <v/>
      </c>
      <c r="E328" s="0">
        <f>IF(Allocation!BM328="","",Allocation!BM328)</f>
        <v/>
      </c>
      <c r="F328" s="0">
        <f>IF(Allocation!BN328="","",Allocation!BN328)</f>
        <v/>
      </c>
      <c r="G328" s="0">
        <f>IF(Allocation!BO328="","",Allocation!BO328)</f>
        <v/>
      </c>
      <c r="H328" s="0">
        <f>IF(Allocation!BP328="","",Allocation!BP328)</f>
        <v/>
      </c>
      <c r="I328" s="0">
        <f>IF(Allocation!BQ328="","",Allocation!BQ328)</f>
        <v/>
      </c>
      <c r="J328" s="0">
        <f>IF(Allocation!CC328="","",Allocation!CC328)</f>
        <v/>
      </c>
      <c r="K328" s="0">
        <f>IF($A328="","",$H328*IF(AND(LEFT($D328,3)="BAC",$F328="INIT"),600,IF(LEFT($D328,3)="BAC",480,IF(AND(LEFT($D328,3)="MAS",$F328="INIT"),520,IF(LEFT($D328,3)="MAS",420,IF($F328="INIT",1000,700))))))</f>
        <v/>
      </c>
      <c r="L328" s="0">
        <f>IF($A328="","",SUMIFS($G$1:$G$349,$AS$1:$AS$349,$AS328,$B$1:$B$349,$B328))</f>
        <v/>
      </c>
      <c r="M328" s="0">
        <f>IF($A328="","",SUMIFS($H$1:$H$349,$AS$1:$AS$349,$AS328,$B$1:$B$349,$B328))</f>
        <v/>
      </c>
      <c r="N328" s="0">
        <f>IF($A328="","",SUMIFS($I$1:$I$349,$AS$1:$AS$349,$AS328,$B$1:$B$349,$B328))</f>
        <v/>
      </c>
      <c r="O328" s="0">
        <f>IF($A328="","",SUMIFS($K$1:$K$349,$AS$1:$AS$349,$AS328,$B$1:$B$349,$B328))</f>
        <v/>
      </c>
      <c r="P328" s="0">
        <f>IF($A328="","",SUMIFS($J$1:$J$349,$AS$1:$AS$349,$AS328,$B$1:$B$349,$B328))</f>
        <v/>
      </c>
      <c r="Q328" s="0">
        <f>IF($A328="","",SUMIFS($G$1:$G$349,$AS$1:$AS$349,$AS328,$C$1:$C$349,$C328))</f>
        <v/>
      </c>
      <c r="R328" s="0">
        <f>IF($A328="","",SUMIFS($H$1:$H$349,$AS$1:$AS$349,$AS328,$C$1:$C$349,$C328))</f>
        <v/>
      </c>
      <c r="S328" s="0">
        <f>IF($A328="","",SUMIFS($I$1:$I$349,$AS$1:$AS$349,$AS328,$C$1:$C$349,$C328))</f>
        <v/>
      </c>
      <c r="T328" s="0">
        <f>IF($A328="","",SUMIFS($G$1:$G$349,$AS$1:$AS$349,$AS328))</f>
        <v/>
      </c>
      <c r="U328" s="0">
        <f>IF($A328="","",SUMIFS($H$1:$H$349,$AS$1:$AS$349,$AS328))</f>
        <v/>
      </c>
      <c r="V328" s="0">
        <f>IF($A328="","",SUMIFS($I$1:$I$349,$AS$1:$AS$349,$AS328))</f>
        <v/>
      </c>
      <c r="W328" s="0">
        <f>IF($A328="","",Allocation!CD328)</f>
        <v/>
      </c>
      <c r="X328" s="0">
        <f>IF($A328="","",Allocation!CE328)</f>
        <v/>
      </c>
      <c r="Y328" s="0">
        <f>IF($A328="","",Allocation!CF328)</f>
        <v/>
      </c>
      <c r="Z328" s="0">
        <f>IF($A328="","",Allocation!CG328)</f>
        <v/>
      </c>
      <c r="AA328" s="0">
        <f>IF($A328="","",Allocation!CH328)</f>
        <v/>
      </c>
      <c r="AB328" s="0">
        <f>IF($A328="","",Allocation!CI328)</f>
        <v/>
      </c>
      <c r="AC328" s="0">
        <f>IF($A328="","",IF(Allocation!$N$4="VOL_EFF",$G328,IF(Allocation!$N$4="VOL_CLASS",$H328,$I328)))</f>
        <v/>
      </c>
      <c r="AD328" s="0">
        <f>IF($A328="","",IF(Allocation!$N$4="VOL_EFF",$L328,IF(Allocation!$N$4="VOL_CLASS",$M328,$N328)))</f>
        <v/>
      </c>
      <c r="AE328" s="0">
        <f>IF($A328="","",IF(Allocation!$N$3="VOL_EFF",$L328,IF(Allocation!$N$3="VOL_CLASS",$M328,$N328)))</f>
        <v/>
      </c>
      <c r="AF328" s="0">
        <f>IF($A328="","",IF(Allocation!$N$3="VOL_EFF",$Q328,IF(Allocation!$N$3="VOL_CLASS",$R328,$S328)))</f>
        <v/>
      </c>
      <c r="AG328" s="0">
        <f>IF($A328="","",IF(Allocation!$N$1="VOL_EFF",$Q328,IF(Allocation!$N$1="VOL_CLASS",$R328,$S328)))</f>
        <v/>
      </c>
      <c r="AH328" s="0">
        <f>IF($A328="","",IF(Allocation!$N$1="VOL_EFF",$T328,IF(Allocation!$N$1="VOL_CLASS",$U328,$V328)))</f>
        <v/>
      </c>
      <c r="AI328" s="0">
        <f>IF($A328="","",$W328*IFERROR($K328/$O328,0))</f>
        <v/>
      </c>
      <c r="AJ328" s="0">
        <f>IF($A328="","",$X328*IFERROR($K328/$O328,0))</f>
        <v/>
      </c>
      <c r="AK328" s="0">
        <f>IF($A328="","",$Y328*IFERROR($G328/$L328,0)+$Z328*IFERROR($J328/$P328,0))</f>
        <v/>
      </c>
      <c r="AL328" s="0">
        <f>IF($A328="","",$AA328*IFERROR($AC328/$AD328,0))</f>
        <v/>
      </c>
      <c r="AM328" s="0">
        <f>IF($A328="","",$AB328*IFERROR($AG328/$AH328,0)*IFERROR($AE328/$AF328,0)*IFERROR($AC328/$AD328,0))</f>
        <v/>
      </c>
      <c r="AN328" s="0">
        <f>IF($A328="","",$I328-($AI328+$AJ328+$AK328+$AL328+$AM328+$AR328))</f>
        <v/>
      </c>
      <c r="AO328" s="0">
        <f>IF($A328="","",Allocation!CJ328)</f>
        <v/>
      </c>
      <c r="AP328" s="0">
        <f>IF($A328="","",IF(Allocation!$N$2="VOL_EFF",$Q328,IF(Allocation!$N$2="VOL_CLASS",$R328,$S328)))</f>
        <v/>
      </c>
      <c r="AQ328" s="0">
        <f>IF($A328="","",IF(Allocation!$N$2="VOL_EFF",$T328,IF(Allocation!$N$2="VOL_CLASS",$U328,$V328)))</f>
        <v/>
      </c>
      <c r="AR328" s="0">
        <f>IF($A328="","",$AO328*IFERROR($AP328/$AQ328,0)*IFERROR($AE328/$AF328,0)*IFERROR($AC328/$AD328,0))</f>
        <v/>
      </c>
      <c r="AS328" s="0">
        <f>IF($A328="","",$A328&amp;"|"&amp;Allocation!BG328)</f>
        <v/>
      </c>
    </row>
    <row r="329" ht="14.4975" customHeight="1" s="64">
      <c r="A329" s="0">
        <f>IF(Allocation!BI329="","",Allocation!BI329)</f>
        <v/>
      </c>
      <c r="B329" s="0">
        <f>IF(Allocation!BJ329="","",Allocation!BJ329)</f>
        <v/>
      </c>
      <c r="C329" s="0">
        <f>IF(Allocation!BK329="","",Allocation!BK329)</f>
        <v/>
      </c>
      <c r="D329" s="0">
        <f>IF(Allocation!BL329="","",Allocation!BL329)</f>
        <v/>
      </c>
      <c r="E329" s="0">
        <f>IF(Allocation!BM329="","",Allocation!BM329)</f>
        <v/>
      </c>
      <c r="F329" s="0">
        <f>IF(Allocation!BN329="","",Allocation!BN329)</f>
        <v/>
      </c>
      <c r="G329" s="0">
        <f>IF(Allocation!BO329="","",Allocation!BO329)</f>
        <v/>
      </c>
      <c r="H329" s="0">
        <f>IF(Allocation!BP329="","",Allocation!BP329)</f>
        <v/>
      </c>
      <c r="I329" s="0">
        <f>IF(Allocation!BQ329="","",Allocation!BQ329)</f>
        <v/>
      </c>
      <c r="J329" s="0">
        <f>IF(Allocation!CC329="","",Allocation!CC329)</f>
        <v/>
      </c>
      <c r="K329" s="0">
        <f>IF($A329="","",$H329*IF(AND(LEFT($D329,3)="BAC",$F329="INIT"),600,IF(LEFT($D329,3)="BAC",480,IF(AND(LEFT($D329,3)="MAS",$F329="INIT"),520,IF(LEFT($D329,3)="MAS",420,IF($F329="INIT",1000,700))))))</f>
        <v/>
      </c>
      <c r="L329" s="0">
        <f>IF($A329="","",SUMIFS($G$1:$G$349,$AS$1:$AS$349,$AS329,$B$1:$B$349,$B329))</f>
        <v/>
      </c>
      <c r="M329" s="0">
        <f>IF($A329="","",SUMIFS($H$1:$H$349,$AS$1:$AS$349,$AS329,$B$1:$B$349,$B329))</f>
        <v/>
      </c>
      <c r="N329" s="0">
        <f>IF($A329="","",SUMIFS($I$1:$I$349,$AS$1:$AS$349,$AS329,$B$1:$B$349,$B329))</f>
        <v/>
      </c>
      <c r="O329" s="0">
        <f>IF($A329="","",SUMIFS($K$1:$K$349,$AS$1:$AS$349,$AS329,$B$1:$B$349,$B329))</f>
        <v/>
      </c>
      <c r="P329" s="0">
        <f>IF($A329="","",SUMIFS($J$1:$J$349,$AS$1:$AS$349,$AS329,$B$1:$B$349,$B329))</f>
        <v/>
      </c>
      <c r="Q329" s="0">
        <f>IF($A329="","",SUMIFS($G$1:$G$349,$AS$1:$AS$349,$AS329,$C$1:$C$349,$C329))</f>
        <v/>
      </c>
      <c r="R329" s="0">
        <f>IF($A329="","",SUMIFS($H$1:$H$349,$AS$1:$AS$349,$AS329,$C$1:$C$349,$C329))</f>
        <v/>
      </c>
      <c r="S329" s="0">
        <f>IF($A329="","",SUMIFS($I$1:$I$349,$AS$1:$AS$349,$AS329,$C$1:$C$349,$C329))</f>
        <v/>
      </c>
      <c r="T329" s="0">
        <f>IF($A329="","",SUMIFS($G$1:$G$349,$AS$1:$AS$349,$AS329))</f>
        <v/>
      </c>
      <c r="U329" s="0">
        <f>IF($A329="","",SUMIFS($H$1:$H$349,$AS$1:$AS$349,$AS329))</f>
        <v/>
      </c>
      <c r="V329" s="0">
        <f>IF($A329="","",SUMIFS($I$1:$I$349,$AS$1:$AS$349,$AS329))</f>
        <v/>
      </c>
      <c r="W329" s="0">
        <f>IF($A329="","",Allocation!CD329)</f>
        <v/>
      </c>
      <c r="X329" s="0">
        <f>IF($A329="","",Allocation!CE329)</f>
        <v/>
      </c>
      <c r="Y329" s="0">
        <f>IF($A329="","",Allocation!CF329)</f>
        <v/>
      </c>
      <c r="Z329" s="0">
        <f>IF($A329="","",Allocation!CG329)</f>
        <v/>
      </c>
      <c r="AA329" s="0">
        <f>IF($A329="","",Allocation!CH329)</f>
        <v/>
      </c>
      <c r="AB329" s="0">
        <f>IF($A329="","",Allocation!CI329)</f>
        <v/>
      </c>
      <c r="AC329" s="0">
        <f>IF($A329="","",IF(Allocation!$N$4="VOL_EFF",$G329,IF(Allocation!$N$4="VOL_CLASS",$H329,$I329)))</f>
        <v/>
      </c>
      <c r="AD329" s="0">
        <f>IF($A329="","",IF(Allocation!$N$4="VOL_EFF",$L329,IF(Allocation!$N$4="VOL_CLASS",$M329,$N329)))</f>
        <v/>
      </c>
      <c r="AE329" s="0">
        <f>IF($A329="","",IF(Allocation!$N$3="VOL_EFF",$L329,IF(Allocation!$N$3="VOL_CLASS",$M329,$N329)))</f>
        <v/>
      </c>
      <c r="AF329" s="0">
        <f>IF($A329="","",IF(Allocation!$N$3="VOL_EFF",$Q329,IF(Allocation!$N$3="VOL_CLASS",$R329,$S329)))</f>
        <v/>
      </c>
      <c r="AG329" s="0">
        <f>IF($A329="","",IF(Allocation!$N$1="VOL_EFF",$Q329,IF(Allocation!$N$1="VOL_CLASS",$R329,$S329)))</f>
        <v/>
      </c>
      <c r="AH329" s="0">
        <f>IF($A329="","",IF(Allocation!$N$1="VOL_EFF",$T329,IF(Allocation!$N$1="VOL_CLASS",$U329,$V329)))</f>
        <v/>
      </c>
      <c r="AI329" s="0">
        <f>IF($A329="","",$W329*IFERROR($K329/$O329,0))</f>
        <v/>
      </c>
      <c r="AJ329" s="0">
        <f>IF($A329="","",$X329*IFERROR($K329/$O329,0))</f>
        <v/>
      </c>
      <c r="AK329" s="0">
        <f>IF($A329="","",$Y329*IFERROR($G329/$L329,0)+$Z329*IFERROR($J329/$P329,0))</f>
        <v/>
      </c>
      <c r="AL329" s="0">
        <f>IF($A329="","",$AA329*IFERROR($AC329/$AD329,0))</f>
        <v/>
      </c>
      <c r="AM329" s="0">
        <f>IF($A329="","",$AB329*IFERROR($AG329/$AH329,0)*IFERROR($AE329/$AF329,0)*IFERROR($AC329/$AD329,0))</f>
        <v/>
      </c>
      <c r="AN329" s="0">
        <f>IF($A329="","",$I329-($AI329+$AJ329+$AK329+$AL329+$AM329+$AR329))</f>
        <v/>
      </c>
      <c r="AO329" s="0">
        <f>IF($A329="","",Allocation!CJ329)</f>
        <v/>
      </c>
      <c r="AP329" s="0">
        <f>IF($A329="","",IF(Allocation!$N$2="VOL_EFF",$Q329,IF(Allocation!$N$2="VOL_CLASS",$R329,$S329)))</f>
        <v/>
      </c>
      <c r="AQ329" s="0">
        <f>IF($A329="","",IF(Allocation!$N$2="VOL_EFF",$T329,IF(Allocation!$N$2="VOL_CLASS",$U329,$V329)))</f>
        <v/>
      </c>
      <c r="AR329" s="0">
        <f>IF($A329="","",$AO329*IFERROR($AP329/$AQ329,0)*IFERROR($AE329/$AF329,0)*IFERROR($AC329/$AD329,0))</f>
        <v/>
      </c>
      <c r="AS329" s="0">
        <f>IF($A329="","",$A329&amp;"|"&amp;Allocation!BG329)</f>
        <v/>
      </c>
    </row>
    <row r="330" ht="14.4975" customHeight="1" s="64">
      <c r="A330" s="0">
        <f>IF(Allocation!BI330="","",Allocation!BI330)</f>
        <v/>
      </c>
      <c r="B330" s="0">
        <f>IF(Allocation!BJ330="","",Allocation!BJ330)</f>
        <v/>
      </c>
      <c r="C330" s="0">
        <f>IF(Allocation!BK330="","",Allocation!BK330)</f>
        <v/>
      </c>
      <c r="D330" s="0">
        <f>IF(Allocation!BL330="","",Allocation!BL330)</f>
        <v/>
      </c>
      <c r="E330" s="0">
        <f>IF(Allocation!BM330="","",Allocation!BM330)</f>
        <v/>
      </c>
      <c r="F330" s="0">
        <f>IF(Allocation!BN330="","",Allocation!BN330)</f>
        <v/>
      </c>
      <c r="G330" s="0">
        <f>IF(Allocation!BO330="","",Allocation!BO330)</f>
        <v/>
      </c>
      <c r="H330" s="0">
        <f>IF(Allocation!BP330="","",Allocation!BP330)</f>
        <v/>
      </c>
      <c r="I330" s="0">
        <f>IF(Allocation!BQ330="","",Allocation!BQ330)</f>
        <v/>
      </c>
      <c r="J330" s="0">
        <f>IF(Allocation!CC330="","",Allocation!CC330)</f>
        <v/>
      </c>
      <c r="K330" s="0">
        <f>IF($A330="","",$H330*IF(AND(LEFT($D330,3)="BAC",$F330="INIT"),600,IF(LEFT($D330,3)="BAC",480,IF(AND(LEFT($D330,3)="MAS",$F330="INIT"),520,IF(LEFT($D330,3)="MAS",420,IF($F330="INIT",1000,700))))))</f>
        <v/>
      </c>
      <c r="L330" s="0">
        <f>IF($A330="","",SUMIFS($G$1:$G$349,$AS$1:$AS$349,$AS330,$B$1:$B$349,$B330))</f>
        <v/>
      </c>
      <c r="M330" s="0">
        <f>IF($A330="","",SUMIFS($H$1:$H$349,$AS$1:$AS$349,$AS330,$B$1:$B$349,$B330))</f>
        <v/>
      </c>
      <c r="N330" s="0">
        <f>IF($A330="","",SUMIFS($I$1:$I$349,$AS$1:$AS$349,$AS330,$B$1:$B$349,$B330))</f>
        <v/>
      </c>
      <c r="O330" s="0">
        <f>IF($A330="","",SUMIFS($K$1:$K$349,$AS$1:$AS$349,$AS330,$B$1:$B$349,$B330))</f>
        <v/>
      </c>
      <c r="P330" s="0">
        <f>IF($A330="","",SUMIFS($J$1:$J$349,$AS$1:$AS$349,$AS330,$B$1:$B$349,$B330))</f>
        <v/>
      </c>
      <c r="Q330" s="0">
        <f>IF($A330="","",SUMIFS($G$1:$G$349,$AS$1:$AS$349,$AS330,$C$1:$C$349,$C330))</f>
        <v/>
      </c>
      <c r="R330" s="0">
        <f>IF($A330="","",SUMIFS($H$1:$H$349,$AS$1:$AS$349,$AS330,$C$1:$C$349,$C330))</f>
        <v/>
      </c>
      <c r="S330" s="0">
        <f>IF($A330="","",SUMIFS($I$1:$I$349,$AS$1:$AS$349,$AS330,$C$1:$C$349,$C330))</f>
        <v/>
      </c>
      <c r="T330" s="0">
        <f>IF($A330="","",SUMIFS($G$1:$G$349,$AS$1:$AS$349,$AS330))</f>
        <v/>
      </c>
      <c r="U330" s="0">
        <f>IF($A330="","",SUMIFS($H$1:$H$349,$AS$1:$AS$349,$AS330))</f>
        <v/>
      </c>
      <c r="V330" s="0">
        <f>IF($A330="","",SUMIFS($I$1:$I$349,$AS$1:$AS$349,$AS330))</f>
        <v/>
      </c>
      <c r="W330" s="0">
        <f>IF($A330="","",Allocation!CD330)</f>
        <v/>
      </c>
      <c r="X330" s="0">
        <f>IF($A330="","",Allocation!CE330)</f>
        <v/>
      </c>
      <c r="Y330" s="0">
        <f>IF($A330="","",Allocation!CF330)</f>
        <v/>
      </c>
      <c r="Z330" s="0">
        <f>IF($A330="","",Allocation!CG330)</f>
        <v/>
      </c>
      <c r="AA330" s="0">
        <f>IF($A330="","",Allocation!CH330)</f>
        <v/>
      </c>
      <c r="AB330" s="0">
        <f>IF($A330="","",Allocation!CI330)</f>
        <v/>
      </c>
      <c r="AC330" s="0">
        <f>IF($A330="","",IF(Allocation!$N$4="VOL_EFF",$G330,IF(Allocation!$N$4="VOL_CLASS",$H330,$I330)))</f>
        <v/>
      </c>
      <c r="AD330" s="0">
        <f>IF($A330="","",IF(Allocation!$N$4="VOL_EFF",$L330,IF(Allocation!$N$4="VOL_CLASS",$M330,$N330)))</f>
        <v/>
      </c>
      <c r="AE330" s="0">
        <f>IF($A330="","",IF(Allocation!$N$3="VOL_EFF",$L330,IF(Allocation!$N$3="VOL_CLASS",$M330,$N330)))</f>
        <v/>
      </c>
      <c r="AF330" s="0">
        <f>IF($A330="","",IF(Allocation!$N$3="VOL_EFF",$Q330,IF(Allocation!$N$3="VOL_CLASS",$R330,$S330)))</f>
        <v/>
      </c>
      <c r="AG330" s="0">
        <f>IF($A330="","",IF(Allocation!$N$1="VOL_EFF",$Q330,IF(Allocation!$N$1="VOL_CLASS",$R330,$S330)))</f>
        <v/>
      </c>
      <c r="AH330" s="0">
        <f>IF($A330="","",IF(Allocation!$N$1="VOL_EFF",$T330,IF(Allocation!$N$1="VOL_CLASS",$U330,$V330)))</f>
        <v/>
      </c>
      <c r="AI330" s="0">
        <f>IF($A330="","",$W330*IFERROR($K330/$O330,0))</f>
        <v/>
      </c>
      <c r="AJ330" s="0">
        <f>IF($A330="","",$X330*IFERROR($K330/$O330,0))</f>
        <v/>
      </c>
      <c r="AK330" s="0">
        <f>IF($A330="","",$Y330*IFERROR($G330/$L330,0)+$Z330*IFERROR($J330/$P330,0))</f>
        <v/>
      </c>
      <c r="AL330" s="0">
        <f>IF($A330="","",$AA330*IFERROR($AC330/$AD330,0))</f>
        <v/>
      </c>
      <c r="AM330" s="0">
        <f>IF($A330="","",$AB330*IFERROR($AG330/$AH330,0)*IFERROR($AE330/$AF330,0)*IFERROR($AC330/$AD330,0))</f>
        <v/>
      </c>
      <c r="AN330" s="0">
        <f>IF($A330="","",$I330-($AI330+$AJ330+$AK330+$AL330+$AM330+$AR330))</f>
        <v/>
      </c>
      <c r="AO330" s="0">
        <f>IF($A330="","",Allocation!CJ330)</f>
        <v/>
      </c>
      <c r="AP330" s="0">
        <f>IF($A330="","",IF(Allocation!$N$2="VOL_EFF",$Q330,IF(Allocation!$N$2="VOL_CLASS",$R330,$S330)))</f>
        <v/>
      </c>
      <c r="AQ330" s="0">
        <f>IF($A330="","",IF(Allocation!$N$2="VOL_EFF",$T330,IF(Allocation!$N$2="VOL_CLASS",$U330,$V330)))</f>
        <v/>
      </c>
      <c r="AR330" s="0">
        <f>IF($A330="","",$AO330*IFERROR($AP330/$AQ330,0)*IFERROR($AE330/$AF330,0)*IFERROR($AC330/$AD330,0))</f>
        <v/>
      </c>
      <c r="AS330" s="0">
        <f>IF($A330="","",$A330&amp;"|"&amp;Allocation!BG330)</f>
        <v/>
      </c>
    </row>
    <row r="331" ht="14.4975" customHeight="1" s="64">
      <c r="A331" s="0">
        <f>IF(Allocation!BI331="","",Allocation!BI331)</f>
        <v/>
      </c>
      <c r="B331" s="0">
        <f>IF(Allocation!BJ331="","",Allocation!BJ331)</f>
        <v/>
      </c>
      <c r="C331" s="0">
        <f>IF(Allocation!BK331="","",Allocation!BK331)</f>
        <v/>
      </c>
      <c r="D331" s="0">
        <f>IF(Allocation!BL331="","",Allocation!BL331)</f>
        <v/>
      </c>
      <c r="E331" s="0">
        <f>IF(Allocation!BM331="","",Allocation!BM331)</f>
        <v/>
      </c>
      <c r="F331" s="0">
        <f>IF(Allocation!BN331="","",Allocation!BN331)</f>
        <v/>
      </c>
      <c r="G331" s="0">
        <f>IF(Allocation!BO331="","",Allocation!BO331)</f>
        <v/>
      </c>
      <c r="H331" s="0">
        <f>IF(Allocation!BP331="","",Allocation!BP331)</f>
        <v/>
      </c>
      <c r="I331" s="0">
        <f>IF(Allocation!BQ331="","",Allocation!BQ331)</f>
        <v/>
      </c>
      <c r="J331" s="0">
        <f>IF(Allocation!CC331="","",Allocation!CC331)</f>
        <v/>
      </c>
      <c r="K331" s="0">
        <f>IF($A331="","",$H331*IF(AND(LEFT($D331,3)="BAC",$F331="INIT"),600,IF(LEFT($D331,3)="BAC",480,IF(AND(LEFT($D331,3)="MAS",$F331="INIT"),520,IF(LEFT($D331,3)="MAS",420,IF($F331="INIT",1000,700))))))</f>
        <v/>
      </c>
      <c r="L331" s="0">
        <f>IF($A331="","",SUMIFS($G$1:$G$349,$AS$1:$AS$349,$AS331,$B$1:$B$349,$B331))</f>
        <v/>
      </c>
      <c r="M331" s="0">
        <f>IF($A331="","",SUMIFS($H$1:$H$349,$AS$1:$AS$349,$AS331,$B$1:$B$349,$B331))</f>
        <v/>
      </c>
      <c r="N331" s="0">
        <f>IF($A331="","",SUMIFS($I$1:$I$349,$AS$1:$AS$349,$AS331,$B$1:$B$349,$B331))</f>
        <v/>
      </c>
      <c r="O331" s="0">
        <f>IF($A331="","",SUMIFS($K$1:$K$349,$AS$1:$AS$349,$AS331,$B$1:$B$349,$B331))</f>
        <v/>
      </c>
      <c r="P331" s="0">
        <f>IF($A331="","",SUMIFS($J$1:$J$349,$AS$1:$AS$349,$AS331,$B$1:$B$349,$B331))</f>
        <v/>
      </c>
      <c r="Q331" s="0">
        <f>IF($A331="","",SUMIFS($G$1:$G$349,$AS$1:$AS$349,$AS331,$C$1:$C$349,$C331))</f>
        <v/>
      </c>
      <c r="R331" s="0">
        <f>IF($A331="","",SUMIFS($H$1:$H$349,$AS$1:$AS$349,$AS331,$C$1:$C$349,$C331))</f>
        <v/>
      </c>
      <c r="S331" s="0">
        <f>IF($A331="","",SUMIFS($I$1:$I$349,$AS$1:$AS$349,$AS331,$C$1:$C$349,$C331))</f>
        <v/>
      </c>
      <c r="T331" s="0">
        <f>IF($A331="","",SUMIFS($G$1:$G$349,$AS$1:$AS$349,$AS331))</f>
        <v/>
      </c>
      <c r="U331" s="0">
        <f>IF($A331="","",SUMIFS($H$1:$H$349,$AS$1:$AS$349,$AS331))</f>
        <v/>
      </c>
      <c r="V331" s="0">
        <f>IF($A331="","",SUMIFS($I$1:$I$349,$AS$1:$AS$349,$AS331))</f>
        <v/>
      </c>
      <c r="W331" s="0">
        <f>IF($A331="","",Allocation!CD331)</f>
        <v/>
      </c>
      <c r="X331" s="0">
        <f>IF($A331="","",Allocation!CE331)</f>
        <v/>
      </c>
      <c r="Y331" s="0">
        <f>IF($A331="","",Allocation!CF331)</f>
        <v/>
      </c>
      <c r="Z331" s="0">
        <f>IF($A331="","",Allocation!CG331)</f>
        <v/>
      </c>
      <c r="AA331" s="0">
        <f>IF($A331="","",Allocation!CH331)</f>
        <v/>
      </c>
      <c r="AB331" s="0">
        <f>IF($A331="","",Allocation!CI331)</f>
        <v/>
      </c>
      <c r="AC331" s="0">
        <f>IF($A331="","",IF(Allocation!$N$4="VOL_EFF",$G331,IF(Allocation!$N$4="VOL_CLASS",$H331,$I331)))</f>
        <v/>
      </c>
      <c r="AD331" s="0">
        <f>IF($A331="","",IF(Allocation!$N$4="VOL_EFF",$L331,IF(Allocation!$N$4="VOL_CLASS",$M331,$N331)))</f>
        <v/>
      </c>
      <c r="AE331" s="0">
        <f>IF($A331="","",IF(Allocation!$N$3="VOL_EFF",$L331,IF(Allocation!$N$3="VOL_CLASS",$M331,$N331)))</f>
        <v/>
      </c>
      <c r="AF331" s="0">
        <f>IF($A331="","",IF(Allocation!$N$3="VOL_EFF",$Q331,IF(Allocation!$N$3="VOL_CLASS",$R331,$S331)))</f>
        <v/>
      </c>
      <c r="AG331" s="0">
        <f>IF($A331="","",IF(Allocation!$N$1="VOL_EFF",$Q331,IF(Allocation!$N$1="VOL_CLASS",$R331,$S331)))</f>
        <v/>
      </c>
      <c r="AH331" s="0">
        <f>IF($A331="","",IF(Allocation!$N$1="VOL_EFF",$T331,IF(Allocation!$N$1="VOL_CLASS",$U331,$V331)))</f>
        <v/>
      </c>
      <c r="AI331" s="0">
        <f>IF($A331="","",$W331*IFERROR($K331/$O331,0))</f>
        <v/>
      </c>
      <c r="AJ331" s="0">
        <f>IF($A331="","",$X331*IFERROR($K331/$O331,0))</f>
        <v/>
      </c>
      <c r="AK331" s="0">
        <f>IF($A331="","",$Y331*IFERROR($G331/$L331,0)+$Z331*IFERROR($J331/$P331,0))</f>
        <v/>
      </c>
      <c r="AL331" s="0">
        <f>IF($A331="","",$AA331*IFERROR($AC331/$AD331,0))</f>
        <v/>
      </c>
      <c r="AM331" s="0">
        <f>IF($A331="","",$AB331*IFERROR($AG331/$AH331,0)*IFERROR($AE331/$AF331,0)*IFERROR($AC331/$AD331,0))</f>
        <v/>
      </c>
      <c r="AN331" s="0">
        <f>IF($A331="","",$I331-($AI331+$AJ331+$AK331+$AL331+$AM331+$AR331))</f>
        <v/>
      </c>
      <c r="AO331" s="0">
        <f>IF($A331="","",Allocation!CJ331)</f>
        <v/>
      </c>
      <c r="AP331" s="0">
        <f>IF($A331="","",IF(Allocation!$N$2="VOL_EFF",$Q331,IF(Allocation!$N$2="VOL_CLASS",$R331,$S331)))</f>
        <v/>
      </c>
      <c r="AQ331" s="0">
        <f>IF($A331="","",IF(Allocation!$N$2="VOL_EFF",$T331,IF(Allocation!$N$2="VOL_CLASS",$U331,$V331)))</f>
        <v/>
      </c>
      <c r="AR331" s="0">
        <f>IF($A331="","",$AO331*IFERROR($AP331/$AQ331,0)*IFERROR($AE331/$AF331,0)*IFERROR($AC331/$AD331,0))</f>
        <v/>
      </c>
      <c r="AS331" s="0">
        <f>IF($A331="","",$A331&amp;"|"&amp;Allocation!BG331)</f>
        <v/>
      </c>
    </row>
    <row r="332" ht="14.4975" customHeight="1" s="64">
      <c r="A332" s="0">
        <f>IF(Allocation!BI332="","",Allocation!BI332)</f>
        <v/>
      </c>
      <c r="B332" s="0">
        <f>IF(Allocation!BJ332="","",Allocation!BJ332)</f>
        <v/>
      </c>
      <c r="C332" s="0">
        <f>IF(Allocation!BK332="","",Allocation!BK332)</f>
        <v/>
      </c>
      <c r="D332" s="0">
        <f>IF(Allocation!BL332="","",Allocation!BL332)</f>
        <v/>
      </c>
      <c r="E332" s="0">
        <f>IF(Allocation!BM332="","",Allocation!BM332)</f>
        <v/>
      </c>
      <c r="F332" s="0">
        <f>IF(Allocation!BN332="","",Allocation!BN332)</f>
        <v/>
      </c>
      <c r="G332" s="0">
        <f>IF(Allocation!BO332="","",Allocation!BO332)</f>
        <v/>
      </c>
      <c r="H332" s="0">
        <f>IF(Allocation!BP332="","",Allocation!BP332)</f>
        <v/>
      </c>
      <c r="I332" s="0">
        <f>IF(Allocation!BQ332="","",Allocation!BQ332)</f>
        <v/>
      </c>
      <c r="J332" s="0">
        <f>IF(Allocation!CC332="","",Allocation!CC332)</f>
        <v/>
      </c>
      <c r="K332" s="0">
        <f>IF($A332="","",$H332*IF(AND(LEFT($D332,3)="BAC",$F332="INIT"),600,IF(LEFT($D332,3)="BAC",480,IF(AND(LEFT($D332,3)="MAS",$F332="INIT"),520,IF(LEFT($D332,3)="MAS",420,IF($F332="INIT",1000,700))))))</f>
        <v/>
      </c>
      <c r="L332" s="0">
        <f>IF($A332="","",SUMIFS($G$1:$G$349,$AS$1:$AS$349,$AS332,$B$1:$B$349,$B332))</f>
        <v/>
      </c>
      <c r="M332" s="0">
        <f>IF($A332="","",SUMIFS($H$1:$H$349,$AS$1:$AS$349,$AS332,$B$1:$B$349,$B332))</f>
        <v/>
      </c>
      <c r="N332" s="0">
        <f>IF($A332="","",SUMIFS($I$1:$I$349,$AS$1:$AS$349,$AS332,$B$1:$B$349,$B332))</f>
        <v/>
      </c>
      <c r="O332" s="0">
        <f>IF($A332="","",SUMIFS($K$1:$K$349,$AS$1:$AS$349,$AS332,$B$1:$B$349,$B332))</f>
        <v/>
      </c>
      <c r="P332" s="0">
        <f>IF($A332="","",SUMIFS($J$1:$J$349,$AS$1:$AS$349,$AS332,$B$1:$B$349,$B332))</f>
        <v/>
      </c>
      <c r="Q332" s="0">
        <f>IF($A332="","",SUMIFS($G$1:$G$349,$AS$1:$AS$349,$AS332,$C$1:$C$349,$C332))</f>
        <v/>
      </c>
      <c r="R332" s="0">
        <f>IF($A332="","",SUMIFS($H$1:$H$349,$AS$1:$AS$349,$AS332,$C$1:$C$349,$C332))</f>
        <v/>
      </c>
      <c r="S332" s="0">
        <f>IF($A332="","",SUMIFS($I$1:$I$349,$AS$1:$AS$349,$AS332,$C$1:$C$349,$C332))</f>
        <v/>
      </c>
      <c r="T332" s="0">
        <f>IF($A332="","",SUMIFS($G$1:$G$349,$AS$1:$AS$349,$AS332))</f>
        <v/>
      </c>
      <c r="U332" s="0">
        <f>IF($A332="","",SUMIFS($H$1:$H$349,$AS$1:$AS$349,$AS332))</f>
        <v/>
      </c>
      <c r="V332" s="0">
        <f>IF($A332="","",SUMIFS($I$1:$I$349,$AS$1:$AS$349,$AS332))</f>
        <v/>
      </c>
      <c r="W332" s="0">
        <f>IF($A332="","",Allocation!CD332)</f>
        <v/>
      </c>
      <c r="X332" s="0">
        <f>IF($A332="","",Allocation!CE332)</f>
        <v/>
      </c>
      <c r="Y332" s="0">
        <f>IF($A332="","",Allocation!CF332)</f>
        <v/>
      </c>
      <c r="Z332" s="0">
        <f>IF($A332="","",Allocation!CG332)</f>
        <v/>
      </c>
      <c r="AA332" s="0">
        <f>IF($A332="","",Allocation!CH332)</f>
        <v/>
      </c>
      <c r="AB332" s="0">
        <f>IF($A332="","",Allocation!CI332)</f>
        <v/>
      </c>
      <c r="AC332" s="0">
        <f>IF($A332="","",IF(Allocation!$N$4="VOL_EFF",$G332,IF(Allocation!$N$4="VOL_CLASS",$H332,$I332)))</f>
        <v/>
      </c>
      <c r="AD332" s="0">
        <f>IF($A332="","",IF(Allocation!$N$4="VOL_EFF",$L332,IF(Allocation!$N$4="VOL_CLASS",$M332,$N332)))</f>
        <v/>
      </c>
      <c r="AE332" s="0">
        <f>IF($A332="","",IF(Allocation!$N$3="VOL_EFF",$L332,IF(Allocation!$N$3="VOL_CLASS",$M332,$N332)))</f>
        <v/>
      </c>
      <c r="AF332" s="0">
        <f>IF($A332="","",IF(Allocation!$N$3="VOL_EFF",$Q332,IF(Allocation!$N$3="VOL_CLASS",$R332,$S332)))</f>
        <v/>
      </c>
      <c r="AG332" s="0">
        <f>IF($A332="","",IF(Allocation!$N$1="VOL_EFF",$Q332,IF(Allocation!$N$1="VOL_CLASS",$R332,$S332)))</f>
        <v/>
      </c>
      <c r="AH332" s="0">
        <f>IF($A332="","",IF(Allocation!$N$1="VOL_EFF",$T332,IF(Allocation!$N$1="VOL_CLASS",$U332,$V332)))</f>
        <v/>
      </c>
      <c r="AI332" s="0">
        <f>IF($A332="","",$W332*IFERROR($K332/$O332,0))</f>
        <v/>
      </c>
      <c r="AJ332" s="0">
        <f>IF($A332="","",$X332*IFERROR($K332/$O332,0))</f>
        <v/>
      </c>
      <c r="AK332" s="0">
        <f>IF($A332="","",$Y332*IFERROR($G332/$L332,0)+$Z332*IFERROR($J332/$P332,0))</f>
        <v/>
      </c>
      <c r="AL332" s="0">
        <f>IF($A332="","",$AA332*IFERROR($AC332/$AD332,0))</f>
        <v/>
      </c>
      <c r="AM332" s="0">
        <f>IF($A332="","",$AB332*IFERROR($AG332/$AH332,0)*IFERROR($AE332/$AF332,0)*IFERROR($AC332/$AD332,0))</f>
        <v/>
      </c>
      <c r="AN332" s="0">
        <f>IF($A332="","",$I332-($AI332+$AJ332+$AK332+$AL332+$AM332+$AR332))</f>
        <v/>
      </c>
      <c r="AO332" s="0">
        <f>IF($A332="","",Allocation!CJ332)</f>
        <v/>
      </c>
      <c r="AP332" s="0">
        <f>IF($A332="","",IF(Allocation!$N$2="VOL_EFF",$Q332,IF(Allocation!$N$2="VOL_CLASS",$R332,$S332)))</f>
        <v/>
      </c>
      <c r="AQ332" s="0">
        <f>IF($A332="","",IF(Allocation!$N$2="VOL_EFF",$T332,IF(Allocation!$N$2="VOL_CLASS",$U332,$V332)))</f>
        <v/>
      </c>
      <c r="AR332" s="0">
        <f>IF($A332="","",$AO332*IFERROR($AP332/$AQ332,0)*IFERROR($AE332/$AF332,0)*IFERROR($AC332/$AD332,0))</f>
        <v/>
      </c>
      <c r="AS332" s="0">
        <f>IF($A332="","",$A332&amp;"|"&amp;Allocation!BG332)</f>
        <v/>
      </c>
    </row>
    <row r="333" ht="14.4975" customHeight="1" s="64">
      <c r="A333" s="0">
        <f>IF(Allocation!BI333="","",Allocation!BI333)</f>
        <v/>
      </c>
      <c r="B333" s="0">
        <f>IF(Allocation!BJ333="","",Allocation!BJ333)</f>
        <v/>
      </c>
      <c r="C333" s="0">
        <f>IF(Allocation!BK333="","",Allocation!BK333)</f>
        <v/>
      </c>
      <c r="D333" s="0">
        <f>IF(Allocation!BL333="","",Allocation!BL333)</f>
        <v/>
      </c>
      <c r="E333" s="0">
        <f>IF(Allocation!BM333="","",Allocation!BM333)</f>
        <v/>
      </c>
      <c r="F333" s="0">
        <f>IF(Allocation!BN333="","",Allocation!BN333)</f>
        <v/>
      </c>
      <c r="G333" s="0">
        <f>IF(Allocation!BO333="","",Allocation!BO333)</f>
        <v/>
      </c>
      <c r="H333" s="0">
        <f>IF(Allocation!BP333="","",Allocation!BP333)</f>
        <v/>
      </c>
      <c r="I333" s="0">
        <f>IF(Allocation!BQ333="","",Allocation!BQ333)</f>
        <v/>
      </c>
      <c r="J333" s="0">
        <f>IF(Allocation!CC333="","",Allocation!CC333)</f>
        <v/>
      </c>
      <c r="K333" s="0">
        <f>IF($A333="","",$H333*IF(AND(LEFT($D333,3)="BAC",$F333="INIT"),600,IF(LEFT($D333,3)="BAC",480,IF(AND(LEFT($D333,3)="MAS",$F333="INIT"),520,IF(LEFT($D333,3)="MAS",420,IF($F333="INIT",1000,700))))))</f>
        <v/>
      </c>
      <c r="L333" s="0">
        <f>IF($A333="","",SUMIFS($G$1:$G$349,$AS$1:$AS$349,$AS333,$B$1:$B$349,$B333))</f>
        <v/>
      </c>
      <c r="M333" s="0">
        <f>IF($A333="","",SUMIFS($H$1:$H$349,$AS$1:$AS$349,$AS333,$B$1:$B$349,$B333))</f>
        <v/>
      </c>
      <c r="N333" s="0">
        <f>IF($A333="","",SUMIFS($I$1:$I$349,$AS$1:$AS$349,$AS333,$B$1:$B$349,$B333))</f>
        <v/>
      </c>
      <c r="O333" s="0">
        <f>IF($A333="","",SUMIFS($K$1:$K$349,$AS$1:$AS$349,$AS333,$B$1:$B$349,$B333))</f>
        <v/>
      </c>
      <c r="P333" s="0">
        <f>IF($A333="","",SUMIFS($J$1:$J$349,$AS$1:$AS$349,$AS333,$B$1:$B$349,$B333))</f>
        <v/>
      </c>
      <c r="Q333" s="0">
        <f>IF($A333="","",SUMIFS($G$1:$G$349,$AS$1:$AS$349,$AS333,$C$1:$C$349,$C333))</f>
        <v/>
      </c>
      <c r="R333" s="0">
        <f>IF($A333="","",SUMIFS($H$1:$H$349,$AS$1:$AS$349,$AS333,$C$1:$C$349,$C333))</f>
        <v/>
      </c>
      <c r="S333" s="0">
        <f>IF($A333="","",SUMIFS($I$1:$I$349,$AS$1:$AS$349,$AS333,$C$1:$C$349,$C333))</f>
        <v/>
      </c>
      <c r="T333" s="0">
        <f>IF($A333="","",SUMIFS($G$1:$G$349,$AS$1:$AS$349,$AS333))</f>
        <v/>
      </c>
      <c r="U333" s="0">
        <f>IF($A333="","",SUMIFS($H$1:$H$349,$AS$1:$AS$349,$AS333))</f>
        <v/>
      </c>
      <c r="V333" s="0">
        <f>IF($A333="","",SUMIFS($I$1:$I$349,$AS$1:$AS$349,$AS333))</f>
        <v/>
      </c>
      <c r="W333" s="0">
        <f>IF($A333="","",Allocation!CD333)</f>
        <v/>
      </c>
      <c r="X333" s="0">
        <f>IF($A333="","",Allocation!CE333)</f>
        <v/>
      </c>
      <c r="Y333" s="0">
        <f>IF($A333="","",Allocation!CF333)</f>
        <v/>
      </c>
      <c r="Z333" s="0">
        <f>IF($A333="","",Allocation!CG333)</f>
        <v/>
      </c>
      <c r="AA333" s="0">
        <f>IF($A333="","",Allocation!CH333)</f>
        <v/>
      </c>
      <c r="AB333" s="0">
        <f>IF($A333="","",Allocation!CI333)</f>
        <v/>
      </c>
      <c r="AC333" s="0">
        <f>IF($A333="","",IF(Allocation!$N$4="VOL_EFF",$G333,IF(Allocation!$N$4="VOL_CLASS",$H333,$I333)))</f>
        <v/>
      </c>
      <c r="AD333" s="0">
        <f>IF($A333="","",IF(Allocation!$N$4="VOL_EFF",$L333,IF(Allocation!$N$4="VOL_CLASS",$M333,$N333)))</f>
        <v/>
      </c>
      <c r="AE333" s="0">
        <f>IF($A333="","",IF(Allocation!$N$3="VOL_EFF",$L333,IF(Allocation!$N$3="VOL_CLASS",$M333,$N333)))</f>
        <v/>
      </c>
      <c r="AF333" s="0">
        <f>IF($A333="","",IF(Allocation!$N$3="VOL_EFF",$Q333,IF(Allocation!$N$3="VOL_CLASS",$R333,$S333)))</f>
        <v/>
      </c>
      <c r="AG333" s="0">
        <f>IF($A333="","",IF(Allocation!$N$1="VOL_EFF",$Q333,IF(Allocation!$N$1="VOL_CLASS",$R333,$S333)))</f>
        <v/>
      </c>
      <c r="AH333" s="0">
        <f>IF($A333="","",IF(Allocation!$N$1="VOL_EFF",$T333,IF(Allocation!$N$1="VOL_CLASS",$U333,$V333)))</f>
        <v/>
      </c>
      <c r="AI333" s="0">
        <f>IF($A333="","",$W333*IFERROR($K333/$O333,0))</f>
        <v/>
      </c>
      <c r="AJ333" s="0">
        <f>IF($A333="","",$X333*IFERROR($K333/$O333,0))</f>
        <v/>
      </c>
      <c r="AK333" s="0">
        <f>IF($A333="","",$Y333*IFERROR($G333/$L333,0)+$Z333*IFERROR($J333/$P333,0))</f>
        <v/>
      </c>
      <c r="AL333" s="0">
        <f>IF($A333="","",$AA333*IFERROR($AC333/$AD333,0))</f>
        <v/>
      </c>
      <c r="AM333" s="0">
        <f>IF($A333="","",$AB333*IFERROR($AG333/$AH333,0)*IFERROR($AE333/$AF333,0)*IFERROR($AC333/$AD333,0))</f>
        <v/>
      </c>
      <c r="AN333" s="0">
        <f>IF($A333="","",$I333-($AI333+$AJ333+$AK333+$AL333+$AM333+$AR333))</f>
        <v/>
      </c>
      <c r="AO333" s="0">
        <f>IF($A333="","",Allocation!CJ333)</f>
        <v/>
      </c>
      <c r="AP333" s="0">
        <f>IF($A333="","",IF(Allocation!$N$2="VOL_EFF",$Q333,IF(Allocation!$N$2="VOL_CLASS",$R333,$S333)))</f>
        <v/>
      </c>
      <c r="AQ333" s="0">
        <f>IF($A333="","",IF(Allocation!$N$2="VOL_EFF",$T333,IF(Allocation!$N$2="VOL_CLASS",$U333,$V333)))</f>
        <v/>
      </c>
      <c r="AR333" s="0">
        <f>IF($A333="","",$AO333*IFERROR($AP333/$AQ333,0)*IFERROR($AE333/$AF333,0)*IFERROR($AC333/$AD333,0))</f>
        <v/>
      </c>
      <c r="AS333" s="0">
        <f>IF($A333="","",$A333&amp;"|"&amp;Allocation!BG333)</f>
        <v/>
      </c>
    </row>
    <row r="334" ht="14.4975" customHeight="1" s="64">
      <c r="A334" s="0">
        <f>IF(Allocation!BI334="","",Allocation!BI334)</f>
        <v/>
      </c>
      <c r="B334" s="0">
        <f>IF(Allocation!BJ334="","",Allocation!BJ334)</f>
        <v/>
      </c>
      <c r="C334" s="0">
        <f>IF(Allocation!BK334="","",Allocation!BK334)</f>
        <v/>
      </c>
      <c r="D334" s="0">
        <f>IF(Allocation!BL334="","",Allocation!BL334)</f>
        <v/>
      </c>
      <c r="E334" s="0">
        <f>IF(Allocation!BM334="","",Allocation!BM334)</f>
        <v/>
      </c>
      <c r="F334" s="0">
        <f>IF(Allocation!BN334="","",Allocation!BN334)</f>
        <v/>
      </c>
      <c r="G334" s="0">
        <f>IF(Allocation!BO334="","",Allocation!BO334)</f>
        <v/>
      </c>
      <c r="H334" s="0">
        <f>IF(Allocation!BP334="","",Allocation!BP334)</f>
        <v/>
      </c>
      <c r="I334" s="0">
        <f>IF(Allocation!BQ334="","",Allocation!BQ334)</f>
        <v/>
      </c>
      <c r="J334" s="0">
        <f>IF(Allocation!CC334="","",Allocation!CC334)</f>
        <v/>
      </c>
      <c r="K334" s="0">
        <f>IF($A334="","",$H334*IF(AND(LEFT($D334,3)="BAC",$F334="INIT"),600,IF(LEFT($D334,3)="BAC",480,IF(AND(LEFT($D334,3)="MAS",$F334="INIT"),520,IF(LEFT($D334,3)="MAS",420,IF($F334="INIT",1000,700))))))</f>
        <v/>
      </c>
      <c r="L334" s="0">
        <f>IF($A334="","",SUMIFS($G$1:$G$349,$AS$1:$AS$349,$AS334,$B$1:$B$349,$B334))</f>
        <v/>
      </c>
      <c r="M334" s="0">
        <f>IF($A334="","",SUMIFS($H$1:$H$349,$AS$1:$AS$349,$AS334,$B$1:$B$349,$B334))</f>
        <v/>
      </c>
      <c r="N334" s="0">
        <f>IF($A334="","",SUMIFS($I$1:$I$349,$AS$1:$AS$349,$AS334,$B$1:$B$349,$B334))</f>
        <v/>
      </c>
      <c r="O334" s="0">
        <f>IF($A334="","",SUMIFS($K$1:$K$349,$AS$1:$AS$349,$AS334,$B$1:$B$349,$B334))</f>
        <v/>
      </c>
      <c r="P334" s="0">
        <f>IF($A334="","",SUMIFS($J$1:$J$349,$AS$1:$AS$349,$AS334,$B$1:$B$349,$B334))</f>
        <v/>
      </c>
      <c r="Q334" s="0">
        <f>IF($A334="","",SUMIFS($G$1:$G$349,$AS$1:$AS$349,$AS334,$C$1:$C$349,$C334))</f>
        <v/>
      </c>
      <c r="R334" s="0">
        <f>IF($A334="","",SUMIFS($H$1:$H$349,$AS$1:$AS$349,$AS334,$C$1:$C$349,$C334))</f>
        <v/>
      </c>
      <c r="S334" s="0">
        <f>IF($A334="","",SUMIFS($I$1:$I$349,$AS$1:$AS$349,$AS334,$C$1:$C$349,$C334))</f>
        <v/>
      </c>
      <c r="T334" s="0">
        <f>IF($A334="","",SUMIFS($G$1:$G$349,$AS$1:$AS$349,$AS334))</f>
        <v/>
      </c>
      <c r="U334" s="0">
        <f>IF($A334="","",SUMIFS($H$1:$H$349,$AS$1:$AS$349,$AS334))</f>
        <v/>
      </c>
      <c r="V334" s="0">
        <f>IF($A334="","",SUMIFS($I$1:$I$349,$AS$1:$AS$349,$AS334))</f>
        <v/>
      </c>
      <c r="W334" s="0">
        <f>IF($A334="","",Allocation!CD334)</f>
        <v/>
      </c>
      <c r="X334" s="0">
        <f>IF($A334="","",Allocation!CE334)</f>
        <v/>
      </c>
      <c r="Y334" s="0">
        <f>IF($A334="","",Allocation!CF334)</f>
        <v/>
      </c>
      <c r="Z334" s="0">
        <f>IF($A334="","",Allocation!CG334)</f>
        <v/>
      </c>
      <c r="AA334" s="0">
        <f>IF($A334="","",Allocation!CH334)</f>
        <v/>
      </c>
      <c r="AB334" s="0">
        <f>IF($A334="","",Allocation!CI334)</f>
        <v/>
      </c>
      <c r="AC334" s="0">
        <f>IF($A334="","",IF(Allocation!$N$4="VOL_EFF",$G334,IF(Allocation!$N$4="VOL_CLASS",$H334,$I334)))</f>
        <v/>
      </c>
      <c r="AD334" s="0">
        <f>IF($A334="","",IF(Allocation!$N$4="VOL_EFF",$L334,IF(Allocation!$N$4="VOL_CLASS",$M334,$N334)))</f>
        <v/>
      </c>
      <c r="AE334" s="0">
        <f>IF($A334="","",IF(Allocation!$N$3="VOL_EFF",$L334,IF(Allocation!$N$3="VOL_CLASS",$M334,$N334)))</f>
        <v/>
      </c>
      <c r="AF334" s="0">
        <f>IF($A334="","",IF(Allocation!$N$3="VOL_EFF",$Q334,IF(Allocation!$N$3="VOL_CLASS",$R334,$S334)))</f>
        <v/>
      </c>
      <c r="AG334" s="0">
        <f>IF($A334="","",IF(Allocation!$N$1="VOL_EFF",$Q334,IF(Allocation!$N$1="VOL_CLASS",$R334,$S334)))</f>
        <v/>
      </c>
      <c r="AH334" s="0">
        <f>IF($A334="","",IF(Allocation!$N$1="VOL_EFF",$T334,IF(Allocation!$N$1="VOL_CLASS",$U334,$V334)))</f>
        <v/>
      </c>
      <c r="AI334" s="0">
        <f>IF($A334="","",$W334*IFERROR($K334/$O334,0))</f>
        <v/>
      </c>
      <c r="AJ334" s="0">
        <f>IF($A334="","",$X334*IFERROR($K334/$O334,0))</f>
        <v/>
      </c>
      <c r="AK334" s="0">
        <f>IF($A334="","",$Y334*IFERROR($G334/$L334,0)+$Z334*IFERROR($J334/$P334,0))</f>
        <v/>
      </c>
      <c r="AL334" s="0">
        <f>IF($A334="","",$AA334*IFERROR($AC334/$AD334,0))</f>
        <v/>
      </c>
      <c r="AM334" s="0">
        <f>IF($A334="","",$AB334*IFERROR($AG334/$AH334,0)*IFERROR($AE334/$AF334,0)*IFERROR($AC334/$AD334,0))</f>
        <v/>
      </c>
      <c r="AN334" s="0">
        <f>IF($A334="","",$I334-($AI334+$AJ334+$AK334+$AL334+$AM334+$AR334))</f>
        <v/>
      </c>
      <c r="AO334" s="0">
        <f>IF($A334="","",Allocation!CJ334)</f>
        <v/>
      </c>
      <c r="AP334" s="0">
        <f>IF($A334="","",IF(Allocation!$N$2="VOL_EFF",$Q334,IF(Allocation!$N$2="VOL_CLASS",$R334,$S334)))</f>
        <v/>
      </c>
      <c r="AQ334" s="0">
        <f>IF($A334="","",IF(Allocation!$N$2="VOL_EFF",$T334,IF(Allocation!$N$2="VOL_CLASS",$U334,$V334)))</f>
        <v/>
      </c>
      <c r="AR334" s="0">
        <f>IF($A334="","",$AO334*IFERROR($AP334/$AQ334,0)*IFERROR($AE334/$AF334,0)*IFERROR($AC334/$AD334,0))</f>
        <v/>
      </c>
      <c r="AS334" s="0">
        <f>IF($A334="","",$A334&amp;"|"&amp;Allocation!BG334)</f>
        <v/>
      </c>
    </row>
    <row r="335" ht="14.4975" customHeight="1" s="64">
      <c r="A335" s="0">
        <f>IF(Allocation!BI335="","",Allocation!BI335)</f>
        <v/>
      </c>
      <c r="B335" s="0">
        <f>IF(Allocation!BJ335="","",Allocation!BJ335)</f>
        <v/>
      </c>
      <c r="C335" s="0">
        <f>IF(Allocation!BK335="","",Allocation!BK335)</f>
        <v/>
      </c>
      <c r="D335" s="0">
        <f>IF(Allocation!BL335="","",Allocation!BL335)</f>
        <v/>
      </c>
      <c r="E335" s="0">
        <f>IF(Allocation!BM335="","",Allocation!BM335)</f>
        <v/>
      </c>
      <c r="F335" s="0">
        <f>IF(Allocation!BN335="","",Allocation!BN335)</f>
        <v/>
      </c>
      <c r="G335" s="0">
        <f>IF(Allocation!BO335="","",Allocation!BO335)</f>
        <v/>
      </c>
      <c r="H335" s="0">
        <f>IF(Allocation!BP335="","",Allocation!BP335)</f>
        <v/>
      </c>
      <c r="I335" s="0">
        <f>IF(Allocation!BQ335="","",Allocation!BQ335)</f>
        <v/>
      </c>
      <c r="J335" s="0">
        <f>IF(Allocation!CC335="","",Allocation!CC335)</f>
        <v/>
      </c>
      <c r="K335" s="0">
        <f>IF($A335="","",$H335*IF(AND(LEFT($D335,3)="BAC",$F335="INIT"),600,IF(LEFT($D335,3)="BAC",480,IF(AND(LEFT($D335,3)="MAS",$F335="INIT"),520,IF(LEFT($D335,3)="MAS",420,IF($F335="INIT",1000,700))))))</f>
        <v/>
      </c>
      <c r="L335" s="0">
        <f>IF($A335="","",SUMIFS($G$1:$G$349,$AS$1:$AS$349,$AS335,$B$1:$B$349,$B335))</f>
        <v/>
      </c>
      <c r="M335" s="0">
        <f>IF($A335="","",SUMIFS($H$1:$H$349,$AS$1:$AS$349,$AS335,$B$1:$B$349,$B335))</f>
        <v/>
      </c>
      <c r="N335" s="0">
        <f>IF($A335="","",SUMIFS($I$1:$I$349,$AS$1:$AS$349,$AS335,$B$1:$B$349,$B335))</f>
        <v/>
      </c>
      <c r="O335" s="0">
        <f>IF($A335="","",SUMIFS($K$1:$K$349,$AS$1:$AS$349,$AS335,$B$1:$B$349,$B335))</f>
        <v/>
      </c>
      <c r="P335" s="0">
        <f>IF($A335="","",SUMIFS($J$1:$J$349,$AS$1:$AS$349,$AS335,$B$1:$B$349,$B335))</f>
        <v/>
      </c>
      <c r="Q335" s="0">
        <f>IF($A335="","",SUMIFS($G$1:$G$349,$AS$1:$AS$349,$AS335,$C$1:$C$349,$C335))</f>
        <v/>
      </c>
      <c r="R335" s="0">
        <f>IF($A335="","",SUMIFS($H$1:$H$349,$AS$1:$AS$349,$AS335,$C$1:$C$349,$C335))</f>
        <v/>
      </c>
      <c r="S335" s="0">
        <f>IF($A335="","",SUMIFS($I$1:$I$349,$AS$1:$AS$349,$AS335,$C$1:$C$349,$C335))</f>
        <v/>
      </c>
      <c r="T335" s="0">
        <f>IF($A335="","",SUMIFS($G$1:$G$349,$AS$1:$AS$349,$AS335))</f>
        <v/>
      </c>
      <c r="U335" s="0">
        <f>IF($A335="","",SUMIFS($H$1:$H$349,$AS$1:$AS$349,$AS335))</f>
        <v/>
      </c>
      <c r="V335" s="0">
        <f>IF($A335="","",SUMIFS($I$1:$I$349,$AS$1:$AS$349,$AS335))</f>
        <v/>
      </c>
      <c r="W335" s="0">
        <f>IF($A335="","",Allocation!CD335)</f>
        <v/>
      </c>
      <c r="X335" s="0">
        <f>IF($A335="","",Allocation!CE335)</f>
        <v/>
      </c>
      <c r="Y335" s="0">
        <f>IF($A335="","",Allocation!CF335)</f>
        <v/>
      </c>
      <c r="Z335" s="0">
        <f>IF($A335="","",Allocation!CG335)</f>
        <v/>
      </c>
      <c r="AA335" s="0">
        <f>IF($A335="","",Allocation!CH335)</f>
        <v/>
      </c>
      <c r="AB335" s="0">
        <f>IF($A335="","",Allocation!CI335)</f>
        <v/>
      </c>
      <c r="AC335" s="0">
        <f>IF($A335="","",IF(Allocation!$N$4="VOL_EFF",$G335,IF(Allocation!$N$4="VOL_CLASS",$H335,$I335)))</f>
        <v/>
      </c>
      <c r="AD335" s="0">
        <f>IF($A335="","",IF(Allocation!$N$4="VOL_EFF",$L335,IF(Allocation!$N$4="VOL_CLASS",$M335,$N335)))</f>
        <v/>
      </c>
      <c r="AE335" s="0">
        <f>IF($A335="","",IF(Allocation!$N$3="VOL_EFF",$L335,IF(Allocation!$N$3="VOL_CLASS",$M335,$N335)))</f>
        <v/>
      </c>
      <c r="AF335" s="0">
        <f>IF($A335="","",IF(Allocation!$N$3="VOL_EFF",$Q335,IF(Allocation!$N$3="VOL_CLASS",$R335,$S335)))</f>
        <v/>
      </c>
      <c r="AG335" s="0">
        <f>IF($A335="","",IF(Allocation!$N$1="VOL_EFF",$Q335,IF(Allocation!$N$1="VOL_CLASS",$R335,$S335)))</f>
        <v/>
      </c>
      <c r="AH335" s="0">
        <f>IF($A335="","",IF(Allocation!$N$1="VOL_EFF",$T335,IF(Allocation!$N$1="VOL_CLASS",$U335,$V335)))</f>
        <v/>
      </c>
      <c r="AI335" s="0">
        <f>IF($A335="","",$W335*IFERROR($K335/$O335,0))</f>
        <v/>
      </c>
      <c r="AJ335" s="0">
        <f>IF($A335="","",$X335*IFERROR($K335/$O335,0))</f>
        <v/>
      </c>
      <c r="AK335" s="0">
        <f>IF($A335="","",$Y335*IFERROR($G335/$L335,0)+$Z335*IFERROR($J335/$P335,0))</f>
        <v/>
      </c>
      <c r="AL335" s="0">
        <f>IF($A335="","",$AA335*IFERROR($AC335/$AD335,0))</f>
        <v/>
      </c>
      <c r="AM335" s="0">
        <f>IF($A335="","",$AB335*IFERROR($AG335/$AH335,0)*IFERROR($AE335/$AF335,0)*IFERROR($AC335/$AD335,0))</f>
        <v/>
      </c>
      <c r="AN335" s="0">
        <f>IF($A335="","",$I335-($AI335+$AJ335+$AK335+$AL335+$AM335+$AR335))</f>
        <v/>
      </c>
      <c r="AO335" s="0">
        <f>IF($A335="","",Allocation!CJ335)</f>
        <v/>
      </c>
      <c r="AP335" s="0">
        <f>IF($A335="","",IF(Allocation!$N$2="VOL_EFF",$Q335,IF(Allocation!$N$2="VOL_CLASS",$R335,$S335)))</f>
        <v/>
      </c>
      <c r="AQ335" s="0">
        <f>IF($A335="","",IF(Allocation!$N$2="VOL_EFF",$T335,IF(Allocation!$N$2="VOL_CLASS",$U335,$V335)))</f>
        <v/>
      </c>
      <c r="AR335" s="0">
        <f>IF($A335="","",$AO335*IFERROR($AP335/$AQ335,0)*IFERROR($AE335/$AF335,0)*IFERROR($AC335/$AD335,0))</f>
        <v/>
      </c>
      <c r="AS335" s="0">
        <f>IF($A335="","",$A335&amp;"|"&amp;Allocation!BG335)</f>
        <v/>
      </c>
    </row>
    <row r="336" ht="14.4975" customHeight="1" s="64">
      <c r="A336" s="0">
        <f>IF(Allocation!BI336="","",Allocation!BI336)</f>
        <v/>
      </c>
      <c r="B336" s="0">
        <f>IF(Allocation!BJ336="","",Allocation!BJ336)</f>
        <v/>
      </c>
      <c r="C336" s="0">
        <f>IF(Allocation!BK336="","",Allocation!BK336)</f>
        <v/>
      </c>
      <c r="D336" s="0">
        <f>IF(Allocation!BL336="","",Allocation!BL336)</f>
        <v/>
      </c>
      <c r="E336" s="0">
        <f>IF(Allocation!BM336="","",Allocation!BM336)</f>
        <v/>
      </c>
      <c r="F336" s="0">
        <f>IF(Allocation!BN336="","",Allocation!BN336)</f>
        <v/>
      </c>
      <c r="G336" s="0">
        <f>IF(Allocation!BO336="","",Allocation!BO336)</f>
        <v/>
      </c>
      <c r="H336" s="0">
        <f>IF(Allocation!BP336="","",Allocation!BP336)</f>
        <v/>
      </c>
      <c r="I336" s="0">
        <f>IF(Allocation!BQ336="","",Allocation!BQ336)</f>
        <v/>
      </c>
      <c r="J336" s="0">
        <f>IF(Allocation!CC336="","",Allocation!CC336)</f>
        <v/>
      </c>
      <c r="K336" s="0">
        <f>IF($A336="","",$H336*IF(AND(LEFT($D336,3)="BAC",$F336="INIT"),600,IF(LEFT($D336,3)="BAC",480,IF(AND(LEFT($D336,3)="MAS",$F336="INIT"),520,IF(LEFT($D336,3)="MAS",420,IF($F336="INIT",1000,700))))))</f>
        <v/>
      </c>
      <c r="L336" s="0">
        <f>IF($A336="","",SUMIFS($G$1:$G$349,$AS$1:$AS$349,$AS336,$B$1:$B$349,$B336))</f>
        <v/>
      </c>
      <c r="M336" s="0">
        <f>IF($A336="","",SUMIFS($H$1:$H$349,$AS$1:$AS$349,$AS336,$B$1:$B$349,$B336))</f>
        <v/>
      </c>
      <c r="N336" s="0">
        <f>IF($A336="","",SUMIFS($I$1:$I$349,$AS$1:$AS$349,$AS336,$B$1:$B$349,$B336))</f>
        <v/>
      </c>
      <c r="O336" s="0">
        <f>IF($A336="","",SUMIFS($K$1:$K$349,$AS$1:$AS$349,$AS336,$B$1:$B$349,$B336))</f>
        <v/>
      </c>
      <c r="P336" s="0">
        <f>IF($A336="","",SUMIFS($J$1:$J$349,$AS$1:$AS$349,$AS336,$B$1:$B$349,$B336))</f>
        <v/>
      </c>
      <c r="Q336" s="0">
        <f>IF($A336="","",SUMIFS($G$1:$G$349,$AS$1:$AS$349,$AS336,$C$1:$C$349,$C336))</f>
        <v/>
      </c>
      <c r="R336" s="0">
        <f>IF($A336="","",SUMIFS($H$1:$H$349,$AS$1:$AS$349,$AS336,$C$1:$C$349,$C336))</f>
        <v/>
      </c>
      <c r="S336" s="0">
        <f>IF($A336="","",SUMIFS($I$1:$I$349,$AS$1:$AS$349,$AS336,$C$1:$C$349,$C336))</f>
        <v/>
      </c>
      <c r="T336" s="0">
        <f>IF($A336="","",SUMIFS($G$1:$G$349,$AS$1:$AS$349,$AS336))</f>
        <v/>
      </c>
      <c r="U336" s="0">
        <f>IF($A336="","",SUMIFS($H$1:$H$349,$AS$1:$AS$349,$AS336))</f>
        <v/>
      </c>
      <c r="V336" s="0">
        <f>IF($A336="","",SUMIFS($I$1:$I$349,$AS$1:$AS$349,$AS336))</f>
        <v/>
      </c>
      <c r="W336" s="0">
        <f>IF($A336="","",Allocation!CD336)</f>
        <v/>
      </c>
      <c r="X336" s="0">
        <f>IF($A336="","",Allocation!CE336)</f>
        <v/>
      </c>
      <c r="Y336" s="0">
        <f>IF($A336="","",Allocation!CF336)</f>
        <v/>
      </c>
      <c r="Z336" s="0">
        <f>IF($A336="","",Allocation!CG336)</f>
        <v/>
      </c>
      <c r="AA336" s="0">
        <f>IF($A336="","",Allocation!CH336)</f>
        <v/>
      </c>
      <c r="AB336" s="0">
        <f>IF($A336="","",Allocation!CI336)</f>
        <v/>
      </c>
      <c r="AC336" s="0">
        <f>IF($A336="","",IF(Allocation!$N$4="VOL_EFF",$G336,IF(Allocation!$N$4="VOL_CLASS",$H336,$I336)))</f>
        <v/>
      </c>
      <c r="AD336" s="0">
        <f>IF($A336="","",IF(Allocation!$N$4="VOL_EFF",$L336,IF(Allocation!$N$4="VOL_CLASS",$M336,$N336)))</f>
        <v/>
      </c>
      <c r="AE336" s="0">
        <f>IF($A336="","",IF(Allocation!$N$3="VOL_EFF",$L336,IF(Allocation!$N$3="VOL_CLASS",$M336,$N336)))</f>
        <v/>
      </c>
      <c r="AF336" s="0">
        <f>IF($A336="","",IF(Allocation!$N$3="VOL_EFF",$Q336,IF(Allocation!$N$3="VOL_CLASS",$R336,$S336)))</f>
        <v/>
      </c>
      <c r="AG336" s="0">
        <f>IF($A336="","",IF(Allocation!$N$1="VOL_EFF",$Q336,IF(Allocation!$N$1="VOL_CLASS",$R336,$S336)))</f>
        <v/>
      </c>
      <c r="AH336" s="0">
        <f>IF($A336="","",IF(Allocation!$N$1="VOL_EFF",$T336,IF(Allocation!$N$1="VOL_CLASS",$U336,$V336)))</f>
        <v/>
      </c>
      <c r="AI336" s="0">
        <f>IF($A336="","",$W336*IFERROR($K336/$O336,0))</f>
        <v/>
      </c>
      <c r="AJ336" s="0">
        <f>IF($A336="","",$X336*IFERROR($K336/$O336,0))</f>
        <v/>
      </c>
      <c r="AK336" s="0">
        <f>IF($A336="","",$Y336*IFERROR($G336/$L336,0)+$Z336*IFERROR($J336/$P336,0))</f>
        <v/>
      </c>
      <c r="AL336" s="0">
        <f>IF($A336="","",$AA336*IFERROR($AC336/$AD336,0))</f>
        <v/>
      </c>
      <c r="AM336" s="0">
        <f>IF($A336="","",$AB336*IFERROR($AG336/$AH336,0)*IFERROR($AE336/$AF336,0)*IFERROR($AC336/$AD336,0))</f>
        <v/>
      </c>
      <c r="AN336" s="0">
        <f>IF($A336="","",$I336-($AI336+$AJ336+$AK336+$AL336+$AM336+$AR336))</f>
        <v/>
      </c>
      <c r="AO336" s="0">
        <f>IF($A336="","",Allocation!CJ336)</f>
        <v/>
      </c>
      <c r="AP336" s="0">
        <f>IF($A336="","",IF(Allocation!$N$2="VOL_EFF",$Q336,IF(Allocation!$N$2="VOL_CLASS",$R336,$S336)))</f>
        <v/>
      </c>
      <c r="AQ336" s="0">
        <f>IF($A336="","",IF(Allocation!$N$2="VOL_EFF",$T336,IF(Allocation!$N$2="VOL_CLASS",$U336,$V336)))</f>
        <v/>
      </c>
      <c r="AR336" s="0">
        <f>IF($A336="","",$AO336*IFERROR($AP336/$AQ336,0)*IFERROR($AE336/$AF336,0)*IFERROR($AC336/$AD336,0))</f>
        <v/>
      </c>
      <c r="AS336" s="0">
        <f>IF($A336="","",$A336&amp;"|"&amp;Allocation!BG336)</f>
        <v/>
      </c>
    </row>
    <row r="337" ht="14.4975" customHeight="1" s="64">
      <c r="A337" s="0">
        <f>IF(Allocation!BI337="","",Allocation!BI337)</f>
        <v/>
      </c>
      <c r="B337" s="0">
        <f>IF(Allocation!BJ337="","",Allocation!BJ337)</f>
        <v/>
      </c>
      <c r="C337" s="0">
        <f>IF(Allocation!BK337="","",Allocation!BK337)</f>
        <v/>
      </c>
      <c r="D337" s="0">
        <f>IF(Allocation!BL337="","",Allocation!BL337)</f>
        <v/>
      </c>
      <c r="E337" s="0">
        <f>IF(Allocation!BM337="","",Allocation!BM337)</f>
        <v/>
      </c>
      <c r="F337" s="0">
        <f>IF(Allocation!BN337="","",Allocation!BN337)</f>
        <v/>
      </c>
      <c r="G337" s="0">
        <f>IF(Allocation!BO337="","",Allocation!BO337)</f>
        <v/>
      </c>
      <c r="H337" s="0">
        <f>IF(Allocation!BP337="","",Allocation!BP337)</f>
        <v/>
      </c>
      <c r="I337" s="0">
        <f>IF(Allocation!BQ337="","",Allocation!BQ337)</f>
        <v/>
      </c>
      <c r="J337" s="0">
        <f>IF(Allocation!CC337="","",Allocation!CC337)</f>
        <v/>
      </c>
      <c r="K337" s="0">
        <f>IF($A337="","",$H337*IF(AND(LEFT($D337,3)="BAC",$F337="INIT"),600,IF(LEFT($D337,3)="BAC",480,IF(AND(LEFT($D337,3)="MAS",$F337="INIT"),520,IF(LEFT($D337,3)="MAS",420,IF($F337="INIT",1000,700))))))</f>
        <v/>
      </c>
      <c r="L337" s="0">
        <f>IF($A337="","",SUMIFS($G$1:$G$349,$AS$1:$AS$349,$AS337,$B$1:$B$349,$B337))</f>
        <v/>
      </c>
      <c r="M337" s="0">
        <f>IF($A337="","",SUMIFS($H$1:$H$349,$AS$1:$AS$349,$AS337,$B$1:$B$349,$B337))</f>
        <v/>
      </c>
      <c r="N337" s="0">
        <f>IF($A337="","",SUMIFS($I$1:$I$349,$AS$1:$AS$349,$AS337,$B$1:$B$349,$B337))</f>
        <v/>
      </c>
      <c r="O337" s="0">
        <f>IF($A337="","",SUMIFS($K$1:$K$349,$AS$1:$AS$349,$AS337,$B$1:$B$349,$B337))</f>
        <v/>
      </c>
      <c r="P337" s="0">
        <f>IF($A337="","",SUMIFS($J$1:$J$349,$AS$1:$AS$349,$AS337,$B$1:$B$349,$B337))</f>
        <v/>
      </c>
      <c r="Q337" s="0">
        <f>IF($A337="","",SUMIFS($G$1:$G$349,$AS$1:$AS$349,$AS337,$C$1:$C$349,$C337))</f>
        <v/>
      </c>
      <c r="R337" s="0">
        <f>IF($A337="","",SUMIFS($H$1:$H$349,$AS$1:$AS$349,$AS337,$C$1:$C$349,$C337))</f>
        <v/>
      </c>
      <c r="S337" s="0">
        <f>IF($A337="","",SUMIFS($I$1:$I$349,$AS$1:$AS$349,$AS337,$C$1:$C$349,$C337))</f>
        <v/>
      </c>
      <c r="T337" s="0">
        <f>IF($A337="","",SUMIFS($G$1:$G$349,$AS$1:$AS$349,$AS337))</f>
        <v/>
      </c>
      <c r="U337" s="0">
        <f>IF($A337="","",SUMIFS($H$1:$H$349,$AS$1:$AS$349,$AS337))</f>
        <v/>
      </c>
      <c r="V337" s="0">
        <f>IF($A337="","",SUMIFS($I$1:$I$349,$AS$1:$AS$349,$AS337))</f>
        <v/>
      </c>
      <c r="W337" s="0">
        <f>IF($A337="","",Allocation!CD337)</f>
        <v/>
      </c>
      <c r="X337" s="0">
        <f>IF($A337="","",Allocation!CE337)</f>
        <v/>
      </c>
      <c r="Y337" s="0">
        <f>IF($A337="","",Allocation!CF337)</f>
        <v/>
      </c>
      <c r="Z337" s="0">
        <f>IF($A337="","",Allocation!CG337)</f>
        <v/>
      </c>
      <c r="AA337" s="0">
        <f>IF($A337="","",Allocation!CH337)</f>
        <v/>
      </c>
      <c r="AB337" s="0">
        <f>IF($A337="","",Allocation!CI337)</f>
        <v/>
      </c>
      <c r="AC337" s="0">
        <f>IF($A337="","",IF(Allocation!$N$4="VOL_EFF",$G337,IF(Allocation!$N$4="VOL_CLASS",$H337,$I337)))</f>
        <v/>
      </c>
      <c r="AD337" s="0">
        <f>IF($A337="","",IF(Allocation!$N$4="VOL_EFF",$L337,IF(Allocation!$N$4="VOL_CLASS",$M337,$N337)))</f>
        <v/>
      </c>
      <c r="AE337" s="0">
        <f>IF($A337="","",IF(Allocation!$N$3="VOL_EFF",$L337,IF(Allocation!$N$3="VOL_CLASS",$M337,$N337)))</f>
        <v/>
      </c>
      <c r="AF337" s="0">
        <f>IF($A337="","",IF(Allocation!$N$3="VOL_EFF",$Q337,IF(Allocation!$N$3="VOL_CLASS",$R337,$S337)))</f>
        <v/>
      </c>
      <c r="AG337" s="0">
        <f>IF($A337="","",IF(Allocation!$N$1="VOL_EFF",$Q337,IF(Allocation!$N$1="VOL_CLASS",$R337,$S337)))</f>
        <v/>
      </c>
      <c r="AH337" s="0">
        <f>IF($A337="","",IF(Allocation!$N$1="VOL_EFF",$T337,IF(Allocation!$N$1="VOL_CLASS",$U337,$V337)))</f>
        <v/>
      </c>
      <c r="AI337" s="0">
        <f>IF($A337="","",$W337*IFERROR($K337/$O337,0))</f>
        <v/>
      </c>
      <c r="AJ337" s="0">
        <f>IF($A337="","",$X337*IFERROR($K337/$O337,0))</f>
        <v/>
      </c>
      <c r="AK337" s="0">
        <f>IF($A337="","",$Y337*IFERROR($G337/$L337,0)+$Z337*IFERROR($J337/$P337,0))</f>
        <v/>
      </c>
      <c r="AL337" s="0">
        <f>IF($A337="","",$AA337*IFERROR($AC337/$AD337,0))</f>
        <v/>
      </c>
      <c r="AM337" s="0">
        <f>IF($A337="","",$AB337*IFERROR($AG337/$AH337,0)*IFERROR($AE337/$AF337,0)*IFERROR($AC337/$AD337,0))</f>
        <v/>
      </c>
      <c r="AN337" s="0">
        <f>IF($A337="","",$I337-($AI337+$AJ337+$AK337+$AL337+$AM337+$AR337))</f>
        <v/>
      </c>
      <c r="AO337" s="0">
        <f>IF($A337="","",Allocation!CJ337)</f>
        <v/>
      </c>
      <c r="AP337" s="0">
        <f>IF($A337="","",IF(Allocation!$N$2="VOL_EFF",$Q337,IF(Allocation!$N$2="VOL_CLASS",$R337,$S337)))</f>
        <v/>
      </c>
      <c r="AQ337" s="0">
        <f>IF($A337="","",IF(Allocation!$N$2="VOL_EFF",$T337,IF(Allocation!$N$2="VOL_CLASS",$U337,$V337)))</f>
        <v/>
      </c>
      <c r="AR337" s="0">
        <f>IF($A337="","",$AO337*IFERROR($AP337/$AQ337,0)*IFERROR($AE337/$AF337,0)*IFERROR($AC337/$AD337,0))</f>
        <v/>
      </c>
      <c r="AS337" s="0">
        <f>IF($A337="","",$A337&amp;"|"&amp;Allocation!BG337)</f>
        <v/>
      </c>
    </row>
    <row r="338" ht="14.4975" customHeight="1" s="64">
      <c r="A338" s="0">
        <f>IF(Allocation!BI338="","",Allocation!BI338)</f>
        <v/>
      </c>
      <c r="B338" s="0">
        <f>IF(Allocation!BJ338="","",Allocation!BJ338)</f>
        <v/>
      </c>
      <c r="C338" s="0">
        <f>IF(Allocation!BK338="","",Allocation!BK338)</f>
        <v/>
      </c>
      <c r="D338" s="0">
        <f>IF(Allocation!BL338="","",Allocation!BL338)</f>
        <v/>
      </c>
      <c r="E338" s="0">
        <f>IF(Allocation!BM338="","",Allocation!BM338)</f>
        <v/>
      </c>
      <c r="F338" s="0">
        <f>IF(Allocation!BN338="","",Allocation!BN338)</f>
        <v/>
      </c>
      <c r="G338" s="0">
        <f>IF(Allocation!BO338="","",Allocation!BO338)</f>
        <v/>
      </c>
      <c r="H338" s="0">
        <f>IF(Allocation!BP338="","",Allocation!BP338)</f>
        <v/>
      </c>
      <c r="I338" s="0">
        <f>IF(Allocation!BQ338="","",Allocation!BQ338)</f>
        <v/>
      </c>
      <c r="J338" s="0">
        <f>IF(Allocation!CC338="","",Allocation!CC338)</f>
        <v/>
      </c>
      <c r="K338" s="0">
        <f>IF($A338="","",$H338*IF(AND(LEFT($D338,3)="BAC",$F338="INIT"),600,IF(LEFT($D338,3)="BAC",480,IF(AND(LEFT($D338,3)="MAS",$F338="INIT"),520,IF(LEFT($D338,3)="MAS",420,IF($F338="INIT",1000,700))))))</f>
        <v/>
      </c>
      <c r="L338" s="0">
        <f>IF($A338="","",SUMIFS($G$1:$G$349,$AS$1:$AS$349,$AS338,$B$1:$B$349,$B338))</f>
        <v/>
      </c>
      <c r="M338" s="0">
        <f>IF($A338="","",SUMIFS($H$1:$H$349,$AS$1:$AS$349,$AS338,$B$1:$B$349,$B338))</f>
        <v/>
      </c>
      <c r="N338" s="0">
        <f>IF($A338="","",SUMIFS($I$1:$I$349,$AS$1:$AS$349,$AS338,$B$1:$B$349,$B338))</f>
        <v/>
      </c>
      <c r="O338" s="0">
        <f>IF($A338="","",SUMIFS($K$1:$K$349,$AS$1:$AS$349,$AS338,$B$1:$B$349,$B338))</f>
        <v/>
      </c>
      <c r="P338" s="0">
        <f>IF($A338="","",SUMIFS($J$1:$J$349,$AS$1:$AS$349,$AS338,$B$1:$B$349,$B338))</f>
        <v/>
      </c>
      <c r="Q338" s="0">
        <f>IF($A338="","",SUMIFS($G$1:$G$349,$AS$1:$AS$349,$AS338,$C$1:$C$349,$C338))</f>
        <v/>
      </c>
      <c r="R338" s="0">
        <f>IF($A338="","",SUMIFS($H$1:$H$349,$AS$1:$AS$349,$AS338,$C$1:$C$349,$C338))</f>
        <v/>
      </c>
      <c r="S338" s="0">
        <f>IF($A338="","",SUMIFS($I$1:$I$349,$AS$1:$AS$349,$AS338,$C$1:$C$349,$C338))</f>
        <v/>
      </c>
      <c r="T338" s="0">
        <f>IF($A338="","",SUMIFS($G$1:$G$349,$AS$1:$AS$349,$AS338))</f>
        <v/>
      </c>
      <c r="U338" s="0">
        <f>IF($A338="","",SUMIFS($H$1:$H$349,$AS$1:$AS$349,$AS338))</f>
        <v/>
      </c>
      <c r="V338" s="0">
        <f>IF($A338="","",SUMIFS($I$1:$I$349,$AS$1:$AS$349,$AS338))</f>
        <v/>
      </c>
      <c r="W338" s="0">
        <f>IF($A338="","",Allocation!CD338)</f>
        <v/>
      </c>
      <c r="X338" s="0">
        <f>IF($A338="","",Allocation!CE338)</f>
        <v/>
      </c>
      <c r="Y338" s="0">
        <f>IF($A338="","",Allocation!CF338)</f>
        <v/>
      </c>
      <c r="Z338" s="0">
        <f>IF($A338="","",Allocation!CG338)</f>
        <v/>
      </c>
      <c r="AA338" s="0">
        <f>IF($A338="","",Allocation!CH338)</f>
        <v/>
      </c>
      <c r="AB338" s="0">
        <f>IF($A338="","",Allocation!CI338)</f>
        <v/>
      </c>
      <c r="AC338" s="0">
        <f>IF($A338="","",IF(Allocation!$N$4="VOL_EFF",$G338,IF(Allocation!$N$4="VOL_CLASS",$H338,$I338)))</f>
        <v/>
      </c>
      <c r="AD338" s="0">
        <f>IF($A338="","",IF(Allocation!$N$4="VOL_EFF",$L338,IF(Allocation!$N$4="VOL_CLASS",$M338,$N338)))</f>
        <v/>
      </c>
      <c r="AE338" s="0">
        <f>IF($A338="","",IF(Allocation!$N$3="VOL_EFF",$L338,IF(Allocation!$N$3="VOL_CLASS",$M338,$N338)))</f>
        <v/>
      </c>
      <c r="AF338" s="0">
        <f>IF($A338="","",IF(Allocation!$N$3="VOL_EFF",$Q338,IF(Allocation!$N$3="VOL_CLASS",$R338,$S338)))</f>
        <v/>
      </c>
      <c r="AG338" s="0">
        <f>IF($A338="","",IF(Allocation!$N$1="VOL_EFF",$Q338,IF(Allocation!$N$1="VOL_CLASS",$R338,$S338)))</f>
        <v/>
      </c>
      <c r="AH338" s="0">
        <f>IF($A338="","",IF(Allocation!$N$1="VOL_EFF",$T338,IF(Allocation!$N$1="VOL_CLASS",$U338,$V338)))</f>
        <v/>
      </c>
      <c r="AI338" s="0">
        <f>IF($A338="","",$W338*IFERROR($K338/$O338,0))</f>
        <v/>
      </c>
      <c r="AJ338" s="0">
        <f>IF($A338="","",$X338*IFERROR($K338/$O338,0))</f>
        <v/>
      </c>
      <c r="AK338" s="0">
        <f>IF($A338="","",$Y338*IFERROR($G338/$L338,0)+$Z338*IFERROR($J338/$P338,0))</f>
        <v/>
      </c>
      <c r="AL338" s="0">
        <f>IF($A338="","",$AA338*IFERROR($AC338/$AD338,0))</f>
        <v/>
      </c>
      <c r="AM338" s="0">
        <f>IF($A338="","",$AB338*IFERROR($AG338/$AH338,0)*IFERROR($AE338/$AF338,0)*IFERROR($AC338/$AD338,0))</f>
        <v/>
      </c>
      <c r="AN338" s="0">
        <f>IF($A338="","",$I338-($AI338+$AJ338+$AK338+$AL338+$AM338+$AR338))</f>
        <v/>
      </c>
      <c r="AO338" s="0">
        <f>IF($A338="","",Allocation!CJ338)</f>
        <v/>
      </c>
      <c r="AP338" s="0">
        <f>IF($A338="","",IF(Allocation!$N$2="VOL_EFF",$Q338,IF(Allocation!$N$2="VOL_CLASS",$R338,$S338)))</f>
        <v/>
      </c>
      <c r="AQ338" s="0">
        <f>IF($A338="","",IF(Allocation!$N$2="VOL_EFF",$T338,IF(Allocation!$N$2="VOL_CLASS",$U338,$V338)))</f>
        <v/>
      </c>
      <c r="AR338" s="0">
        <f>IF($A338="","",$AO338*IFERROR($AP338/$AQ338,0)*IFERROR($AE338/$AF338,0)*IFERROR($AC338/$AD338,0))</f>
        <v/>
      </c>
      <c r="AS338" s="0">
        <f>IF($A338="","",$A338&amp;"|"&amp;Allocation!BG338)</f>
        <v/>
      </c>
    </row>
    <row r="339" ht="14.4975" customHeight="1" s="64">
      <c r="A339" s="0">
        <f>IF(Allocation!BI339="","",Allocation!BI339)</f>
        <v/>
      </c>
      <c r="B339" s="0">
        <f>IF(Allocation!BJ339="","",Allocation!BJ339)</f>
        <v/>
      </c>
      <c r="C339" s="0">
        <f>IF(Allocation!BK339="","",Allocation!BK339)</f>
        <v/>
      </c>
      <c r="D339" s="0">
        <f>IF(Allocation!BL339="","",Allocation!BL339)</f>
        <v/>
      </c>
      <c r="E339" s="0">
        <f>IF(Allocation!BM339="","",Allocation!BM339)</f>
        <v/>
      </c>
      <c r="F339" s="0">
        <f>IF(Allocation!BN339="","",Allocation!BN339)</f>
        <v/>
      </c>
      <c r="G339" s="0">
        <f>IF(Allocation!BO339="","",Allocation!BO339)</f>
        <v/>
      </c>
      <c r="H339" s="0">
        <f>IF(Allocation!BP339="","",Allocation!BP339)</f>
        <v/>
      </c>
      <c r="I339" s="0">
        <f>IF(Allocation!BQ339="","",Allocation!BQ339)</f>
        <v/>
      </c>
      <c r="J339" s="0">
        <f>IF(Allocation!CC339="","",Allocation!CC339)</f>
        <v/>
      </c>
      <c r="K339" s="0">
        <f>IF($A339="","",$H339*IF(AND(LEFT($D339,3)="BAC",$F339="INIT"),600,IF(LEFT($D339,3)="BAC",480,IF(AND(LEFT($D339,3)="MAS",$F339="INIT"),520,IF(LEFT($D339,3)="MAS",420,IF($F339="INIT",1000,700))))))</f>
        <v/>
      </c>
      <c r="L339" s="0">
        <f>IF($A339="","",SUMIFS($G$1:$G$349,$AS$1:$AS$349,$AS339,$B$1:$B$349,$B339))</f>
        <v/>
      </c>
      <c r="M339" s="0">
        <f>IF($A339="","",SUMIFS($H$1:$H$349,$AS$1:$AS$349,$AS339,$B$1:$B$349,$B339))</f>
        <v/>
      </c>
      <c r="N339" s="0">
        <f>IF($A339="","",SUMIFS($I$1:$I$349,$AS$1:$AS$349,$AS339,$B$1:$B$349,$B339))</f>
        <v/>
      </c>
      <c r="O339" s="0">
        <f>IF($A339="","",SUMIFS($K$1:$K$349,$AS$1:$AS$349,$AS339,$B$1:$B$349,$B339))</f>
        <v/>
      </c>
      <c r="P339" s="0">
        <f>IF($A339="","",SUMIFS($J$1:$J$349,$AS$1:$AS$349,$AS339,$B$1:$B$349,$B339))</f>
        <v/>
      </c>
      <c r="Q339" s="0">
        <f>IF($A339="","",SUMIFS($G$1:$G$349,$AS$1:$AS$349,$AS339,$C$1:$C$349,$C339))</f>
        <v/>
      </c>
      <c r="R339" s="0">
        <f>IF($A339="","",SUMIFS($H$1:$H$349,$AS$1:$AS$349,$AS339,$C$1:$C$349,$C339))</f>
        <v/>
      </c>
      <c r="S339" s="0">
        <f>IF($A339="","",SUMIFS($I$1:$I$349,$AS$1:$AS$349,$AS339,$C$1:$C$349,$C339))</f>
        <v/>
      </c>
      <c r="T339" s="0">
        <f>IF($A339="","",SUMIFS($G$1:$G$349,$AS$1:$AS$349,$AS339))</f>
        <v/>
      </c>
      <c r="U339" s="0">
        <f>IF($A339="","",SUMIFS($H$1:$H$349,$AS$1:$AS$349,$AS339))</f>
        <v/>
      </c>
      <c r="V339" s="0">
        <f>IF($A339="","",SUMIFS($I$1:$I$349,$AS$1:$AS$349,$AS339))</f>
        <v/>
      </c>
      <c r="W339" s="0">
        <f>IF($A339="","",Allocation!CD339)</f>
        <v/>
      </c>
      <c r="X339" s="0">
        <f>IF($A339="","",Allocation!CE339)</f>
        <v/>
      </c>
      <c r="Y339" s="0">
        <f>IF($A339="","",Allocation!CF339)</f>
        <v/>
      </c>
      <c r="Z339" s="0">
        <f>IF($A339="","",Allocation!CG339)</f>
        <v/>
      </c>
      <c r="AA339" s="0">
        <f>IF($A339="","",Allocation!CH339)</f>
        <v/>
      </c>
      <c r="AB339" s="0">
        <f>IF($A339="","",Allocation!CI339)</f>
        <v/>
      </c>
      <c r="AC339" s="0">
        <f>IF($A339="","",IF(Allocation!$N$4="VOL_EFF",$G339,IF(Allocation!$N$4="VOL_CLASS",$H339,$I339)))</f>
        <v/>
      </c>
      <c r="AD339" s="0">
        <f>IF($A339="","",IF(Allocation!$N$4="VOL_EFF",$L339,IF(Allocation!$N$4="VOL_CLASS",$M339,$N339)))</f>
        <v/>
      </c>
      <c r="AE339" s="0">
        <f>IF($A339="","",IF(Allocation!$N$3="VOL_EFF",$L339,IF(Allocation!$N$3="VOL_CLASS",$M339,$N339)))</f>
        <v/>
      </c>
      <c r="AF339" s="0">
        <f>IF($A339="","",IF(Allocation!$N$3="VOL_EFF",$Q339,IF(Allocation!$N$3="VOL_CLASS",$R339,$S339)))</f>
        <v/>
      </c>
      <c r="AG339" s="0">
        <f>IF($A339="","",IF(Allocation!$N$1="VOL_EFF",$Q339,IF(Allocation!$N$1="VOL_CLASS",$R339,$S339)))</f>
        <v/>
      </c>
      <c r="AH339" s="0">
        <f>IF($A339="","",IF(Allocation!$N$1="VOL_EFF",$T339,IF(Allocation!$N$1="VOL_CLASS",$U339,$V339)))</f>
        <v/>
      </c>
      <c r="AI339" s="0">
        <f>IF($A339="","",$W339*IFERROR($K339/$O339,0))</f>
        <v/>
      </c>
      <c r="AJ339" s="0">
        <f>IF($A339="","",$X339*IFERROR($K339/$O339,0))</f>
        <v/>
      </c>
      <c r="AK339" s="0">
        <f>IF($A339="","",$Y339*IFERROR($G339/$L339,0)+$Z339*IFERROR($J339/$P339,0))</f>
        <v/>
      </c>
      <c r="AL339" s="0">
        <f>IF($A339="","",$AA339*IFERROR($AC339/$AD339,0))</f>
        <v/>
      </c>
      <c r="AM339" s="0">
        <f>IF($A339="","",$AB339*IFERROR($AG339/$AH339,0)*IFERROR($AE339/$AF339,0)*IFERROR($AC339/$AD339,0))</f>
        <v/>
      </c>
      <c r="AN339" s="0">
        <f>IF($A339="","",$I339-($AI339+$AJ339+$AK339+$AL339+$AM339+$AR339))</f>
        <v/>
      </c>
      <c r="AO339" s="0">
        <f>IF($A339="","",Allocation!CJ339)</f>
        <v/>
      </c>
      <c r="AP339" s="0">
        <f>IF($A339="","",IF(Allocation!$N$2="VOL_EFF",$Q339,IF(Allocation!$N$2="VOL_CLASS",$R339,$S339)))</f>
        <v/>
      </c>
      <c r="AQ339" s="0">
        <f>IF($A339="","",IF(Allocation!$N$2="VOL_EFF",$T339,IF(Allocation!$N$2="VOL_CLASS",$U339,$V339)))</f>
        <v/>
      </c>
      <c r="AR339" s="0">
        <f>IF($A339="","",$AO339*IFERROR($AP339/$AQ339,0)*IFERROR($AE339/$AF339,0)*IFERROR($AC339/$AD339,0))</f>
        <v/>
      </c>
      <c r="AS339" s="0">
        <f>IF($A339="","",$A339&amp;"|"&amp;Allocation!BG339)</f>
        <v/>
      </c>
    </row>
    <row r="340" ht="14.4975" customHeight="1" s="64">
      <c r="A340" s="0">
        <f>IF(Allocation!BI340="","",Allocation!BI340)</f>
        <v/>
      </c>
      <c r="B340" s="0">
        <f>IF(Allocation!BJ340="","",Allocation!BJ340)</f>
        <v/>
      </c>
      <c r="C340" s="0">
        <f>IF(Allocation!BK340="","",Allocation!BK340)</f>
        <v/>
      </c>
      <c r="D340" s="0">
        <f>IF(Allocation!BL340="","",Allocation!BL340)</f>
        <v/>
      </c>
      <c r="E340" s="0">
        <f>IF(Allocation!BM340="","",Allocation!BM340)</f>
        <v/>
      </c>
      <c r="F340" s="0">
        <f>IF(Allocation!BN340="","",Allocation!BN340)</f>
        <v/>
      </c>
      <c r="G340" s="0">
        <f>IF(Allocation!BO340="","",Allocation!BO340)</f>
        <v/>
      </c>
      <c r="H340" s="0">
        <f>IF(Allocation!BP340="","",Allocation!BP340)</f>
        <v/>
      </c>
      <c r="I340" s="0">
        <f>IF(Allocation!BQ340="","",Allocation!BQ340)</f>
        <v/>
      </c>
      <c r="J340" s="0">
        <f>IF(Allocation!CC340="","",Allocation!CC340)</f>
        <v/>
      </c>
      <c r="K340" s="0">
        <f>IF($A340="","",$H340*IF(AND(LEFT($D340,3)="BAC",$F340="INIT"),600,IF(LEFT($D340,3)="BAC",480,IF(AND(LEFT($D340,3)="MAS",$F340="INIT"),520,IF(LEFT($D340,3)="MAS",420,IF($F340="INIT",1000,700))))))</f>
        <v/>
      </c>
      <c r="L340" s="0">
        <f>IF($A340="","",SUMIFS($G$1:$G$349,$AS$1:$AS$349,$AS340,$B$1:$B$349,$B340))</f>
        <v/>
      </c>
      <c r="M340" s="0">
        <f>IF($A340="","",SUMIFS($H$1:$H$349,$AS$1:$AS$349,$AS340,$B$1:$B$349,$B340))</f>
        <v/>
      </c>
      <c r="N340" s="0">
        <f>IF($A340="","",SUMIFS($I$1:$I$349,$AS$1:$AS$349,$AS340,$B$1:$B$349,$B340))</f>
        <v/>
      </c>
      <c r="O340" s="0">
        <f>IF($A340="","",SUMIFS($K$1:$K$349,$AS$1:$AS$349,$AS340,$B$1:$B$349,$B340))</f>
        <v/>
      </c>
      <c r="P340" s="0">
        <f>IF($A340="","",SUMIFS($J$1:$J$349,$AS$1:$AS$349,$AS340,$B$1:$B$349,$B340))</f>
        <v/>
      </c>
      <c r="Q340" s="0">
        <f>IF($A340="","",SUMIFS($G$1:$G$349,$AS$1:$AS$349,$AS340,$C$1:$C$349,$C340))</f>
        <v/>
      </c>
      <c r="R340" s="0">
        <f>IF($A340="","",SUMIFS($H$1:$H$349,$AS$1:$AS$349,$AS340,$C$1:$C$349,$C340))</f>
        <v/>
      </c>
      <c r="S340" s="0">
        <f>IF($A340="","",SUMIFS($I$1:$I$349,$AS$1:$AS$349,$AS340,$C$1:$C$349,$C340))</f>
        <v/>
      </c>
      <c r="T340" s="0">
        <f>IF($A340="","",SUMIFS($G$1:$G$349,$AS$1:$AS$349,$AS340))</f>
        <v/>
      </c>
      <c r="U340" s="0">
        <f>IF($A340="","",SUMIFS($H$1:$H$349,$AS$1:$AS$349,$AS340))</f>
        <v/>
      </c>
      <c r="V340" s="0">
        <f>IF($A340="","",SUMIFS($I$1:$I$349,$AS$1:$AS$349,$AS340))</f>
        <v/>
      </c>
      <c r="W340" s="0">
        <f>IF($A340="","",Allocation!CD340)</f>
        <v/>
      </c>
      <c r="X340" s="0">
        <f>IF($A340="","",Allocation!CE340)</f>
        <v/>
      </c>
      <c r="Y340" s="0">
        <f>IF($A340="","",Allocation!CF340)</f>
        <v/>
      </c>
      <c r="Z340" s="0">
        <f>IF($A340="","",Allocation!CG340)</f>
        <v/>
      </c>
      <c r="AA340" s="0">
        <f>IF($A340="","",Allocation!CH340)</f>
        <v/>
      </c>
      <c r="AB340" s="0">
        <f>IF($A340="","",Allocation!CI340)</f>
        <v/>
      </c>
      <c r="AC340" s="0">
        <f>IF($A340="","",IF(Allocation!$N$4="VOL_EFF",$G340,IF(Allocation!$N$4="VOL_CLASS",$H340,$I340)))</f>
        <v/>
      </c>
      <c r="AD340" s="0">
        <f>IF($A340="","",IF(Allocation!$N$4="VOL_EFF",$L340,IF(Allocation!$N$4="VOL_CLASS",$M340,$N340)))</f>
        <v/>
      </c>
      <c r="AE340" s="0">
        <f>IF($A340="","",IF(Allocation!$N$3="VOL_EFF",$L340,IF(Allocation!$N$3="VOL_CLASS",$M340,$N340)))</f>
        <v/>
      </c>
      <c r="AF340" s="0">
        <f>IF($A340="","",IF(Allocation!$N$3="VOL_EFF",$Q340,IF(Allocation!$N$3="VOL_CLASS",$R340,$S340)))</f>
        <v/>
      </c>
      <c r="AG340" s="0">
        <f>IF($A340="","",IF(Allocation!$N$1="VOL_EFF",$Q340,IF(Allocation!$N$1="VOL_CLASS",$R340,$S340)))</f>
        <v/>
      </c>
      <c r="AH340" s="0">
        <f>IF($A340="","",IF(Allocation!$N$1="VOL_EFF",$T340,IF(Allocation!$N$1="VOL_CLASS",$U340,$V340)))</f>
        <v/>
      </c>
      <c r="AI340" s="0">
        <f>IF($A340="","",$W340*IFERROR($K340/$O340,0))</f>
        <v/>
      </c>
      <c r="AJ340" s="0">
        <f>IF($A340="","",$X340*IFERROR($K340/$O340,0))</f>
        <v/>
      </c>
      <c r="AK340" s="0">
        <f>IF($A340="","",$Y340*IFERROR($G340/$L340,0)+$Z340*IFERROR($J340/$P340,0))</f>
        <v/>
      </c>
      <c r="AL340" s="0">
        <f>IF($A340="","",$AA340*IFERROR($AC340/$AD340,0))</f>
        <v/>
      </c>
      <c r="AM340" s="0">
        <f>IF($A340="","",$AB340*IFERROR($AG340/$AH340,0)*IFERROR($AE340/$AF340,0)*IFERROR($AC340/$AD340,0))</f>
        <v/>
      </c>
      <c r="AN340" s="0">
        <f>IF($A340="","",$I340-($AI340+$AJ340+$AK340+$AL340+$AM340+$AR340))</f>
        <v/>
      </c>
      <c r="AO340" s="0">
        <f>IF($A340="","",Allocation!CJ340)</f>
        <v/>
      </c>
      <c r="AP340" s="0">
        <f>IF($A340="","",IF(Allocation!$N$2="VOL_EFF",$Q340,IF(Allocation!$N$2="VOL_CLASS",$R340,$S340)))</f>
        <v/>
      </c>
      <c r="AQ340" s="0">
        <f>IF($A340="","",IF(Allocation!$N$2="VOL_EFF",$T340,IF(Allocation!$N$2="VOL_CLASS",$U340,$V340)))</f>
        <v/>
      </c>
      <c r="AR340" s="0">
        <f>IF($A340="","",$AO340*IFERROR($AP340/$AQ340,0)*IFERROR($AE340/$AF340,0)*IFERROR($AC340/$AD340,0))</f>
        <v/>
      </c>
      <c r="AS340" s="0">
        <f>IF($A340="","",$A340&amp;"|"&amp;Allocation!BG340)</f>
        <v/>
      </c>
    </row>
    <row r="341" ht="14.4975" customHeight="1" s="64">
      <c r="A341" s="0">
        <f>IF(Allocation!BI341="","",Allocation!BI341)</f>
        <v/>
      </c>
      <c r="B341" s="0">
        <f>IF(Allocation!BJ341="","",Allocation!BJ341)</f>
        <v/>
      </c>
      <c r="C341" s="0">
        <f>IF(Allocation!BK341="","",Allocation!BK341)</f>
        <v/>
      </c>
      <c r="D341" s="0">
        <f>IF(Allocation!BL341="","",Allocation!BL341)</f>
        <v/>
      </c>
      <c r="E341" s="0">
        <f>IF(Allocation!BM341="","",Allocation!BM341)</f>
        <v/>
      </c>
      <c r="F341" s="0">
        <f>IF(Allocation!BN341="","",Allocation!BN341)</f>
        <v/>
      </c>
      <c r="G341" s="0">
        <f>IF(Allocation!BO341="","",Allocation!BO341)</f>
        <v/>
      </c>
      <c r="H341" s="0">
        <f>IF(Allocation!BP341="","",Allocation!BP341)</f>
        <v/>
      </c>
      <c r="I341" s="0">
        <f>IF(Allocation!BQ341="","",Allocation!BQ341)</f>
        <v/>
      </c>
      <c r="J341" s="0">
        <f>IF(Allocation!CC341="","",Allocation!CC341)</f>
        <v/>
      </c>
      <c r="K341" s="0">
        <f>IF($A341="","",$H341*IF(AND(LEFT($D341,3)="BAC",$F341="INIT"),600,IF(LEFT($D341,3)="BAC",480,IF(AND(LEFT($D341,3)="MAS",$F341="INIT"),520,IF(LEFT($D341,3)="MAS",420,IF($F341="INIT",1000,700))))))</f>
        <v/>
      </c>
      <c r="L341" s="0">
        <f>IF($A341="","",SUMIFS($G$1:$G$349,$AS$1:$AS$349,$AS341,$B$1:$B$349,$B341))</f>
        <v/>
      </c>
      <c r="M341" s="0">
        <f>IF($A341="","",SUMIFS($H$1:$H$349,$AS$1:$AS$349,$AS341,$B$1:$B$349,$B341))</f>
        <v/>
      </c>
      <c r="N341" s="0">
        <f>IF($A341="","",SUMIFS($I$1:$I$349,$AS$1:$AS$349,$AS341,$B$1:$B$349,$B341))</f>
        <v/>
      </c>
      <c r="O341" s="0">
        <f>IF($A341="","",SUMIFS($K$1:$K$349,$AS$1:$AS$349,$AS341,$B$1:$B$349,$B341))</f>
        <v/>
      </c>
      <c r="P341" s="0">
        <f>IF($A341="","",SUMIFS($J$1:$J$349,$AS$1:$AS$349,$AS341,$B$1:$B$349,$B341))</f>
        <v/>
      </c>
      <c r="Q341" s="0">
        <f>IF($A341="","",SUMIFS($G$1:$G$349,$AS$1:$AS$349,$AS341,$C$1:$C$349,$C341))</f>
        <v/>
      </c>
      <c r="R341" s="0">
        <f>IF($A341="","",SUMIFS($H$1:$H$349,$AS$1:$AS$349,$AS341,$C$1:$C$349,$C341))</f>
        <v/>
      </c>
      <c r="S341" s="0">
        <f>IF($A341="","",SUMIFS($I$1:$I$349,$AS$1:$AS$349,$AS341,$C$1:$C$349,$C341))</f>
        <v/>
      </c>
      <c r="T341" s="0">
        <f>IF($A341="","",SUMIFS($G$1:$G$349,$AS$1:$AS$349,$AS341))</f>
        <v/>
      </c>
      <c r="U341" s="0">
        <f>IF($A341="","",SUMIFS($H$1:$H$349,$AS$1:$AS$349,$AS341))</f>
        <v/>
      </c>
      <c r="V341" s="0">
        <f>IF($A341="","",SUMIFS($I$1:$I$349,$AS$1:$AS$349,$AS341))</f>
        <v/>
      </c>
      <c r="W341" s="0">
        <f>IF($A341="","",Allocation!CD341)</f>
        <v/>
      </c>
      <c r="X341" s="0">
        <f>IF($A341="","",Allocation!CE341)</f>
        <v/>
      </c>
      <c r="Y341" s="0">
        <f>IF($A341="","",Allocation!CF341)</f>
        <v/>
      </c>
      <c r="Z341" s="0">
        <f>IF($A341="","",Allocation!CG341)</f>
        <v/>
      </c>
      <c r="AA341" s="0">
        <f>IF($A341="","",Allocation!CH341)</f>
        <v/>
      </c>
      <c r="AB341" s="0">
        <f>IF($A341="","",Allocation!CI341)</f>
        <v/>
      </c>
      <c r="AC341" s="0">
        <f>IF($A341="","",IF(Allocation!$N$4="VOL_EFF",$G341,IF(Allocation!$N$4="VOL_CLASS",$H341,$I341)))</f>
        <v/>
      </c>
      <c r="AD341" s="0">
        <f>IF($A341="","",IF(Allocation!$N$4="VOL_EFF",$L341,IF(Allocation!$N$4="VOL_CLASS",$M341,$N341)))</f>
        <v/>
      </c>
      <c r="AE341" s="0">
        <f>IF($A341="","",IF(Allocation!$N$3="VOL_EFF",$L341,IF(Allocation!$N$3="VOL_CLASS",$M341,$N341)))</f>
        <v/>
      </c>
      <c r="AF341" s="0">
        <f>IF($A341="","",IF(Allocation!$N$3="VOL_EFF",$Q341,IF(Allocation!$N$3="VOL_CLASS",$R341,$S341)))</f>
        <v/>
      </c>
      <c r="AG341" s="0">
        <f>IF($A341="","",IF(Allocation!$N$1="VOL_EFF",$Q341,IF(Allocation!$N$1="VOL_CLASS",$R341,$S341)))</f>
        <v/>
      </c>
      <c r="AH341" s="0">
        <f>IF($A341="","",IF(Allocation!$N$1="VOL_EFF",$T341,IF(Allocation!$N$1="VOL_CLASS",$U341,$V341)))</f>
        <v/>
      </c>
      <c r="AI341" s="0">
        <f>IF($A341="","",$W341*IFERROR($K341/$O341,0))</f>
        <v/>
      </c>
      <c r="AJ341" s="0">
        <f>IF($A341="","",$X341*IFERROR($K341/$O341,0))</f>
        <v/>
      </c>
      <c r="AK341" s="0">
        <f>IF($A341="","",$Y341*IFERROR($G341/$L341,0)+$Z341*IFERROR($J341/$P341,0))</f>
        <v/>
      </c>
      <c r="AL341" s="0">
        <f>IF($A341="","",$AA341*IFERROR($AC341/$AD341,0))</f>
        <v/>
      </c>
      <c r="AM341" s="0">
        <f>IF($A341="","",$AB341*IFERROR($AG341/$AH341,0)*IFERROR($AE341/$AF341,0)*IFERROR($AC341/$AD341,0))</f>
        <v/>
      </c>
      <c r="AN341" s="0">
        <f>IF($A341="","",$I341-($AI341+$AJ341+$AK341+$AL341+$AM341+$AR341))</f>
        <v/>
      </c>
      <c r="AO341" s="0">
        <f>IF($A341="","",Allocation!CJ341)</f>
        <v/>
      </c>
      <c r="AP341" s="0">
        <f>IF($A341="","",IF(Allocation!$N$2="VOL_EFF",$Q341,IF(Allocation!$N$2="VOL_CLASS",$R341,$S341)))</f>
        <v/>
      </c>
      <c r="AQ341" s="0">
        <f>IF($A341="","",IF(Allocation!$N$2="VOL_EFF",$T341,IF(Allocation!$N$2="VOL_CLASS",$U341,$V341)))</f>
        <v/>
      </c>
      <c r="AR341" s="0">
        <f>IF($A341="","",$AO341*IFERROR($AP341/$AQ341,0)*IFERROR($AE341/$AF341,0)*IFERROR($AC341/$AD341,0))</f>
        <v/>
      </c>
      <c r="AS341" s="0">
        <f>IF($A341="","",$A341&amp;"|"&amp;Allocation!BG341)</f>
        <v/>
      </c>
    </row>
    <row r="342" ht="14.4975" customHeight="1" s="64">
      <c r="A342" s="0">
        <f>IF(Allocation!BI342="","",Allocation!BI342)</f>
        <v/>
      </c>
      <c r="B342" s="0">
        <f>IF(Allocation!BJ342="","",Allocation!BJ342)</f>
        <v/>
      </c>
      <c r="C342" s="0">
        <f>IF(Allocation!BK342="","",Allocation!BK342)</f>
        <v/>
      </c>
      <c r="D342" s="0">
        <f>IF(Allocation!BL342="","",Allocation!BL342)</f>
        <v/>
      </c>
      <c r="E342" s="0">
        <f>IF(Allocation!BM342="","",Allocation!BM342)</f>
        <v/>
      </c>
      <c r="F342" s="0">
        <f>IF(Allocation!BN342="","",Allocation!BN342)</f>
        <v/>
      </c>
      <c r="G342" s="0">
        <f>IF(Allocation!BO342="","",Allocation!BO342)</f>
        <v/>
      </c>
      <c r="H342" s="0">
        <f>IF(Allocation!BP342="","",Allocation!BP342)</f>
        <v/>
      </c>
      <c r="I342" s="0">
        <f>IF(Allocation!BQ342="","",Allocation!BQ342)</f>
        <v/>
      </c>
      <c r="J342" s="0">
        <f>IF(Allocation!CC342="","",Allocation!CC342)</f>
        <v/>
      </c>
      <c r="K342" s="0">
        <f>IF($A342="","",$H342*IF(AND(LEFT($D342,3)="BAC",$F342="INIT"),600,IF(LEFT($D342,3)="BAC",480,IF(AND(LEFT($D342,3)="MAS",$F342="INIT"),520,IF(LEFT($D342,3)="MAS",420,IF($F342="INIT",1000,700))))))</f>
        <v/>
      </c>
      <c r="L342" s="0">
        <f>IF($A342="","",SUMIFS($G$1:$G$349,$AS$1:$AS$349,$AS342,$B$1:$B$349,$B342))</f>
        <v/>
      </c>
      <c r="M342" s="0">
        <f>IF($A342="","",SUMIFS($H$1:$H$349,$AS$1:$AS$349,$AS342,$B$1:$B$349,$B342))</f>
        <v/>
      </c>
      <c r="N342" s="0">
        <f>IF($A342="","",SUMIFS($I$1:$I$349,$AS$1:$AS$349,$AS342,$B$1:$B$349,$B342))</f>
        <v/>
      </c>
      <c r="O342" s="0">
        <f>IF($A342="","",SUMIFS($K$1:$K$349,$AS$1:$AS$349,$AS342,$B$1:$B$349,$B342))</f>
        <v/>
      </c>
      <c r="P342" s="0">
        <f>IF($A342="","",SUMIFS($J$1:$J$349,$AS$1:$AS$349,$AS342,$B$1:$B$349,$B342))</f>
        <v/>
      </c>
      <c r="Q342" s="0">
        <f>IF($A342="","",SUMIFS($G$1:$G$349,$AS$1:$AS$349,$AS342,$C$1:$C$349,$C342))</f>
        <v/>
      </c>
      <c r="R342" s="0">
        <f>IF($A342="","",SUMIFS($H$1:$H$349,$AS$1:$AS$349,$AS342,$C$1:$C$349,$C342))</f>
        <v/>
      </c>
      <c r="S342" s="0">
        <f>IF($A342="","",SUMIFS($I$1:$I$349,$AS$1:$AS$349,$AS342,$C$1:$C$349,$C342))</f>
        <v/>
      </c>
      <c r="T342" s="0">
        <f>IF($A342="","",SUMIFS($G$1:$G$349,$AS$1:$AS$349,$AS342))</f>
        <v/>
      </c>
      <c r="U342" s="0">
        <f>IF($A342="","",SUMIFS($H$1:$H$349,$AS$1:$AS$349,$AS342))</f>
        <v/>
      </c>
      <c r="V342" s="0">
        <f>IF($A342="","",SUMIFS($I$1:$I$349,$AS$1:$AS$349,$AS342))</f>
        <v/>
      </c>
      <c r="W342" s="0">
        <f>IF($A342="","",Allocation!CD342)</f>
        <v/>
      </c>
      <c r="X342" s="0">
        <f>IF($A342="","",Allocation!CE342)</f>
        <v/>
      </c>
      <c r="Y342" s="0">
        <f>IF($A342="","",Allocation!CF342)</f>
        <v/>
      </c>
      <c r="Z342" s="0">
        <f>IF($A342="","",Allocation!CG342)</f>
        <v/>
      </c>
      <c r="AA342" s="0">
        <f>IF($A342="","",Allocation!CH342)</f>
        <v/>
      </c>
      <c r="AB342" s="0">
        <f>IF($A342="","",Allocation!CI342)</f>
        <v/>
      </c>
      <c r="AC342" s="0">
        <f>IF($A342="","",IF(Allocation!$N$4="VOL_EFF",$G342,IF(Allocation!$N$4="VOL_CLASS",$H342,$I342)))</f>
        <v/>
      </c>
      <c r="AD342" s="0">
        <f>IF($A342="","",IF(Allocation!$N$4="VOL_EFF",$L342,IF(Allocation!$N$4="VOL_CLASS",$M342,$N342)))</f>
        <v/>
      </c>
      <c r="AE342" s="0">
        <f>IF($A342="","",IF(Allocation!$N$3="VOL_EFF",$L342,IF(Allocation!$N$3="VOL_CLASS",$M342,$N342)))</f>
        <v/>
      </c>
      <c r="AF342" s="0">
        <f>IF($A342="","",IF(Allocation!$N$3="VOL_EFF",$Q342,IF(Allocation!$N$3="VOL_CLASS",$R342,$S342)))</f>
        <v/>
      </c>
      <c r="AG342" s="0">
        <f>IF($A342="","",IF(Allocation!$N$1="VOL_EFF",$Q342,IF(Allocation!$N$1="VOL_CLASS",$R342,$S342)))</f>
        <v/>
      </c>
      <c r="AH342" s="0">
        <f>IF($A342="","",IF(Allocation!$N$1="VOL_EFF",$T342,IF(Allocation!$N$1="VOL_CLASS",$U342,$V342)))</f>
        <v/>
      </c>
      <c r="AI342" s="0">
        <f>IF($A342="","",$W342*IFERROR($K342/$O342,0))</f>
        <v/>
      </c>
      <c r="AJ342" s="0">
        <f>IF($A342="","",$X342*IFERROR($K342/$O342,0))</f>
        <v/>
      </c>
      <c r="AK342" s="0">
        <f>IF($A342="","",$Y342*IFERROR($G342/$L342,0)+$Z342*IFERROR($J342/$P342,0))</f>
        <v/>
      </c>
      <c r="AL342" s="0">
        <f>IF($A342="","",$AA342*IFERROR($AC342/$AD342,0))</f>
        <v/>
      </c>
      <c r="AM342" s="0">
        <f>IF($A342="","",$AB342*IFERROR($AG342/$AH342,0)*IFERROR($AE342/$AF342,0)*IFERROR($AC342/$AD342,0))</f>
        <v/>
      </c>
      <c r="AN342" s="0">
        <f>IF($A342="","",$I342-($AI342+$AJ342+$AK342+$AL342+$AM342+$AR342))</f>
        <v/>
      </c>
      <c r="AO342" s="0">
        <f>IF($A342="","",Allocation!CJ342)</f>
        <v/>
      </c>
      <c r="AP342" s="0">
        <f>IF($A342="","",IF(Allocation!$N$2="VOL_EFF",$Q342,IF(Allocation!$N$2="VOL_CLASS",$R342,$S342)))</f>
        <v/>
      </c>
      <c r="AQ342" s="0">
        <f>IF($A342="","",IF(Allocation!$N$2="VOL_EFF",$T342,IF(Allocation!$N$2="VOL_CLASS",$U342,$V342)))</f>
        <v/>
      </c>
      <c r="AR342" s="0">
        <f>IF($A342="","",$AO342*IFERROR($AP342/$AQ342,0)*IFERROR($AE342/$AF342,0)*IFERROR($AC342/$AD342,0))</f>
        <v/>
      </c>
      <c r="AS342" s="0">
        <f>IF($A342="","",$A342&amp;"|"&amp;Allocation!BG342)</f>
        <v/>
      </c>
    </row>
    <row r="343" ht="14.4975" customHeight="1" s="64">
      <c r="A343" s="0">
        <f>IF(Allocation!BI343="","",Allocation!BI343)</f>
        <v/>
      </c>
      <c r="B343" s="0">
        <f>IF(Allocation!BJ343="","",Allocation!BJ343)</f>
        <v/>
      </c>
      <c r="C343" s="0">
        <f>IF(Allocation!BK343="","",Allocation!BK343)</f>
        <v/>
      </c>
      <c r="D343" s="0">
        <f>IF(Allocation!BL343="","",Allocation!BL343)</f>
        <v/>
      </c>
      <c r="E343" s="0">
        <f>IF(Allocation!BM343="","",Allocation!BM343)</f>
        <v/>
      </c>
      <c r="F343" s="0">
        <f>IF(Allocation!BN343="","",Allocation!BN343)</f>
        <v/>
      </c>
      <c r="G343" s="0">
        <f>IF(Allocation!BO343="","",Allocation!BO343)</f>
        <v/>
      </c>
      <c r="H343" s="0">
        <f>IF(Allocation!BP343="","",Allocation!BP343)</f>
        <v/>
      </c>
      <c r="I343" s="0">
        <f>IF(Allocation!BQ343="","",Allocation!BQ343)</f>
        <v/>
      </c>
      <c r="J343" s="0">
        <f>IF(Allocation!CC343="","",Allocation!CC343)</f>
        <v/>
      </c>
      <c r="K343" s="0">
        <f>IF($A343="","",$H343*IF(AND(LEFT($D343,3)="BAC",$F343="INIT"),600,IF(LEFT($D343,3)="BAC",480,IF(AND(LEFT($D343,3)="MAS",$F343="INIT"),520,IF(LEFT($D343,3)="MAS",420,IF($F343="INIT",1000,700))))))</f>
        <v/>
      </c>
      <c r="L343" s="0">
        <f>IF($A343="","",SUMIFS($G$1:$G$349,$AS$1:$AS$349,$AS343,$B$1:$B$349,$B343))</f>
        <v/>
      </c>
      <c r="M343" s="0">
        <f>IF($A343="","",SUMIFS($H$1:$H$349,$AS$1:$AS$349,$AS343,$B$1:$B$349,$B343))</f>
        <v/>
      </c>
      <c r="N343" s="0">
        <f>IF($A343="","",SUMIFS($I$1:$I$349,$AS$1:$AS$349,$AS343,$B$1:$B$349,$B343))</f>
        <v/>
      </c>
      <c r="O343" s="0">
        <f>IF($A343="","",SUMIFS($K$1:$K$349,$AS$1:$AS$349,$AS343,$B$1:$B$349,$B343))</f>
        <v/>
      </c>
      <c r="P343" s="0">
        <f>IF($A343="","",SUMIFS($J$1:$J$349,$AS$1:$AS$349,$AS343,$B$1:$B$349,$B343))</f>
        <v/>
      </c>
      <c r="Q343" s="0">
        <f>IF($A343="","",SUMIFS($G$1:$G$349,$AS$1:$AS$349,$AS343,$C$1:$C$349,$C343))</f>
        <v/>
      </c>
      <c r="R343" s="0">
        <f>IF($A343="","",SUMIFS($H$1:$H$349,$AS$1:$AS$349,$AS343,$C$1:$C$349,$C343))</f>
        <v/>
      </c>
      <c r="S343" s="0">
        <f>IF($A343="","",SUMIFS($I$1:$I$349,$AS$1:$AS$349,$AS343,$C$1:$C$349,$C343))</f>
        <v/>
      </c>
      <c r="T343" s="0">
        <f>IF($A343="","",SUMIFS($G$1:$G$349,$AS$1:$AS$349,$AS343))</f>
        <v/>
      </c>
      <c r="U343" s="0">
        <f>IF($A343="","",SUMIFS($H$1:$H$349,$AS$1:$AS$349,$AS343))</f>
        <v/>
      </c>
      <c r="V343" s="0">
        <f>IF($A343="","",SUMIFS($I$1:$I$349,$AS$1:$AS$349,$AS343))</f>
        <v/>
      </c>
      <c r="W343" s="0">
        <f>IF($A343="","",Allocation!CD343)</f>
        <v/>
      </c>
      <c r="X343" s="0">
        <f>IF($A343="","",Allocation!CE343)</f>
        <v/>
      </c>
      <c r="Y343" s="0">
        <f>IF($A343="","",Allocation!CF343)</f>
        <v/>
      </c>
      <c r="Z343" s="0">
        <f>IF($A343="","",Allocation!CG343)</f>
        <v/>
      </c>
      <c r="AA343" s="0">
        <f>IF($A343="","",Allocation!CH343)</f>
        <v/>
      </c>
      <c r="AB343" s="0">
        <f>IF($A343="","",Allocation!CI343)</f>
        <v/>
      </c>
      <c r="AC343" s="0">
        <f>IF($A343="","",IF(Allocation!$N$4="VOL_EFF",$G343,IF(Allocation!$N$4="VOL_CLASS",$H343,$I343)))</f>
        <v/>
      </c>
      <c r="AD343" s="0">
        <f>IF($A343="","",IF(Allocation!$N$4="VOL_EFF",$L343,IF(Allocation!$N$4="VOL_CLASS",$M343,$N343)))</f>
        <v/>
      </c>
      <c r="AE343" s="0">
        <f>IF($A343="","",IF(Allocation!$N$3="VOL_EFF",$L343,IF(Allocation!$N$3="VOL_CLASS",$M343,$N343)))</f>
        <v/>
      </c>
      <c r="AF343" s="0">
        <f>IF($A343="","",IF(Allocation!$N$3="VOL_EFF",$Q343,IF(Allocation!$N$3="VOL_CLASS",$R343,$S343)))</f>
        <v/>
      </c>
      <c r="AG343" s="0">
        <f>IF($A343="","",IF(Allocation!$N$1="VOL_EFF",$Q343,IF(Allocation!$N$1="VOL_CLASS",$R343,$S343)))</f>
        <v/>
      </c>
      <c r="AH343" s="0">
        <f>IF($A343="","",IF(Allocation!$N$1="VOL_EFF",$T343,IF(Allocation!$N$1="VOL_CLASS",$U343,$V343)))</f>
        <v/>
      </c>
      <c r="AI343" s="0">
        <f>IF($A343="","",$W343*IFERROR($K343/$O343,0))</f>
        <v/>
      </c>
      <c r="AJ343" s="0">
        <f>IF($A343="","",$X343*IFERROR($K343/$O343,0))</f>
        <v/>
      </c>
      <c r="AK343" s="0">
        <f>IF($A343="","",$Y343*IFERROR($G343/$L343,0)+$Z343*IFERROR($J343/$P343,0))</f>
        <v/>
      </c>
      <c r="AL343" s="0">
        <f>IF($A343="","",$AA343*IFERROR($AC343/$AD343,0))</f>
        <v/>
      </c>
      <c r="AM343" s="0">
        <f>IF($A343="","",$AB343*IFERROR($AG343/$AH343,0)*IFERROR($AE343/$AF343,0)*IFERROR($AC343/$AD343,0))</f>
        <v/>
      </c>
      <c r="AN343" s="0">
        <f>IF($A343="","",$I343-($AI343+$AJ343+$AK343+$AL343+$AM343+$AR343))</f>
        <v/>
      </c>
      <c r="AO343" s="0">
        <f>IF($A343="","",Allocation!CJ343)</f>
        <v/>
      </c>
      <c r="AP343" s="0">
        <f>IF($A343="","",IF(Allocation!$N$2="VOL_EFF",$Q343,IF(Allocation!$N$2="VOL_CLASS",$R343,$S343)))</f>
        <v/>
      </c>
      <c r="AQ343" s="0">
        <f>IF($A343="","",IF(Allocation!$N$2="VOL_EFF",$T343,IF(Allocation!$N$2="VOL_CLASS",$U343,$V343)))</f>
        <v/>
      </c>
      <c r="AR343" s="0">
        <f>IF($A343="","",$AO343*IFERROR($AP343/$AQ343,0)*IFERROR($AE343/$AF343,0)*IFERROR($AC343/$AD343,0))</f>
        <v/>
      </c>
      <c r="AS343" s="0">
        <f>IF($A343="","",$A343&amp;"|"&amp;Allocation!BG343)</f>
        <v/>
      </c>
    </row>
    <row r="344" ht="14.4975" customHeight="1" s="64">
      <c r="A344" s="0">
        <f>IF(Allocation!BI344="","",Allocation!BI344)</f>
        <v/>
      </c>
      <c r="B344" s="0">
        <f>IF(Allocation!BJ344="","",Allocation!BJ344)</f>
        <v/>
      </c>
      <c r="C344" s="0">
        <f>IF(Allocation!BK344="","",Allocation!BK344)</f>
        <v/>
      </c>
      <c r="D344" s="0">
        <f>IF(Allocation!BL344="","",Allocation!BL344)</f>
        <v/>
      </c>
      <c r="E344" s="0">
        <f>IF(Allocation!BM344="","",Allocation!BM344)</f>
        <v/>
      </c>
      <c r="F344" s="0">
        <f>IF(Allocation!BN344="","",Allocation!BN344)</f>
        <v/>
      </c>
      <c r="G344" s="0">
        <f>IF(Allocation!BO344="","",Allocation!BO344)</f>
        <v/>
      </c>
      <c r="H344" s="0">
        <f>IF(Allocation!BP344="","",Allocation!BP344)</f>
        <v/>
      </c>
      <c r="I344" s="0">
        <f>IF(Allocation!BQ344="","",Allocation!BQ344)</f>
        <v/>
      </c>
      <c r="J344" s="0">
        <f>IF(Allocation!CC344="","",Allocation!CC344)</f>
        <v/>
      </c>
      <c r="K344" s="0">
        <f>IF($A344="","",$H344*IF(AND(LEFT($D344,3)="BAC",$F344="INIT"),600,IF(LEFT($D344,3)="BAC",480,IF(AND(LEFT($D344,3)="MAS",$F344="INIT"),520,IF(LEFT($D344,3)="MAS",420,IF($F344="INIT",1000,700))))))</f>
        <v/>
      </c>
      <c r="L344" s="0">
        <f>IF($A344="","",SUMIFS($G$1:$G$349,$AS$1:$AS$349,$AS344,$B$1:$B$349,$B344))</f>
        <v/>
      </c>
      <c r="M344" s="0">
        <f>IF($A344="","",SUMIFS($H$1:$H$349,$AS$1:$AS$349,$AS344,$B$1:$B$349,$B344))</f>
        <v/>
      </c>
      <c r="N344" s="0">
        <f>IF($A344="","",SUMIFS($I$1:$I$349,$AS$1:$AS$349,$AS344,$B$1:$B$349,$B344))</f>
        <v/>
      </c>
      <c r="O344" s="0">
        <f>IF($A344="","",SUMIFS($K$1:$K$349,$AS$1:$AS$349,$AS344,$B$1:$B$349,$B344))</f>
        <v/>
      </c>
      <c r="P344" s="0">
        <f>IF($A344="","",SUMIFS($J$1:$J$349,$AS$1:$AS$349,$AS344,$B$1:$B$349,$B344))</f>
        <v/>
      </c>
      <c r="Q344" s="0">
        <f>IF($A344="","",SUMIFS($G$1:$G$349,$AS$1:$AS$349,$AS344,$C$1:$C$349,$C344))</f>
        <v/>
      </c>
      <c r="R344" s="0">
        <f>IF($A344="","",SUMIFS($H$1:$H$349,$AS$1:$AS$349,$AS344,$C$1:$C$349,$C344))</f>
        <v/>
      </c>
      <c r="S344" s="0">
        <f>IF($A344="","",SUMIFS($I$1:$I$349,$AS$1:$AS$349,$AS344,$C$1:$C$349,$C344))</f>
        <v/>
      </c>
      <c r="T344" s="0">
        <f>IF($A344="","",SUMIFS($G$1:$G$349,$AS$1:$AS$349,$AS344))</f>
        <v/>
      </c>
      <c r="U344" s="0">
        <f>IF($A344="","",SUMIFS($H$1:$H$349,$AS$1:$AS$349,$AS344))</f>
        <v/>
      </c>
      <c r="V344" s="0">
        <f>IF($A344="","",SUMIFS($I$1:$I$349,$AS$1:$AS$349,$AS344))</f>
        <v/>
      </c>
      <c r="W344" s="0">
        <f>IF($A344="","",Allocation!CD344)</f>
        <v/>
      </c>
      <c r="X344" s="0">
        <f>IF($A344="","",Allocation!CE344)</f>
        <v/>
      </c>
      <c r="Y344" s="0">
        <f>IF($A344="","",Allocation!CF344)</f>
        <v/>
      </c>
      <c r="Z344" s="0">
        <f>IF($A344="","",Allocation!CG344)</f>
        <v/>
      </c>
      <c r="AA344" s="0">
        <f>IF($A344="","",Allocation!CH344)</f>
        <v/>
      </c>
      <c r="AB344" s="0">
        <f>IF($A344="","",Allocation!CI344)</f>
        <v/>
      </c>
      <c r="AC344" s="0">
        <f>IF($A344="","",IF(Allocation!$N$4="VOL_EFF",$G344,IF(Allocation!$N$4="VOL_CLASS",$H344,$I344)))</f>
        <v/>
      </c>
      <c r="AD344" s="0">
        <f>IF($A344="","",IF(Allocation!$N$4="VOL_EFF",$L344,IF(Allocation!$N$4="VOL_CLASS",$M344,$N344)))</f>
        <v/>
      </c>
      <c r="AE344" s="0">
        <f>IF($A344="","",IF(Allocation!$N$3="VOL_EFF",$L344,IF(Allocation!$N$3="VOL_CLASS",$M344,$N344)))</f>
        <v/>
      </c>
      <c r="AF344" s="0">
        <f>IF($A344="","",IF(Allocation!$N$3="VOL_EFF",$Q344,IF(Allocation!$N$3="VOL_CLASS",$R344,$S344)))</f>
        <v/>
      </c>
      <c r="AG344" s="0">
        <f>IF($A344="","",IF(Allocation!$N$1="VOL_EFF",$Q344,IF(Allocation!$N$1="VOL_CLASS",$R344,$S344)))</f>
        <v/>
      </c>
      <c r="AH344" s="0">
        <f>IF($A344="","",IF(Allocation!$N$1="VOL_EFF",$T344,IF(Allocation!$N$1="VOL_CLASS",$U344,$V344)))</f>
        <v/>
      </c>
      <c r="AI344" s="0">
        <f>IF($A344="","",$W344*IFERROR($K344/$O344,0))</f>
        <v/>
      </c>
      <c r="AJ344" s="0">
        <f>IF($A344="","",$X344*IFERROR($K344/$O344,0))</f>
        <v/>
      </c>
      <c r="AK344" s="0">
        <f>IF($A344="","",$Y344*IFERROR($G344/$L344,0)+$Z344*IFERROR($J344/$P344,0))</f>
        <v/>
      </c>
      <c r="AL344" s="0">
        <f>IF($A344="","",$AA344*IFERROR($AC344/$AD344,0))</f>
        <v/>
      </c>
      <c r="AM344" s="0">
        <f>IF($A344="","",$AB344*IFERROR($AG344/$AH344,0)*IFERROR($AE344/$AF344,0)*IFERROR($AC344/$AD344,0))</f>
        <v/>
      </c>
      <c r="AN344" s="0">
        <f>IF($A344="","",$I344-($AI344+$AJ344+$AK344+$AL344+$AM344+$AR344))</f>
        <v/>
      </c>
      <c r="AO344" s="0">
        <f>IF($A344="","",Allocation!CJ344)</f>
        <v/>
      </c>
      <c r="AP344" s="0">
        <f>IF($A344="","",IF(Allocation!$N$2="VOL_EFF",$Q344,IF(Allocation!$N$2="VOL_CLASS",$R344,$S344)))</f>
        <v/>
      </c>
      <c r="AQ344" s="0">
        <f>IF($A344="","",IF(Allocation!$N$2="VOL_EFF",$T344,IF(Allocation!$N$2="VOL_CLASS",$U344,$V344)))</f>
        <v/>
      </c>
      <c r="AR344" s="0">
        <f>IF($A344="","",$AO344*IFERROR($AP344/$AQ344,0)*IFERROR($AE344/$AF344,0)*IFERROR($AC344/$AD344,0))</f>
        <v/>
      </c>
      <c r="AS344" s="0">
        <f>IF($A344="","",$A344&amp;"|"&amp;Allocation!BG344)</f>
        <v/>
      </c>
    </row>
    <row r="345" ht="14.4975" customHeight="1" s="64">
      <c r="A345" s="0">
        <f>IF(Allocation!BI345="","",Allocation!BI345)</f>
        <v/>
      </c>
      <c r="B345" s="0">
        <f>IF(Allocation!BJ345="","",Allocation!BJ345)</f>
        <v/>
      </c>
      <c r="C345" s="0">
        <f>IF(Allocation!BK345="","",Allocation!BK345)</f>
        <v/>
      </c>
      <c r="D345" s="0">
        <f>IF(Allocation!BL345="","",Allocation!BL345)</f>
        <v/>
      </c>
      <c r="E345" s="0">
        <f>IF(Allocation!BM345="","",Allocation!BM345)</f>
        <v/>
      </c>
      <c r="F345" s="0">
        <f>IF(Allocation!BN345="","",Allocation!BN345)</f>
        <v/>
      </c>
      <c r="G345" s="0">
        <f>IF(Allocation!BO345="","",Allocation!BO345)</f>
        <v/>
      </c>
      <c r="H345" s="0">
        <f>IF(Allocation!BP345="","",Allocation!BP345)</f>
        <v/>
      </c>
      <c r="I345" s="0">
        <f>IF(Allocation!BQ345="","",Allocation!BQ345)</f>
        <v/>
      </c>
      <c r="J345" s="0">
        <f>IF(Allocation!CC345="","",Allocation!CC345)</f>
        <v/>
      </c>
      <c r="K345" s="0">
        <f>IF($A345="","",$H345*IF(AND(LEFT($D345,3)="BAC",$F345="INIT"),600,IF(LEFT($D345,3)="BAC",480,IF(AND(LEFT($D345,3)="MAS",$F345="INIT"),520,IF(LEFT($D345,3)="MAS",420,IF($F345="INIT",1000,700))))))</f>
        <v/>
      </c>
      <c r="L345" s="0">
        <f>IF($A345="","",SUMIFS($G$1:$G$349,$AS$1:$AS$349,$AS345,$B$1:$B$349,$B345))</f>
        <v/>
      </c>
      <c r="M345" s="0">
        <f>IF($A345="","",SUMIFS($H$1:$H$349,$AS$1:$AS$349,$AS345,$B$1:$B$349,$B345))</f>
        <v/>
      </c>
      <c r="N345" s="0">
        <f>IF($A345="","",SUMIFS($I$1:$I$349,$AS$1:$AS$349,$AS345,$B$1:$B$349,$B345))</f>
        <v/>
      </c>
      <c r="O345" s="0">
        <f>IF($A345="","",SUMIFS($K$1:$K$349,$AS$1:$AS$349,$AS345,$B$1:$B$349,$B345))</f>
        <v/>
      </c>
      <c r="P345" s="0">
        <f>IF($A345="","",SUMIFS($J$1:$J$349,$AS$1:$AS$349,$AS345,$B$1:$B$349,$B345))</f>
        <v/>
      </c>
      <c r="Q345" s="0">
        <f>IF($A345="","",SUMIFS($G$1:$G$349,$AS$1:$AS$349,$AS345,$C$1:$C$349,$C345))</f>
        <v/>
      </c>
      <c r="R345" s="0">
        <f>IF($A345="","",SUMIFS($H$1:$H$349,$AS$1:$AS$349,$AS345,$C$1:$C$349,$C345))</f>
        <v/>
      </c>
      <c r="S345" s="0">
        <f>IF($A345="","",SUMIFS($I$1:$I$349,$AS$1:$AS$349,$AS345,$C$1:$C$349,$C345))</f>
        <v/>
      </c>
      <c r="T345" s="0">
        <f>IF($A345="","",SUMIFS($G$1:$G$349,$AS$1:$AS$349,$AS345))</f>
        <v/>
      </c>
      <c r="U345" s="0">
        <f>IF($A345="","",SUMIFS($H$1:$H$349,$AS$1:$AS$349,$AS345))</f>
        <v/>
      </c>
      <c r="V345" s="0">
        <f>IF($A345="","",SUMIFS($I$1:$I$349,$AS$1:$AS$349,$AS345))</f>
        <v/>
      </c>
      <c r="W345" s="0">
        <f>IF($A345="","",Allocation!CD345)</f>
        <v/>
      </c>
      <c r="X345" s="0">
        <f>IF($A345="","",Allocation!CE345)</f>
        <v/>
      </c>
      <c r="Y345" s="0">
        <f>IF($A345="","",Allocation!CF345)</f>
        <v/>
      </c>
      <c r="Z345" s="0">
        <f>IF($A345="","",Allocation!CG345)</f>
        <v/>
      </c>
      <c r="AA345" s="0">
        <f>IF($A345="","",Allocation!CH345)</f>
        <v/>
      </c>
      <c r="AB345" s="0">
        <f>IF($A345="","",Allocation!CI345)</f>
        <v/>
      </c>
      <c r="AC345" s="0">
        <f>IF($A345="","",IF(Allocation!$N$4="VOL_EFF",$G345,IF(Allocation!$N$4="VOL_CLASS",$H345,$I345)))</f>
        <v/>
      </c>
      <c r="AD345" s="0">
        <f>IF($A345="","",IF(Allocation!$N$4="VOL_EFF",$L345,IF(Allocation!$N$4="VOL_CLASS",$M345,$N345)))</f>
        <v/>
      </c>
      <c r="AE345" s="0">
        <f>IF($A345="","",IF(Allocation!$N$3="VOL_EFF",$L345,IF(Allocation!$N$3="VOL_CLASS",$M345,$N345)))</f>
        <v/>
      </c>
      <c r="AF345" s="0">
        <f>IF($A345="","",IF(Allocation!$N$3="VOL_EFF",$Q345,IF(Allocation!$N$3="VOL_CLASS",$R345,$S345)))</f>
        <v/>
      </c>
      <c r="AG345" s="0">
        <f>IF($A345="","",IF(Allocation!$N$1="VOL_EFF",$Q345,IF(Allocation!$N$1="VOL_CLASS",$R345,$S345)))</f>
        <v/>
      </c>
      <c r="AH345" s="0">
        <f>IF($A345="","",IF(Allocation!$N$1="VOL_EFF",$T345,IF(Allocation!$N$1="VOL_CLASS",$U345,$V345)))</f>
        <v/>
      </c>
      <c r="AI345" s="0">
        <f>IF($A345="","",$W345*IFERROR($K345/$O345,0))</f>
        <v/>
      </c>
      <c r="AJ345" s="0">
        <f>IF($A345="","",$X345*IFERROR($K345/$O345,0))</f>
        <v/>
      </c>
      <c r="AK345" s="0">
        <f>IF($A345="","",$Y345*IFERROR($G345/$L345,0)+$Z345*IFERROR($J345/$P345,0))</f>
        <v/>
      </c>
      <c r="AL345" s="0">
        <f>IF($A345="","",$AA345*IFERROR($AC345/$AD345,0))</f>
        <v/>
      </c>
      <c r="AM345" s="0">
        <f>IF($A345="","",$AB345*IFERROR($AG345/$AH345,0)*IFERROR($AE345/$AF345,0)*IFERROR($AC345/$AD345,0))</f>
        <v/>
      </c>
      <c r="AN345" s="0">
        <f>IF($A345="","",$I345-($AI345+$AJ345+$AK345+$AL345+$AM345+$AR345))</f>
        <v/>
      </c>
      <c r="AO345" s="0">
        <f>IF($A345="","",Allocation!CJ345)</f>
        <v/>
      </c>
      <c r="AP345" s="0">
        <f>IF($A345="","",IF(Allocation!$N$2="VOL_EFF",$Q345,IF(Allocation!$N$2="VOL_CLASS",$R345,$S345)))</f>
        <v/>
      </c>
      <c r="AQ345" s="0">
        <f>IF($A345="","",IF(Allocation!$N$2="VOL_EFF",$T345,IF(Allocation!$N$2="VOL_CLASS",$U345,$V345)))</f>
        <v/>
      </c>
      <c r="AR345" s="0">
        <f>IF($A345="","",$AO345*IFERROR($AP345/$AQ345,0)*IFERROR($AE345/$AF345,0)*IFERROR($AC345/$AD345,0))</f>
        <v/>
      </c>
      <c r="AS345" s="0">
        <f>IF($A345="","",$A345&amp;"|"&amp;Allocation!BG345)</f>
        <v/>
      </c>
    </row>
    <row r="346" ht="14.4975" customHeight="1" s="64">
      <c r="A346" s="0">
        <f>IF(Allocation!BI346="","",Allocation!BI346)</f>
        <v/>
      </c>
      <c r="B346" s="0">
        <f>IF(Allocation!BJ346="","",Allocation!BJ346)</f>
        <v/>
      </c>
      <c r="C346" s="0">
        <f>IF(Allocation!BK346="","",Allocation!BK346)</f>
        <v/>
      </c>
      <c r="D346" s="0">
        <f>IF(Allocation!BL346="","",Allocation!BL346)</f>
        <v/>
      </c>
      <c r="E346" s="0">
        <f>IF(Allocation!BM346="","",Allocation!BM346)</f>
        <v/>
      </c>
      <c r="F346" s="0">
        <f>IF(Allocation!BN346="","",Allocation!BN346)</f>
        <v/>
      </c>
      <c r="G346" s="0">
        <f>IF(Allocation!BO346="","",Allocation!BO346)</f>
        <v/>
      </c>
      <c r="H346" s="0">
        <f>IF(Allocation!BP346="","",Allocation!BP346)</f>
        <v/>
      </c>
      <c r="I346" s="0">
        <f>IF(Allocation!BQ346="","",Allocation!BQ346)</f>
        <v/>
      </c>
      <c r="J346" s="0">
        <f>IF(Allocation!CC346="","",Allocation!CC346)</f>
        <v/>
      </c>
      <c r="K346" s="0">
        <f>IF($A346="","",$H346*IF(AND(LEFT($D346,3)="BAC",$F346="INIT"),600,IF(LEFT($D346,3)="BAC",480,IF(AND(LEFT($D346,3)="MAS",$F346="INIT"),520,IF(LEFT($D346,3)="MAS",420,IF($F346="INIT",1000,700))))))</f>
        <v/>
      </c>
      <c r="L346" s="0">
        <f>IF($A346="","",SUMIFS($G$1:$G$349,$AS$1:$AS$349,$AS346,$B$1:$B$349,$B346))</f>
        <v/>
      </c>
      <c r="M346" s="0">
        <f>IF($A346="","",SUMIFS($H$1:$H$349,$AS$1:$AS$349,$AS346,$B$1:$B$349,$B346))</f>
        <v/>
      </c>
      <c r="N346" s="0">
        <f>IF($A346="","",SUMIFS($I$1:$I$349,$AS$1:$AS$349,$AS346,$B$1:$B$349,$B346))</f>
        <v/>
      </c>
      <c r="O346" s="0">
        <f>IF($A346="","",SUMIFS($K$1:$K$349,$AS$1:$AS$349,$AS346,$B$1:$B$349,$B346))</f>
        <v/>
      </c>
      <c r="P346" s="0">
        <f>IF($A346="","",SUMIFS($J$1:$J$349,$AS$1:$AS$349,$AS346,$B$1:$B$349,$B346))</f>
        <v/>
      </c>
      <c r="Q346" s="0">
        <f>IF($A346="","",SUMIFS($G$1:$G$349,$AS$1:$AS$349,$AS346,$C$1:$C$349,$C346))</f>
        <v/>
      </c>
      <c r="R346" s="0">
        <f>IF($A346="","",SUMIFS($H$1:$H$349,$AS$1:$AS$349,$AS346,$C$1:$C$349,$C346))</f>
        <v/>
      </c>
      <c r="S346" s="0">
        <f>IF($A346="","",SUMIFS($I$1:$I$349,$AS$1:$AS$349,$AS346,$C$1:$C$349,$C346))</f>
        <v/>
      </c>
      <c r="T346" s="0">
        <f>IF($A346="","",SUMIFS($G$1:$G$349,$AS$1:$AS$349,$AS346))</f>
        <v/>
      </c>
      <c r="U346" s="0">
        <f>IF($A346="","",SUMIFS($H$1:$H$349,$AS$1:$AS$349,$AS346))</f>
        <v/>
      </c>
      <c r="V346" s="0">
        <f>IF($A346="","",SUMIFS($I$1:$I$349,$AS$1:$AS$349,$AS346))</f>
        <v/>
      </c>
      <c r="W346" s="0">
        <f>IF($A346="","",Allocation!CD346)</f>
        <v/>
      </c>
      <c r="X346" s="0">
        <f>IF($A346="","",Allocation!CE346)</f>
        <v/>
      </c>
      <c r="Y346" s="0">
        <f>IF($A346="","",Allocation!CF346)</f>
        <v/>
      </c>
      <c r="Z346" s="0">
        <f>IF($A346="","",Allocation!CG346)</f>
        <v/>
      </c>
      <c r="AA346" s="0">
        <f>IF($A346="","",Allocation!CH346)</f>
        <v/>
      </c>
      <c r="AB346" s="0">
        <f>IF($A346="","",Allocation!CI346)</f>
        <v/>
      </c>
      <c r="AC346" s="0">
        <f>IF($A346="","",IF(Allocation!$N$4="VOL_EFF",$G346,IF(Allocation!$N$4="VOL_CLASS",$H346,$I346)))</f>
        <v/>
      </c>
      <c r="AD346" s="0">
        <f>IF($A346="","",IF(Allocation!$N$4="VOL_EFF",$L346,IF(Allocation!$N$4="VOL_CLASS",$M346,$N346)))</f>
        <v/>
      </c>
      <c r="AE346" s="0">
        <f>IF($A346="","",IF(Allocation!$N$3="VOL_EFF",$L346,IF(Allocation!$N$3="VOL_CLASS",$M346,$N346)))</f>
        <v/>
      </c>
      <c r="AF346" s="0">
        <f>IF($A346="","",IF(Allocation!$N$3="VOL_EFF",$Q346,IF(Allocation!$N$3="VOL_CLASS",$R346,$S346)))</f>
        <v/>
      </c>
      <c r="AG346" s="0">
        <f>IF($A346="","",IF(Allocation!$N$1="VOL_EFF",$Q346,IF(Allocation!$N$1="VOL_CLASS",$R346,$S346)))</f>
        <v/>
      </c>
      <c r="AH346" s="0">
        <f>IF($A346="","",IF(Allocation!$N$1="VOL_EFF",$T346,IF(Allocation!$N$1="VOL_CLASS",$U346,$V346)))</f>
        <v/>
      </c>
      <c r="AI346" s="0">
        <f>IF($A346="","",$W346*IFERROR($K346/$O346,0))</f>
        <v/>
      </c>
      <c r="AJ346" s="0">
        <f>IF($A346="","",$X346*IFERROR($K346/$O346,0))</f>
        <v/>
      </c>
      <c r="AK346" s="0">
        <f>IF($A346="","",$Y346*IFERROR($G346/$L346,0)+$Z346*IFERROR($J346/$P346,0))</f>
        <v/>
      </c>
      <c r="AL346" s="0">
        <f>IF($A346="","",$AA346*IFERROR($AC346/$AD346,0))</f>
        <v/>
      </c>
      <c r="AM346" s="0">
        <f>IF($A346="","",$AB346*IFERROR($AG346/$AH346,0)*IFERROR($AE346/$AF346,0)*IFERROR($AC346/$AD346,0))</f>
        <v/>
      </c>
      <c r="AN346" s="0">
        <f>IF($A346="","",$I346-($AI346+$AJ346+$AK346+$AL346+$AM346+$AR346))</f>
        <v/>
      </c>
      <c r="AO346" s="0">
        <f>IF($A346="","",Allocation!CJ346)</f>
        <v/>
      </c>
      <c r="AP346" s="0">
        <f>IF($A346="","",IF(Allocation!$N$2="VOL_EFF",$Q346,IF(Allocation!$N$2="VOL_CLASS",$R346,$S346)))</f>
        <v/>
      </c>
      <c r="AQ346" s="0">
        <f>IF($A346="","",IF(Allocation!$N$2="VOL_EFF",$T346,IF(Allocation!$N$2="VOL_CLASS",$U346,$V346)))</f>
        <v/>
      </c>
      <c r="AR346" s="0">
        <f>IF($A346="","",$AO346*IFERROR($AP346/$AQ346,0)*IFERROR($AE346/$AF346,0)*IFERROR($AC346/$AD346,0))</f>
        <v/>
      </c>
      <c r="AS346" s="0">
        <f>IF($A346="","",$A346&amp;"|"&amp;Allocation!BG346)</f>
        <v/>
      </c>
    </row>
    <row r="347" ht="14.4975" customHeight="1" s="64">
      <c r="A347" s="0">
        <f>IF(Allocation!BI347="","",Allocation!BI347)</f>
        <v/>
      </c>
      <c r="B347" s="0">
        <f>IF(Allocation!BJ347="","",Allocation!BJ347)</f>
        <v/>
      </c>
      <c r="C347" s="0">
        <f>IF(Allocation!BK347="","",Allocation!BK347)</f>
        <v/>
      </c>
      <c r="D347" s="0">
        <f>IF(Allocation!BL347="","",Allocation!BL347)</f>
        <v/>
      </c>
      <c r="E347" s="0">
        <f>IF(Allocation!BM347="","",Allocation!BM347)</f>
        <v/>
      </c>
      <c r="F347" s="0">
        <f>IF(Allocation!BN347="","",Allocation!BN347)</f>
        <v/>
      </c>
      <c r="G347" s="0">
        <f>IF(Allocation!BO347="","",Allocation!BO347)</f>
        <v/>
      </c>
      <c r="H347" s="0">
        <f>IF(Allocation!BP347="","",Allocation!BP347)</f>
        <v/>
      </c>
      <c r="I347" s="0">
        <f>IF(Allocation!BQ347="","",Allocation!BQ347)</f>
        <v/>
      </c>
      <c r="J347" s="0">
        <f>IF(Allocation!CC347="","",Allocation!CC347)</f>
        <v/>
      </c>
      <c r="K347" s="0">
        <f>IF($A347="","",$H347*IF(AND(LEFT($D347,3)="BAC",$F347="INIT"),600,IF(LEFT($D347,3)="BAC",480,IF(AND(LEFT($D347,3)="MAS",$F347="INIT"),520,IF(LEFT($D347,3)="MAS",420,IF($F347="INIT",1000,700))))))</f>
        <v/>
      </c>
      <c r="L347" s="0">
        <f>IF($A347="","",SUMIFS($G$1:$G$349,$AS$1:$AS$349,$AS347,$B$1:$B$349,$B347))</f>
        <v/>
      </c>
      <c r="M347" s="0">
        <f>IF($A347="","",SUMIFS($H$1:$H$349,$AS$1:$AS$349,$AS347,$B$1:$B$349,$B347))</f>
        <v/>
      </c>
      <c r="N347" s="0">
        <f>IF($A347="","",SUMIFS($I$1:$I$349,$AS$1:$AS$349,$AS347,$B$1:$B$349,$B347))</f>
        <v/>
      </c>
      <c r="O347" s="0">
        <f>IF($A347="","",SUMIFS($K$1:$K$349,$AS$1:$AS$349,$AS347,$B$1:$B$349,$B347))</f>
        <v/>
      </c>
      <c r="P347" s="0">
        <f>IF($A347="","",SUMIFS($J$1:$J$349,$AS$1:$AS$349,$AS347,$B$1:$B$349,$B347))</f>
        <v/>
      </c>
      <c r="Q347" s="0">
        <f>IF($A347="","",SUMIFS($G$1:$G$349,$AS$1:$AS$349,$AS347,$C$1:$C$349,$C347))</f>
        <v/>
      </c>
      <c r="R347" s="0">
        <f>IF($A347="","",SUMIFS($H$1:$H$349,$AS$1:$AS$349,$AS347,$C$1:$C$349,$C347))</f>
        <v/>
      </c>
      <c r="S347" s="0">
        <f>IF($A347="","",SUMIFS($I$1:$I$349,$AS$1:$AS$349,$AS347,$C$1:$C$349,$C347))</f>
        <v/>
      </c>
      <c r="T347" s="0">
        <f>IF($A347="","",SUMIFS($G$1:$G$349,$AS$1:$AS$349,$AS347))</f>
        <v/>
      </c>
      <c r="U347" s="0">
        <f>IF($A347="","",SUMIFS($H$1:$H$349,$AS$1:$AS$349,$AS347))</f>
        <v/>
      </c>
      <c r="V347" s="0">
        <f>IF($A347="","",SUMIFS($I$1:$I$349,$AS$1:$AS$349,$AS347))</f>
        <v/>
      </c>
      <c r="W347" s="0">
        <f>IF($A347="","",Allocation!CD347)</f>
        <v/>
      </c>
      <c r="X347" s="0">
        <f>IF($A347="","",Allocation!CE347)</f>
        <v/>
      </c>
      <c r="Y347" s="0">
        <f>IF($A347="","",Allocation!CF347)</f>
        <v/>
      </c>
      <c r="Z347" s="0">
        <f>IF($A347="","",Allocation!CG347)</f>
        <v/>
      </c>
      <c r="AA347" s="0">
        <f>IF($A347="","",Allocation!CH347)</f>
        <v/>
      </c>
      <c r="AB347" s="0">
        <f>IF($A347="","",Allocation!CI347)</f>
        <v/>
      </c>
      <c r="AC347" s="0">
        <f>IF($A347="","",IF(Allocation!$N$4="VOL_EFF",$G347,IF(Allocation!$N$4="VOL_CLASS",$H347,$I347)))</f>
        <v/>
      </c>
      <c r="AD347" s="0">
        <f>IF($A347="","",IF(Allocation!$N$4="VOL_EFF",$L347,IF(Allocation!$N$4="VOL_CLASS",$M347,$N347)))</f>
        <v/>
      </c>
      <c r="AE347" s="0">
        <f>IF($A347="","",IF(Allocation!$N$3="VOL_EFF",$L347,IF(Allocation!$N$3="VOL_CLASS",$M347,$N347)))</f>
        <v/>
      </c>
      <c r="AF347" s="0">
        <f>IF($A347="","",IF(Allocation!$N$3="VOL_EFF",$Q347,IF(Allocation!$N$3="VOL_CLASS",$R347,$S347)))</f>
        <v/>
      </c>
      <c r="AG347" s="0">
        <f>IF($A347="","",IF(Allocation!$N$1="VOL_EFF",$Q347,IF(Allocation!$N$1="VOL_CLASS",$R347,$S347)))</f>
        <v/>
      </c>
      <c r="AH347" s="0">
        <f>IF($A347="","",IF(Allocation!$N$1="VOL_EFF",$T347,IF(Allocation!$N$1="VOL_CLASS",$U347,$V347)))</f>
        <v/>
      </c>
      <c r="AI347" s="0">
        <f>IF($A347="","",$W347*IFERROR($K347/$O347,0))</f>
        <v/>
      </c>
      <c r="AJ347" s="0">
        <f>IF($A347="","",$X347*IFERROR($K347/$O347,0))</f>
        <v/>
      </c>
      <c r="AK347" s="0">
        <f>IF($A347="","",$Y347*IFERROR($G347/$L347,0)+$Z347*IFERROR($J347/$P347,0))</f>
        <v/>
      </c>
      <c r="AL347" s="0">
        <f>IF($A347="","",$AA347*IFERROR($AC347/$AD347,0))</f>
        <v/>
      </c>
      <c r="AM347" s="0">
        <f>IF($A347="","",$AB347*IFERROR($AG347/$AH347,0)*IFERROR($AE347/$AF347,0)*IFERROR($AC347/$AD347,0))</f>
        <v/>
      </c>
      <c r="AN347" s="0">
        <f>IF($A347="","",$I347-($AI347+$AJ347+$AK347+$AL347+$AM347+$AR347))</f>
        <v/>
      </c>
      <c r="AO347" s="0">
        <f>IF($A347="","",Allocation!CJ347)</f>
        <v/>
      </c>
      <c r="AP347" s="0">
        <f>IF($A347="","",IF(Allocation!$N$2="VOL_EFF",$Q347,IF(Allocation!$N$2="VOL_CLASS",$R347,$S347)))</f>
        <v/>
      </c>
      <c r="AQ347" s="0">
        <f>IF($A347="","",IF(Allocation!$N$2="VOL_EFF",$T347,IF(Allocation!$N$2="VOL_CLASS",$U347,$V347)))</f>
        <v/>
      </c>
      <c r="AR347" s="0">
        <f>IF($A347="","",$AO347*IFERROR($AP347/$AQ347,0)*IFERROR($AE347/$AF347,0)*IFERROR($AC347/$AD347,0))</f>
        <v/>
      </c>
      <c r="AS347" s="0">
        <f>IF($A347="","",$A347&amp;"|"&amp;Allocation!BG347)</f>
        <v/>
      </c>
    </row>
    <row r="348" ht="14.4975" customHeight="1" s="64">
      <c r="A348" s="0">
        <f>IF(Allocation!BI348="","",Allocation!BI348)</f>
        <v/>
      </c>
      <c r="B348" s="0">
        <f>IF(Allocation!BJ348="","",Allocation!BJ348)</f>
        <v/>
      </c>
      <c r="C348" s="0">
        <f>IF(Allocation!BK348="","",Allocation!BK348)</f>
        <v/>
      </c>
      <c r="D348" s="0">
        <f>IF(Allocation!BL348="","",Allocation!BL348)</f>
        <v/>
      </c>
      <c r="E348" s="0">
        <f>IF(Allocation!BM348="","",Allocation!BM348)</f>
        <v/>
      </c>
      <c r="F348" s="0">
        <f>IF(Allocation!BN348="","",Allocation!BN348)</f>
        <v/>
      </c>
      <c r="G348" s="0">
        <f>IF(Allocation!BO348="","",Allocation!BO348)</f>
        <v/>
      </c>
      <c r="H348" s="0">
        <f>IF(Allocation!BP348="","",Allocation!BP348)</f>
        <v/>
      </c>
      <c r="I348" s="0">
        <f>IF(Allocation!BQ348="","",Allocation!BQ348)</f>
        <v/>
      </c>
      <c r="J348" s="0">
        <f>IF(Allocation!CC348="","",Allocation!CC348)</f>
        <v/>
      </c>
      <c r="K348" s="0">
        <f>IF($A348="","",$H348*IF(AND(LEFT($D348,3)="BAC",$F348="INIT"),600,IF(LEFT($D348,3)="BAC",480,IF(AND(LEFT($D348,3)="MAS",$F348="INIT"),520,IF(LEFT($D348,3)="MAS",420,IF($F348="INIT",1000,700))))))</f>
        <v/>
      </c>
      <c r="L348" s="0">
        <f>IF($A348="","",SUMIFS($G$1:$G$349,$AS$1:$AS$349,$AS348,$B$1:$B$349,$B348))</f>
        <v/>
      </c>
      <c r="M348" s="0">
        <f>IF($A348="","",SUMIFS($H$1:$H$349,$AS$1:$AS$349,$AS348,$B$1:$B$349,$B348))</f>
        <v/>
      </c>
      <c r="N348" s="0">
        <f>IF($A348="","",SUMIFS($I$1:$I$349,$AS$1:$AS$349,$AS348,$B$1:$B$349,$B348))</f>
        <v/>
      </c>
      <c r="O348" s="0">
        <f>IF($A348="","",SUMIFS($K$1:$K$349,$AS$1:$AS$349,$AS348,$B$1:$B$349,$B348))</f>
        <v/>
      </c>
      <c r="P348" s="0">
        <f>IF($A348="","",SUMIFS($J$1:$J$349,$AS$1:$AS$349,$AS348,$B$1:$B$349,$B348))</f>
        <v/>
      </c>
      <c r="Q348" s="0">
        <f>IF($A348="","",SUMIFS($G$1:$G$349,$AS$1:$AS$349,$AS348,$C$1:$C$349,$C348))</f>
        <v/>
      </c>
      <c r="R348" s="0">
        <f>IF($A348="","",SUMIFS($H$1:$H$349,$AS$1:$AS$349,$AS348,$C$1:$C$349,$C348))</f>
        <v/>
      </c>
      <c r="S348" s="0">
        <f>IF($A348="","",SUMIFS($I$1:$I$349,$AS$1:$AS$349,$AS348,$C$1:$C$349,$C348))</f>
        <v/>
      </c>
      <c r="T348" s="0">
        <f>IF($A348="","",SUMIFS($G$1:$G$349,$AS$1:$AS$349,$AS348))</f>
        <v/>
      </c>
      <c r="U348" s="0">
        <f>IF($A348="","",SUMIFS($H$1:$H$349,$AS$1:$AS$349,$AS348))</f>
        <v/>
      </c>
      <c r="V348" s="0">
        <f>IF($A348="","",SUMIFS($I$1:$I$349,$AS$1:$AS$349,$AS348))</f>
        <v/>
      </c>
      <c r="W348" s="0">
        <f>IF($A348="","",Allocation!CD348)</f>
        <v/>
      </c>
      <c r="X348" s="0">
        <f>IF($A348="","",Allocation!CE348)</f>
        <v/>
      </c>
      <c r="Y348" s="0">
        <f>IF($A348="","",Allocation!CF348)</f>
        <v/>
      </c>
      <c r="Z348" s="0">
        <f>IF($A348="","",Allocation!CG348)</f>
        <v/>
      </c>
      <c r="AA348" s="0">
        <f>IF($A348="","",Allocation!CH348)</f>
        <v/>
      </c>
      <c r="AB348" s="0">
        <f>IF($A348="","",Allocation!CI348)</f>
        <v/>
      </c>
      <c r="AC348" s="0">
        <f>IF($A348="","",IF(Allocation!$N$4="VOL_EFF",$G348,IF(Allocation!$N$4="VOL_CLASS",$H348,$I348)))</f>
        <v/>
      </c>
      <c r="AD348" s="0">
        <f>IF($A348="","",IF(Allocation!$N$4="VOL_EFF",$L348,IF(Allocation!$N$4="VOL_CLASS",$M348,$N348)))</f>
        <v/>
      </c>
      <c r="AE348" s="0">
        <f>IF($A348="","",IF(Allocation!$N$3="VOL_EFF",$L348,IF(Allocation!$N$3="VOL_CLASS",$M348,$N348)))</f>
        <v/>
      </c>
      <c r="AF348" s="0">
        <f>IF($A348="","",IF(Allocation!$N$3="VOL_EFF",$Q348,IF(Allocation!$N$3="VOL_CLASS",$R348,$S348)))</f>
        <v/>
      </c>
      <c r="AG348" s="0">
        <f>IF($A348="","",IF(Allocation!$N$1="VOL_EFF",$Q348,IF(Allocation!$N$1="VOL_CLASS",$R348,$S348)))</f>
        <v/>
      </c>
      <c r="AH348" s="0">
        <f>IF($A348="","",IF(Allocation!$N$1="VOL_EFF",$T348,IF(Allocation!$N$1="VOL_CLASS",$U348,$V348)))</f>
        <v/>
      </c>
      <c r="AI348" s="0">
        <f>IF($A348="","",$W348*IFERROR($K348/$O348,0))</f>
        <v/>
      </c>
      <c r="AJ348" s="0">
        <f>IF($A348="","",$X348*IFERROR($K348/$O348,0))</f>
        <v/>
      </c>
      <c r="AK348" s="0">
        <f>IF($A348="","",$Y348*IFERROR($G348/$L348,0)+$Z348*IFERROR($J348/$P348,0))</f>
        <v/>
      </c>
      <c r="AL348" s="0">
        <f>IF($A348="","",$AA348*IFERROR($AC348/$AD348,0))</f>
        <v/>
      </c>
      <c r="AM348" s="0">
        <f>IF($A348="","",$AB348*IFERROR($AG348/$AH348,0)*IFERROR($AE348/$AF348,0)*IFERROR($AC348/$AD348,0))</f>
        <v/>
      </c>
      <c r="AN348" s="0">
        <f>IF($A348="","",$I348-($AI348+$AJ348+$AK348+$AL348+$AM348+$AR348))</f>
        <v/>
      </c>
      <c r="AO348" s="0">
        <f>IF($A348="","",Allocation!CJ348)</f>
        <v/>
      </c>
      <c r="AP348" s="0">
        <f>IF($A348="","",IF(Allocation!$N$2="VOL_EFF",$Q348,IF(Allocation!$N$2="VOL_CLASS",$R348,$S348)))</f>
        <v/>
      </c>
      <c r="AQ348" s="0">
        <f>IF($A348="","",IF(Allocation!$N$2="VOL_EFF",$T348,IF(Allocation!$N$2="VOL_CLASS",$U348,$V348)))</f>
        <v/>
      </c>
      <c r="AR348" s="0">
        <f>IF($A348="","",$AO348*IFERROR($AP348/$AQ348,0)*IFERROR($AE348/$AF348,0)*IFERROR($AC348/$AD348,0))</f>
        <v/>
      </c>
      <c r="AS348" s="0">
        <f>IF($A348="","",$A348&amp;"|"&amp;Allocation!BG348)</f>
        <v/>
      </c>
    </row>
    <row r="349" ht="14.4975" customHeight="1" s="64">
      <c r="A349" s="0">
        <f>IF(Allocation!BI349="","",Allocation!BI349)</f>
        <v/>
      </c>
      <c r="B349" s="0">
        <f>IF(Allocation!BJ349="","",Allocation!BJ349)</f>
        <v/>
      </c>
      <c r="C349" s="0">
        <f>IF(Allocation!BK349="","",Allocation!BK349)</f>
        <v/>
      </c>
      <c r="D349" s="0">
        <f>IF(Allocation!BL349="","",Allocation!BL349)</f>
        <v/>
      </c>
      <c r="E349" s="0">
        <f>IF(Allocation!BM349="","",Allocation!BM349)</f>
        <v/>
      </c>
      <c r="F349" s="0">
        <f>IF(Allocation!BN349="","",Allocation!BN349)</f>
        <v/>
      </c>
      <c r="G349" s="0">
        <f>IF(Allocation!BO349="","",Allocation!BO349)</f>
        <v/>
      </c>
      <c r="H349" s="0">
        <f>IF(Allocation!BP349="","",Allocation!BP349)</f>
        <v/>
      </c>
      <c r="I349" s="0">
        <f>IF(Allocation!BQ349="","",Allocation!BQ349)</f>
        <v/>
      </c>
      <c r="J349" s="0">
        <f>IF(Allocation!CC349="","",Allocation!CC349)</f>
        <v/>
      </c>
      <c r="K349" s="0">
        <f>IF($A349="","",$H349*IF(AND(LEFT($D349,3)="BAC",$F349="INIT"),600,IF(LEFT($D349,3)="BAC",480,IF(AND(LEFT($D349,3)="MAS",$F349="INIT"),520,IF(LEFT($D349,3)="MAS",420,IF($F349="INIT",1000,700))))))</f>
        <v/>
      </c>
      <c r="L349" s="0">
        <f>IF($A349="","",SUMIFS($G$1:$G$349,$AS$1:$AS$349,$AS349,$B$1:$B$349,$B349))</f>
        <v/>
      </c>
      <c r="M349" s="0">
        <f>IF($A349="","",SUMIFS($H$1:$H$349,$AS$1:$AS$349,$AS349,$B$1:$B$349,$B349))</f>
        <v/>
      </c>
      <c r="N349" s="0">
        <f>IF($A349="","",SUMIFS($I$1:$I$349,$AS$1:$AS$349,$AS349,$B$1:$B$349,$B349))</f>
        <v/>
      </c>
      <c r="O349" s="0">
        <f>IF($A349="","",SUMIFS($K$1:$K$349,$AS$1:$AS$349,$AS349,$B$1:$B$349,$B349))</f>
        <v/>
      </c>
      <c r="P349" s="0">
        <f>IF($A349="","",SUMIFS($J$1:$J$349,$AS$1:$AS$349,$AS349,$B$1:$B$349,$B349))</f>
        <v/>
      </c>
      <c r="Q349" s="0">
        <f>IF($A349="","",SUMIFS($G$1:$G$349,$AS$1:$AS$349,$AS349,$C$1:$C$349,$C349))</f>
        <v/>
      </c>
      <c r="R349" s="0">
        <f>IF($A349="","",SUMIFS($H$1:$H$349,$AS$1:$AS$349,$AS349,$C$1:$C$349,$C349))</f>
        <v/>
      </c>
      <c r="S349" s="0">
        <f>IF($A349="","",SUMIFS($I$1:$I$349,$AS$1:$AS$349,$AS349,$C$1:$C$349,$C349))</f>
        <v/>
      </c>
      <c r="T349" s="0">
        <f>IF($A349="","",SUMIFS($G$1:$G$349,$AS$1:$AS$349,$AS349))</f>
        <v/>
      </c>
      <c r="U349" s="0">
        <f>IF($A349="","",SUMIFS($H$1:$H$349,$AS$1:$AS$349,$AS349))</f>
        <v/>
      </c>
      <c r="V349" s="0">
        <f>IF($A349="","",SUMIFS($I$1:$I$349,$AS$1:$AS$349,$AS349))</f>
        <v/>
      </c>
      <c r="W349" s="0">
        <f>IF($A349="","",Allocation!CD349)</f>
        <v/>
      </c>
      <c r="X349" s="0">
        <f>IF($A349="","",Allocation!CE349)</f>
        <v/>
      </c>
      <c r="Y349" s="0">
        <f>IF($A349="","",Allocation!CF349)</f>
        <v/>
      </c>
      <c r="Z349" s="0">
        <f>IF($A349="","",Allocation!CG349)</f>
        <v/>
      </c>
      <c r="AA349" s="0">
        <f>IF($A349="","",Allocation!CH349)</f>
        <v/>
      </c>
      <c r="AB349" s="0">
        <f>IF($A349="","",Allocation!CI349)</f>
        <v/>
      </c>
      <c r="AC349" s="0">
        <f>IF($A349="","",IF(Allocation!$N$4="VOL_EFF",$G349,IF(Allocation!$N$4="VOL_CLASS",$H349,$I349)))</f>
        <v/>
      </c>
      <c r="AD349" s="0">
        <f>IF($A349="","",IF(Allocation!$N$4="VOL_EFF",$L349,IF(Allocation!$N$4="VOL_CLASS",$M349,$N349)))</f>
        <v/>
      </c>
      <c r="AE349" s="0">
        <f>IF($A349="","",IF(Allocation!$N$3="VOL_EFF",$L349,IF(Allocation!$N$3="VOL_CLASS",$M349,$N349)))</f>
        <v/>
      </c>
      <c r="AF349" s="0">
        <f>IF($A349="","",IF(Allocation!$N$3="VOL_EFF",$Q349,IF(Allocation!$N$3="VOL_CLASS",$R349,$S349)))</f>
        <v/>
      </c>
      <c r="AG349" s="0">
        <f>IF($A349="","",IF(Allocation!$N$1="VOL_EFF",$Q349,IF(Allocation!$N$1="VOL_CLASS",$R349,$S349)))</f>
        <v/>
      </c>
      <c r="AH349" s="0">
        <f>IF($A349="","",IF(Allocation!$N$1="VOL_EFF",$T349,IF(Allocation!$N$1="VOL_CLASS",$U349,$V349)))</f>
        <v/>
      </c>
      <c r="AI349" s="0">
        <f>IF($A349="","",$W349*IFERROR($K349/$O349,0))</f>
        <v/>
      </c>
      <c r="AJ349" s="0">
        <f>IF($A349="","",$X349*IFERROR($K349/$O349,0))</f>
        <v/>
      </c>
      <c r="AK349" s="0">
        <f>IF($A349="","",$Y349*IFERROR($G349/$L349,0)+$Z349*IFERROR($J349/$P349,0))</f>
        <v/>
      </c>
      <c r="AL349" s="0">
        <f>IF($A349="","",$AA349*IFERROR($AC349/$AD349,0))</f>
        <v/>
      </c>
      <c r="AM349" s="0">
        <f>IF($A349="","",$AB349*IFERROR($AG349/$AH349,0)*IFERROR($AE349/$AF349,0)*IFERROR($AC349/$AD349,0))</f>
        <v/>
      </c>
      <c r="AN349" s="0">
        <f>IF($A349="","",$I349-($AI349+$AJ349+$AK349+$AL349+$AM349+$AR349))</f>
        <v/>
      </c>
      <c r="AO349" s="0">
        <f>IF($A349="","",Allocation!CJ349)</f>
        <v/>
      </c>
      <c r="AP349" s="0">
        <f>IF($A349="","",IF(Allocation!$N$2="VOL_EFF",$Q349,IF(Allocation!$N$2="VOL_CLASS",$R349,$S349)))</f>
        <v/>
      </c>
      <c r="AQ349" s="0">
        <f>IF($A349="","",IF(Allocation!$N$2="VOL_EFF",$T349,IF(Allocation!$N$2="VOL_CLASS",$U349,$V349)))</f>
        <v/>
      </c>
      <c r="AR349" s="0">
        <f>IF($A349="","",$AO349*IFERROR($AP349/$AQ349,0)*IFERROR($AE349/$AF349,0)*IFERROR($AC349/$AD349,0))</f>
        <v/>
      </c>
      <c r="AS349" s="0">
        <f>IF($A349="","",$A349&amp;"|"&amp;Allocation!BG349)</f>
        <v/>
      </c>
    </row>
  </sheetData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Hamza Bouzidi</dc:creator>
  <dcterms:created xsi:type="dcterms:W3CDTF">2026-08-19T10:07:49Z</dcterms:created>
  <dcterms:modified xsi:type="dcterms:W3CDTF">2026-09-09T07:18:18Z</dcterms:modified>
  <cp:lastModifiedBy>Matthieu Pitot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