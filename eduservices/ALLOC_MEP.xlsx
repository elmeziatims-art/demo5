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Relationship Id="rId4" Type="http://schemas.openxmlformats.org/officeDocument/2006/relationships/custom-properties" Target="/docProps/custom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firstSheet="1" activeTab="1" tabRatio="1000"/>
  </bookViews>
  <sheets>
    <sheet r:id="rId1" name="_TGK_HIDDEN" sheetId="1" state="veryHidden"/>
    <sheet r:id="rId2" name="Allocation" sheetId="2"/>
    <sheet r:id="rId3" name="_CALC_ALLOC" sheetId="3" state="hidden"/>
  </sheets>
  <definedNames>
    <definedName name="ALLOC_BRAND_CAMP" isReadOnly="false">Allocation!$C$8</definedName>
    <definedName name="ALLOC_CAMP_CLASS" isReadOnly="false">Allocation!$C$9</definedName>
    <definedName name="ALLOC_GRP_BRAND" isReadOnly="false">Allocation!$C$6</definedName>
    <definedName name="ALLOC_GRP_MARQUE" isReadOnly="false">Allocation!$C$7</definedName>
  </definedNames>
  <calcPr calcId="0" iterateCount="100" iterateDelta="0.001"/>
</workbook>
</file>

<file path=xl/sharedStrings.xml><?xml version="1.0" encoding="utf-8"?>
<sst xmlns="http://schemas.openxmlformats.org/spreadsheetml/2006/main" count="182" uniqueCount="182">
  <si>
    <t>Template09</t>
  </si>
  <si>
    <t>VOL_CLASS</t>
  </si>
  <si>
    <t>V01</t>
  </si>
  <si>
    <t>SCENARIO</t>
  </si>
  <si>
    <t>VERSION</t>
  </si>
  <si>
    <t>PERIODE</t>
  </si>
  <si>
    <t>EXERCICE</t>
  </si>
  <si>
    <t>ENTITY</t>
  </si>
  <si>
    <t>MARQUE</t>
  </si>
  <si>
    <t>PROGRAMME</t>
  </si>
  <si>
    <t>AN_ETUDE</t>
  </si>
  <si>
    <t>MODALITE</t>
  </si>
  <si>
    <t>VOL_EFF</t>
  </si>
  <si>
    <t>CA</t>
  </si>
  <si>
    <t>COST_VAC</t>
  </si>
  <si>
    <t>COST_PERM</t>
  </si>
  <si>
    <t>COST_ODIR</t>
  </si>
  <si>
    <t>COST_STRUCT</t>
  </si>
  <si>
    <t>COST_MARQUE</t>
  </si>
  <si>
    <t>COST_HOLDING</t>
  </si>
  <si>
    <t>COST_SIEGE</t>
  </si>
  <si>
    <t>COST_VARIABLE</t>
  </si>
  <si>
    <t>COST_STRUCTURE</t>
  </si>
  <si>
    <t>COST_COMPLET</t>
  </si>
  <si>
    <t>MARGE_COMPLETE</t>
  </si>
  <si>
    <t>VOL_NEW</t>
  </si>
  <si>
    <t>POOL_VAC</t>
  </si>
  <si>
    <t>POOL_PERM</t>
  </si>
  <si>
    <t>POOL_ODIR</t>
  </si>
  <si>
    <t>POOL_MKT</t>
  </si>
  <si>
    <t>POOL_STRUCT</t>
  </si>
  <si>
    <t>POOL_HOLDING</t>
  </si>
  <si>
    <t>POOL_FRAIS_MARQUE</t>
  </si>
  <si>
    <t>3 · Allocation &amp; RENTABILITE  —  Coût complet du groupe à la classe</t>
  </si>
  <si>
    <t>REV_CA</t>
  </si>
  <si>
    <t>2027BUD_V1</t>
  </si>
  <si>
    <t>ACT</t>
  </si>
  <si>
    <t>12</t>
  </si>
  <si>
    <t>2024</t>
  </si>
  <si>
    <t>IPAC_MTP</t>
  </si>
  <si>
    <t>IPAC</t>
  </si>
  <si>
    <t>BAC_CCE</t>
  </si>
  <si>
    <t>B1</t>
  </si>
  <si>
    <t>ALT</t>
  </si>
  <si>
    <t>B2</t>
  </si>
  <si>
    <t>Scénario</t>
  </si>
  <si>
    <t>Frais de structure campus</t>
  </si>
  <si>
    <t>Frais de marque</t>
  </si>
  <si>
    <t>Holding</t>
  </si>
  <si>
    <t>Total alloué</t>
  </si>
  <si>
    <t>B3</t>
  </si>
  <si>
    <t>Cles d'Allocation (saisie)</t>
  </si>
  <si>
    <t>Cadrage</t>
  </si>
  <si>
    <t>IPAC_NAN</t>
  </si>
  <si>
    <t>Clé d’allocation siège administratif → marque</t>
  </si>
  <si>
    <t>Nombre de classes</t>
  </si>
  <si>
    <t>Optimiste</t>
  </si>
  <si>
    <t>Clé d’allocation Pub de marque → marque</t>
  </si>
  <si>
    <t>Chiffre d'affaires</t>
  </si>
  <si>
    <t>Prudent</t>
  </si>
  <si>
    <t>Clé d’allocation Marque → Campus</t>
  </si>
  <si>
    <t>Effectif</t>
  </si>
  <si>
    <t>IPAC_REN</t>
  </si>
  <si>
    <t>Clé d’allocation Campus → Classe</t>
  </si>
  <si>
    <t>ISCOM_LIL</t>
  </si>
  <si>
    <t>ISCOM</t>
  </si>
  <si>
    <t>BAC_COM</t>
  </si>
  <si>
    <t>INIT</t>
  </si>
  <si>
    <t>Version budget restituée</t>
  </si>
  <si>
    <t>Maille fine — deplie campus/classe avec les [+]</t>
  </si>
  <si>
    <t>MAS_COM</t>
  </si>
  <si>
    <t>M1</t>
  </si>
  <si>
    <t>M2</t>
  </si>
  <si>
    <t>ISCOM_PAR</t>
  </si>
  <si>
    <t>Marque ▸ Campus ▸ Classe</t>
  </si>
  <si>
    <t>VAC</t>
  </si>
  <si>
    <t>PERM</t>
  </si>
  <si>
    <t>ODIR</t>
  </si>
  <si>
    <t>STRUCT</t>
  </si>
  <si>
    <t>Frais marque</t>
  </si>
  <si>
    <t>Cout complet</t>
  </si>
  <si>
    <t>Marge complete</t>
  </si>
  <si>
    <t>Marge %</t>
  </si>
  <si>
    <t>Mbway</t>
  </si>
  <si>
    <t xml:space="preserve">   Paris  (MBWAY_PAR)</t>
  </si>
  <si>
    <t xml:space="preserve">      BAC_MGT B1 INIT</t>
  </si>
  <si>
    <t xml:space="preserve">      BAC_MGT B2 ALT</t>
  </si>
  <si>
    <t>ISCOM_TLS</t>
  </si>
  <si>
    <t xml:space="preserve">      BAC_MGT B3 ALT</t>
  </si>
  <si>
    <t xml:space="preserve">      MAS_MGT M1 ALT</t>
  </si>
  <si>
    <t xml:space="preserve">      MAS_MGT M2 ALT</t>
  </si>
  <si>
    <t xml:space="preserve">   Lyon  (MBWAY_LYO)</t>
  </si>
  <si>
    <t>MBWAY_BOR</t>
  </si>
  <si>
    <t>MBWAY</t>
  </si>
  <si>
    <t>BAC_MGT</t>
  </si>
  <si>
    <t>MAS_MGT</t>
  </si>
  <si>
    <t xml:space="preserve">   Nantes  (MBWAY_NAN)</t>
  </si>
  <si>
    <t>MBWAY_LYO</t>
  </si>
  <si>
    <t>MBWAY_NAN</t>
  </si>
  <si>
    <t xml:space="preserve">   Bordeaux  (MBWAY_BOR)</t>
  </si>
  <si>
    <t>MBWAY_PAR</t>
  </si>
  <si>
    <t xml:space="preserve">   Paris  (ISCOM_PAR)</t>
  </si>
  <si>
    <t xml:space="preserve">      BAC_COM B1 INIT</t>
  </si>
  <si>
    <t xml:space="preserve">      BAC_COM B2 ALT</t>
  </si>
  <si>
    <t>PIGIER_BOR</t>
  </si>
  <si>
    <t>PIGIER</t>
  </si>
  <si>
    <t>BTS_GES</t>
  </si>
  <si>
    <t>BTS1</t>
  </si>
  <si>
    <t xml:space="preserve">      BAC_COM B3 ALT</t>
  </si>
  <si>
    <t>BTS2</t>
  </si>
  <si>
    <t xml:space="preserve">      MAS_COM M1 ALT</t>
  </si>
  <si>
    <t>BAC_RH</t>
  </si>
  <si>
    <t xml:space="preserve">      MAS_COM M2 ALT</t>
  </si>
  <si>
    <t xml:space="preserve">   Lille  (ISCOM_LIL)</t>
  </si>
  <si>
    <t>PIGIER_LYO</t>
  </si>
  <si>
    <t xml:space="preserve">   Toulouse  (ISCOM_TLS)</t>
  </si>
  <si>
    <t>TUNON_LYO</t>
  </si>
  <si>
    <t>TUNON</t>
  </si>
  <si>
    <t>BAC_TOU</t>
  </si>
  <si>
    <t>TUNON_PAR</t>
  </si>
  <si>
    <t>Ipac</t>
  </si>
  <si>
    <t>2025</t>
  </si>
  <si>
    <t xml:space="preserve">   Nantes  (IPAC_NAN)</t>
  </si>
  <si>
    <t xml:space="preserve">      BAC_CCE B1 ALT</t>
  </si>
  <si>
    <t xml:space="preserve">      BAC_CCE B2 ALT</t>
  </si>
  <si>
    <t xml:space="preserve">      BAC_CCE B3 ALT</t>
  </si>
  <si>
    <t xml:space="preserve">   Rennes  (IPAC_REN)</t>
  </si>
  <si>
    <t xml:space="preserve">   Montpellier  (IPAC_MTP)</t>
  </si>
  <si>
    <t>Pigier</t>
  </si>
  <si>
    <t xml:space="preserve">   Lyon  (PIGIER_LYO)</t>
  </si>
  <si>
    <t xml:space="preserve">      BTS_GES BTS1 ALT</t>
  </si>
  <si>
    <t xml:space="preserve">      BTS_GES BTS2 ALT</t>
  </si>
  <si>
    <t xml:space="preserve">      BAC_RH B1 ALT</t>
  </si>
  <si>
    <t xml:space="preserve">      BAC_RH B3 ALT</t>
  </si>
  <si>
    <t xml:space="preserve">   Bordeaux  (PIGIER_BOR)</t>
  </si>
  <si>
    <t>Tunon</t>
  </si>
  <si>
    <t xml:space="preserve">   Paris  (TUNON_PAR)</t>
  </si>
  <si>
    <t xml:space="preserve">      BAC_TOU B1 ALT</t>
  </si>
  <si>
    <t xml:space="preserve">      BAC_TOU B2 ALT</t>
  </si>
  <si>
    <t xml:space="preserve">      BAC_TOU B3 ALT</t>
  </si>
  <si>
    <t xml:space="preserve">   Lyon  (TUNON_LYO)</t>
  </si>
  <si>
    <t>GROUPE</t>
  </si>
  <si>
    <t>2026</t>
  </si>
  <si>
    <t>2027</t>
  </si>
  <si>
    <t>V02</t>
  </si>
  <si>
    <t>V03</t>
  </si>
  <si>
    <t>PROG</t>
  </si>
  <si>
    <t>AN</t>
  </si>
  <si>
    <t>MOD</t>
  </si>
  <si>
    <t>HRS</t>
  </si>
  <si>
    <t>E_EFF</t>
  </si>
  <si>
    <t>E_CLS</t>
  </si>
  <si>
    <t>E_CA</t>
  </si>
  <si>
    <t>E_HRS</t>
  </si>
  <si>
    <t>E_NEW</t>
  </si>
  <si>
    <t>M_EFF</t>
  </si>
  <si>
    <t>M_CLS</t>
  </si>
  <si>
    <t>M_CA</t>
  </si>
  <si>
    <t>G_EFF</t>
  </si>
  <si>
    <t>G_CLS</t>
  </si>
  <si>
    <t>G_CA</t>
  </si>
  <si>
    <t>MKT</t>
  </si>
  <si>
    <t>STRUCT_CAMP</t>
  </si>
  <si>
    <t>SIEGE</t>
  </si>
  <si>
    <t>D3C</t>
  </si>
  <si>
    <t>D3E</t>
  </si>
  <si>
    <t>D2E</t>
  </si>
  <si>
    <t>D2M</t>
  </si>
  <si>
    <t>D1M</t>
  </si>
  <si>
    <t>D1G</t>
  </si>
  <si>
    <t>MARGE</t>
  </si>
  <si>
    <t>FRAIS_MARQUE_TOT</t>
  </si>
  <si>
    <t>D1M_K4</t>
  </si>
  <si>
    <t>D1G_K4</t>
  </si>
  <si>
    <t>EXVER</t>
  </si>
  <si>
    <t>■ VIOLET = colonne branchee sur une saisie (cad / Pilotage / 3_Allocation) -&gt; a recabler cote Tagetik</t>
  </si>
  <si>
    <t>2024|ACT</t>
  </si>
  <si>
    <t>2025|ACT</t>
  </si>
  <si>
    <t>2026|ACT</t>
  </si>
  <si>
    <t>2027|V01</t>
  </si>
  <si>
    <t>2027|V02</t>
  </si>
  <si>
    <t>2027|V03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</si>
</sst>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71" formatCode="_(* #,##0.00_);_(* \(#,##0.00\);_(* &quot;-&quot;??_);_(@_)"/>
    <numFmt numFmtId="172" formatCode="#,##0&quot; €&quot;;\-#,##0&quot; €&quot;;&quot;–&quot;"/>
    <numFmt numFmtId="173" formatCode="#,##0;\-#,##0;&quot;–&quot;"/>
    <numFmt numFmtId="174" formatCode="0.0%;\-0.0%;&quot;–&quot;"/>
  </numFmts>
  <fonts count="28">
    <font>
      <b val="0"/>
      <i val="0"/>
      <sz val="11"/>
      <color theme="1"/>
      <name val="Aptos Narrow"/>
      <scheme val="minor"/>
    </font>
    <font>
      <b/>
      <i val="0"/>
      <sz val="11"/>
      <color theme="1"/>
      <name val="Aptos Narrow"/>
      <scheme val="minor"/>
    </font>
    <font>
      <b val="0"/>
      <i val="0"/>
      <sz val="11"/>
      <color rgb="FF3B3B3B"/>
      <name val="Arial"/>
    </font>
    <font>
      <b/>
      <i val="0"/>
      <sz val="11"/>
      <color rgb="FF1F3864"/>
      <name val="Arial"/>
    </font>
    <font>
      <b/>
      <i val="0"/>
      <sz val="11"/>
      <color rgb="FF1B5FA6"/>
      <name val="Arial"/>
    </font>
    <font>
      <b/>
      <i val="0"/>
      <sz val="11"/>
      <color rgb="FF2E7D42"/>
      <name val="Arial"/>
    </font>
    <font>
      <b val="0"/>
      <i val="0"/>
      <sz val="11"/>
      <color rgb="FF2E7D42"/>
      <name val="Arial"/>
    </font>
    <font>
      <b/>
      <i/>
      <sz val="11"/>
      <color theme="1"/>
      <name val="Aptos Narrow"/>
      <scheme val="minor"/>
    </font>
    <font>
      <b val="0"/>
      <i val="0"/>
      <sz val="11"/>
      <color theme="0"/>
      <name val="Aptos Narrow"/>
      <scheme val="minor"/>
    </font>
    <font>
      <b/>
      <i val="0"/>
      <sz val="11"/>
      <color theme="1"/>
      <name val="Arial"/>
    </font>
    <font>
      <b/>
      <i val="0"/>
      <sz val="10"/>
      <color rgb="FF15406E"/>
      <name val="Arial"/>
    </font>
    <font>
      <b/>
      <i val="0"/>
      <sz val="10"/>
      <color rgb="FF333333"/>
      <name val="Arial"/>
    </font>
    <font>
      <b val="0"/>
      <i val="0"/>
      <sz val="10"/>
      <color rgb="FF555555"/>
      <name val="Arial"/>
    </font>
    <font>
      <b/>
      <i val="0"/>
      <sz val="10"/>
      <color theme="1"/>
      <name val="Arial"/>
    </font>
    <font>
      <b/>
      <i val="0"/>
      <sz val="9"/>
      <color rgb="FF15406E"/>
      <name val="Arial"/>
    </font>
    <font>
      <b/>
      <i val="0"/>
      <sz val="11"/>
      <color rgb="FFB8860B"/>
      <name val="Arial"/>
    </font>
    <font>
      <b/>
      <i val="0"/>
      <sz val="16"/>
      <color theme="1"/>
      <name val="Calibri"/>
    </font>
    <font>
      <b/>
      <i val="0"/>
      <sz val="18"/>
      <color theme="1"/>
      <name val="Arial"/>
    </font>
    <font>
      <b/>
      <sz val="14"/>
      <color rgb="FF262626"/>
      <name val="Arial"/>
    </font>
    <font>
      <b/>
      <sz val="10.5"/>
      <color rgb="FF262626"/>
      <name val="Arial"/>
    </font>
    <font>
      <b/>
      <sz val="11"/>
      <color rgb="FF262626"/>
      <name val="Arial"/>
    </font>
    <font>
      <b/>
      <sz val="8.5"/>
      <color rgb="FF262626"/>
      <name val="Arial"/>
    </font>
    <font>
      <b/>
      <sz val="8.5"/>
      <color rgb="FFFFFFFF"/>
      <name val="Arial"/>
    </font>
    <font>
      <b/>
      <sz val="10"/>
      <color rgb="FF15406E"/>
      <name val="Arial"/>
    </font>
    <font>
      <b/>
      <sz val="11"/>
      <color rgb="FF1F3864"/>
      <name val="Arial"/>
    </font>
    <font>
      <b/>
      <sz val="11"/>
      <color rgb="FF2E7D42"/>
      <name val="Arial"/>
    </font>
    <font>
      <b/>
      <sz val="10"/>
      <color rgb="FF333333"/>
      <name val="Arial"/>
    </font>
    <font>
      <b/>
      <sz val="10"/>
      <color rgb="FF262626"/>
      <name val="Arial"/>
    </font>
  </fonts>
  <fills count="19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4E6FA"/>
      </patternFill>
    </fill>
    <fill>
      <patternFill patternType="solid">
        <fgColor rgb="FFF7F7F9"/>
      </patternFill>
    </fill>
    <fill>
      <patternFill patternType="solid">
        <fgColor rgb="FFFFFFFF"/>
      </patternFill>
    </fill>
    <fill>
      <patternFill patternType="solid">
        <fgColor rgb="FFDDF2E3"/>
      </patternFill>
    </fill>
    <fill>
      <patternFill patternType="solid">
        <fgColor rgb="FFFBEFD0"/>
      </patternFill>
    </fill>
    <fill>
      <patternFill patternType="solid">
        <fgColor rgb="FFF6E2D4"/>
      </patternFill>
    </fill>
    <fill>
      <patternFill patternType="solid">
        <fgColor rgb="FFECE0F6"/>
      </patternFill>
    </fill>
    <fill>
      <patternFill patternType="solid">
        <fgColor rgb="FFFFCC66"/>
      </patternFill>
    </fill>
    <fill>
      <patternFill patternType="solid">
        <fgColor rgb="FFE8F0FB"/>
      </patternFill>
    </fill>
    <fill>
      <patternFill patternType="solid">
        <fgColor rgb="FFECEEF1"/>
      </patternFill>
    </fill>
    <fill>
      <patternFill patternType="solid">
        <fgColor rgb="FF007AC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E8F1F9"/>
        <bgColor indexed="64"/>
      </patternFill>
    </fill>
    <fill>
      <patternFill patternType="solid">
        <fgColor rgb="FFF7F7F9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A800"/>
      </left>
      <right style="thin">
        <color rgb="FFE0A800"/>
      </right>
      <top style="thin">
        <color rgb="FFE0A800"/>
      </top>
      <bottom style="thin">
        <color rgb="FFE0A80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medium">
        <color rgb="FF000000"/>
      </bottom>
      <diagonal/>
    </border>
    <border>
      <bottom style="thin">
        <color rgb="FF262626"/>
      </bottom>
      <left/>
      <right/>
      <diagonal/>
    </border>
    <border>
      <bottom style="thin">
        <color rgb="FF262626"/>
      </bottom>
      <left style="thin">
        <color rgb="FFE0E0E0"/>
      </left>
      <right style="thin">
        <color rgb="FFE0E0E0"/>
      </right>
      <diagonal/>
    </border>
    <border>
      <bottom style="thin">
        <color rgb="FF262626"/>
      </bottom>
      <left style="thin">
        <color rgb="FFD9D9D9"/>
      </left>
      <right style="thin">
        <color rgb="FFD9D9D9"/>
      </right>
      <diagonal/>
    </border>
    <border>
      <bottom style="thin">
        <color rgb="FF262626"/>
      </bottom>
      <left style="thin">
        <color rgb="FFE0A800"/>
      </left>
      <right style="thin">
        <color rgb="FFE0A800"/>
      </right>
      <diagonal/>
    </border>
    <border>
      <top style="thin">
        <color rgb="FF262626"/>
      </top>
      <bottom style="thin">
        <color rgb="FF262626"/>
      </bottom>
      <left style="thin">
        <color rgb="FFE0A800"/>
      </left>
      <right style="thin">
        <color rgb="FFE0A800"/>
      </right>
      <diagonal/>
    </border>
    <border>
      <top style="thin">
        <color rgb="FF262626"/>
      </top>
      <bottom style="thin">
        <color rgb="FF262626"/>
      </bottom>
      <left style="thin">
        <color rgb="FFE0E0E0"/>
      </left>
      <right style="thin">
        <color rgb="FFE0E0E0"/>
      </right>
      <diagonal/>
    </border>
    <border>
      <bottom style="thin">
        <color rgb="FFD5D7DA"/>
      </bottom>
      <left style="thin">
        <color rgb="FFE0E0E0"/>
      </left>
      <right style="thin">
        <color rgb="FFE0E0E0"/>
      </right>
      <diagonal/>
    </border>
    <border>
      <bottom style="thin">
        <color rgb="FFD5D7DA"/>
      </bottom>
      <left style="thin">
        <color rgb="FFD9D9D9"/>
      </left>
      <right style="thin">
        <color rgb="FFD9D9D9"/>
      </right>
      <diagonal/>
    </border>
    <border>
      <top style="thin">
        <color rgb="FF262626"/>
      </top>
      <bottom style="double">
        <color rgb="FF262626"/>
      </bottom>
      <left style="thin">
        <color rgb="FFE0E0E0"/>
      </left>
      <right style="thin">
        <color rgb="FFE0E0E0"/>
      </right>
      <diagonal/>
    </border>
    <border>
      <top style="thin">
        <color rgb="FF262626"/>
      </top>
      <bottom style="double">
        <color rgb="FF262626"/>
      </bottom>
      <left style="thin">
        <color rgb="FFD9D9D9"/>
      </left>
      <right style="thin">
        <color rgb="FFD9D9D9"/>
      </right>
      <diagonal/>
    </border>
  </borders>
  <cellStyleXfs count="2">
    <xf numFmtId="0" fontId="0" fillId="0" borderId="1"/>
    <xf numFmtId="171" fontId="0" fillId="0" borderId="1" applyFont="0" applyFill="0" applyBorder="0" applyAlignment="0" applyProtection="0"/>
  </cellStyleXfs>
  <cellXfs count="64">
    <xf numFmtId="0" fontId="0" fillId="0" borderId="1" xfId="0"/>
    <xf numFmtId="0" fontId="8" fillId="0" borderId="1" xfId="0"/>
    <xf numFmtId="0" fontId="7" fillId="0" borderId="1" xfId="0" quotePrefix="1"/>
    <xf numFmtId="0" fontId="1" fillId="0" borderId="1" xfId="0" quotePrefix="1"/>
    <xf numFmtId="0" fontId="16" fillId="0" borderId="6" xfId="0">
      <alignment horizontal="left" vertical="bottom"/>
    </xf>
    <xf numFmtId="0" fontId="17" fillId="0" borderId="6" xfId="0">
      <alignment horizontal="left" vertical="center"/>
    </xf>
    <xf numFmtId="0" fontId="14" fillId="3" borderId="5" xfId="0">
      <alignment horizontal="center" vertical="center" wrapText="1"/>
    </xf>
    <xf numFmtId="0" fontId="14" fillId="6" borderId="5" xfId="0">
      <alignment horizontal="center" vertical="center" wrapText="1"/>
    </xf>
    <xf numFmtId="0" fontId="14" fillId="11" borderId="5" xfId="0">
      <alignment horizontal="center" vertical="center" wrapText="1"/>
    </xf>
    <xf numFmtId="0" fontId="14" fillId="12" borderId="5" xfId="0">
      <alignment horizontal="center" vertical="center" wrapText="1"/>
    </xf>
    <xf numFmtId="0" fontId="14" fillId="7" borderId="5" xfId="0">
      <alignment horizontal="center" vertical="center" wrapText="1"/>
    </xf>
    <xf numFmtId="0" fontId="15" fillId="0" borderId="1" xfId="0"/>
    <xf numFmtId="0" fontId="11" fillId="4" borderId="4" xfId="0">
      <alignment horizontal="left" vertical="center"/>
    </xf>
    <xf numFmtId="173" fontId="2" fillId="0" borderId="2" xfId="0">
      <alignment horizontal="right" vertical="center"/>
    </xf>
    <xf numFmtId="172" fontId="2" fillId="0" borderId="2" xfId="0">
      <alignment horizontal="right" vertical="center"/>
    </xf>
    <xf numFmtId="0" fontId="3" fillId="0" borderId="1" xfId="0">
      <alignment horizontal="left" vertical="center"/>
    </xf>
    <xf numFmtId="0" fontId="4" fillId="2" borderId="3" xfId="0">
      <alignment horizontal="center" vertical="center" wrapText="1"/>
    </xf>
    <xf numFmtId="0" fontId="9" fillId="0" borderId="4" xfId="0">
      <alignment horizontal="center" vertical="center" wrapText="1"/>
    </xf>
    <xf numFmtId="0" fontId="10" fillId="3" borderId="4" xfId="0">
      <alignment horizontal="left" vertical="center"/>
    </xf>
    <xf numFmtId="173" fontId="3" fillId="0" borderId="2" xfId="0">
      <alignment horizontal="right" vertical="center"/>
    </xf>
    <xf numFmtId="172" fontId="3" fillId="0" borderId="2" xfId="0">
      <alignment horizontal="right" vertical="center"/>
    </xf>
    <xf numFmtId="172" fontId="5" fillId="0" borderId="2" xfId="0">
      <alignment horizontal="right" vertical="center"/>
    </xf>
    <xf numFmtId="174" fontId="3" fillId="0" borderId="2" xfId="0">
      <alignment horizontal="right" vertical="center"/>
    </xf>
    <xf numFmtId="0" fontId="12" fillId="5" borderId="4" xfId="0">
      <alignment horizontal="left" vertical="center"/>
    </xf>
    <xf numFmtId="172" fontId="6" fillId="0" borderId="2" xfId="0">
      <alignment horizontal="right" vertical="center"/>
    </xf>
    <xf numFmtId="174" fontId="2" fillId="0" borderId="2" xfId="0">
      <alignment horizontal="right" vertical="center"/>
    </xf>
    <xf numFmtId="0" fontId="10" fillId="6" borderId="4" xfId="0">
      <alignment horizontal="left" vertical="center"/>
    </xf>
    <xf numFmtId="0" fontId="10" fillId="7" borderId="4" xfId="0">
      <alignment horizontal="left" vertical="center"/>
    </xf>
    <xf numFmtId="0" fontId="10" fillId="8" borderId="4" xfId="0">
      <alignment horizontal="left" vertical="center"/>
    </xf>
    <xf numFmtId="0" fontId="10" fillId="9" borderId="4" xfId="0">
      <alignment horizontal="left" vertical="center"/>
    </xf>
    <xf numFmtId="0" fontId="13" fillId="10" borderId="4" xfId="0"/>
    <xf applyFill="1" numFmtId="0" fontId="0" fillId="13" borderId="1" xfId="0"/>
    <xf applyFill="1" numFmtId="0" fontId="1" fillId="13" borderId="1" xfId="0" quotePrefix="1"/>
    <xf applyFont="1" numFmtId="0" fontId="18" fillId="0" borderId="6" xfId="0">
      <alignment horizontal="left" vertical="center"/>
    </xf>
    <xf applyBorder="1" applyFont="1" numFmtId="0" fontId="19" fillId="0" borderId="7" xfId="0"/>
    <xf applyBorder="1" applyFont="1" numFmtId="0" fontId="19" fillId="4" borderId="8" xfId="0">
      <alignment horizontal="left" vertical="center"/>
    </xf>
    <xf applyBorder="1" applyFont="1" numFmtId="173" fontId="19" fillId="0" borderId="9" xfId="0">
      <alignment horizontal="right" vertical="center"/>
    </xf>
    <xf applyBorder="1" applyFont="1" numFmtId="172" fontId="19" fillId="0" borderId="9" xfId="0">
      <alignment horizontal="right" vertical="center"/>
    </xf>
    <xf applyBorder="1" applyFont="1" numFmtId="0" fontId="19" fillId="0" borderId="7" xfId="0">
      <alignment horizontal="left" vertical="center"/>
    </xf>
    <xf applyBorder="1" applyFont="1" numFmtId="0" fontId="19" fillId="2" borderId="10" xfId="0">
      <alignment horizontal="center" vertical="center" wrapText="1"/>
    </xf>
    <xf applyBorder="1" applyFont="1" applyFill="1" numFmtId="0" fontId="20" fillId="14" borderId="11" xfId="0">
      <alignment horizontal="center" vertical="center" wrapText="1"/>
    </xf>
    <xf applyFill="1" applyBorder="1" applyFont="1" numFmtId="0" fontId="19" fillId="14" borderId="11" xfId="0">
      <alignment horizontal="center" vertical="center" wrapText="1"/>
    </xf>
    <xf applyBorder="1" applyFont="1" applyFill="1" numFmtId="0" fontId="21" fillId="15" borderId="12" xfId="0">
      <alignment horizontal="center" vertical="center" wrapText="1"/>
    </xf>
    <xf applyBorder="1" applyFont="1" applyFill="1" numFmtId="0" fontId="22" fillId="13" borderId="12" xfId="0">
      <alignment horizontal="center" vertical="center" wrapText="1"/>
    </xf>
    <xf applyBorder="1" applyFont="1" applyFill="1" numFmtId="0" fontId="23" fillId="16" borderId="13" xfId="0">
      <alignment horizontal="left" vertical="center"/>
    </xf>
    <xf applyBorder="1" applyFont="1" applyFill="1" numFmtId="173" fontId="24" fillId="16" borderId="14" xfId="0">
      <alignment horizontal="right" vertical="center"/>
    </xf>
    <xf applyBorder="1" applyFont="1" applyFill="1" numFmtId="172" fontId="24" fillId="16" borderId="14" xfId="0">
      <alignment horizontal="right" vertical="center"/>
    </xf>
    <xf applyBorder="1" applyFont="1" applyFill="1" numFmtId="172" fontId="25" fillId="16" borderId="14" xfId="0">
      <alignment horizontal="right" vertical="center"/>
    </xf>
    <xf applyBorder="1" applyFont="1" applyFill="1" numFmtId="174" fontId="24" fillId="16" borderId="14" xfId="0">
      <alignment horizontal="right" vertical="center"/>
    </xf>
    <xf applyBorder="1" applyFont="1" applyFill="1" numFmtId="0" fontId="26" fillId="17" borderId="13" xfId="0">
      <alignment horizontal="left" vertical="center"/>
    </xf>
    <xf applyBorder="1" applyFont="1" applyFill="1" numFmtId="173" fontId="24" fillId="17" borderId="14" xfId="0">
      <alignment horizontal="right" vertical="center"/>
    </xf>
    <xf applyBorder="1" applyFont="1" applyFill="1" numFmtId="172" fontId="24" fillId="17" borderId="14" xfId="0">
      <alignment horizontal="right" vertical="center"/>
    </xf>
    <xf applyBorder="1" applyFont="1" applyFill="1" numFmtId="172" fontId="25" fillId="17" borderId="14" xfId="0">
      <alignment horizontal="right" vertical="center"/>
    </xf>
    <xf applyBorder="1" applyFont="1" applyFill="1" numFmtId="174" fontId="24" fillId="17" borderId="14" xfId="0">
      <alignment horizontal="right" vertical="center"/>
    </xf>
    <xf applyBorder="1" applyFill="1" numFmtId="0" fontId="12" fillId="18" borderId="13" xfId="0">
      <alignment horizontal="left" vertical="center"/>
    </xf>
    <xf applyBorder="1" applyFill="1" numFmtId="173" fontId="2" fillId="18" borderId="14" xfId="0">
      <alignment horizontal="right" vertical="center"/>
    </xf>
    <xf applyBorder="1" applyFill="1" numFmtId="172" fontId="2" fillId="18" borderId="14" xfId="0">
      <alignment horizontal="right" vertical="center"/>
    </xf>
    <xf applyBorder="1" applyFill="1" numFmtId="172" fontId="3" fillId="18" borderId="14" xfId="0">
      <alignment horizontal="right" vertical="center"/>
    </xf>
    <xf applyBorder="1" applyFill="1" numFmtId="172" fontId="6" fillId="18" borderId="14" xfId="0">
      <alignment horizontal="right" vertical="center"/>
    </xf>
    <xf applyBorder="1" applyFill="1" numFmtId="174" fontId="2" fillId="18" borderId="14" xfId="0">
      <alignment horizontal="right" vertical="center"/>
    </xf>
    <xf applyBorder="1" applyFont="1" applyFill="1" numFmtId="0" fontId="27" fillId="15" borderId="15" xfId="0"/>
    <xf applyBorder="1" applyFont="1" applyFill="1" numFmtId="173" fontId="20" fillId="15" borderId="16" xfId="0">
      <alignment horizontal="right" vertical="center"/>
    </xf>
    <xf applyBorder="1" applyFont="1" applyFill="1" numFmtId="172" fontId="20" fillId="15" borderId="16" xfId="0">
      <alignment horizontal="right" vertical="center"/>
    </xf>
    <xf applyBorder="1" applyFont="1" applyFill="1" numFmtId="174" fontId="20" fillId="15" borderId="16" xfId="0">
      <alignment horizontal="right" vertical="center"/>
    </xf>
  </cellXfs>
  <cellStyles count="2">
    <cellStyle name="Normal" xfId="0" builtinId="0"/>
    <cellStyle name="Milliers 2" xfId="1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haredStrings" Target="sharedStrings.xml"/><Relationship Id="rId5" Type="http://schemas.openxmlformats.org/officeDocument/2006/relationships/styles" Target="styles.xml"/><Relationship Id="rId6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0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184150</xdr:colOff>
      <xdr:row>0</xdr:row>
      <xdr:rowOff>69850</xdr:rowOff>
    </xdr:from>
    <xdr:to>
      <xdr:col>1</xdr:col>
      <xdr:colOff>1873463</xdr:colOff>
      <xdr:row>1</xdr:row>
      <xdr:rowOff>516687</xdr:rowOff>
    </xdr:to>
    <xdr:pic>
      <xdr:nvPicPr>
        <xdr:cNvPr id="2" name="Image 1"/>
        <xdr:cNvPicPr>
          <a:picLocks noChangeAspect="1"/>
        </xdr:cNvPicPr>
      </xdr:nvPicPr>
      <xdr:blipFill>
        <a:blip xmlns:r="http://schemas.openxmlformats.org/officeDocument/2006/relationships" r:embed="rId1"/>
        <a:srcRect l="0" r="0" t="18675" b="33829"/>
        <a:stretch/>
      </xdr:blipFill>
      <xdr:spPr>
        <a:xfrm>
          <a:off x="184150" y="69850"/>
          <a:ext cx="1900980" cy="690254"/>
        </a:xfrm>
        <a:prstGeom prst="rect">
          <a:avLst/>
        </a:prstGeom>
        <a:noFill/>
        <a:ln cmpd="sng">
          <a:noFill/>
        </a:ln>
      </xdr:spPr>
    </xdr:pic>
    <xdr:clientData/>
  </xdr:twoCellAnchor>
  <xdr:twoCellAnchor editAs="oneCell">
    <xdr:from>
      <xdr:col>10</xdr:col>
      <xdr:colOff>896470</xdr:colOff>
      <xdr:row>0</xdr:row>
      <xdr:rowOff>74705</xdr:rowOff>
    </xdr:from>
    <xdr:to>
      <xdr:col>11</xdr:col>
      <xdr:colOff>660027</xdr:colOff>
      <xdr:row>1</xdr:row>
      <xdr:rowOff>692757</xdr:rowOff>
    </xdr:to>
    <xdr:pic>
      <xdr:nvPicPr>
        <xdr:cNvPr id="3" name="Picture 16"/>
        <xdr:cNvPicPr>
          <a:picLocks noChangeAspect="1"/>
        </xdr:cNvPicPr>
      </xdr:nvPicPr>
      <xdr:blipFill>
        <a:blip xmlns:r="http://schemas.openxmlformats.org/officeDocument/2006/relationships" r:embed="rId2"/>
        <a:srcRect l="0" r="0" t="0" b="0"/>
        <a:stretch/>
      </xdr:blipFill>
      <xdr:spPr>
        <a:xfrm>
          <a:off x="12749803" y="74705"/>
          <a:ext cx="716057" cy="861469"/>
        </a:xfrm>
        <a:prstGeom prst="rect">
          <a:avLst/>
        </a:prstGeom>
        <a:noFill/>
        <a:ln cmpd="sng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196090AE-554D-9D18-4A16-2A10553EE7EF}" mc:Ignorable="x14ac xr xr2 xr3">
  <dimension ref="A1:X34"/>
  <sheetViews>
    <sheetView topLeftCell="A1" workbookViewId="0">
      <selection activeCell="A1" sqref="A1"/>
    </sheetView>
  </sheetViews>
  <sheetFormatPr defaultRowHeight="14.497499999999997" defaultColWidth="9.140625" customHeight="1"/>
  <sheetData>
    <row r="10" ht="14.497499999999997" customHeight="1">
      <c r="A10" t="s">
        <v>0</v>
      </c>
      <c r="B10">
        <f>Allocation!B65537</f>
        <v>0</v>
      </c>
    </row>
  </sheetData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9A946281-5FB8-A9B5-0EEA-7B0DE04388A8}" mc:Ignorable="x14ac xr xr2 xr3">
  <dimension ref="A1:CK361"/>
  <sheetViews>
    <sheetView showGridLines="0" showRowColHeaders="0" topLeftCell="A1" zoomScale="90" workbookViewId="0" tabSelected="1">
      <selection activeCell="L17" sqref="L17"/>
    </sheetView>
  </sheetViews>
  <sheetFormatPr defaultRowHeight="14.497499999999997" defaultColWidth="9.140625" customHeight="1" outlineLevelRow="2"/>
  <cols>
    <col min="1" max="1" width="3.140625" customWidth="1"/>
    <col min="2" max="2" width="48.57421875" customWidth="1"/>
    <col min="3" max="3" width="20.140625" customWidth="1"/>
    <col min="4" max="4" width="17.140625" customWidth="1"/>
    <col min="5" max="5" width="13.57421875" customWidth="1"/>
    <col min="6" max="6" width="17.8515625" customWidth="1"/>
    <col min="7" max="12" width="14.140625" customWidth="1"/>
    <col min="58" max="58" width="12.7109375" hidden="1" customWidth="1"/>
    <col min="59" max="60" width="10.00390625" hidden="1" customWidth="1"/>
    <col min="61" max="61" width="11.57421875" hidden="1" customWidth="1"/>
    <col min="62" max="62" width="13.8515625" hidden="1" customWidth="1"/>
    <col min="63" max="63" width="10.00390625" hidden="1" customWidth="1"/>
    <col min="64" max="64" width="15.00390625" hidden="1" customWidth="1"/>
    <col min="65" max="65" width="11.8515625" hidden="1" customWidth="1"/>
    <col min="66" max="66" width="12.140625" hidden="1" customWidth="1"/>
    <col min="67" max="67" width="10.421875" hidden="1" customWidth="1"/>
    <col min="68" max="68" width="12.8515625" hidden="1" customWidth="1"/>
    <col min="69" max="69" width="13.57421875" hidden="1" customWidth="1"/>
    <col min="70" max="70" width="12.57421875" hidden="1" customWidth="1"/>
    <col min="71" max="71" width="13.57421875" hidden="1" customWidth="1"/>
    <col min="72" max="72" width="12.7109375" hidden="1" customWidth="1"/>
    <col min="73" max="73" width="15.7109375" hidden="1" customWidth="1"/>
    <col min="74" max="74" width="16.8515625" hidden="1" customWidth="1"/>
    <col min="75" max="75" width="17.421875" hidden="1" customWidth="1"/>
    <col min="76" max="76" width="13.7109375" hidden="1" customWidth="1"/>
    <col min="77" max="77" width="18.00390625" hidden="1" customWidth="1"/>
    <col min="78" max="78" width="20.140625" hidden="1" customWidth="1"/>
    <col min="79" max="79" width="17.8515625" hidden="1" customWidth="1"/>
    <col min="80" max="80" width="21.57421875" hidden="1" customWidth="1"/>
    <col min="81" max="81" width="11.00390625" hidden="1" customWidth="1"/>
    <col min="82" max="82" width="13.57421875" hidden="1" customWidth="1"/>
    <col min="83" max="83" width="13.7109375" hidden="1" customWidth="1"/>
    <col min="84" max="84" width="13.57421875" hidden="1" customWidth="1"/>
    <col min="85" max="85" width="12.421875" hidden="1" customWidth="1"/>
    <col min="86" max="86" width="16.00390625" hidden="1" customWidth="1"/>
    <col min="87" max="87" width="17.57421875" hidden="1" customWidth="1"/>
    <col min="88" max="88" width="24.421875" hidden="1" customWidth="1"/>
    <col min="13" max="13" width="11" customWidth="1"/>
  </cols>
  <sheetData>
    <row r="1" ht="18.75" customHeight="1">
      <c r="N1" s="1" t="str">
        <f>IF($C$6="Chiffre d'affaires","REV_CA",IF($C$6="Nombre de classes","VOL_CLASS","VOL_EFF"))</f>
        <v>VOL_CLASS</v>
      </c>
      <c r="P1" s="1" t="str">
        <f>IF($C$12="Optimiste","V02",IF($C$12="Prudent","V03","V01"))</f>
        <v>V01</v>
      </c>
      <c r="BF1" s="2" t="s">
        <v>3</v>
      </c>
      <c r="BG1" s="3" t="s">
        <v>4</v>
      </c>
      <c r="BH1" s="3" t="s">
        <v>5</v>
      </c>
      <c r="BI1" s="3" t="s">
        <v>6</v>
      </c>
      <c r="BJ1" s="3" t="s">
        <v>7</v>
      </c>
      <c r="BK1" s="3" t="s">
        <v>8</v>
      </c>
      <c r="BL1" s="3" t="s">
        <v>9</v>
      </c>
      <c r="BM1" s="3" t="s">
        <v>10</v>
      </c>
      <c r="BN1" s="3" t="s">
        <v>11</v>
      </c>
      <c r="BO1" s="3" t="s">
        <v>12</v>
      </c>
      <c r="BP1" s="3" t="s">
        <v>1</v>
      </c>
      <c r="BQ1" s="3" t="s">
        <v>13</v>
      </c>
      <c r="BR1" s="3" t="s">
        <v>14</v>
      </c>
      <c r="BS1" s="3" t="s">
        <v>15</v>
      </c>
      <c r="BT1" s="3" t="s">
        <v>16</v>
      </c>
      <c r="BU1" s="3" t="s">
        <v>17</v>
      </c>
      <c r="BV1" s="3" t="s">
        <v>18</v>
      </c>
      <c r="BW1" s="3" t="s">
        <v>19</v>
      </c>
      <c r="BX1" s="3" t="s">
        <v>20</v>
      </c>
      <c r="BY1" s="3" t="s">
        <v>21</v>
      </c>
      <c r="BZ1" s="3" t="s">
        <v>22</v>
      </c>
      <c r="CA1" s="3" t="s">
        <v>23</v>
      </c>
      <c r="CB1" s="3" t="s">
        <v>24</v>
      </c>
      <c r="CC1" s="3" t="s">
        <v>25</v>
      </c>
      <c r="CD1" s="3" t="s">
        <v>26</v>
      </c>
      <c r="CE1" s="3" t="s">
        <v>27</v>
      </c>
      <c r="CF1" s="3" t="s">
        <v>28</v>
      </c>
      <c r="CG1" s="3" t="s">
        <v>29</v>
      </c>
      <c r="CH1" s="3" t="s">
        <v>30</v>
      </c>
      <c r="CI1" s="3" t="s">
        <v>31</v>
      </c>
      <c r="CJ1" s="3" t="s">
        <v>32</v>
      </c>
    </row>
    <row r="2" ht="57.75" customHeight="1">
      <c r="B2" s="4"/>
      <c r="C2" s="4"/>
      <c r="D2" s="33" t="s">
        <v>33</v>
      </c>
      <c r="E2" s="4"/>
      <c r="F2" s="4"/>
      <c r="G2" s="4"/>
      <c r="H2" s="4"/>
      <c r="I2" s="4"/>
      <c r="J2" s="4"/>
      <c r="K2" s="4"/>
      <c r="L2" s="4"/>
      <c r="M2" s="4"/>
      <c r="N2" s="1" t="str">
        <f>IF($C$7="Chiffre d'affaires","REV_CA",IF($C$7="Nombre de classes","VOL_CLASS","VOL_EFF"))</f>
        <v>REV_CA</v>
      </c>
      <c r="BF2" s="3" t="s">
        <v>35</v>
      </c>
      <c r="BG2" s="3" t="s">
        <v>36</v>
      </c>
      <c r="BH2" s="3" t="s">
        <v>37</v>
      </c>
      <c r="BI2" s="3" t="s">
        <v>38</v>
      </c>
      <c r="BJ2" s="3" t="s">
        <v>39</v>
      </c>
      <c r="BK2" s="3" t="s">
        <v>40</v>
      </c>
      <c r="BL2" s="3" t="s">
        <v>41</v>
      </c>
      <c r="BM2" s="3" t="s">
        <v>42</v>
      </c>
      <c r="BN2" s="3" t="s">
        <v>43</v>
      </c>
      <c r="BO2" s="3">
        <v>36</v>
      </c>
      <c r="BP2" s="3">
        <v>2</v>
      </c>
      <c r="BQ2" s="3">
        <v>242640</v>
      </c>
      <c r="BR2" s="3">
        <v>22035.977964</v>
      </c>
      <c r="BS2" s="3">
        <v>42519.027481</v>
      </c>
      <c r="BT2" s="3">
        <v>26165.051467</v>
      </c>
      <c r="BU2" s="3">
        <v>85770.027563</v>
      </c>
      <c r="BV2" s="3">
        <v>5796.892014</v>
      </c>
      <c r="BW2" s="3">
        <v>33312.214272</v>
      </c>
      <c r="BX2" s="3">
        <v>39109.106286</v>
      </c>
      <c r="BY2" s="3">
        <v>48201.029431</v>
      </c>
      <c r="BZ2" s="3">
        <v>167398.16133</v>
      </c>
      <c r="CA2" s="3">
        <v>215599.190761</v>
      </c>
      <c r="CB2" s="3">
        <v>27040.809239</v>
      </c>
      <c r="CC2">
        <v>36</v>
      </c>
      <c r="CD2">
        <v>66108</v>
      </c>
      <c r="CE2">
        <v>127557.21</v>
      </c>
      <c r="CF2">
        <v>39731</v>
      </c>
      <c r="CG2">
        <v>12543</v>
      </c>
      <c r="CH2">
        <v>257310.34</v>
      </c>
      <c r="CI2">
        <v>2639292</v>
      </c>
      <c r="CJ2">
        <v>499926</v>
      </c>
    </row>
    <row r="3" ht="14.497499999999997" customHeight="1">
      <c r="A3" s="31"/>
      <c r="B3" s="31"/>
      <c r="C3" s="31"/>
      <c r="D3" s="31"/>
      <c r="E3" s="32"/>
      <c r="F3" s="32"/>
      <c r="G3" s="32"/>
      <c r="H3" s="32"/>
      <c r="I3" s="32"/>
      <c r="J3" s="31"/>
      <c r="K3" s="31"/>
      <c r="L3" s="31"/>
      <c r="M3" s="31"/>
      <c r="N3" s="1" t="str">
        <f>IF($C$8="Chiffre d'affaires","REV_CA",IF($C$8="Nombre de classes","VOL_CLASS","VOL_EFF"))</f>
        <v>VOL_EFF</v>
      </c>
      <c r="BF3" t="s">
        <v>35</v>
      </c>
      <c r="BG3" t="s">
        <v>36</v>
      </c>
      <c r="BH3" t="s">
        <v>37</v>
      </c>
      <c r="BI3" t="s">
        <v>38</v>
      </c>
      <c r="BJ3" t="s">
        <v>39</v>
      </c>
      <c r="BK3" t="s">
        <v>40</v>
      </c>
      <c r="BL3" t="s">
        <v>41</v>
      </c>
      <c r="BM3" t="s">
        <v>44</v>
      </c>
      <c r="BN3" t="s">
        <v>43</v>
      </c>
      <c r="BO3">
        <v>35</v>
      </c>
      <c r="BP3">
        <v>2</v>
      </c>
      <c r="BQ3">
        <v>232750</v>
      </c>
      <c r="BR3">
        <v>22035.977964</v>
      </c>
      <c r="BS3">
        <v>42519.027481</v>
      </c>
      <c r="BT3">
        <v>13243.653423</v>
      </c>
      <c r="BU3">
        <v>85770.027563</v>
      </c>
      <c r="BV3">
        <v>5796.892014</v>
      </c>
      <c r="BW3">
        <v>33312.214272</v>
      </c>
      <c r="BX3">
        <v>39109.106286</v>
      </c>
      <c r="BY3">
        <v>35279.631387</v>
      </c>
      <c r="BZ3">
        <v>167398.16133</v>
      </c>
      <c r="CA3">
        <v>202677.792717</v>
      </c>
      <c r="CB3">
        <v>30072.207283</v>
      </c>
      <c r="CC3">
        <v>0</v>
      </c>
      <c r="CD3">
        <v>66108</v>
      </c>
      <c r="CE3">
        <v>127557.21</v>
      </c>
      <c r="CF3">
        <v>39731</v>
      </c>
      <c r="CG3">
        <v>12543</v>
      </c>
      <c r="CH3">
        <v>257310.34</v>
      </c>
      <c r="CI3">
        <v>2639292</v>
      </c>
      <c r="CJ3">
        <v>499926</v>
      </c>
    </row>
    <row r="4" ht="23.25" customHeight="1">
      <c r="E4" s="6" t="s">
        <v>45</v>
      </c>
      <c r="F4" s="7" t="s">
        <v>46</v>
      </c>
      <c r="G4" s="8" t="s">
        <v>47</v>
      </c>
      <c r="H4" s="9" t="s">
        <v>48</v>
      </c>
      <c r="I4" s="10" t="s">
        <v>49</v>
      </c>
      <c r="N4" s="1" t="str">
        <f>IF($C$9="Chiffre d'affaires","REV_CA",IF($C$9="Nombre de classes","VOL_CLASS","VOL_EFF"))</f>
        <v>VOL_CLASS</v>
      </c>
      <c r="BF4" t="s">
        <v>35</v>
      </c>
      <c r="BG4" t="s">
        <v>36</v>
      </c>
      <c r="BH4" t="s">
        <v>37</v>
      </c>
      <c r="BI4" t="s">
        <v>38</v>
      </c>
      <c r="BJ4" t="s">
        <v>39</v>
      </c>
      <c r="BK4" t="s">
        <v>40</v>
      </c>
      <c r="BL4" t="s">
        <v>41</v>
      </c>
      <c r="BM4" t="s">
        <v>50</v>
      </c>
      <c r="BN4" t="s">
        <v>43</v>
      </c>
      <c r="BO4">
        <v>34</v>
      </c>
      <c r="BP4">
        <v>2</v>
      </c>
      <c r="BQ4">
        <v>226100</v>
      </c>
      <c r="BR4">
        <v>22035.977964</v>
      </c>
      <c r="BS4">
        <v>42519.027481</v>
      </c>
      <c r="BT4">
        <v>12865.255379</v>
      </c>
      <c r="BU4">
        <v>85770.027563</v>
      </c>
      <c r="BV4">
        <v>5796.892014</v>
      </c>
      <c r="BW4">
        <v>33312.214272</v>
      </c>
      <c r="BX4">
        <v>39109.106286</v>
      </c>
      <c r="BY4">
        <v>34901.233343</v>
      </c>
      <c r="BZ4">
        <v>167398.16133</v>
      </c>
      <c r="CA4">
        <v>202299.394673</v>
      </c>
      <c r="CB4">
        <v>23800.605327</v>
      </c>
      <c r="CC4">
        <v>0</v>
      </c>
      <c r="CD4">
        <v>66108</v>
      </c>
      <c r="CE4">
        <v>127557.21</v>
      </c>
      <c r="CF4">
        <v>39731</v>
      </c>
      <c r="CG4">
        <v>12543</v>
      </c>
      <c r="CH4">
        <v>257310.34</v>
      </c>
      <c r="CI4">
        <v>2639292</v>
      </c>
      <c r="CJ4">
        <v>499926</v>
      </c>
    </row>
    <row r="5" ht="14.497499999999997" customHeight="1">
      <c r="B5" s="34" t="s">
        <v>51</v>
      </c>
      <c r="C5" s="34"/>
      <c r="D5" s="34"/>
      <c r="E5" s="35" t="s">
        <v>52</v>
      </c>
      <c r="F5" s="36">
        <v>9045300.563606</v>
      </c>
      <c r="G5" s="37">
        <v>743978.4</v>
      </c>
      <c r="H5" s="37">
        <v>2975861.58142</v>
      </c>
      <c r="I5" s="37">
        <v>12765140.545026</v>
      </c>
      <c r="J5" s="34"/>
      <c r="K5" s="34"/>
      <c r="L5" s="34"/>
      <c r="M5" s="34"/>
      <c r="BF5" t="s">
        <v>35</v>
      </c>
      <c r="BG5" t="s">
        <v>36</v>
      </c>
      <c r="BH5" t="s">
        <v>37</v>
      </c>
      <c r="BI5" t="s">
        <v>38</v>
      </c>
      <c r="BJ5" t="s">
        <v>53</v>
      </c>
      <c r="BK5" t="s">
        <v>40</v>
      </c>
      <c r="BL5" t="s">
        <v>41</v>
      </c>
      <c r="BM5" t="s">
        <v>42</v>
      </c>
      <c r="BN5" t="s">
        <v>43</v>
      </c>
      <c r="BO5">
        <v>44</v>
      </c>
      <c r="BP5">
        <v>2</v>
      </c>
      <c r="BQ5">
        <v>311960</v>
      </c>
      <c r="BR5">
        <v>22035.977964</v>
      </c>
      <c r="BS5">
        <v>51911.148089</v>
      </c>
      <c r="BT5">
        <v>34778.0254</v>
      </c>
      <c r="BU5">
        <v>120276.533057</v>
      </c>
      <c r="BV5">
        <v>7121.889486</v>
      </c>
      <c r="BW5">
        <v>40926.397803</v>
      </c>
      <c r="BX5">
        <v>48048.287289</v>
      </c>
      <c r="BY5">
        <v>56814.003364</v>
      </c>
      <c r="BZ5">
        <v>220235.968435</v>
      </c>
      <c r="CA5">
        <v>277049.971799</v>
      </c>
      <c r="CB5">
        <v>34910.028201</v>
      </c>
      <c r="CC5">
        <v>44</v>
      </c>
      <c r="CD5">
        <v>66108</v>
      </c>
      <c r="CE5">
        <v>155733.6</v>
      </c>
      <c r="CF5">
        <v>49240</v>
      </c>
      <c r="CG5">
        <v>17983</v>
      </c>
      <c r="CH5">
        <v>360829.96</v>
      </c>
      <c r="CI5">
        <v>2639292</v>
      </c>
      <c r="CJ5">
        <v>499926</v>
      </c>
    </row>
    <row r="6" ht="15.75" customHeight="1">
      <c r="B6" s="15" t="s">
        <v>54</v>
      </c>
      <c r="C6" s="40" t="s">
        <v>55</v>
      </c>
      <c r="E6" s="12" t="s">
        <v>56</v>
      </c>
      <c r="F6" s="13">
        <v>8810446.735693</v>
      </c>
      <c r="G6" s="14">
        <v>777795.6</v>
      </c>
      <c r="H6" s="14">
        <v>2894009.992738</v>
      </c>
      <c r="I6" s="14">
        <v>12482252.328431</v>
      </c>
      <c r="BF6" t="s">
        <v>35</v>
      </c>
      <c r="BG6" t="s">
        <v>36</v>
      </c>
      <c r="BH6" t="s">
        <v>37</v>
      </c>
      <c r="BI6" t="s">
        <v>38</v>
      </c>
      <c r="BJ6" t="s">
        <v>53</v>
      </c>
      <c r="BK6" t="s">
        <v>40</v>
      </c>
      <c r="BL6" t="s">
        <v>41</v>
      </c>
      <c r="BM6" t="s">
        <v>44</v>
      </c>
      <c r="BN6" t="s">
        <v>43</v>
      </c>
      <c r="BO6">
        <v>43</v>
      </c>
      <c r="BP6">
        <v>2</v>
      </c>
      <c r="BQ6">
        <v>301000</v>
      </c>
      <c r="BR6">
        <v>22035.977964</v>
      </c>
      <c r="BS6">
        <v>51911.148089</v>
      </c>
      <c r="BT6">
        <v>16413.31692</v>
      </c>
      <c r="BU6">
        <v>120276.533057</v>
      </c>
      <c r="BV6">
        <v>7121.889486</v>
      </c>
      <c r="BW6">
        <v>40926.397803</v>
      </c>
      <c r="BX6">
        <v>48048.287289</v>
      </c>
      <c r="BY6">
        <v>38449.294884</v>
      </c>
      <c r="BZ6">
        <v>220235.968435</v>
      </c>
      <c r="CA6">
        <v>258685.263319</v>
      </c>
      <c r="CB6">
        <v>42314.736681</v>
      </c>
      <c r="CC6">
        <v>0</v>
      </c>
      <c r="CD6">
        <v>66108</v>
      </c>
      <c r="CE6">
        <v>155733.6</v>
      </c>
      <c r="CF6">
        <v>49240</v>
      </c>
      <c r="CG6">
        <v>17983</v>
      </c>
      <c r="CH6">
        <v>360829.96</v>
      </c>
      <c r="CI6">
        <v>2639292</v>
      </c>
      <c r="CJ6">
        <v>499926</v>
      </c>
    </row>
    <row r="7" ht="15.75" customHeight="1">
      <c r="B7" s="15" t="s">
        <v>57</v>
      </c>
      <c r="C7" s="40" t="s">
        <v>58</v>
      </c>
      <c r="E7" s="12" t="s">
        <v>59</v>
      </c>
      <c r="F7" s="13">
        <v>9361926.26709</v>
      </c>
      <c r="G7" s="14">
        <v>642526.8</v>
      </c>
      <c r="H7" s="14">
        <v>3092074.3479</v>
      </c>
      <c r="I7" s="14">
        <v>13096527.41499</v>
      </c>
      <c r="BF7" t="s">
        <v>35</v>
      </c>
      <c r="BG7" t="s">
        <v>36</v>
      </c>
      <c r="BH7" t="s">
        <v>37</v>
      </c>
      <c r="BI7" t="s">
        <v>38</v>
      </c>
      <c r="BJ7" t="s">
        <v>53</v>
      </c>
      <c r="BK7" t="s">
        <v>40</v>
      </c>
      <c r="BL7" t="s">
        <v>41</v>
      </c>
      <c r="BM7" t="s">
        <v>50</v>
      </c>
      <c r="BN7" t="s">
        <v>43</v>
      </c>
      <c r="BO7">
        <v>42</v>
      </c>
      <c r="BP7">
        <v>2</v>
      </c>
      <c r="BQ7">
        <v>294000</v>
      </c>
      <c r="BR7">
        <v>22035.977964</v>
      </c>
      <c r="BS7">
        <v>51911.148089</v>
      </c>
      <c r="BT7">
        <v>16031.60844</v>
      </c>
      <c r="BU7">
        <v>120276.533057</v>
      </c>
      <c r="BV7">
        <v>7121.889486</v>
      </c>
      <c r="BW7">
        <v>40926.397803</v>
      </c>
      <c r="BX7">
        <v>48048.287289</v>
      </c>
      <c r="BY7">
        <v>38067.586404</v>
      </c>
      <c r="BZ7">
        <v>220235.968435</v>
      </c>
      <c r="CA7">
        <v>258303.554839</v>
      </c>
      <c r="CB7">
        <v>35696.445161</v>
      </c>
      <c r="CC7">
        <v>0</v>
      </c>
      <c r="CD7">
        <v>66108</v>
      </c>
      <c r="CE7">
        <v>155733.6</v>
      </c>
      <c r="CF7">
        <v>49240</v>
      </c>
      <c r="CG7">
        <v>17983</v>
      </c>
      <c r="CH7">
        <v>360829.96</v>
      </c>
      <c r="CI7">
        <v>2639292</v>
      </c>
      <c r="CJ7">
        <v>499926</v>
      </c>
    </row>
    <row r="8" ht="15.75" customHeight="1">
      <c r="B8" s="15" t="s">
        <v>60</v>
      </c>
      <c r="C8" s="40" t="s">
        <v>61</v>
      </c>
      <c r="BF8" t="s">
        <v>35</v>
      </c>
      <c r="BG8" t="s">
        <v>36</v>
      </c>
      <c r="BH8" t="s">
        <v>37</v>
      </c>
      <c r="BI8" t="s">
        <v>38</v>
      </c>
      <c r="BJ8" t="s">
        <v>62</v>
      </c>
      <c r="BK8" t="s">
        <v>40</v>
      </c>
      <c r="BL8" t="s">
        <v>41</v>
      </c>
      <c r="BM8" t="s">
        <v>42</v>
      </c>
      <c r="BN8" t="s">
        <v>43</v>
      </c>
      <c r="BO8">
        <v>36</v>
      </c>
      <c r="BP8">
        <v>2</v>
      </c>
      <c r="BQ8">
        <v>242640</v>
      </c>
      <c r="BR8">
        <v>22035.977964</v>
      </c>
      <c r="BS8">
        <v>42541.344125</v>
      </c>
      <c r="BT8">
        <v>25963.051467</v>
      </c>
      <c r="BU8">
        <v>85815.040852</v>
      </c>
      <c r="BV8">
        <v>5796.892014</v>
      </c>
      <c r="BW8">
        <v>33312.214272</v>
      </c>
      <c r="BX8">
        <v>39109.106286</v>
      </c>
      <c r="BY8">
        <v>47999.029431</v>
      </c>
      <c r="BZ8">
        <v>167465.491263</v>
      </c>
      <c r="CA8">
        <v>215464.520694</v>
      </c>
      <c r="CB8">
        <v>27175.479306</v>
      </c>
      <c r="CC8">
        <v>36</v>
      </c>
      <c r="CD8">
        <v>66108</v>
      </c>
      <c r="CE8">
        <v>127624.16</v>
      </c>
      <c r="CF8">
        <v>39731</v>
      </c>
      <c r="CG8">
        <v>12341</v>
      </c>
      <c r="CH8">
        <v>257445.38</v>
      </c>
      <c r="CI8">
        <v>2639292</v>
      </c>
      <c r="CJ8">
        <v>499926</v>
      </c>
    </row>
    <row r="9" ht="15.75" customHeight="1">
      <c r="B9" s="15" t="s">
        <v>63</v>
      </c>
      <c r="C9" s="40" t="s">
        <v>55</v>
      </c>
      <c r="BF9" t="s">
        <v>35</v>
      </c>
      <c r="BG9" t="s">
        <v>36</v>
      </c>
      <c r="BH9" t="s">
        <v>37</v>
      </c>
      <c r="BI9" t="s">
        <v>38</v>
      </c>
      <c r="BJ9" t="s">
        <v>62</v>
      </c>
      <c r="BK9" t="s">
        <v>40</v>
      </c>
      <c r="BL9" t="s">
        <v>41</v>
      </c>
      <c r="BM9" t="s">
        <v>44</v>
      </c>
      <c r="BN9" t="s">
        <v>43</v>
      </c>
      <c r="BO9">
        <v>35</v>
      </c>
      <c r="BP9">
        <v>2</v>
      </c>
      <c r="BQ9">
        <v>232750</v>
      </c>
      <c r="BR9">
        <v>22035.977964</v>
      </c>
      <c r="BS9">
        <v>42541.344125</v>
      </c>
      <c r="BT9">
        <v>13243.653423</v>
      </c>
      <c r="BU9">
        <v>85815.040852</v>
      </c>
      <c r="BV9">
        <v>5796.892014</v>
      </c>
      <c r="BW9">
        <v>33312.214272</v>
      </c>
      <c r="BX9">
        <v>39109.106286</v>
      </c>
      <c r="BY9">
        <v>35279.631387</v>
      </c>
      <c r="BZ9">
        <v>167465.491263</v>
      </c>
      <c r="CA9">
        <v>202745.12265</v>
      </c>
      <c r="CB9">
        <v>30004.87735</v>
      </c>
      <c r="CC9">
        <v>0</v>
      </c>
      <c r="CD9">
        <v>66108</v>
      </c>
      <c r="CE9">
        <v>127624.16</v>
      </c>
      <c r="CF9">
        <v>39731</v>
      </c>
      <c r="CG9">
        <v>12341</v>
      </c>
      <c r="CH9">
        <v>257445.38</v>
      </c>
      <c r="CI9">
        <v>2639292</v>
      </c>
      <c r="CJ9">
        <v>499926</v>
      </c>
    </row>
    <row r="10" ht="14.497499999999997" customHeight="1">
      <c r="BF10" t="s">
        <v>35</v>
      </c>
      <c r="BG10" t="s">
        <v>36</v>
      </c>
      <c r="BH10" t="s">
        <v>37</v>
      </c>
      <c r="BI10" t="s">
        <v>38</v>
      </c>
      <c r="BJ10" t="s">
        <v>62</v>
      </c>
      <c r="BK10" t="s">
        <v>40</v>
      </c>
      <c r="BL10" t="s">
        <v>41</v>
      </c>
      <c r="BM10" t="s">
        <v>50</v>
      </c>
      <c r="BN10" t="s">
        <v>43</v>
      </c>
      <c r="BO10">
        <v>34</v>
      </c>
      <c r="BP10">
        <v>2</v>
      </c>
      <c r="BQ10">
        <v>226100</v>
      </c>
      <c r="BR10">
        <v>22035.977964</v>
      </c>
      <c r="BS10">
        <v>42541.344125</v>
      </c>
      <c r="BT10">
        <v>12865.255379</v>
      </c>
      <c r="BU10">
        <v>85815.040852</v>
      </c>
      <c r="BV10">
        <v>5796.892014</v>
      </c>
      <c r="BW10">
        <v>33312.214272</v>
      </c>
      <c r="BX10">
        <v>39109.106286</v>
      </c>
      <c r="BY10">
        <v>34901.233343</v>
      </c>
      <c r="BZ10">
        <v>167465.491263</v>
      </c>
      <c r="CA10">
        <v>202366.724606</v>
      </c>
      <c r="CB10">
        <v>23733.275394</v>
      </c>
      <c r="CC10">
        <v>0</v>
      </c>
      <c r="CD10">
        <v>66108</v>
      </c>
      <c r="CE10">
        <v>127624.16</v>
      </c>
      <c r="CF10">
        <v>39731</v>
      </c>
      <c r="CG10">
        <v>12341</v>
      </c>
      <c r="CH10">
        <v>257445.38</v>
      </c>
      <c r="CI10">
        <v>2639292</v>
      </c>
      <c r="CJ10">
        <v>499926</v>
      </c>
    </row>
    <row r="11" ht="14.497499999999997" customHeight="1">
      <c r="BF11" t="s">
        <v>35</v>
      </c>
      <c r="BG11" t="s">
        <v>36</v>
      </c>
      <c r="BH11" t="s">
        <v>37</v>
      </c>
      <c r="BI11" t="s">
        <v>38</v>
      </c>
      <c r="BJ11" t="s">
        <v>64</v>
      </c>
      <c r="BK11" t="s">
        <v>65</v>
      </c>
      <c r="BL11" t="s">
        <v>66</v>
      </c>
      <c r="BM11" t="s">
        <v>42</v>
      </c>
      <c r="BN11" t="s">
        <v>67</v>
      </c>
      <c r="BO11">
        <v>44</v>
      </c>
      <c r="BP11">
        <v>2</v>
      </c>
      <c r="BQ11">
        <v>327360</v>
      </c>
      <c r="BR11">
        <v>27545</v>
      </c>
      <c r="BS11">
        <v>64855.365</v>
      </c>
      <c r="BT11">
        <v>27222.119512</v>
      </c>
      <c r="BU11">
        <v>120992.632</v>
      </c>
      <c r="BV11">
        <v>8006.119713</v>
      </c>
      <c r="BW11">
        <v>41307.198444</v>
      </c>
      <c r="BX11">
        <v>49313.318157</v>
      </c>
      <c r="BY11">
        <v>54767.119512</v>
      </c>
      <c r="BZ11">
        <v>235161.315157</v>
      </c>
      <c r="CA11">
        <v>289928.434669</v>
      </c>
      <c r="CB11">
        <v>37431.565331</v>
      </c>
      <c r="CC11">
        <v>44</v>
      </c>
      <c r="CD11">
        <v>110180</v>
      </c>
      <c r="CE11">
        <v>259421.46</v>
      </c>
      <c r="CF11">
        <v>82858</v>
      </c>
      <c r="CG11">
        <v>20843</v>
      </c>
      <c r="CH11">
        <v>604963.16</v>
      </c>
      <c r="CI11">
        <v>2639292</v>
      </c>
      <c r="CJ11">
        <v>499926</v>
      </c>
    </row>
    <row r="12" ht="15.75" customHeight="1">
      <c r="B12" s="38" t="s">
        <v>68</v>
      </c>
      <c r="C12" s="41" t="s">
        <v>52</v>
      </c>
      <c r="D12" s="34"/>
      <c r="E12" s="34"/>
      <c r="F12" s="34"/>
      <c r="G12" s="34"/>
      <c r="H12" s="34"/>
      <c r="I12" s="34"/>
      <c r="J12" s="34"/>
      <c r="K12" s="34"/>
      <c r="L12" s="34"/>
      <c r="M12" s="34"/>
      <c r="BF12" t="s">
        <v>35</v>
      </c>
      <c r="BG12" t="s">
        <v>36</v>
      </c>
      <c r="BH12" t="s">
        <v>37</v>
      </c>
      <c r="BI12" t="s">
        <v>38</v>
      </c>
      <c r="BJ12" t="s">
        <v>64</v>
      </c>
      <c r="BK12" t="s">
        <v>65</v>
      </c>
      <c r="BL12" t="s">
        <v>66</v>
      </c>
      <c r="BM12" t="s">
        <v>44</v>
      </c>
      <c r="BN12" t="s">
        <v>43</v>
      </c>
      <c r="BO12">
        <v>43</v>
      </c>
      <c r="BP12">
        <v>2</v>
      </c>
      <c r="BQ12">
        <v>294980</v>
      </c>
      <c r="BR12">
        <v>22036</v>
      </c>
      <c r="BS12">
        <v>51884.292</v>
      </c>
      <c r="BT12">
        <v>16418.809848</v>
      </c>
      <c r="BU12">
        <v>120992.632</v>
      </c>
      <c r="BV12">
        <v>8006.119713</v>
      </c>
      <c r="BW12">
        <v>41307.198444</v>
      </c>
      <c r="BX12">
        <v>49313.318157</v>
      </c>
      <c r="BY12">
        <v>38454.809848</v>
      </c>
      <c r="BZ12">
        <v>222190.242157</v>
      </c>
      <c r="CA12">
        <v>260645.052005</v>
      </c>
      <c r="CB12">
        <v>34334.947995</v>
      </c>
      <c r="CC12">
        <v>0</v>
      </c>
      <c r="CD12">
        <v>110180</v>
      </c>
      <c r="CE12">
        <v>259421.46</v>
      </c>
      <c r="CF12">
        <v>82858</v>
      </c>
      <c r="CG12">
        <v>20843</v>
      </c>
      <c r="CH12">
        <v>604963.16</v>
      </c>
      <c r="CI12">
        <v>2639292</v>
      </c>
      <c r="CJ12">
        <v>499926</v>
      </c>
    </row>
    <row r="13" ht="14.497499999999997" customHeight="1">
      <c r="BF13" t="s">
        <v>35</v>
      </c>
      <c r="BG13" t="s">
        <v>36</v>
      </c>
      <c r="BH13" t="s">
        <v>37</v>
      </c>
      <c r="BI13" t="s">
        <v>38</v>
      </c>
      <c r="BJ13" t="s">
        <v>64</v>
      </c>
      <c r="BK13" t="s">
        <v>65</v>
      </c>
      <c r="BL13" t="s">
        <v>66</v>
      </c>
      <c r="BM13" t="s">
        <v>50</v>
      </c>
      <c r="BN13" t="s">
        <v>43</v>
      </c>
      <c r="BO13">
        <v>42</v>
      </c>
      <c r="BP13">
        <v>2</v>
      </c>
      <c r="BQ13">
        <v>288120</v>
      </c>
      <c r="BR13">
        <v>22036</v>
      </c>
      <c r="BS13">
        <v>51884.292</v>
      </c>
      <c r="BT13">
        <v>16037.000184</v>
      </c>
      <c r="BU13">
        <v>120992.632</v>
      </c>
      <c r="BV13">
        <v>8006.119713</v>
      </c>
      <c r="BW13">
        <v>41307.198444</v>
      </c>
      <c r="BX13">
        <v>49313.318157</v>
      </c>
      <c r="BY13">
        <v>38073.000184</v>
      </c>
      <c r="BZ13">
        <v>222190.242157</v>
      </c>
      <c r="CA13">
        <v>260263.242341</v>
      </c>
      <c r="CB13">
        <v>27856.757659</v>
      </c>
      <c r="CC13">
        <v>0</v>
      </c>
      <c r="CD13">
        <v>110180</v>
      </c>
      <c r="CE13">
        <v>259421.46</v>
      </c>
      <c r="CF13">
        <v>82858</v>
      </c>
      <c r="CG13">
        <v>20843</v>
      </c>
      <c r="CH13">
        <v>604963.16</v>
      </c>
      <c r="CI13">
        <v>2639292</v>
      </c>
      <c r="CJ13">
        <v>499926</v>
      </c>
    </row>
    <row r="14" ht="14.497499999999997" customHeight="1">
      <c r="B14" s="34" t="s">
        <v>69</v>
      </c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BF14" t="s">
        <v>35</v>
      </c>
      <c r="BG14" t="s">
        <v>36</v>
      </c>
      <c r="BH14" t="s">
        <v>37</v>
      </c>
      <c r="BI14" t="s">
        <v>38</v>
      </c>
      <c r="BJ14" t="s">
        <v>64</v>
      </c>
      <c r="BK14" t="s">
        <v>65</v>
      </c>
      <c r="BL14" t="s">
        <v>70</v>
      </c>
      <c r="BM14" t="s">
        <v>71</v>
      </c>
      <c r="BN14" t="s">
        <v>43</v>
      </c>
      <c r="BO14">
        <v>44</v>
      </c>
      <c r="BP14">
        <v>2</v>
      </c>
      <c r="BQ14">
        <v>327360</v>
      </c>
      <c r="BR14">
        <v>19281.5</v>
      </c>
      <c r="BS14">
        <v>45398.7555</v>
      </c>
      <c r="BT14">
        <v>27222.119512</v>
      </c>
      <c r="BU14">
        <v>120992.632</v>
      </c>
      <c r="BV14">
        <v>8006.119713</v>
      </c>
      <c r="BW14">
        <v>41307.198444</v>
      </c>
      <c r="BX14">
        <v>49313.318157</v>
      </c>
      <c r="BY14">
        <v>46503.619512</v>
      </c>
      <c r="BZ14">
        <v>215704.705657</v>
      </c>
      <c r="CA14">
        <v>262208.325169</v>
      </c>
      <c r="CB14">
        <v>65151.674831</v>
      </c>
      <c r="CC14">
        <v>44</v>
      </c>
      <c r="CD14">
        <v>110180</v>
      </c>
      <c r="CE14">
        <v>259421.46</v>
      </c>
      <c r="CF14">
        <v>82858</v>
      </c>
      <c r="CG14">
        <v>20843</v>
      </c>
      <c r="CH14">
        <v>604963.16</v>
      </c>
      <c r="CI14">
        <v>2639292</v>
      </c>
      <c r="CJ14">
        <v>499926</v>
      </c>
    </row>
    <row r="15" ht="6.75" customHeight="1">
      <c r="BF15" t="s">
        <v>35</v>
      </c>
      <c r="BG15" t="s">
        <v>36</v>
      </c>
      <c r="BH15" t="s">
        <v>37</v>
      </c>
      <c r="BI15" t="s">
        <v>38</v>
      </c>
      <c r="BJ15" t="s">
        <v>64</v>
      </c>
      <c r="BK15" t="s">
        <v>65</v>
      </c>
      <c r="BL15" t="s">
        <v>70</v>
      </c>
      <c r="BM15" t="s">
        <v>72</v>
      </c>
      <c r="BN15" t="s">
        <v>43</v>
      </c>
      <c r="BO15">
        <v>44</v>
      </c>
      <c r="BP15">
        <v>2</v>
      </c>
      <c r="BQ15">
        <v>323400</v>
      </c>
      <c r="BR15">
        <v>19281.5</v>
      </c>
      <c r="BS15">
        <v>45398.7555</v>
      </c>
      <c r="BT15">
        <v>16800.619512</v>
      </c>
      <c r="BU15">
        <v>120992.632</v>
      </c>
      <c r="BV15">
        <v>8006.119713</v>
      </c>
      <c r="BW15">
        <v>41307.198444</v>
      </c>
      <c r="BX15">
        <v>49313.318157</v>
      </c>
      <c r="BY15">
        <v>36082.119512</v>
      </c>
      <c r="BZ15">
        <v>215704.705657</v>
      </c>
      <c r="CA15">
        <v>251786.825169</v>
      </c>
      <c r="CB15">
        <v>71613.174831</v>
      </c>
      <c r="CC15">
        <v>0</v>
      </c>
      <c r="CD15">
        <v>110180</v>
      </c>
      <c r="CE15">
        <v>259421.46</v>
      </c>
      <c r="CF15">
        <v>82858</v>
      </c>
      <c r="CG15">
        <v>20843</v>
      </c>
      <c r="CH15">
        <v>604963.16</v>
      </c>
      <c r="CI15">
        <v>2639292</v>
      </c>
      <c r="CJ15">
        <v>499926</v>
      </c>
    </row>
    <row r="16" ht="6.75" customHeight="1">
      <c r="BF16" t="s">
        <v>35</v>
      </c>
      <c r="BG16" t="s">
        <v>36</v>
      </c>
      <c r="BH16" t="s">
        <v>37</v>
      </c>
      <c r="BI16" t="s">
        <v>38</v>
      </c>
      <c r="BJ16" t="s">
        <v>73</v>
      </c>
      <c r="BK16" t="s">
        <v>65</v>
      </c>
      <c r="BL16" t="s">
        <v>66</v>
      </c>
      <c r="BM16" t="s">
        <v>42</v>
      </c>
      <c r="BN16" t="s">
        <v>67</v>
      </c>
      <c r="BO16">
        <v>64</v>
      </c>
      <c r="BP16">
        <v>3</v>
      </c>
      <c r="BQ16">
        <v>543360</v>
      </c>
      <c r="BR16">
        <v>41317.75</v>
      </c>
      <c r="BS16">
        <v>110892.2325</v>
      </c>
      <c r="BT16">
        <v>49625.730052</v>
      </c>
      <c r="BU16">
        <v>202318.324</v>
      </c>
      <c r="BV16">
        <v>11584.912545</v>
      </c>
      <c r="BW16">
        <v>59771.811886</v>
      </c>
      <c r="BX16">
        <v>71356.724431</v>
      </c>
      <c r="BY16">
        <v>90943.480052</v>
      </c>
      <c r="BZ16">
        <v>384567.280931</v>
      </c>
      <c r="CA16">
        <v>475510.760983</v>
      </c>
      <c r="CB16">
        <v>67849.239017</v>
      </c>
      <c r="CC16">
        <v>64</v>
      </c>
      <c r="CD16">
        <v>165271</v>
      </c>
      <c r="CE16">
        <v>443568.93</v>
      </c>
      <c r="CF16">
        <v>120212</v>
      </c>
      <c r="CG16">
        <v>50248</v>
      </c>
      <c r="CH16">
        <v>1011591.62</v>
      </c>
      <c r="CI16">
        <v>2639292</v>
      </c>
      <c r="CJ16">
        <v>499926</v>
      </c>
    </row>
    <row r="17" ht="42" customHeight="1">
      <c r="B17" s="42" t="s">
        <v>74</v>
      </c>
      <c r="C17" s="42" t="s">
        <v>61</v>
      </c>
      <c r="D17" s="42" t="s">
        <v>13</v>
      </c>
      <c r="E17" s="42" t="s">
        <v>75</v>
      </c>
      <c r="F17" s="42" t="s">
        <v>76</v>
      </c>
      <c r="G17" s="42" t="s">
        <v>77</v>
      </c>
      <c r="H17" s="42" t="s">
        <v>78</v>
      </c>
      <c r="I17" s="42" t="s">
        <v>79</v>
      </c>
      <c r="J17" s="42" t="s">
        <v>48</v>
      </c>
      <c r="K17" s="42" t="s">
        <v>80</v>
      </c>
      <c r="L17" s="43" t="s">
        <v>81</v>
      </c>
      <c r="M17" s="43" t="s">
        <v>82</v>
      </c>
      <c r="BF17" t="s">
        <v>35</v>
      </c>
      <c r="BG17" t="s">
        <v>36</v>
      </c>
      <c r="BH17" t="s">
        <v>37</v>
      </c>
      <c r="BI17" t="s">
        <v>38</v>
      </c>
      <c r="BJ17" t="s">
        <v>73</v>
      </c>
      <c r="BK17" t="s">
        <v>65</v>
      </c>
      <c r="BL17" t="s">
        <v>66</v>
      </c>
      <c r="BM17" t="s">
        <v>44</v>
      </c>
      <c r="BN17" t="s">
        <v>43</v>
      </c>
      <c r="BO17">
        <v>62</v>
      </c>
      <c r="BP17">
        <v>3</v>
      </c>
      <c r="BQ17">
        <v>486080</v>
      </c>
      <c r="BR17">
        <v>33054.2</v>
      </c>
      <c r="BS17">
        <v>88713.786</v>
      </c>
      <c r="BT17">
        <v>23736.099824</v>
      </c>
      <c r="BU17">
        <v>202318.324</v>
      </c>
      <c r="BV17">
        <v>11584.912545</v>
      </c>
      <c r="BW17">
        <v>59771.811886</v>
      </c>
      <c r="BX17">
        <v>71356.724431</v>
      </c>
      <c r="BY17">
        <v>56790.299824</v>
      </c>
      <c r="BZ17">
        <v>362388.834431</v>
      </c>
      <c r="CA17">
        <v>419179.134255</v>
      </c>
      <c r="CB17">
        <v>66900.865745</v>
      </c>
      <c r="CC17">
        <v>0</v>
      </c>
      <c r="CD17">
        <v>165271</v>
      </c>
      <c r="CE17">
        <v>443568.93</v>
      </c>
      <c r="CF17">
        <v>120212</v>
      </c>
      <c r="CG17">
        <v>50248</v>
      </c>
      <c r="CH17">
        <v>1011591.62</v>
      </c>
      <c r="CI17">
        <v>2639292</v>
      </c>
      <c r="CJ17">
        <v>499926</v>
      </c>
    </row>
    <row r="18" ht="14.497499999999997" customHeight="1">
      <c r="B18" s="44" t="s">
        <v>83</v>
      </c>
      <c r="C18" s="45">
        <f>_xlfn.SUMIFS(_CALC_ALLOC!$G$1:$G$349,_CALC_ALLOC!$AS$1:$AS$349,"2027|"&amp;$P$1,_CALC_ALLOC!$C$1:$C$349,"MBWAY")</f>
        <v>1305.035426</v>
      </c>
      <c r="D18" s="46">
        <f>_xlfn.SUMIFS(_CALC_ALLOC!$I$1:$I$349,_CALC_ALLOC!$AS$1:$AS$349,"2027|"&amp;$P$1,_CALC_ALLOC!$C$1:$C$349,"MBWAY")</f>
        <v>10043742.187896</v>
      </c>
      <c r="E18" s="46">
        <f>_xlfn.SUMIFS(_CALC_ALLOC!$AI$1:$AI$349,_CALC_ALLOC!$AS$1:$AS$349,"2027|"&amp;$P$1,_CALC_ALLOC!$C$1:$C$349,"MBWAY")</f>
        <v>621531.919607</v>
      </c>
      <c r="F18" s="46">
        <f>_xlfn.SUMIFS(_CALC_ALLOC!$AJ$1:$AJ$349,_CALC_ALLOC!$AS$1:$AS$349,"2027|"&amp;$P$1,_CALC_ALLOC!$C$1:$C$349,"MBWAY")</f>
        <v>1627617.0365</v>
      </c>
      <c r="G18" s="46">
        <f>_xlfn.SUMIFS(_CALC_ALLOC!$AK$1:$AK$349,_CALC_ALLOC!$AS$1:$AS$349,"2027|"&amp;$P$1,_CALC_ALLOC!$C$1:$C$349,"MBWAY")</f>
        <v>658369.767864</v>
      </c>
      <c r="H18" s="46">
        <f>_xlfn.SUMIFS(_CALC_ALLOC!$AL$1:$AL$349,_CALC_ALLOC!$AS$1:$AS$349,"2027|"&amp;$P$1,_CALC_ALLOC!$C$1:$C$349,"MBWAY")</f>
        <v>3767159.0162</v>
      </c>
      <c r="I18" s="46">
        <f>_xlfn.SUMIFS(_CALC_ALLOC!$AR$1:$AR$349,_CALC_ALLOC!$AS$1:$AS$349,"2027|"&amp;$P$1,_CALC_ALLOC!$C$1:$C$349,"MBWAY")</f>
        <v>308369.865434596</v>
      </c>
      <c r="J18" s="46">
        <f>_xlfn.SUMIFS(_CALC_ALLOC!$AM$1:$AM$349,_CALC_ALLOC!$AS$1:$AS$349,"2027|"&amp;$P$1,_CALC_ALLOC!$C$1:$C$349,"MBWAY")</f>
        <v>1102170.95608148</v>
      </c>
      <c r="K18" s="46">
        <f t="shared" si="0" ref="K18:K95">E18+F18+G18+H18+I18+J18</f>
        <v>8085218.56168708</v>
      </c>
      <c r="L18" s="47">
        <f>_xlfn.SUMIFS(_CALC_ALLOC!$AN$1:$AN$349,_CALC_ALLOC!$AS$1:$AS$349,"2027|"&amp;$P$1,_CALC_ALLOC!$C$1:$C$349,"MBWAY")</f>
        <v>1958523.62620892</v>
      </c>
      <c r="M18" s="48">
        <f t="shared" si="1" ref="M18:M95">_xlfn.IFERROR(L18/D18,0)</f>
        <v>0.19499939261376</v>
      </c>
      <c r="BF18" t="s">
        <v>35</v>
      </c>
      <c r="BG18" t="s">
        <v>36</v>
      </c>
      <c r="BH18" t="s">
        <v>37</v>
      </c>
      <c r="BI18" t="s">
        <v>38</v>
      </c>
      <c r="BJ18" t="s">
        <v>73</v>
      </c>
      <c r="BK18" t="s">
        <v>65</v>
      </c>
      <c r="BL18" t="s">
        <v>66</v>
      </c>
      <c r="BM18" t="s">
        <v>50</v>
      </c>
      <c r="BN18" t="s">
        <v>43</v>
      </c>
      <c r="BO18">
        <v>61</v>
      </c>
      <c r="BP18">
        <v>3</v>
      </c>
      <c r="BQ18">
        <v>478240</v>
      </c>
      <c r="BR18">
        <v>33054.2</v>
      </c>
      <c r="BS18">
        <v>88713.786</v>
      </c>
      <c r="BT18">
        <v>23353.224604</v>
      </c>
      <c r="BU18">
        <v>202318.324</v>
      </c>
      <c r="BV18">
        <v>11584.912545</v>
      </c>
      <c r="BW18">
        <v>59771.811886</v>
      </c>
      <c r="BX18">
        <v>71356.724431</v>
      </c>
      <c r="BY18">
        <v>56407.424604</v>
      </c>
      <c r="BZ18">
        <v>362388.834431</v>
      </c>
      <c r="CA18">
        <v>418796.259035</v>
      </c>
      <c r="CB18">
        <v>59443.740965</v>
      </c>
      <c r="CC18">
        <v>0</v>
      </c>
      <c r="CD18">
        <v>165271</v>
      </c>
      <c r="CE18">
        <v>443568.93</v>
      </c>
      <c r="CF18">
        <v>120212</v>
      </c>
      <c r="CG18">
        <v>50248</v>
      </c>
      <c r="CH18">
        <v>1011591.62</v>
      </c>
      <c r="CI18">
        <v>2639292</v>
      </c>
      <c r="CJ18">
        <v>499926</v>
      </c>
    </row>
    <row r="19" ht="14.497499999999997" customHeight="1" hidden="0" collapsed="1" outlineLevel="1">
      <c r="B19" s="49" t="s">
        <v>84</v>
      </c>
      <c r="C19" s="50">
        <f>_xlfn.SUMIFS(_CALC_ALLOC!$G$1:$G$349,_CALC_ALLOC!$AS$1:$AS$349,"2027|"&amp;$P$1,_CALC_ALLOC!$B$1:$B$349,"MBWAY_PAR")</f>
        <v>398.782457</v>
      </c>
      <c r="D19" s="51">
        <f>_xlfn.SUMIFS(_CALC_ALLOC!$I$1:$I$349,_CALC_ALLOC!$AS$1:$AS$349,"2027|"&amp;$P$1,_CALC_ALLOC!$B$1:$B$349,"MBWAY_PAR")</f>
        <v>3292150.848138</v>
      </c>
      <c r="E19" s="51">
        <f>_xlfn.SUMIFS(_CALC_ALLOC!$AI$1:$AI$349,_CALC_ALLOC!$AS$1:$AS$349,"2027|"&amp;$P$1,_CALC_ALLOC!$B$1:$B$349,"MBWAY_PAR")</f>
        <v>186459.781808</v>
      </c>
      <c r="F19" s="51">
        <f>_xlfn.SUMIFS(_CALC_ALLOC!$AJ$1:$AJ$349,_CALC_ALLOC!$AS$1:$AS$349,"2027|"&amp;$P$1,_CALC_ALLOC!$B$1:$B$349,"MBWAY_PAR")</f>
        <v>535199.11536</v>
      </c>
      <c r="G19" s="51">
        <f>_xlfn.SUMIFS(_CALC_ALLOC!$AK$1:$AK$349,_CALC_ALLOC!$AS$1:$AS$349,"2027|"&amp;$P$1,_CALC_ALLOC!$B$1:$B$349,"MBWAY_PAR")</f>
        <v>220105.861975</v>
      </c>
      <c r="H19" s="51">
        <f>_xlfn.SUMIFS(_CALC_ALLOC!$AL$1:$AL$349,_CALC_ALLOC!$AS$1:$AS$349,"2027|"&amp;$P$1,_CALC_ALLOC!$B$1:$B$349,"MBWAY_PAR")</f>
        <v>1254602.380422</v>
      </c>
      <c r="I19" s="51">
        <f>_xlfn.SUMIFS(_CALC_ALLOC!$AR$1:$AR$349,_CALC_ALLOC!$AS$1:$AS$349,"2027|"&amp;$P$1,_CALC_ALLOC!$B$1:$B$349,"MBWAY_PAR")</f>
        <v>94229.2371170985</v>
      </c>
      <c r="J19" s="51">
        <f>_xlfn.SUMIFS(_CALC_ALLOC!$AM$1:$AM$349,_CALC_ALLOC!$AS$1:$AS$349,"2027|"&amp;$P$1,_CALC_ALLOC!$B$1:$B$349,"MBWAY_PAR")</f>
        <v>336792.728491197</v>
      </c>
      <c r="K19" s="51">
        <f t="shared" si="0"/>
        <v>2627389.1051733</v>
      </c>
      <c r="L19" s="52">
        <f>_xlfn.SUMIFS(_CALC_ALLOC!$AN$1:$AN$349,_CALC_ALLOC!$AS$1:$AS$349,"2027|"&amp;$P$1,_CALC_ALLOC!$B$1:$B$349,"MBWAY_PAR")</f>
        <v>664761.742964704</v>
      </c>
      <c r="M19" s="53">
        <f t="shared" si="1"/>
        <v>0.20192323305619</v>
      </c>
      <c r="BF19" t="s">
        <v>35</v>
      </c>
      <c r="BG19" t="s">
        <v>36</v>
      </c>
      <c r="BH19" t="s">
        <v>37</v>
      </c>
      <c r="BI19" t="s">
        <v>38</v>
      </c>
      <c r="BJ19" t="s">
        <v>73</v>
      </c>
      <c r="BK19" t="s">
        <v>65</v>
      </c>
      <c r="BL19" t="s">
        <v>70</v>
      </c>
      <c r="BM19" t="s">
        <v>71</v>
      </c>
      <c r="BN19" t="s">
        <v>43</v>
      </c>
      <c r="BO19">
        <v>64</v>
      </c>
      <c r="BP19">
        <v>3</v>
      </c>
      <c r="BQ19">
        <v>543360</v>
      </c>
      <c r="BR19">
        <v>28922.425</v>
      </c>
      <c r="BS19">
        <v>77624.56275</v>
      </c>
      <c r="BT19">
        <v>49625.730052</v>
      </c>
      <c r="BU19">
        <v>202318.324</v>
      </c>
      <c r="BV19">
        <v>11584.912545</v>
      </c>
      <c r="BW19">
        <v>59771.811886</v>
      </c>
      <c r="BX19">
        <v>71356.724431</v>
      </c>
      <c r="BY19">
        <v>78548.155052</v>
      </c>
      <c r="BZ19">
        <v>351299.611181</v>
      </c>
      <c r="CA19">
        <v>429847.766233</v>
      </c>
      <c r="CB19">
        <v>113512.233767</v>
      </c>
      <c r="CC19">
        <v>64</v>
      </c>
      <c r="CD19">
        <v>165271</v>
      </c>
      <c r="CE19">
        <v>443568.93</v>
      </c>
      <c r="CF19">
        <v>120212</v>
      </c>
      <c r="CG19">
        <v>50248</v>
      </c>
      <c r="CH19">
        <v>1011591.62</v>
      </c>
      <c r="CI19">
        <v>2639292</v>
      </c>
      <c r="CJ19">
        <v>499926</v>
      </c>
    </row>
    <row r="20" ht="14.497499999999997" customHeight="1" hidden="0" collapsed="0" outlineLevel="2">
      <c r="B20" s="54" t="s">
        <v>85</v>
      </c>
      <c r="C20" s="55">
        <f>_xlfn.SUMIFS(_CALC_ALLOC!$G$1:$G$349,_CALC_ALLOC!$AS$1:$AS$349,"2027|"&amp;$P$1,_CALC_ALLOC!$B$1:$B$349,"MBWAY_PAR",_CALC_ALLOC!$D$1:$D$349,"BAC_MGT",_CALC_ALLOC!$E$1:$E$349,"B1",_CALC_ALLOC!$F$1:$F$349,"INIT")</f>
        <v>84.920597</v>
      </c>
      <c r="D20" s="56">
        <f>_xlfn.SUMIFS(_CALC_ALLOC!$I$1:$I$349,_CALC_ALLOC!$AS$1:$AS$349,"2027|"&amp;$P$1,_CALC_ALLOC!$B$1:$B$349,"MBWAY_PAR",_CALC_ALLOC!$D$1:$D$349,"BAC_MGT",_CALC_ALLOC!$E$1:$E$349,"B1",_CALC_ALLOC!$F$1:$F$349,"INIT")</f>
        <v>723458.267422</v>
      </c>
      <c r="E20" s="56">
        <f>_xlfn.SUMIFS(_CALC_ALLOC!$AI$1:$AI$349,_CALC_ALLOC!$AS$1:$AS$349,"2027|"&amp;$P$1,_CALC_ALLOC!$B$1:$B$349,"MBWAY_PAR",_CALC_ALLOC!$D$1:$D$349,"BAC_MGT",_CALC_ALLOC!$E$1:$E$349,"B1",_CALC_ALLOC!$F$1:$F$349,"INIT")</f>
        <v>46614.945452</v>
      </c>
      <c r="F20" s="56">
        <f>_xlfn.SUMIFS(_CALC_ALLOC!$AJ$1:$AJ$349,_CALC_ALLOC!$AS$1:$AS$349,"2027|"&amp;$P$1,_CALC_ALLOC!$B$1:$B$349,"MBWAY_PAR",_CALC_ALLOC!$D$1:$D$349,"BAC_MGT",_CALC_ALLOC!$E$1:$E$349,"B1",_CALC_ALLOC!$F$1:$F$349,"INIT")</f>
        <v>133799.77884</v>
      </c>
      <c r="G20" s="56">
        <f>_xlfn.SUMIFS(_CALC_ALLOC!$AK$1:$AK$349,_CALC_ALLOC!$AS$1:$AS$349,"2027|"&amp;$P$1,_CALC_ALLOC!$B$1:$B$349,"MBWAY_PAR",_CALC_ALLOC!$D$1:$D$349,"BAC_MGT",_CALC_ALLOC!$E$1:$E$349,"B1",_CALC_ALLOC!$F$1:$F$349,"INIT")</f>
        <v>67659.9162495988</v>
      </c>
      <c r="H20" s="56">
        <f>_xlfn.SUMIFS(_CALC_ALLOC!$AL$1:$AL$349,_CALC_ALLOC!$AS$1:$AS$349,"2027|"&amp;$P$1,_CALC_ALLOC!$B$1:$B$349,"MBWAY_PAR",_CALC_ALLOC!$D$1:$D$349,"BAC_MGT",_CALC_ALLOC!$E$1:$E$349,"B1",_CALC_ALLOC!$F$1:$F$349,"INIT")</f>
        <v>250920.4760844</v>
      </c>
      <c r="I20" s="56">
        <f>_xlfn.SUMIFS(_CALC_ALLOC!$AR$1:$AR$349,_CALC_ALLOC!$AS$1:$AS$349,"2027|"&amp;$P$1,_CALC_ALLOC!$B$1:$B$349,"MBWAY_PAR",_CALC_ALLOC!$D$1:$D$349,"BAC_MGT",_CALC_ALLOC!$E$1:$E$349,"B1",_CALC_ALLOC!$F$1:$F$349,"INIT")</f>
        <v>18845.8474234197</v>
      </c>
      <c r="J20" s="56">
        <f>_xlfn.SUMIFS(_CALC_ALLOC!$AM$1:$AM$349,_CALC_ALLOC!$AS$1:$AS$349,"2027|"&amp;$P$1,_CALC_ALLOC!$B$1:$B$349,"MBWAY_PAR",_CALC_ALLOC!$D$1:$D$349,"BAC_MGT",_CALC_ALLOC!$E$1:$E$349,"B1",_CALC_ALLOC!$F$1:$F$349,"INIT")</f>
        <v>67358.5456982395</v>
      </c>
      <c r="K20" s="57">
        <f t="shared" si="0"/>
        <v>585199.509747658</v>
      </c>
      <c r="L20" s="58">
        <f>_xlfn.SUMIFS(_CALC_ALLOC!$AN$1:$AN$349,_CALC_ALLOC!$AS$1:$AS$349,"2027|"&amp;$P$1,_CALC_ALLOC!$B$1:$B$349,"MBWAY_PAR",_CALC_ALLOC!$D$1:$D$349,"BAC_MGT",_CALC_ALLOC!$E$1:$E$349,"B1",_CALC_ALLOC!$F$1:$F$349,"INIT")</f>
        <v>138258.757674342</v>
      </c>
      <c r="M20" s="59">
        <f t="shared" si="1"/>
        <v>0.191108131457283</v>
      </c>
      <c r="BF20" t="s">
        <v>35</v>
      </c>
      <c r="BG20" t="s">
        <v>36</v>
      </c>
      <c r="BH20" t="s">
        <v>37</v>
      </c>
      <c r="BI20" t="s">
        <v>38</v>
      </c>
      <c r="BJ20" t="s">
        <v>73</v>
      </c>
      <c r="BK20" t="s">
        <v>65</v>
      </c>
      <c r="BL20" t="s">
        <v>70</v>
      </c>
      <c r="BM20" t="s">
        <v>72</v>
      </c>
      <c r="BN20" t="s">
        <v>43</v>
      </c>
      <c r="BO20">
        <v>63</v>
      </c>
      <c r="BP20">
        <v>3</v>
      </c>
      <c r="BQ20">
        <v>529200</v>
      </c>
      <c r="BR20">
        <v>28922.425</v>
      </c>
      <c r="BS20">
        <v>77624.56275</v>
      </c>
      <c r="BT20">
        <v>24118.854832</v>
      </c>
      <c r="BU20">
        <v>202318.324</v>
      </c>
      <c r="BV20">
        <v>11584.912545</v>
      </c>
      <c r="BW20">
        <v>59771.811886</v>
      </c>
      <c r="BX20">
        <v>71356.724431</v>
      </c>
      <c r="BY20">
        <v>53041.279832</v>
      </c>
      <c r="BZ20">
        <v>351299.611181</v>
      </c>
      <c r="CA20">
        <v>404340.891013</v>
      </c>
      <c r="CB20">
        <v>124859.108987</v>
      </c>
      <c r="CC20">
        <v>0</v>
      </c>
      <c r="CD20">
        <v>165271</v>
      </c>
      <c r="CE20">
        <v>443568.93</v>
      </c>
      <c r="CF20">
        <v>120212</v>
      </c>
      <c r="CG20">
        <v>50248</v>
      </c>
      <c r="CH20">
        <v>1011591.62</v>
      </c>
      <c r="CI20">
        <v>2639292</v>
      </c>
      <c r="CJ20">
        <v>499926</v>
      </c>
    </row>
    <row r="21" ht="14.497499999999997" customHeight="1" hidden="0" collapsed="0" outlineLevel="2">
      <c r="B21" s="54" t="s">
        <v>86</v>
      </c>
      <c r="C21" s="55">
        <f>_xlfn.SUMIFS(_CALC_ALLOC!$G$1:$G$349,_CALC_ALLOC!$AS$1:$AS$349,"2027|"&amp;$P$1,_CALC_ALLOC!$B$1:$B$349,"MBWAY_PAR",_CALC_ALLOC!$D$1:$D$349,"BAC_MGT",_CALC_ALLOC!$E$1:$E$349,"B2",_CALC_ALLOC!$F$1:$F$349,"ALT")</f>
        <v>76.39</v>
      </c>
      <c r="D21" s="56">
        <f>_xlfn.SUMIFS(_CALC_ALLOC!$I$1:$I$349,_CALC_ALLOC!$AS$1:$AS$349,"2027|"&amp;$P$1,_CALC_ALLOC!$B$1:$B$349,"MBWAY_PAR",_CALC_ALLOC!$D$1:$D$349,"BAC_MGT",_CALC_ALLOC!$E$1:$E$349,"B2",_CALC_ALLOC!$F$1:$F$349,"ALT")</f>
        <v>600981.763648</v>
      </c>
      <c r="E21" s="56">
        <f>_xlfn.SUMIFS(_CALC_ALLOC!$AI$1:$AI$349,_CALC_ALLOC!$AS$1:$AS$349,"2027|"&amp;$P$1,_CALC_ALLOC!$B$1:$B$349,"MBWAY_PAR",_CALC_ALLOC!$D$1:$D$349,"BAC_MGT",_CALC_ALLOC!$E$1:$E$349,"B2",_CALC_ALLOC!$F$1:$F$349,"ALT")</f>
        <v>37291.9563616</v>
      </c>
      <c r="F21" s="56">
        <f>_xlfn.SUMIFS(_CALC_ALLOC!$AJ$1:$AJ$349,_CALC_ALLOC!$AS$1:$AS$349,"2027|"&amp;$P$1,_CALC_ALLOC!$B$1:$B$349,"MBWAY_PAR",_CALC_ALLOC!$D$1:$D$349,"BAC_MGT",_CALC_ALLOC!$E$1:$E$349,"B2",_CALC_ALLOC!$F$1:$F$349,"ALT")</f>
        <v>107039.823072</v>
      </c>
      <c r="G21" s="56">
        <f>_xlfn.SUMIFS(_CALC_ALLOC!$AK$1:$AK$349,_CALC_ALLOC!$AS$1:$AS$349,"2027|"&amp;$P$1,_CALC_ALLOC!$B$1:$B$349,"MBWAY_PAR",_CALC_ALLOC!$D$1:$D$349,"BAC_MGT",_CALC_ALLOC!$E$1:$E$349,"B2",_CALC_ALLOC!$F$1:$F$349,"ALT")</f>
        <v>28034.8273872796</v>
      </c>
      <c r="H21" s="56">
        <f>_xlfn.SUMIFS(_CALC_ALLOC!$AL$1:$AL$349,_CALC_ALLOC!$AS$1:$AS$349,"2027|"&amp;$P$1,_CALC_ALLOC!$B$1:$B$349,"MBWAY_PAR",_CALC_ALLOC!$D$1:$D$349,"BAC_MGT",_CALC_ALLOC!$E$1:$E$349,"B2",_CALC_ALLOC!$F$1:$F$349,"ALT")</f>
        <v>250920.4760844</v>
      </c>
      <c r="I21" s="56">
        <f>_xlfn.SUMIFS(_CALC_ALLOC!$AR$1:$AR$349,_CALC_ALLOC!$AS$1:$AS$349,"2027|"&amp;$P$1,_CALC_ALLOC!$B$1:$B$349,"MBWAY_PAR",_CALC_ALLOC!$D$1:$D$349,"BAC_MGT",_CALC_ALLOC!$E$1:$E$349,"B2",_CALC_ALLOC!$F$1:$F$349,"ALT")</f>
        <v>18845.8474234197</v>
      </c>
      <c r="J21" s="56">
        <f>_xlfn.SUMIFS(_CALC_ALLOC!$AM$1:$AM$349,_CALC_ALLOC!$AS$1:$AS$349,"2027|"&amp;$P$1,_CALC_ALLOC!$B$1:$B$349,"MBWAY_PAR",_CALC_ALLOC!$D$1:$D$349,"BAC_MGT",_CALC_ALLOC!$E$1:$E$349,"B2",_CALC_ALLOC!$F$1:$F$349,"ALT")</f>
        <v>67358.5456982395</v>
      </c>
      <c r="K21" s="57">
        <f t="shared" si="0"/>
        <v>509491.476026939</v>
      </c>
      <c r="L21" s="58">
        <f>_xlfn.SUMIFS(_CALC_ALLOC!$AN$1:$AN$349,_CALC_ALLOC!$AS$1:$AS$349,"2027|"&amp;$P$1,_CALC_ALLOC!$B$1:$B$349,"MBWAY_PAR",_CALC_ALLOC!$D$1:$D$349,"BAC_MGT",_CALC_ALLOC!$E$1:$E$349,"B2",_CALC_ALLOC!$F$1:$F$349,"ALT")</f>
        <v>91490.2876210612</v>
      </c>
      <c r="M21" s="59">
        <f t="shared" si="1"/>
        <v>0.152234715186213</v>
      </c>
      <c r="BF21" t="s">
        <v>35</v>
      </c>
      <c r="BG21" t="s">
        <v>36</v>
      </c>
      <c r="BH21" t="s">
        <v>37</v>
      </c>
      <c r="BI21" t="s">
        <v>38</v>
      </c>
      <c r="BJ21" t="s">
        <v>87</v>
      </c>
      <c r="BK21" t="s">
        <v>65</v>
      </c>
      <c r="BL21" t="s">
        <v>66</v>
      </c>
      <c r="BM21" t="s">
        <v>42</v>
      </c>
      <c r="BN21" t="s">
        <v>67</v>
      </c>
      <c r="BO21">
        <v>42</v>
      </c>
      <c r="BP21">
        <v>2</v>
      </c>
      <c r="BQ21">
        <v>306180</v>
      </c>
      <c r="BR21">
        <v>27545</v>
      </c>
      <c r="BS21">
        <v>61223.45</v>
      </c>
      <c r="BT21">
        <v>25118.694169</v>
      </c>
      <c r="BU21">
        <v>110126.314</v>
      </c>
      <c r="BV21">
        <v>7600.28844</v>
      </c>
      <c r="BW21">
        <v>39213.331061</v>
      </c>
      <c r="BX21">
        <v>46813.619501</v>
      </c>
      <c r="BY21">
        <v>52663.694169</v>
      </c>
      <c r="BZ21">
        <v>218163.383501</v>
      </c>
      <c r="CA21">
        <v>270827.07767</v>
      </c>
      <c r="CB21">
        <v>35352.92233</v>
      </c>
      <c r="CC21">
        <v>42</v>
      </c>
      <c r="CD21">
        <v>110180</v>
      </c>
      <c r="CE21">
        <v>244893.8</v>
      </c>
      <c r="CF21">
        <v>78443</v>
      </c>
      <c r="CG21">
        <v>18251</v>
      </c>
      <c r="CH21">
        <v>550631.57</v>
      </c>
      <c r="CI21">
        <v>2639292</v>
      </c>
      <c r="CJ21">
        <v>499926</v>
      </c>
    </row>
    <row r="22" ht="14.497499999999997" customHeight="1" hidden="0" collapsed="0" outlineLevel="2">
      <c r="B22" s="54" t="s">
        <v>88</v>
      </c>
      <c r="C22" s="55">
        <f>_xlfn.SUMIFS(_CALC_ALLOC!$G$1:$G$349,_CALC_ALLOC!$AS$1:$AS$349,"2027|"&amp;$P$1,_CALC_ALLOC!$B$1:$B$349,"MBWAY_PAR",_CALC_ALLOC!$D$1:$D$349,"BAC_MGT",_CALC_ALLOC!$E$1:$E$349,"B3",_CALC_ALLOC!$F$1:$F$349,"ALT")</f>
        <v>74.38</v>
      </c>
      <c r="D22" s="56">
        <f>_xlfn.SUMIFS(_CALC_ALLOC!$I$1:$I$349,_CALC_ALLOC!$AS$1:$AS$349,"2027|"&amp;$P$1,_CALC_ALLOC!$B$1:$B$349,"MBWAY_PAR",_CALC_ALLOC!$D$1:$D$349,"BAC_MGT",_CALC_ALLOC!$E$1:$E$349,"B3",_CALC_ALLOC!$F$1:$F$349,"ALT")</f>
        <v>585168.524416</v>
      </c>
      <c r="E22" s="56">
        <f>_xlfn.SUMIFS(_CALC_ALLOC!$AI$1:$AI$349,_CALC_ALLOC!$AS$1:$AS$349,"2027|"&amp;$P$1,_CALC_ALLOC!$B$1:$B$349,"MBWAY_PAR",_CALC_ALLOC!$D$1:$D$349,"BAC_MGT",_CALC_ALLOC!$E$1:$E$349,"B3",_CALC_ALLOC!$F$1:$F$349,"ALT")</f>
        <v>37291.9563616</v>
      </c>
      <c r="F22" s="56">
        <f>_xlfn.SUMIFS(_CALC_ALLOC!$AJ$1:$AJ$349,_CALC_ALLOC!$AS$1:$AS$349,"2027|"&amp;$P$1,_CALC_ALLOC!$B$1:$B$349,"MBWAY_PAR",_CALC_ALLOC!$D$1:$D$349,"BAC_MGT",_CALC_ALLOC!$E$1:$E$349,"B3",_CALC_ALLOC!$F$1:$F$349,"ALT")</f>
        <v>107039.823072</v>
      </c>
      <c r="G22" s="56">
        <f>_xlfn.SUMIFS(_CALC_ALLOC!$AK$1:$AK$349,_CALC_ALLOC!$AS$1:$AS$349,"2027|"&amp;$P$1,_CALC_ALLOC!$B$1:$B$349,"MBWAY_PAR",_CALC_ALLOC!$D$1:$D$349,"BAC_MGT",_CALC_ALLOC!$E$1:$E$349,"B3",_CALC_ALLOC!$F$1:$F$349,"ALT")</f>
        <v>27297.1653497298</v>
      </c>
      <c r="H22" s="56">
        <f>_xlfn.SUMIFS(_CALC_ALLOC!$AL$1:$AL$349,_CALC_ALLOC!$AS$1:$AS$349,"2027|"&amp;$P$1,_CALC_ALLOC!$B$1:$B$349,"MBWAY_PAR",_CALC_ALLOC!$D$1:$D$349,"BAC_MGT",_CALC_ALLOC!$E$1:$E$349,"B3",_CALC_ALLOC!$F$1:$F$349,"ALT")</f>
        <v>250920.4760844</v>
      </c>
      <c r="I22" s="56">
        <f>_xlfn.SUMIFS(_CALC_ALLOC!$AR$1:$AR$349,_CALC_ALLOC!$AS$1:$AS$349,"2027|"&amp;$P$1,_CALC_ALLOC!$B$1:$B$349,"MBWAY_PAR",_CALC_ALLOC!$D$1:$D$349,"BAC_MGT",_CALC_ALLOC!$E$1:$E$349,"B3",_CALC_ALLOC!$F$1:$F$349,"ALT")</f>
        <v>18845.8474234197</v>
      </c>
      <c r="J22" s="56">
        <f>_xlfn.SUMIFS(_CALC_ALLOC!$AM$1:$AM$349,_CALC_ALLOC!$AS$1:$AS$349,"2027|"&amp;$P$1,_CALC_ALLOC!$B$1:$B$349,"MBWAY_PAR",_CALC_ALLOC!$D$1:$D$349,"BAC_MGT",_CALC_ALLOC!$E$1:$E$349,"B3",_CALC_ALLOC!$F$1:$F$349,"ALT")</f>
        <v>67358.5456982395</v>
      </c>
      <c r="K22" s="57">
        <f t="shared" si="0"/>
        <v>508753.813989389</v>
      </c>
      <c r="L22" s="58">
        <f>_xlfn.SUMIFS(_CALC_ALLOC!$AN$1:$AN$349,_CALC_ALLOC!$AS$1:$AS$349,"2027|"&amp;$P$1,_CALC_ALLOC!$B$1:$B$349,"MBWAY_PAR",_CALC_ALLOC!$D$1:$D$349,"BAC_MGT",_CALC_ALLOC!$E$1:$E$349,"B3",_CALC_ALLOC!$F$1:$F$349,"ALT")</f>
        <v>76414.710426611</v>
      </c>
      <c r="M22" s="59">
        <f t="shared" si="1"/>
        <v>0.130585817996402</v>
      </c>
      <c r="BF22" t="s">
        <v>35</v>
      </c>
      <c r="BG22" t="s">
        <v>36</v>
      </c>
      <c r="BH22" t="s">
        <v>37</v>
      </c>
      <c r="BI22" t="s">
        <v>38</v>
      </c>
      <c r="BJ22" t="s">
        <v>87</v>
      </c>
      <c r="BK22" t="s">
        <v>65</v>
      </c>
      <c r="BL22" t="s">
        <v>66</v>
      </c>
      <c r="BM22" t="s">
        <v>44</v>
      </c>
      <c r="BN22" t="s">
        <v>43</v>
      </c>
      <c r="BO22">
        <v>41</v>
      </c>
      <c r="BP22">
        <v>2</v>
      </c>
      <c r="BQ22">
        <v>275520</v>
      </c>
      <c r="BR22">
        <v>22036</v>
      </c>
      <c r="BS22">
        <v>48978.76</v>
      </c>
      <c r="BT22">
        <v>15612.431847</v>
      </c>
      <c r="BU22">
        <v>110126.314</v>
      </c>
      <c r="BV22">
        <v>7600.28844</v>
      </c>
      <c r="BW22">
        <v>39213.331061</v>
      </c>
      <c r="BX22">
        <v>46813.619501</v>
      </c>
      <c r="BY22">
        <v>37648.431847</v>
      </c>
      <c r="BZ22">
        <v>205918.693501</v>
      </c>
      <c r="CA22">
        <v>243567.125348</v>
      </c>
      <c r="CB22">
        <v>31952.874652</v>
      </c>
      <c r="CC22">
        <v>0</v>
      </c>
      <c r="CD22">
        <v>110180</v>
      </c>
      <c r="CE22">
        <v>244893.8</v>
      </c>
      <c r="CF22">
        <v>78443</v>
      </c>
      <c r="CG22">
        <v>18251</v>
      </c>
      <c r="CH22">
        <v>550631.57</v>
      </c>
      <c r="CI22">
        <v>2639292</v>
      </c>
      <c r="CJ22">
        <v>499926</v>
      </c>
    </row>
    <row r="23" ht="14.497499999999997" customHeight="1" hidden="0" collapsed="0" outlineLevel="2">
      <c r="B23" s="54" t="s">
        <v>89</v>
      </c>
      <c r="C23" s="55">
        <f>_xlfn.SUMIFS(_CALC_ALLOC!$G$1:$G$349,_CALC_ALLOC!$AS$1:$AS$349,"2027|"&amp;$P$1,_CALC_ALLOC!$B$1:$B$349,"MBWAY_PAR",_CALC_ALLOC!$D$1:$D$349,"MAS_MGT",_CALC_ALLOC!$E$1:$E$349,"M1",_CALC_ALLOC!$F$1:$F$349,"ALT")</f>
        <v>86.70186</v>
      </c>
      <c r="D23" s="56">
        <f>_xlfn.SUMIFS(_CALC_ALLOC!$I$1:$I$349,_CALC_ALLOC!$AS$1:$AS$349,"2027|"&amp;$P$1,_CALC_ALLOC!$B$1:$B$349,"MBWAY_PAR",_CALC_ALLOC!$D$1:$D$349,"MAS_MGT",_CALC_ALLOC!$E$1:$E$349,"M1",_CALC_ALLOC!$F$1:$F$349,"ALT")</f>
        <v>738633.260172</v>
      </c>
      <c r="E23" s="56">
        <f>_xlfn.SUMIFS(_CALC_ALLOC!$AI$1:$AI$349,_CALC_ALLOC!$AS$1:$AS$349,"2027|"&amp;$P$1,_CALC_ALLOC!$B$1:$B$349,"MBWAY_PAR",_CALC_ALLOC!$D$1:$D$349,"MAS_MGT",_CALC_ALLOC!$E$1:$E$349,"M1",_CALC_ALLOC!$F$1:$F$349,"ALT")</f>
        <v>32630.4618164</v>
      </c>
      <c r="F23" s="56">
        <f>_xlfn.SUMIFS(_CALC_ALLOC!$AJ$1:$AJ$349,_CALC_ALLOC!$AS$1:$AS$349,"2027|"&amp;$P$1,_CALC_ALLOC!$B$1:$B$349,"MBWAY_PAR",_CALC_ALLOC!$D$1:$D$349,"MAS_MGT",_CALC_ALLOC!$E$1:$E$349,"M1",_CALC_ALLOC!$F$1:$F$349,"ALT")</f>
        <v>93659.845188</v>
      </c>
      <c r="G23" s="56">
        <f>_xlfn.SUMIFS(_CALC_ALLOC!$AK$1:$AK$349,_CALC_ALLOC!$AS$1:$AS$349,"2027|"&amp;$P$1,_CALC_ALLOC!$B$1:$B$349,"MBWAY_PAR",_CALC_ALLOC!$D$1:$D$349,"MAS_MGT",_CALC_ALLOC!$E$1:$E$349,"M1",_CALC_ALLOC!$F$1:$F$349,"ALT")</f>
        <v>69079.1256011123</v>
      </c>
      <c r="H23" s="56">
        <f>_xlfn.SUMIFS(_CALC_ALLOC!$AL$1:$AL$349,_CALC_ALLOC!$AS$1:$AS$349,"2027|"&amp;$P$1,_CALC_ALLOC!$B$1:$B$349,"MBWAY_PAR",_CALC_ALLOC!$D$1:$D$349,"MAS_MGT",_CALC_ALLOC!$E$1:$E$349,"M1",_CALC_ALLOC!$F$1:$F$349,"ALT")</f>
        <v>250920.4760844</v>
      </c>
      <c r="I23" s="56">
        <f>_xlfn.SUMIFS(_CALC_ALLOC!$AR$1:$AR$349,_CALC_ALLOC!$AS$1:$AS$349,"2027|"&amp;$P$1,_CALC_ALLOC!$B$1:$B$349,"MBWAY_PAR",_CALC_ALLOC!$D$1:$D$349,"MAS_MGT",_CALC_ALLOC!$E$1:$E$349,"M1",_CALC_ALLOC!$F$1:$F$349,"ALT")</f>
        <v>18845.8474234197</v>
      </c>
      <c r="J23" s="56">
        <f>_xlfn.SUMIFS(_CALC_ALLOC!$AM$1:$AM$349,_CALC_ALLOC!$AS$1:$AS$349,"2027|"&amp;$P$1,_CALC_ALLOC!$B$1:$B$349,"MBWAY_PAR",_CALC_ALLOC!$D$1:$D$349,"MAS_MGT",_CALC_ALLOC!$E$1:$E$349,"M1",_CALC_ALLOC!$F$1:$F$349,"ALT")</f>
        <v>67358.5456982395</v>
      </c>
      <c r="K23" s="57">
        <f t="shared" si="0"/>
        <v>532494.301811571</v>
      </c>
      <c r="L23" s="58">
        <f>_xlfn.SUMIFS(_CALC_ALLOC!$AN$1:$AN$349,_CALC_ALLOC!$AS$1:$AS$349,"2027|"&amp;$P$1,_CALC_ALLOC!$B$1:$B$349,"MBWAY_PAR",_CALC_ALLOC!$D$1:$D$349,"MAS_MGT",_CALC_ALLOC!$E$1:$E$349,"M1",_CALC_ALLOC!$F$1:$F$349,"ALT")</f>
        <v>206138.958360429</v>
      </c>
      <c r="M23" s="59">
        <f t="shared" si="1"/>
        <v>0.279081608527115</v>
      </c>
      <c r="BF23" t="s">
        <v>35</v>
      </c>
      <c r="BG23" t="s">
        <v>36</v>
      </c>
      <c r="BH23" t="s">
        <v>37</v>
      </c>
      <c r="BI23" t="s">
        <v>38</v>
      </c>
      <c r="BJ23" t="s">
        <v>87</v>
      </c>
      <c r="BK23" t="s">
        <v>65</v>
      </c>
      <c r="BL23" t="s">
        <v>66</v>
      </c>
      <c r="BM23" t="s">
        <v>50</v>
      </c>
      <c r="BN23" t="s">
        <v>43</v>
      </c>
      <c r="BO23">
        <v>40</v>
      </c>
      <c r="BP23">
        <v>2</v>
      </c>
      <c r="BQ23">
        <v>268800</v>
      </c>
      <c r="BR23">
        <v>22036</v>
      </c>
      <c r="BS23">
        <v>48978.76</v>
      </c>
      <c r="BT23">
        <v>15231.591082</v>
      </c>
      <c r="BU23">
        <v>110126.314</v>
      </c>
      <c r="BV23">
        <v>7600.28844</v>
      </c>
      <c r="BW23">
        <v>39213.331061</v>
      </c>
      <c r="BX23">
        <v>46813.619501</v>
      </c>
      <c r="BY23">
        <v>37267.591082</v>
      </c>
      <c r="BZ23">
        <v>205918.693501</v>
      </c>
      <c r="CA23">
        <v>243186.284583</v>
      </c>
      <c r="CB23">
        <v>25613.715417</v>
      </c>
      <c r="CC23">
        <v>0</v>
      </c>
      <c r="CD23">
        <v>110180</v>
      </c>
      <c r="CE23">
        <v>244893.8</v>
      </c>
      <c r="CF23">
        <v>78443</v>
      </c>
      <c r="CG23">
        <v>18251</v>
      </c>
      <c r="CH23">
        <v>550631.57</v>
      </c>
      <c r="CI23">
        <v>2639292</v>
      </c>
      <c r="CJ23">
        <v>499926</v>
      </c>
    </row>
    <row r="24" ht="14.497499999999997" customHeight="1" hidden="0" collapsed="0" outlineLevel="2">
      <c r="B24" s="54" t="s">
        <v>90</v>
      </c>
      <c r="C24" s="55">
        <f>_xlfn.SUMIFS(_CALC_ALLOC!$G$1:$G$349,_CALC_ALLOC!$AS$1:$AS$349,"2027|"&amp;$P$1,_CALC_ALLOC!$B$1:$B$349,"MBWAY_PAR",_CALC_ALLOC!$D$1:$D$349,"MAS_MGT",_CALC_ALLOC!$E$1:$E$349,"M2",_CALC_ALLOC!$F$1:$F$349,"ALT")</f>
        <v>76.39</v>
      </c>
      <c r="D24" s="56">
        <f>_xlfn.SUMIFS(_CALC_ALLOC!$I$1:$I$349,_CALC_ALLOC!$AS$1:$AS$349,"2027|"&amp;$P$1,_CALC_ALLOC!$B$1:$B$349,"MBWAY_PAR",_CALC_ALLOC!$D$1:$D$349,"MAS_MGT",_CALC_ALLOC!$E$1:$E$349,"M2",_CALC_ALLOC!$F$1:$F$349,"ALT")</f>
        <v>643909.03248</v>
      </c>
      <c r="E24" s="56">
        <f>_xlfn.SUMIFS(_CALC_ALLOC!$AI$1:$AI$349,_CALC_ALLOC!$AS$1:$AS$349,"2027|"&amp;$P$1,_CALC_ALLOC!$B$1:$B$349,"MBWAY_PAR",_CALC_ALLOC!$D$1:$D$349,"MAS_MGT",_CALC_ALLOC!$E$1:$E$349,"M2",_CALC_ALLOC!$F$1:$F$349,"ALT")</f>
        <v>32630.4618164</v>
      </c>
      <c r="F24" s="56">
        <f>_xlfn.SUMIFS(_CALC_ALLOC!$AJ$1:$AJ$349,_CALC_ALLOC!$AS$1:$AS$349,"2027|"&amp;$P$1,_CALC_ALLOC!$B$1:$B$349,"MBWAY_PAR",_CALC_ALLOC!$D$1:$D$349,"MAS_MGT",_CALC_ALLOC!$E$1:$E$349,"M2",_CALC_ALLOC!$F$1:$F$349,"ALT")</f>
        <v>93659.845188</v>
      </c>
      <c r="G24" s="56">
        <f>_xlfn.SUMIFS(_CALC_ALLOC!$AK$1:$AK$349,_CALC_ALLOC!$AS$1:$AS$349,"2027|"&amp;$P$1,_CALC_ALLOC!$B$1:$B$349,"MBWAY_PAR",_CALC_ALLOC!$D$1:$D$349,"MAS_MGT",_CALC_ALLOC!$E$1:$E$349,"M2",_CALC_ALLOC!$F$1:$F$349,"ALT")</f>
        <v>28034.8273872796</v>
      </c>
      <c r="H24" s="56">
        <f>_xlfn.SUMIFS(_CALC_ALLOC!$AL$1:$AL$349,_CALC_ALLOC!$AS$1:$AS$349,"2027|"&amp;$P$1,_CALC_ALLOC!$B$1:$B$349,"MBWAY_PAR",_CALC_ALLOC!$D$1:$D$349,"MAS_MGT",_CALC_ALLOC!$E$1:$E$349,"M2",_CALC_ALLOC!$F$1:$F$349,"ALT")</f>
        <v>250920.4760844</v>
      </c>
      <c r="I24" s="56">
        <f>_xlfn.SUMIFS(_CALC_ALLOC!$AR$1:$AR$349,_CALC_ALLOC!$AS$1:$AS$349,"2027|"&amp;$P$1,_CALC_ALLOC!$B$1:$B$349,"MBWAY_PAR",_CALC_ALLOC!$D$1:$D$349,"MAS_MGT",_CALC_ALLOC!$E$1:$E$349,"M2",_CALC_ALLOC!$F$1:$F$349,"ALT")</f>
        <v>18845.8474234197</v>
      </c>
      <c r="J24" s="56">
        <f>_xlfn.SUMIFS(_CALC_ALLOC!$AM$1:$AM$349,_CALC_ALLOC!$AS$1:$AS$349,"2027|"&amp;$P$1,_CALC_ALLOC!$B$1:$B$349,"MBWAY_PAR",_CALC_ALLOC!$D$1:$D$349,"MAS_MGT",_CALC_ALLOC!$E$1:$E$349,"M2",_CALC_ALLOC!$F$1:$F$349,"ALT")</f>
        <v>67358.5456982395</v>
      </c>
      <c r="K24" s="57">
        <f t="shared" si="0"/>
        <v>491450.003597739</v>
      </c>
      <c r="L24" s="58">
        <f>_xlfn.SUMIFS(_CALC_ALLOC!$AN$1:$AN$349,_CALC_ALLOC!$AS$1:$AS$349,"2027|"&amp;$P$1,_CALC_ALLOC!$B$1:$B$349,"MBWAY_PAR",_CALC_ALLOC!$D$1:$D$349,"MAS_MGT",_CALC_ALLOC!$E$1:$E$349,"M2",_CALC_ALLOC!$F$1:$F$349,"ALT")</f>
        <v>152459.028882261</v>
      </c>
      <c r="M24" s="59">
        <f t="shared" si="1"/>
        <v>0.236771067327738</v>
      </c>
      <c r="BF24" t="s">
        <v>35</v>
      </c>
      <c r="BG24" t="s">
        <v>36</v>
      </c>
      <c r="BH24" t="s">
        <v>37</v>
      </c>
      <c r="BI24" t="s">
        <v>38</v>
      </c>
      <c r="BJ24" t="s">
        <v>87</v>
      </c>
      <c r="BK24" t="s">
        <v>65</v>
      </c>
      <c r="BL24" t="s">
        <v>70</v>
      </c>
      <c r="BM24" t="s">
        <v>71</v>
      </c>
      <c r="BN24" t="s">
        <v>43</v>
      </c>
      <c r="BO24">
        <v>42</v>
      </c>
      <c r="BP24">
        <v>2</v>
      </c>
      <c r="BQ24">
        <v>306180</v>
      </c>
      <c r="BR24">
        <v>19281.5</v>
      </c>
      <c r="BS24">
        <v>42856.415</v>
      </c>
      <c r="BT24">
        <v>25118.694169</v>
      </c>
      <c r="BU24">
        <v>110126.314</v>
      </c>
      <c r="BV24">
        <v>7600.28844</v>
      </c>
      <c r="BW24">
        <v>39213.331061</v>
      </c>
      <c r="BX24">
        <v>46813.619501</v>
      </c>
      <c r="BY24">
        <v>44400.194169</v>
      </c>
      <c r="BZ24">
        <v>199796.348501</v>
      </c>
      <c r="CA24">
        <v>244196.54267</v>
      </c>
      <c r="CB24">
        <v>61983.45733</v>
      </c>
      <c r="CC24">
        <v>42</v>
      </c>
      <c r="CD24">
        <v>110180</v>
      </c>
      <c r="CE24">
        <v>244893.8</v>
      </c>
      <c r="CF24">
        <v>78443</v>
      </c>
      <c r="CG24">
        <v>18251</v>
      </c>
      <c r="CH24">
        <v>550631.57</v>
      </c>
      <c r="CI24">
        <v>2639292</v>
      </c>
      <c r="CJ24">
        <v>499926</v>
      </c>
    </row>
    <row r="25" ht="14.497499999999997" customHeight="1" hidden="0" collapsed="0" outlineLevel="1">
      <c r="B25" s="49" t="s">
        <v>91</v>
      </c>
      <c r="C25" s="50">
        <f>_xlfn.SUMIFS(_CALC_ALLOC!$G$1:$G$349,_CALC_ALLOC!$AS$1:$AS$349,"2027|"&amp;$P$1,_CALC_ALLOC!$B$1:$B$349,"MBWAY_LYO")</f>
        <v>338.498202</v>
      </c>
      <c r="D25" s="51">
        <f>_xlfn.SUMIFS(_CALC_ALLOC!$I$1:$I$349,_CALC_ALLOC!$AS$1:$AS$349,"2027|"&amp;$P$1,_CALC_ALLOC!$B$1:$B$349,"MBWAY_LYO")</f>
        <v>2620797.055606</v>
      </c>
      <c r="E25" s="51">
        <f>_xlfn.SUMIFS(_CALC_ALLOC!$AI$1:$AI$349,_CALC_ALLOC!$AS$1:$AS$349,"2027|"&amp;$P$1,_CALC_ALLOC!$B$1:$B$349,"MBWAY_LYO")</f>
        <v>161598.340283</v>
      </c>
      <c r="F25" s="51">
        <f>_xlfn.SUMIFS(_CALC_ALLOC!$AJ$1:$AJ$349,_CALC_ALLOC!$AS$1:$AS$349,"2027|"&amp;$P$1,_CALC_ALLOC!$B$1:$B$349,"MBWAY_LYO")</f>
        <v>426605.5248</v>
      </c>
      <c r="G25" s="51">
        <f>_xlfn.SUMIFS(_CALC_ALLOC!$AK$1:$AK$349,_CALC_ALLOC!$AS$1:$AS$349,"2027|"&amp;$P$1,_CALC_ALLOC!$B$1:$B$349,"MBWAY_LYO")</f>
        <v>169256.780927</v>
      </c>
      <c r="H25" s="51">
        <f>_xlfn.SUMIFS(_CALC_ALLOC!$AL$1:$AL$349,_CALC_ALLOC!$AS$1:$AS$349,"2027|"&amp;$P$1,_CALC_ALLOC!$B$1:$B$349,"MBWAY_LYO")</f>
        <v>985233.873682001</v>
      </c>
      <c r="I25" s="51">
        <f>_xlfn.SUMIFS(_CALC_ALLOC!$AR$1:$AR$349,_CALC_ALLOC!$AS$1:$AS$349,"2027|"&amp;$P$1,_CALC_ALLOC!$B$1:$B$349,"MBWAY_LYO")</f>
        <v>79984.5298610251</v>
      </c>
      <c r="J25" s="51">
        <f>_xlfn.SUMIFS(_CALC_ALLOC!$AM$1:$AM$349,_CALC_ALLOC!$AS$1:$AS$349,"2027|"&amp;$P$1,_CALC_ALLOC!$B$1:$B$349,"MBWAY_LYO")</f>
        <v>285879.509090202</v>
      </c>
      <c r="K25" s="51">
        <f t="shared" si="0"/>
        <v>2108558.55864323</v>
      </c>
      <c r="L25" s="52">
        <f>_xlfn.SUMIFS(_CALC_ALLOC!$AN$1:$AN$349,_CALC_ALLOC!$AS$1:$AS$349,"2027|"&amp;$P$1,_CALC_ALLOC!$B$1:$B$349,"MBWAY_LYO")</f>
        <v>512238.496962772</v>
      </c>
      <c r="M25" s="53">
        <f t="shared" si="1"/>
        <v>0.195451416532643</v>
      </c>
      <c r="BF25" t="s">
        <v>35</v>
      </c>
      <c r="BG25" t="s">
        <v>36</v>
      </c>
      <c r="BH25" t="s">
        <v>37</v>
      </c>
      <c r="BI25" t="s">
        <v>38</v>
      </c>
      <c r="BJ25" t="s">
        <v>87</v>
      </c>
      <c r="BK25" t="s">
        <v>65</v>
      </c>
      <c r="BL25" t="s">
        <v>70</v>
      </c>
      <c r="BM25" t="s">
        <v>72</v>
      </c>
      <c r="BN25" t="s">
        <v>43</v>
      </c>
      <c r="BO25">
        <v>41</v>
      </c>
      <c r="BP25">
        <v>2</v>
      </c>
      <c r="BQ25">
        <v>295200</v>
      </c>
      <c r="BR25">
        <v>19281.5</v>
      </c>
      <c r="BS25">
        <v>42856.415</v>
      </c>
      <c r="BT25">
        <v>15612.431847</v>
      </c>
      <c r="BU25">
        <v>110126.314</v>
      </c>
      <c r="BV25">
        <v>7600.28844</v>
      </c>
      <c r="BW25">
        <v>39213.331061</v>
      </c>
      <c r="BX25">
        <v>46813.619501</v>
      </c>
      <c r="BY25">
        <v>34893.931847</v>
      </c>
      <c r="BZ25">
        <v>199796.348501</v>
      </c>
      <c r="CA25">
        <v>234690.280348</v>
      </c>
      <c r="CB25">
        <v>60509.719652</v>
      </c>
      <c r="CC25">
        <v>0</v>
      </c>
      <c r="CD25">
        <v>110180</v>
      </c>
      <c r="CE25">
        <v>244893.8</v>
      </c>
      <c r="CF25">
        <v>78443</v>
      </c>
      <c r="CG25">
        <v>18251</v>
      </c>
      <c r="CH25">
        <v>550631.57</v>
      </c>
      <c r="CI25">
        <v>2639292</v>
      </c>
      <c r="CJ25">
        <v>499926</v>
      </c>
    </row>
    <row r="26" ht="14.497499999999997" customHeight="1" hidden="0" collapsed="0" outlineLevel="2">
      <c r="B26" s="54" t="s">
        <v>85</v>
      </c>
      <c r="C26" s="55">
        <f>_xlfn.SUMIFS(_CALC_ALLOC!$G$1:$G$349,_CALC_ALLOC!$AS$1:$AS$349,"2027|"&amp;$P$1,_CALC_ALLOC!$B$1:$B$349,"MBWAY_LYO",_CALC_ALLOC!$D$1:$D$349,"BAC_MGT",_CALC_ALLOC!$E$1:$E$349,"B1",_CALC_ALLOC!$F$1:$F$349,"INIT")</f>
        <v>72.005855</v>
      </c>
      <c r="D26" s="56">
        <f>_xlfn.SUMIFS(_CALC_ALLOC!$I$1:$I$349,_CALC_ALLOC!$AS$1:$AS$349,"2027|"&amp;$P$1,_CALC_ALLOC!$B$1:$B$349,"MBWAY_LYO",_CALC_ALLOC!$D$1:$D$349,"BAC_MGT",_CALC_ALLOC!$E$1:$E$349,"B1",_CALC_ALLOC!$F$1:$F$349,"INIT")</f>
        <v>575499.955531</v>
      </c>
      <c r="E26" s="56">
        <f>_xlfn.SUMIFS(_CALC_ALLOC!$AI$1:$AI$349,_CALC_ALLOC!$AS$1:$AS$349,"2027|"&amp;$P$1,_CALC_ALLOC!$B$1:$B$349,"MBWAY_LYO",_CALC_ALLOC!$D$1:$D$349,"BAC_MGT",_CALC_ALLOC!$E$1:$E$349,"B1",_CALC_ALLOC!$F$1:$F$349,"INIT")</f>
        <v>46614.9058508654</v>
      </c>
      <c r="F26" s="56">
        <f>_xlfn.SUMIFS(_CALC_ALLOC!$AJ$1:$AJ$349,_CALC_ALLOC!$AS$1:$AS$349,"2027|"&amp;$P$1,_CALC_ALLOC!$B$1:$B$349,"MBWAY_LYO",_CALC_ALLOC!$D$1:$D$349,"BAC_MGT",_CALC_ALLOC!$E$1:$E$349,"B1",_CALC_ALLOC!$F$1:$F$349,"INIT")</f>
        <v>123059.286</v>
      </c>
      <c r="G26" s="56">
        <f>_xlfn.SUMIFS(_CALC_ALLOC!$AK$1:$AK$349,_CALC_ALLOC!$AS$1:$AS$349,"2027|"&amp;$P$1,_CALC_ALLOC!$B$1:$B$349,"MBWAY_LYO",_CALC_ALLOC!$D$1:$D$349,"BAC_MGT",_CALC_ALLOC!$E$1:$E$349,"B1",_CALC_ALLOC!$F$1:$F$349,"INIT")</f>
        <v>48734.6021693802</v>
      </c>
      <c r="H26" s="56">
        <f>_xlfn.SUMIFS(_CALC_ALLOC!$AL$1:$AL$349,_CALC_ALLOC!$AS$1:$AS$349,"2027|"&amp;$P$1,_CALC_ALLOC!$B$1:$B$349,"MBWAY_LYO",_CALC_ALLOC!$D$1:$D$349,"BAC_MGT",_CALC_ALLOC!$E$1:$E$349,"B1",_CALC_ALLOC!$F$1:$F$349,"INIT")</f>
        <v>227361.663157385</v>
      </c>
      <c r="I26" s="56">
        <f>_xlfn.SUMIFS(_CALC_ALLOC!$AR$1:$AR$349,_CALC_ALLOC!$AS$1:$AS$349,"2027|"&amp;$P$1,_CALC_ALLOC!$B$1:$B$349,"MBWAY_LYO",_CALC_ALLOC!$D$1:$D$349,"BAC_MGT",_CALC_ALLOC!$E$1:$E$349,"B1",_CALC_ALLOC!$F$1:$F$349,"INIT")</f>
        <v>18457.9684294673</v>
      </c>
      <c r="J26" s="56">
        <f>_xlfn.SUMIFS(_CALC_ALLOC!$AM$1:$AM$349,_CALC_ALLOC!$AS$1:$AS$349,"2027|"&amp;$P$1,_CALC_ALLOC!$B$1:$B$349,"MBWAY_LYO",_CALC_ALLOC!$D$1:$D$349,"BAC_MGT",_CALC_ALLOC!$E$1:$E$349,"B1",_CALC_ALLOC!$F$1:$F$349,"INIT")</f>
        <v>65972.1944054312</v>
      </c>
      <c r="K26" s="57">
        <f t="shared" si="0"/>
        <v>530200.620012529</v>
      </c>
      <c r="L26" s="58">
        <f>_xlfn.SUMIFS(_CALC_ALLOC!$AN$1:$AN$349,_CALC_ALLOC!$AS$1:$AS$349,"2027|"&amp;$P$1,_CALC_ALLOC!$B$1:$B$349,"MBWAY_LYO",_CALC_ALLOC!$D$1:$D$349,"BAC_MGT",_CALC_ALLOC!$E$1:$E$349,"B1",_CALC_ALLOC!$F$1:$F$349,"INIT")</f>
        <v>45299.335518471</v>
      </c>
      <c r="M26" s="59">
        <f t="shared" si="1"/>
        <v>0.0787130130647437</v>
      </c>
      <c r="BF26" t="s">
        <v>35</v>
      </c>
      <c r="BG26" t="s">
        <v>36</v>
      </c>
      <c r="BH26" t="s">
        <v>37</v>
      </c>
      <c r="BI26" t="s">
        <v>38</v>
      </c>
      <c r="BJ26" t="s">
        <v>92</v>
      </c>
      <c r="BK26" t="s">
        <v>93</v>
      </c>
      <c r="BL26" t="s">
        <v>94</v>
      </c>
      <c r="BM26" t="s">
        <v>42</v>
      </c>
      <c r="BN26" t="s">
        <v>67</v>
      </c>
      <c r="BO26">
        <v>45</v>
      </c>
      <c r="BP26">
        <v>2</v>
      </c>
      <c r="BQ26">
        <v>331425</v>
      </c>
      <c r="BR26">
        <v>27545</v>
      </c>
      <c r="BS26">
        <v>64185.895</v>
      </c>
      <c r="BT26">
        <v>27515.708164</v>
      </c>
      <c r="BU26">
        <v>121392.636</v>
      </c>
      <c r="BV26">
        <v>8229.004471</v>
      </c>
      <c r="BW26">
        <v>42068.69378</v>
      </c>
      <c r="BX26">
        <v>50297.698251</v>
      </c>
      <c r="BY26">
        <v>55060.708164</v>
      </c>
      <c r="BZ26">
        <v>235876.229251</v>
      </c>
      <c r="CA26">
        <v>290936.937415</v>
      </c>
      <c r="CB26">
        <v>40488.062585</v>
      </c>
      <c r="CC26">
        <v>45</v>
      </c>
      <c r="CD26">
        <v>110180</v>
      </c>
      <c r="CE26">
        <v>256743.58</v>
      </c>
      <c r="CF26">
        <v>84556</v>
      </c>
      <c r="CG26">
        <v>20597</v>
      </c>
      <c r="CH26">
        <v>606963.18</v>
      </c>
      <c r="CI26">
        <v>2639292</v>
      </c>
      <c r="CJ26">
        <v>499926</v>
      </c>
    </row>
    <row r="27" ht="14.497499999999997" customHeight="1" hidden="0" collapsed="0" outlineLevel="2">
      <c r="B27" s="54" t="s">
        <v>86</v>
      </c>
      <c r="C27" s="55">
        <f>_xlfn.SUMIFS(_CALC_ALLOC!$G$1:$G$349,_CALC_ALLOC!$AS$1:$AS$349,"2027|"&amp;$P$1,_CALC_ALLOC!$B$1:$B$349,"MBWAY_LYO",_CALC_ALLOC!$D$1:$D$349,"BAC_MGT",_CALC_ALLOC!$E$1:$E$349,"B2",_CALC_ALLOC!$F$1:$F$349,"ALT")</f>
        <v>64.33</v>
      </c>
      <c r="D27" s="56">
        <f>_xlfn.SUMIFS(_CALC_ALLOC!$I$1:$I$349,_CALC_ALLOC!$AS$1:$AS$349,"2027|"&amp;$P$1,_CALC_ALLOC!$B$1:$B$349,"MBWAY_LYO",_CALC_ALLOC!$D$1:$D$349,"BAC_MGT",_CALC_ALLOC!$E$1:$E$349,"B2",_CALC_ALLOC!$F$1:$F$349,"ALT")</f>
        <v>474470.93274</v>
      </c>
      <c r="E27" s="56">
        <f>_xlfn.SUMIFS(_CALC_ALLOC!$AI$1:$AI$349,_CALC_ALLOC!$AS$1:$AS$349,"2027|"&amp;$P$1,_CALC_ALLOC!$B$1:$B$349,"MBWAY_LYO",_CALC_ALLOC!$D$1:$D$349,"BAC_MGT",_CALC_ALLOC!$E$1:$E$349,"B2",_CALC_ALLOC!$F$1:$F$349,"ALT")</f>
        <v>24861.2831204615</v>
      </c>
      <c r="F27" s="56">
        <f>_xlfn.SUMIFS(_CALC_ALLOC!$AJ$1:$AJ$349,_CALC_ALLOC!$AS$1:$AS$349,"2027|"&amp;$P$1,_CALC_ALLOC!$B$1:$B$349,"MBWAY_LYO",_CALC_ALLOC!$D$1:$D$349,"BAC_MGT",_CALC_ALLOC!$E$1:$E$349,"B2",_CALC_ALLOC!$F$1:$F$349,"ALT")</f>
        <v>65631.6192</v>
      </c>
      <c r="G27" s="56">
        <f>_xlfn.SUMIFS(_CALC_ALLOC!$AK$1:$AK$349,_CALC_ALLOC!$AS$1:$AS$349,"2027|"&amp;$P$1,_CALC_ALLOC!$B$1:$B$349,"MBWAY_LYO",_CALC_ALLOC!$D$1:$D$349,"BAC_MGT",_CALC_ALLOC!$E$1:$E$349,"B2",_CALC_ALLOC!$F$1:$F$349,"ALT")</f>
        <v>23590.5427226875</v>
      </c>
      <c r="H27" s="56">
        <f>_xlfn.SUMIFS(_CALC_ALLOC!$AL$1:$AL$349,_CALC_ALLOC!$AS$1:$AS$349,"2027|"&amp;$P$1,_CALC_ALLOC!$B$1:$B$349,"MBWAY_LYO",_CALC_ALLOC!$D$1:$D$349,"BAC_MGT",_CALC_ALLOC!$E$1:$E$349,"B2",_CALC_ALLOC!$F$1:$F$349,"ALT")</f>
        <v>151574.442104923</v>
      </c>
      <c r="I27" s="56">
        <f>_xlfn.SUMIFS(_CALC_ALLOC!$AR$1:$AR$349,_CALC_ALLOC!$AS$1:$AS$349,"2027|"&amp;$P$1,_CALC_ALLOC!$B$1:$B$349,"MBWAY_LYO",_CALC_ALLOC!$D$1:$D$349,"BAC_MGT",_CALC_ALLOC!$E$1:$E$349,"B2",_CALC_ALLOC!$F$1:$F$349,"ALT")</f>
        <v>12305.3122863116</v>
      </c>
      <c r="J27" s="56">
        <f>_xlfn.SUMIFS(_CALC_ALLOC!$AM$1:$AM$349,_CALC_ALLOC!$AS$1:$AS$349,"2027|"&amp;$P$1,_CALC_ALLOC!$B$1:$B$349,"MBWAY_LYO",_CALC_ALLOC!$D$1:$D$349,"BAC_MGT",_CALC_ALLOC!$E$1:$E$349,"B2",_CALC_ALLOC!$F$1:$F$349,"ALT")</f>
        <v>43981.4629369541</v>
      </c>
      <c r="K27" s="57">
        <f t="shared" si="0"/>
        <v>321944.662371338</v>
      </c>
      <c r="L27" s="58">
        <f>_xlfn.SUMIFS(_CALC_ALLOC!$AN$1:$AN$349,_CALC_ALLOC!$AS$1:$AS$349,"2027|"&amp;$P$1,_CALC_ALLOC!$B$1:$B$349,"MBWAY_LYO",_CALC_ALLOC!$D$1:$D$349,"BAC_MGT",_CALC_ALLOC!$E$1:$E$349,"B2",_CALC_ALLOC!$F$1:$F$349,"ALT")</f>
        <v>152526.270368662</v>
      </c>
      <c r="M27" s="59">
        <f t="shared" si="1"/>
        <v>0.321465994740384</v>
      </c>
      <c r="BF27" t="s">
        <v>35</v>
      </c>
      <c r="BG27" t="s">
        <v>36</v>
      </c>
      <c r="BH27" t="s">
        <v>37</v>
      </c>
      <c r="BI27" t="s">
        <v>38</v>
      </c>
      <c r="BJ27" t="s">
        <v>92</v>
      </c>
      <c r="BK27" t="s">
        <v>93</v>
      </c>
      <c r="BL27" t="s">
        <v>94</v>
      </c>
      <c r="BM27" t="s">
        <v>44</v>
      </c>
      <c r="BN27" t="s">
        <v>43</v>
      </c>
      <c r="BO27">
        <v>44</v>
      </c>
      <c r="BP27">
        <v>2</v>
      </c>
      <c r="BQ27">
        <v>298760</v>
      </c>
      <c r="BR27">
        <v>22036</v>
      </c>
      <c r="BS27">
        <v>51348.716</v>
      </c>
      <c r="BT27">
        <v>16834.67682</v>
      </c>
      <c r="BU27">
        <v>121392.636</v>
      </c>
      <c r="BV27">
        <v>8229.004471</v>
      </c>
      <c r="BW27">
        <v>42068.69378</v>
      </c>
      <c r="BX27">
        <v>50297.698251</v>
      </c>
      <c r="BY27">
        <v>38870.67682</v>
      </c>
      <c r="BZ27">
        <v>223039.050251</v>
      </c>
      <c r="CA27">
        <v>261909.727071</v>
      </c>
      <c r="CB27">
        <v>36850.272929</v>
      </c>
      <c r="CC27">
        <v>0</v>
      </c>
      <c r="CD27">
        <v>110180</v>
      </c>
      <c r="CE27">
        <v>256743.58</v>
      </c>
      <c r="CF27">
        <v>84556</v>
      </c>
      <c r="CG27">
        <v>20597</v>
      </c>
      <c r="CH27">
        <v>606963.18</v>
      </c>
      <c r="CI27">
        <v>2639292</v>
      </c>
      <c r="CJ27">
        <v>499926</v>
      </c>
    </row>
    <row r="28" ht="14.497499999999997" customHeight="1" hidden="0" collapsed="0" outlineLevel="2">
      <c r="B28" s="54" t="s">
        <v>88</v>
      </c>
      <c r="C28" s="55">
        <f>_xlfn.SUMIFS(_CALC_ALLOC!$G$1:$G$349,_CALC_ALLOC!$AS$1:$AS$349,"2027|"&amp;$P$1,_CALC_ALLOC!$B$1:$B$349,"MBWAY_LYO",_CALC_ALLOC!$D$1:$D$349,"BAC_MGT",_CALC_ALLOC!$E$1:$E$349,"B3",_CALC_ALLOC!$F$1:$F$349,"ALT")</f>
        <v>63.32</v>
      </c>
      <c r="D28" s="56">
        <f>_xlfn.SUMIFS(_CALC_ALLOC!$I$1:$I$349,_CALC_ALLOC!$AS$1:$AS$349,"2027|"&amp;$P$1,_CALC_ALLOC!$B$1:$B$349,"MBWAY_LYO",_CALC_ALLOC!$D$1:$D$349,"BAC_MGT",_CALC_ALLOC!$E$1:$E$349,"B3",_CALC_ALLOC!$F$1:$F$349,"ALT")</f>
        <v>467021.59896</v>
      </c>
      <c r="E28" s="56">
        <f>_xlfn.SUMIFS(_CALC_ALLOC!$AI$1:$AI$349,_CALC_ALLOC!$AS$1:$AS$349,"2027|"&amp;$P$1,_CALC_ALLOC!$B$1:$B$349,"MBWAY_LYO",_CALC_ALLOC!$D$1:$D$349,"BAC_MGT",_CALC_ALLOC!$E$1:$E$349,"B3",_CALC_ALLOC!$F$1:$F$349,"ALT")</f>
        <v>24861.2831204615</v>
      </c>
      <c r="F28" s="56">
        <f>_xlfn.SUMIFS(_CALC_ALLOC!$AJ$1:$AJ$349,_CALC_ALLOC!$AS$1:$AS$349,"2027|"&amp;$P$1,_CALC_ALLOC!$B$1:$B$349,"MBWAY_LYO",_CALC_ALLOC!$D$1:$D$349,"BAC_MGT",_CALC_ALLOC!$E$1:$E$349,"B3",_CALC_ALLOC!$F$1:$F$349,"ALT")</f>
        <v>65631.6192</v>
      </c>
      <c r="G28" s="56">
        <f>_xlfn.SUMIFS(_CALC_ALLOC!$AK$1:$AK$349,_CALC_ALLOC!$AS$1:$AS$349,"2027|"&amp;$P$1,_CALC_ALLOC!$B$1:$B$349,"MBWAY_LYO",_CALC_ALLOC!$D$1:$D$349,"BAC_MGT",_CALC_ALLOC!$E$1:$E$349,"B3",_CALC_ALLOC!$F$1:$F$349,"ALT")</f>
        <v>23220.1642344252</v>
      </c>
      <c r="H28" s="56">
        <f>_xlfn.SUMIFS(_CALC_ALLOC!$AL$1:$AL$349,_CALC_ALLOC!$AS$1:$AS$349,"2027|"&amp;$P$1,_CALC_ALLOC!$B$1:$B$349,"MBWAY_LYO",_CALC_ALLOC!$D$1:$D$349,"BAC_MGT",_CALC_ALLOC!$E$1:$E$349,"B3",_CALC_ALLOC!$F$1:$F$349,"ALT")</f>
        <v>151574.442104923</v>
      </c>
      <c r="I28" s="56">
        <f>_xlfn.SUMIFS(_CALC_ALLOC!$AR$1:$AR$349,_CALC_ALLOC!$AS$1:$AS$349,"2027|"&amp;$P$1,_CALC_ALLOC!$B$1:$B$349,"MBWAY_LYO",_CALC_ALLOC!$D$1:$D$349,"BAC_MGT",_CALC_ALLOC!$E$1:$E$349,"B3",_CALC_ALLOC!$F$1:$F$349,"ALT")</f>
        <v>12305.3122863116</v>
      </c>
      <c r="J28" s="56">
        <f>_xlfn.SUMIFS(_CALC_ALLOC!$AM$1:$AM$349,_CALC_ALLOC!$AS$1:$AS$349,"2027|"&amp;$P$1,_CALC_ALLOC!$B$1:$B$349,"MBWAY_LYO",_CALC_ALLOC!$D$1:$D$349,"BAC_MGT",_CALC_ALLOC!$E$1:$E$349,"B3",_CALC_ALLOC!$F$1:$F$349,"ALT")</f>
        <v>43981.4629369541</v>
      </c>
      <c r="K28" s="57">
        <f t="shared" si="0"/>
        <v>321574.283883075</v>
      </c>
      <c r="L28" s="58">
        <f>_xlfn.SUMIFS(_CALC_ALLOC!$AN$1:$AN$349,_CALC_ALLOC!$AS$1:$AS$349,"2027|"&amp;$P$1,_CALC_ALLOC!$B$1:$B$349,"MBWAY_LYO",_CALC_ALLOC!$D$1:$D$349,"BAC_MGT",_CALC_ALLOC!$E$1:$E$349,"B3",_CALC_ALLOC!$F$1:$F$349,"ALT")</f>
        <v>145447.315076925</v>
      </c>
      <c r="M28" s="59">
        <f t="shared" si="1"/>
        <v>0.311435949431072</v>
      </c>
      <c r="BF28" t="s">
        <v>35</v>
      </c>
      <c r="BG28" t="s">
        <v>36</v>
      </c>
      <c r="BH28" t="s">
        <v>37</v>
      </c>
      <c r="BI28" t="s">
        <v>38</v>
      </c>
      <c r="BJ28" t="s">
        <v>92</v>
      </c>
      <c r="BK28" t="s">
        <v>93</v>
      </c>
      <c r="BL28" t="s">
        <v>94</v>
      </c>
      <c r="BM28" t="s">
        <v>50</v>
      </c>
      <c r="BN28" t="s">
        <v>43</v>
      </c>
      <c r="BO28">
        <v>43</v>
      </c>
      <c r="BP28">
        <v>2</v>
      </c>
      <c r="BQ28">
        <v>291970</v>
      </c>
      <c r="BR28">
        <v>22036</v>
      </c>
      <c r="BS28">
        <v>51348.716</v>
      </c>
      <c r="BT28">
        <v>16452.06092</v>
      </c>
      <c r="BU28">
        <v>121392.636</v>
      </c>
      <c r="BV28">
        <v>8229.004471</v>
      </c>
      <c r="BW28">
        <v>42068.69378</v>
      </c>
      <c r="BX28">
        <v>50297.698251</v>
      </c>
      <c r="BY28">
        <v>38488.06092</v>
      </c>
      <c r="BZ28">
        <v>223039.050251</v>
      </c>
      <c r="CA28">
        <v>261527.111171</v>
      </c>
      <c r="CB28">
        <v>30442.888829</v>
      </c>
      <c r="CC28">
        <v>0</v>
      </c>
      <c r="CD28">
        <v>110180</v>
      </c>
      <c r="CE28">
        <v>256743.58</v>
      </c>
      <c r="CF28">
        <v>84556</v>
      </c>
      <c r="CG28">
        <v>20597</v>
      </c>
      <c r="CH28">
        <v>606963.18</v>
      </c>
      <c r="CI28">
        <v>2639292</v>
      </c>
      <c r="CJ28">
        <v>499926</v>
      </c>
    </row>
    <row r="29" ht="14.497499999999997" customHeight="1" hidden="0" collapsed="0" outlineLevel="2">
      <c r="B29" s="54" t="s">
        <v>89</v>
      </c>
      <c r="C29" s="55">
        <f>_xlfn.SUMIFS(_CALC_ALLOC!$G$1:$G$349,_CALC_ALLOC!$AS$1:$AS$349,"2027|"&amp;$P$1,_CALC_ALLOC!$B$1:$B$349,"MBWAY_LYO",_CALC_ALLOC!$D$1:$D$349,"MAS_MGT",_CALC_ALLOC!$E$1:$E$349,"M1",_CALC_ALLOC!$F$1:$F$349,"ALT")</f>
        <v>73.512347</v>
      </c>
      <c r="D29" s="56">
        <f>_xlfn.SUMIFS(_CALC_ALLOC!$I$1:$I$349,_CALC_ALLOC!$AS$1:$AS$349,"2027|"&amp;$P$1,_CALC_ALLOC!$B$1:$B$349,"MBWAY_LYO",_CALC_ALLOC!$D$1:$D$349,"MAS_MGT",_CALC_ALLOC!$E$1:$E$349,"M1",_CALC_ALLOC!$F$1:$F$349,"ALT")</f>
        <v>587540.449725</v>
      </c>
      <c r="E29" s="56">
        <f>_xlfn.SUMIFS(_CALC_ALLOC!$AI$1:$AI$349,_CALC_ALLOC!$AS$1:$AS$349,"2027|"&amp;$P$1,_CALC_ALLOC!$B$1:$B$349,"MBWAY_LYO",_CALC_ALLOC!$D$1:$D$349,"MAS_MGT",_CALC_ALLOC!$E$1:$E$349,"M1",_CALC_ALLOC!$F$1:$F$349,"ALT")</f>
        <v>32630.4340956058</v>
      </c>
      <c r="F29" s="56">
        <f>_xlfn.SUMIFS(_CALC_ALLOC!$AJ$1:$AJ$349,_CALC_ALLOC!$AS$1:$AS$349,"2027|"&amp;$P$1,_CALC_ALLOC!$B$1:$B$349,"MBWAY_LYO",_CALC_ALLOC!$D$1:$D$349,"MAS_MGT",_CALC_ALLOC!$E$1:$E$349,"M1",_CALC_ALLOC!$F$1:$F$349,"ALT")</f>
        <v>86141.5002</v>
      </c>
      <c r="G29" s="56">
        <f>_xlfn.SUMIFS(_CALC_ALLOC!$AK$1:$AK$349,_CALC_ALLOC!$AS$1:$AS$349,"2027|"&amp;$P$1,_CALC_ALLOC!$B$1:$B$349,"MBWAY_LYO",_CALC_ALLOC!$D$1:$D$349,"MAS_MGT",_CALC_ALLOC!$E$1:$E$349,"M1",_CALC_ALLOC!$F$1:$F$349,"ALT")</f>
        <v>49754.2177033024</v>
      </c>
      <c r="H29" s="56">
        <f>_xlfn.SUMIFS(_CALC_ALLOC!$AL$1:$AL$349,_CALC_ALLOC!$AS$1:$AS$349,"2027|"&amp;$P$1,_CALC_ALLOC!$B$1:$B$349,"MBWAY_LYO",_CALC_ALLOC!$D$1:$D$349,"MAS_MGT",_CALC_ALLOC!$E$1:$E$349,"M1",_CALC_ALLOC!$F$1:$F$349,"ALT")</f>
        <v>227361.663157385</v>
      </c>
      <c r="I29" s="56">
        <f>_xlfn.SUMIFS(_CALC_ALLOC!$AR$1:$AR$349,_CALC_ALLOC!$AS$1:$AS$349,"2027|"&amp;$P$1,_CALC_ALLOC!$B$1:$B$349,"MBWAY_LYO",_CALC_ALLOC!$D$1:$D$349,"MAS_MGT",_CALC_ALLOC!$E$1:$E$349,"M1",_CALC_ALLOC!$F$1:$F$349,"ALT")</f>
        <v>18457.9684294673</v>
      </c>
      <c r="J29" s="56">
        <f>_xlfn.SUMIFS(_CALC_ALLOC!$AM$1:$AM$349,_CALC_ALLOC!$AS$1:$AS$349,"2027|"&amp;$P$1,_CALC_ALLOC!$B$1:$B$349,"MBWAY_LYO",_CALC_ALLOC!$D$1:$D$349,"MAS_MGT",_CALC_ALLOC!$E$1:$E$349,"M1",_CALC_ALLOC!$F$1:$F$349,"ALT")</f>
        <v>65972.1944054312</v>
      </c>
      <c r="K29" s="57">
        <f t="shared" si="0"/>
        <v>480317.977991192</v>
      </c>
      <c r="L29" s="58">
        <f>_xlfn.SUMIFS(_CALC_ALLOC!$AN$1:$AN$349,_CALC_ALLOC!$AS$1:$AS$349,"2027|"&amp;$P$1,_CALC_ALLOC!$B$1:$B$349,"MBWAY_LYO",_CALC_ALLOC!$D$1:$D$349,"MAS_MGT",_CALC_ALLOC!$E$1:$E$349,"M1",_CALC_ALLOC!$F$1:$F$349,"ALT")</f>
        <v>107222.471733808</v>
      </c>
      <c r="M29" s="59">
        <f t="shared" si="1"/>
        <v>0.182493770061268</v>
      </c>
      <c r="BF29" t="s">
        <v>35</v>
      </c>
      <c r="BG29" t="s">
        <v>36</v>
      </c>
      <c r="BH29" t="s">
        <v>37</v>
      </c>
      <c r="BI29" t="s">
        <v>38</v>
      </c>
      <c r="BJ29" t="s">
        <v>92</v>
      </c>
      <c r="BK29" t="s">
        <v>93</v>
      </c>
      <c r="BL29" t="s">
        <v>95</v>
      </c>
      <c r="BM29" t="s">
        <v>71</v>
      </c>
      <c r="BN29" t="s">
        <v>43</v>
      </c>
      <c r="BO29">
        <v>45</v>
      </c>
      <c r="BP29">
        <v>2</v>
      </c>
      <c r="BQ29">
        <v>331425</v>
      </c>
      <c r="BR29">
        <v>19281.5</v>
      </c>
      <c r="BS29">
        <v>44930.1265</v>
      </c>
      <c r="BT29">
        <v>27515.708164</v>
      </c>
      <c r="BU29">
        <v>121392.636</v>
      </c>
      <c r="BV29">
        <v>8229.004471</v>
      </c>
      <c r="BW29">
        <v>42068.69378</v>
      </c>
      <c r="BX29">
        <v>50297.698251</v>
      </c>
      <c r="BY29">
        <v>46797.208164</v>
      </c>
      <c r="BZ29">
        <v>216620.460751</v>
      </c>
      <c r="CA29">
        <v>263417.668915</v>
      </c>
      <c r="CB29">
        <v>68007.331085</v>
      </c>
      <c r="CC29">
        <v>45</v>
      </c>
      <c r="CD29">
        <v>110180</v>
      </c>
      <c r="CE29">
        <v>256743.58</v>
      </c>
      <c r="CF29">
        <v>84556</v>
      </c>
      <c r="CG29">
        <v>20597</v>
      </c>
      <c r="CH29">
        <v>606963.18</v>
      </c>
      <c r="CI29">
        <v>2639292</v>
      </c>
      <c r="CJ29">
        <v>499926</v>
      </c>
    </row>
    <row r="30" ht="14.497499999999997" customHeight="1" hidden="0" collapsed="0" outlineLevel="2">
      <c r="B30" s="54" t="s">
        <v>90</v>
      </c>
      <c r="C30" s="55">
        <f>_xlfn.SUMIFS(_CALC_ALLOC!$G$1:$G$349,_CALC_ALLOC!$AS$1:$AS$349,"2027|"&amp;$P$1,_CALC_ALLOC!$B$1:$B$349,"MBWAY_LYO",_CALC_ALLOC!$D$1:$D$349,"MAS_MGT",_CALC_ALLOC!$E$1:$E$349,"M2",_CALC_ALLOC!$F$1:$F$349,"ALT")</f>
        <v>65.33</v>
      </c>
      <c r="D30" s="56">
        <f>_xlfn.SUMIFS(_CALC_ALLOC!$I$1:$I$349,_CALC_ALLOC!$AS$1:$AS$349,"2027|"&amp;$P$1,_CALC_ALLOC!$B$1:$B$349,"MBWAY_LYO",_CALC_ALLOC!$D$1:$D$349,"MAS_MGT",_CALC_ALLOC!$E$1:$E$349,"M2",_CALC_ALLOC!$F$1:$F$349,"ALT")</f>
        <v>516264.11865</v>
      </c>
      <c r="E30" s="56">
        <f>_xlfn.SUMIFS(_CALC_ALLOC!$AI$1:$AI$349,_CALC_ALLOC!$AS$1:$AS$349,"2027|"&amp;$P$1,_CALC_ALLOC!$B$1:$B$349,"MBWAY_LYO",_CALC_ALLOC!$D$1:$D$349,"MAS_MGT",_CALC_ALLOC!$E$1:$E$349,"M2",_CALC_ALLOC!$F$1:$F$349,"ALT")</f>
        <v>32630.4340956058</v>
      </c>
      <c r="F30" s="56">
        <f>_xlfn.SUMIFS(_CALC_ALLOC!$AJ$1:$AJ$349,_CALC_ALLOC!$AS$1:$AS$349,"2027|"&amp;$P$1,_CALC_ALLOC!$B$1:$B$349,"MBWAY_LYO",_CALC_ALLOC!$D$1:$D$349,"MAS_MGT",_CALC_ALLOC!$E$1:$E$349,"M2",_CALC_ALLOC!$F$1:$F$349,"ALT")</f>
        <v>86141.5002</v>
      </c>
      <c r="G30" s="56">
        <f>_xlfn.SUMIFS(_CALC_ALLOC!$AK$1:$AK$349,_CALC_ALLOC!$AS$1:$AS$349,"2027|"&amp;$P$1,_CALC_ALLOC!$B$1:$B$349,"MBWAY_LYO",_CALC_ALLOC!$D$1:$D$349,"MAS_MGT",_CALC_ALLOC!$E$1:$E$349,"M2",_CALC_ALLOC!$F$1:$F$349,"ALT")</f>
        <v>23957.2540972047</v>
      </c>
      <c r="H30" s="56">
        <f>_xlfn.SUMIFS(_CALC_ALLOC!$AL$1:$AL$349,_CALC_ALLOC!$AS$1:$AS$349,"2027|"&amp;$P$1,_CALC_ALLOC!$B$1:$B$349,"MBWAY_LYO",_CALC_ALLOC!$D$1:$D$349,"MAS_MGT",_CALC_ALLOC!$E$1:$E$349,"M2",_CALC_ALLOC!$F$1:$F$349,"ALT")</f>
        <v>227361.663157385</v>
      </c>
      <c r="I30" s="56">
        <f>_xlfn.SUMIFS(_CALC_ALLOC!$AR$1:$AR$349,_CALC_ALLOC!$AS$1:$AS$349,"2027|"&amp;$P$1,_CALC_ALLOC!$B$1:$B$349,"MBWAY_LYO",_CALC_ALLOC!$D$1:$D$349,"MAS_MGT",_CALC_ALLOC!$E$1:$E$349,"M2",_CALC_ALLOC!$F$1:$F$349,"ALT")</f>
        <v>18457.9684294673</v>
      </c>
      <c r="J30" s="56">
        <f>_xlfn.SUMIFS(_CALC_ALLOC!$AM$1:$AM$349,_CALC_ALLOC!$AS$1:$AS$349,"2027|"&amp;$P$1,_CALC_ALLOC!$B$1:$B$349,"MBWAY_LYO",_CALC_ALLOC!$D$1:$D$349,"MAS_MGT",_CALC_ALLOC!$E$1:$E$349,"M2",_CALC_ALLOC!$F$1:$F$349,"ALT")</f>
        <v>65972.1944054312</v>
      </c>
      <c r="K30" s="57">
        <f t="shared" si="0"/>
        <v>454521.014385094</v>
      </c>
      <c r="L30" s="58">
        <f>_xlfn.SUMIFS(_CALC_ALLOC!$AN$1:$AN$349,_CALC_ALLOC!$AS$1:$AS$349,"2027|"&amp;$P$1,_CALC_ALLOC!$B$1:$B$349,"MBWAY_LYO",_CALC_ALLOC!$D$1:$D$349,"MAS_MGT",_CALC_ALLOC!$E$1:$E$349,"M2",_CALC_ALLOC!$F$1:$F$349,"ALT")</f>
        <v>61743.104264906</v>
      </c>
      <c r="M30" s="59">
        <f t="shared" si="1"/>
        <v>0.119595962675773</v>
      </c>
      <c r="BF30" t="s">
        <v>35</v>
      </c>
      <c r="BG30" t="s">
        <v>36</v>
      </c>
      <c r="BH30" t="s">
        <v>37</v>
      </c>
      <c r="BI30" t="s">
        <v>38</v>
      </c>
      <c r="BJ30" t="s">
        <v>92</v>
      </c>
      <c r="BK30" t="s">
        <v>93</v>
      </c>
      <c r="BL30" t="s">
        <v>95</v>
      </c>
      <c r="BM30" t="s">
        <v>72</v>
      </c>
      <c r="BN30" t="s">
        <v>43</v>
      </c>
      <c r="BO30">
        <v>44</v>
      </c>
      <c r="BP30">
        <v>2</v>
      </c>
      <c r="BQ30">
        <v>320100</v>
      </c>
      <c r="BR30">
        <v>19281.5</v>
      </c>
      <c r="BS30">
        <v>44930.1265</v>
      </c>
      <c r="BT30">
        <v>16834.67682</v>
      </c>
      <c r="BU30">
        <v>121392.636</v>
      </c>
      <c r="BV30">
        <v>8229.004471</v>
      </c>
      <c r="BW30">
        <v>42068.69378</v>
      </c>
      <c r="BX30">
        <v>50297.698251</v>
      </c>
      <c r="BY30">
        <v>36116.17682</v>
      </c>
      <c r="BZ30">
        <v>216620.460751</v>
      </c>
      <c r="CA30">
        <v>252736.637571</v>
      </c>
      <c r="CB30">
        <v>67363.362429</v>
      </c>
      <c r="CC30">
        <v>0</v>
      </c>
      <c r="CD30">
        <v>110180</v>
      </c>
      <c r="CE30">
        <v>256743.58</v>
      </c>
      <c r="CF30">
        <v>84556</v>
      </c>
      <c r="CG30">
        <v>20597</v>
      </c>
      <c r="CH30">
        <v>606963.18</v>
      </c>
      <c r="CI30">
        <v>2639292</v>
      </c>
      <c r="CJ30">
        <v>499926</v>
      </c>
    </row>
    <row r="31" ht="14.497499999999997" customHeight="1" hidden="0" collapsed="0" outlineLevel="1">
      <c r="B31" s="49" t="s">
        <v>96</v>
      </c>
      <c r="C31" s="50">
        <f>_xlfn.SUMIFS(_CALC_ALLOC!$G$1:$G$349,_CALC_ALLOC!$AS$1:$AS$349,"2027|"&amp;$P$1,_CALC_ALLOC!$B$1:$B$349,"MBWAY_NAN")</f>
        <v>307.342957</v>
      </c>
      <c r="D31" s="51">
        <f>_xlfn.SUMIFS(_CALC_ALLOC!$I$1:$I$349,_CALC_ALLOC!$AS$1:$AS$349,"2027|"&amp;$P$1,_CALC_ALLOC!$B$1:$B$349,"MBWAY_NAN")</f>
        <v>2267018.468208</v>
      </c>
      <c r="E31" s="51">
        <f>_xlfn.SUMIFS(_CALC_ALLOC!$AI$1:$AI$349,_CALC_ALLOC!$AS$1:$AS$349,"2027|"&amp;$P$1,_CALC_ALLOC!$B$1:$B$349,"MBWAY_NAN")</f>
        <v>149167.619521</v>
      </c>
      <c r="F31" s="51">
        <f>_xlfn.SUMIFS(_CALC_ALLOC!$AJ$1:$AJ$349,_CALC_ALLOC!$AS$1:$AS$349,"2027|"&amp;$P$1,_CALC_ALLOC!$B$1:$B$349,"MBWAY_NAN")</f>
        <v>366973.0584</v>
      </c>
      <c r="G31" s="51">
        <f>_xlfn.SUMIFS(_CALC_ALLOC!$AK$1:$AK$349,_CALC_ALLOC!$AS$1:$AS$349,"2027|"&amp;$P$1,_CALC_ALLOC!$B$1:$B$349,"MBWAY_NAN")</f>
        <v>146693.023297</v>
      </c>
      <c r="H31" s="51">
        <f>_xlfn.SUMIFS(_CALC_ALLOC!$AL$1:$AL$349,_CALC_ALLOC!$AS$1:$AS$349,"2027|"&amp;$P$1,_CALC_ALLOC!$B$1:$B$349,"MBWAY_NAN")</f>
        <v>837601.248172999</v>
      </c>
      <c r="I31" s="51">
        <f>_xlfn.SUMIFS(_CALC_ALLOC!$AR$1:$AR$349,_CALC_ALLOC!$AS$1:$AS$349,"2027|"&amp;$P$1,_CALC_ALLOC!$B$1:$B$349,"MBWAY_NAN")</f>
        <v>72622.7843353279</v>
      </c>
      <c r="J31" s="51">
        <f>_xlfn.SUMIFS(_CALC_ALLOC!$AM$1:$AM$349,_CALC_ALLOC!$AS$1:$AS$349,"2027|"&amp;$P$1,_CALC_ALLOC!$B$1:$B$349,"MBWAY_NAN")</f>
        <v>259567.268453293</v>
      </c>
      <c r="K31" s="51">
        <f t="shared" si="0"/>
        <v>1832625.00217962</v>
      </c>
      <c r="L31" s="52">
        <f>_xlfn.SUMIFS(_CALC_ALLOC!$AN$1:$AN$349,_CALC_ALLOC!$AS$1:$AS$349,"2027|"&amp;$P$1,_CALC_ALLOC!$B$1:$B$349,"MBWAY_NAN")</f>
        <v>434393.46602838</v>
      </c>
      <c r="M31" s="53">
        <f t="shared" si="1"/>
        <v>0.191614436371025</v>
      </c>
      <c r="BF31" t="s">
        <v>35</v>
      </c>
      <c r="BG31" t="s">
        <v>36</v>
      </c>
      <c r="BH31" t="s">
        <v>37</v>
      </c>
      <c r="BI31" t="s">
        <v>38</v>
      </c>
      <c r="BJ31" t="s">
        <v>97</v>
      </c>
      <c r="BK31" t="s">
        <v>93</v>
      </c>
      <c r="BL31" t="s">
        <v>94</v>
      </c>
      <c r="BM31" t="s">
        <v>42</v>
      </c>
      <c r="BN31" t="s">
        <v>67</v>
      </c>
      <c r="BO31">
        <v>59</v>
      </c>
      <c r="BP31">
        <v>3</v>
      </c>
      <c r="BQ31">
        <v>469935</v>
      </c>
      <c r="BR31">
        <v>41317.711335</v>
      </c>
      <c r="BS31">
        <v>106414.007129</v>
      </c>
      <c r="BT31">
        <v>39727.8238</v>
      </c>
      <c r="BU31">
        <v>201383.224001</v>
      </c>
      <c r="BV31">
        <v>12416.529116</v>
      </c>
      <c r="BW31">
        <v>63476.349179</v>
      </c>
      <c r="BX31">
        <v>75892.878295</v>
      </c>
      <c r="BY31">
        <v>81045.535135</v>
      </c>
      <c r="BZ31">
        <v>383690.109425</v>
      </c>
      <c r="CA31">
        <v>464735.64456</v>
      </c>
      <c r="CB31">
        <v>5199.35544</v>
      </c>
      <c r="CC31">
        <v>59</v>
      </c>
      <c r="CD31">
        <v>143235</v>
      </c>
      <c r="CE31">
        <v>368902.58</v>
      </c>
      <c r="CF31">
        <v>110025</v>
      </c>
      <c r="CG31">
        <v>34532</v>
      </c>
      <c r="CH31">
        <v>872661.51</v>
      </c>
      <c r="CI31">
        <v>2639292</v>
      </c>
      <c r="CJ31">
        <v>499926</v>
      </c>
    </row>
    <row r="32" ht="14.497499999999997" customHeight="1" hidden="0" collapsed="0" outlineLevel="2">
      <c r="B32" s="54" t="s">
        <v>85</v>
      </c>
      <c r="C32" s="55">
        <f>_xlfn.SUMIFS(_CALC_ALLOC!$G$1:$G$349,_CALC_ALLOC!$AS$1:$AS$349,"2027|"&amp;$P$1,_CALC_ALLOC!$B$1:$B$349,"MBWAY_NAN",_CALC_ALLOC!$D$1:$D$349,"BAC_MGT",_CALC_ALLOC!$E$1:$E$349,"B1",_CALC_ALLOC!$F$1:$F$349,"INIT")</f>
        <v>65.539302</v>
      </c>
      <c r="D32" s="56">
        <f>_xlfn.SUMIFS(_CALC_ALLOC!$I$1:$I$349,_CALC_ALLOC!$AS$1:$AS$349,"2027|"&amp;$P$1,_CALC_ALLOC!$B$1:$B$349,"MBWAY_NAN",_CALC_ALLOC!$D$1:$D$349,"BAC_MGT",_CALC_ALLOC!$E$1:$E$349,"B1",_CALC_ALLOC!$F$1:$F$349,"INIT")</f>
        <v>499153.877962</v>
      </c>
      <c r="E32" s="56">
        <f>_xlfn.SUMIFS(_CALC_ALLOC!$AI$1:$AI$349,_CALC_ALLOC!$AS$1:$AS$349,"2027|"&amp;$P$1,_CALC_ALLOC!$B$1:$B$349,"MBWAY_NAN",_CALC_ALLOC!$D$1:$D$349,"BAC_MGT",_CALC_ALLOC!$E$1:$E$349,"B1",_CALC_ALLOC!$F$1:$F$349,"INIT")</f>
        <v>31737.7913874468</v>
      </c>
      <c r="F32" s="56">
        <f>_xlfn.SUMIFS(_CALC_ALLOC!$AJ$1:$AJ$349,_CALC_ALLOC!$AS$1:$AS$349,"2027|"&amp;$P$1,_CALC_ALLOC!$B$1:$B$349,"MBWAY_NAN",_CALC_ALLOC!$D$1:$D$349,"BAC_MGT",_CALC_ALLOC!$E$1:$E$349,"B1",_CALC_ALLOC!$F$1:$F$349,"INIT")</f>
        <v>78079.3741276596</v>
      </c>
      <c r="G32" s="56">
        <f>_xlfn.SUMIFS(_CALC_ALLOC!$AK$1:$AK$349,_CALC_ALLOC!$AS$1:$AS$349,"2027|"&amp;$P$1,_CALC_ALLOC!$B$1:$B$349,"MBWAY_NAN",_CALC_ALLOC!$D$1:$D$349,"BAC_MGT",_CALC_ALLOC!$E$1:$E$349,"B1",_CALC_ALLOC!$F$1:$F$349,"INIT")</f>
        <v>40870.4782503382</v>
      </c>
      <c r="H32" s="56">
        <f>_xlfn.SUMIFS(_CALC_ALLOC!$AL$1:$AL$349,_CALC_ALLOC!$AS$1:$AS$349,"2027|"&amp;$P$1,_CALC_ALLOC!$B$1:$B$349,"MBWAY_NAN",_CALC_ALLOC!$D$1:$D$349,"BAC_MGT",_CALC_ALLOC!$E$1:$E$349,"B1",_CALC_ALLOC!$F$1:$F$349,"INIT")</f>
        <v>139600.208028833</v>
      </c>
      <c r="I32" s="56">
        <f>_xlfn.SUMIFS(_CALC_ALLOC!$AR$1:$AR$349,_CALC_ALLOC!$AS$1:$AS$349,"2027|"&amp;$P$1,_CALC_ALLOC!$B$1:$B$349,"MBWAY_NAN",_CALC_ALLOC!$D$1:$D$349,"BAC_MGT",_CALC_ALLOC!$E$1:$E$349,"B1",_CALC_ALLOC!$F$1:$F$349,"INIT")</f>
        <v>12103.7973892213</v>
      </c>
      <c r="J32" s="56">
        <f>_xlfn.SUMIFS(_CALC_ALLOC!$AM$1:$AM$349,_CALC_ALLOC!$AS$1:$AS$349,"2027|"&amp;$P$1,_CALC_ALLOC!$B$1:$B$349,"MBWAY_NAN",_CALC_ALLOC!$D$1:$D$349,"BAC_MGT",_CALC_ALLOC!$E$1:$E$349,"B1",_CALC_ALLOC!$F$1:$F$349,"INIT")</f>
        <v>43261.2114088822</v>
      </c>
      <c r="K32" s="57">
        <f t="shared" si="0"/>
        <v>345652.860592381</v>
      </c>
      <c r="L32" s="58">
        <f>_xlfn.SUMIFS(_CALC_ALLOC!$AN$1:$AN$349,_CALC_ALLOC!$AS$1:$AS$349,"2027|"&amp;$P$1,_CALC_ALLOC!$B$1:$B$349,"MBWAY_NAN",_CALC_ALLOC!$D$1:$D$349,"BAC_MGT",_CALC_ALLOC!$E$1:$E$349,"B1",_CALC_ALLOC!$F$1:$F$349,"INIT")</f>
        <v>153501.017369619</v>
      </c>
      <c r="M32" s="59">
        <f t="shared" si="1"/>
        <v>0.307522437762779</v>
      </c>
      <c r="BF32" t="s">
        <v>35</v>
      </c>
      <c r="BG32" t="s">
        <v>36</v>
      </c>
      <c r="BH32" t="s">
        <v>37</v>
      </c>
      <c r="BI32" t="s">
        <v>38</v>
      </c>
      <c r="BJ32" t="s">
        <v>97</v>
      </c>
      <c r="BK32" t="s">
        <v>93</v>
      </c>
      <c r="BL32" t="s">
        <v>94</v>
      </c>
      <c r="BM32" t="s">
        <v>44</v>
      </c>
      <c r="BN32" t="s">
        <v>43</v>
      </c>
      <c r="BO32">
        <v>57</v>
      </c>
      <c r="BP32">
        <v>2</v>
      </c>
      <c r="BQ32">
        <v>418950</v>
      </c>
      <c r="BR32">
        <v>22036.13181</v>
      </c>
      <c r="BS32">
        <v>56754.186323</v>
      </c>
      <c r="BT32">
        <v>21700.340775</v>
      </c>
      <c r="BU32">
        <v>134255.482667</v>
      </c>
      <c r="BV32">
        <v>8277.686077</v>
      </c>
      <c r="BW32">
        <v>42317.566119</v>
      </c>
      <c r="BX32">
        <v>50595.252196</v>
      </c>
      <c r="BY32">
        <v>43736.472585</v>
      </c>
      <c r="BZ32">
        <v>241604.921186</v>
      </c>
      <c r="CA32">
        <v>285341.393771</v>
      </c>
      <c r="CB32">
        <v>133608.606229</v>
      </c>
      <c r="CC32">
        <v>0</v>
      </c>
      <c r="CD32">
        <v>143235</v>
      </c>
      <c r="CE32">
        <v>368902.58</v>
      </c>
      <c r="CF32">
        <v>110025</v>
      </c>
      <c r="CG32">
        <v>34532</v>
      </c>
      <c r="CH32">
        <v>872661.51</v>
      </c>
      <c r="CI32">
        <v>2639292</v>
      </c>
      <c r="CJ32">
        <v>499926</v>
      </c>
    </row>
    <row r="33" ht="14.497499999999997" customHeight="1" hidden="0" collapsed="0" outlineLevel="2">
      <c r="B33" s="54" t="s">
        <v>86</v>
      </c>
      <c r="C33" s="55">
        <f>_xlfn.SUMIFS(_CALC_ALLOC!$G$1:$G$349,_CALC_ALLOC!$AS$1:$AS$349,"2027|"&amp;$P$1,_CALC_ALLOC!$B$1:$B$349,"MBWAY_NAN",_CALC_ALLOC!$D$1:$D$349,"BAC_MGT",_CALC_ALLOC!$E$1:$E$349,"B2",_CALC_ALLOC!$F$1:$F$349,"ALT")</f>
        <v>58.3</v>
      </c>
      <c r="D33" s="56">
        <f>_xlfn.SUMIFS(_CALC_ALLOC!$I$1:$I$349,_CALC_ALLOC!$AS$1:$AS$349,"2027|"&amp;$P$1,_CALC_ALLOC!$B$1:$B$349,"MBWAY_NAN",_CALC_ALLOC!$D$1:$D$349,"BAC_MGT",_CALC_ALLOC!$E$1:$E$349,"B2",_CALC_ALLOC!$F$1:$F$349,"ALT")</f>
        <v>409520.188</v>
      </c>
      <c r="E33" s="56">
        <f>_xlfn.SUMIFS(_CALC_ALLOC!$AI$1:$AI$349,_CALC_ALLOC!$AS$1:$AS$349,"2027|"&amp;$P$1,_CALC_ALLOC!$B$1:$B$349,"MBWAY_NAN",_CALC_ALLOC!$D$1:$D$349,"BAC_MGT",_CALC_ALLOC!$E$1:$E$349,"B2",_CALC_ALLOC!$F$1:$F$349,"ALT")</f>
        <v>25390.2331099574</v>
      </c>
      <c r="F33" s="56">
        <f>_xlfn.SUMIFS(_CALC_ALLOC!$AJ$1:$AJ$349,_CALC_ALLOC!$AS$1:$AS$349,"2027|"&amp;$P$1,_CALC_ALLOC!$B$1:$B$349,"MBWAY_NAN",_CALC_ALLOC!$D$1:$D$349,"BAC_MGT",_CALC_ALLOC!$E$1:$E$349,"B2",_CALC_ALLOC!$F$1:$F$349,"ALT")</f>
        <v>62463.4993021277</v>
      </c>
      <c r="G33" s="56">
        <f>_xlfn.SUMIFS(_CALC_ALLOC!$AK$1:$AK$349,_CALC_ALLOC!$AS$1:$AS$349,"2027|"&amp;$P$1,_CALC_ALLOC!$B$1:$B$349,"MBWAY_NAN",_CALC_ALLOC!$D$1:$D$349,"BAC_MGT",_CALC_ALLOC!$E$1:$E$349,"B2",_CALC_ALLOC!$F$1:$F$349,"ALT")</f>
        <v>21366.2271955531</v>
      </c>
      <c r="H33" s="56">
        <f>_xlfn.SUMIFS(_CALC_ALLOC!$AL$1:$AL$349,_CALC_ALLOC!$AS$1:$AS$349,"2027|"&amp;$P$1,_CALC_ALLOC!$B$1:$B$349,"MBWAY_NAN",_CALC_ALLOC!$D$1:$D$349,"BAC_MGT",_CALC_ALLOC!$E$1:$E$349,"B2",_CALC_ALLOC!$F$1:$F$349,"ALT")</f>
        <v>139600.208028833</v>
      </c>
      <c r="I33" s="56">
        <f>_xlfn.SUMIFS(_CALC_ALLOC!$AR$1:$AR$349,_CALC_ALLOC!$AS$1:$AS$349,"2027|"&amp;$P$1,_CALC_ALLOC!$B$1:$B$349,"MBWAY_NAN",_CALC_ALLOC!$D$1:$D$349,"BAC_MGT",_CALC_ALLOC!$E$1:$E$349,"B2",_CALC_ALLOC!$F$1:$F$349,"ALT")</f>
        <v>12103.7973892213</v>
      </c>
      <c r="J33" s="56">
        <f>_xlfn.SUMIFS(_CALC_ALLOC!$AM$1:$AM$349,_CALC_ALLOC!$AS$1:$AS$349,"2027|"&amp;$P$1,_CALC_ALLOC!$B$1:$B$349,"MBWAY_NAN",_CALC_ALLOC!$D$1:$D$349,"BAC_MGT",_CALC_ALLOC!$E$1:$E$349,"B2",_CALC_ALLOC!$F$1:$F$349,"ALT")</f>
        <v>43261.2114088822</v>
      </c>
      <c r="K33" s="57">
        <f t="shared" si="0"/>
        <v>304185.176434575</v>
      </c>
      <c r="L33" s="58">
        <f>_xlfn.SUMIFS(_CALC_ALLOC!$AN$1:$AN$349,_CALC_ALLOC!$AS$1:$AS$349,"2027|"&amp;$P$1,_CALC_ALLOC!$B$1:$B$349,"MBWAY_NAN",_CALC_ALLOC!$D$1:$D$349,"BAC_MGT",_CALC_ALLOC!$E$1:$E$349,"B2",_CALC_ALLOC!$F$1:$F$349,"ALT")</f>
        <v>105335.011565425</v>
      </c>
      <c r="M33" s="59">
        <f t="shared" si="1"/>
        <v>0.25721567495819</v>
      </c>
      <c r="BF33" t="s">
        <v>35</v>
      </c>
      <c r="BG33" t="s">
        <v>36</v>
      </c>
      <c r="BH33" t="s">
        <v>37</v>
      </c>
      <c r="BI33" t="s">
        <v>38</v>
      </c>
      <c r="BJ33" t="s">
        <v>97</v>
      </c>
      <c r="BK33" t="s">
        <v>93</v>
      </c>
      <c r="BL33" t="s">
        <v>94</v>
      </c>
      <c r="BM33" t="s">
        <v>50</v>
      </c>
      <c r="BN33" t="s">
        <v>43</v>
      </c>
      <c r="BO33">
        <v>56</v>
      </c>
      <c r="BP33">
        <v>2</v>
      </c>
      <c r="BQ33">
        <v>411600</v>
      </c>
      <c r="BR33">
        <v>22036.13181</v>
      </c>
      <c r="BS33">
        <v>56754.186323</v>
      </c>
      <c r="BT33">
        <v>21319.654275</v>
      </c>
      <c r="BU33">
        <v>134255.482667</v>
      </c>
      <c r="BV33">
        <v>8277.686077</v>
      </c>
      <c r="BW33">
        <v>42317.566119</v>
      </c>
      <c r="BX33">
        <v>50595.252196</v>
      </c>
      <c r="BY33">
        <v>43355.786085</v>
      </c>
      <c r="BZ33">
        <v>241604.921186</v>
      </c>
      <c r="CA33">
        <v>284960.707271</v>
      </c>
      <c r="CB33">
        <v>126639.292729</v>
      </c>
      <c r="CC33">
        <v>0</v>
      </c>
      <c r="CD33">
        <v>143235</v>
      </c>
      <c r="CE33">
        <v>368902.58</v>
      </c>
      <c r="CF33">
        <v>110025</v>
      </c>
      <c r="CG33">
        <v>34532</v>
      </c>
      <c r="CH33">
        <v>872661.51</v>
      </c>
      <c r="CI33">
        <v>2639292</v>
      </c>
      <c r="CJ33">
        <v>499926</v>
      </c>
    </row>
    <row r="34" ht="14.497499999999997" customHeight="1" hidden="0" collapsed="0" outlineLevel="2">
      <c r="B34" s="54" t="s">
        <v>88</v>
      </c>
      <c r="C34" s="55">
        <f>_xlfn.SUMIFS(_CALC_ALLOC!$G$1:$G$349,_CALC_ALLOC!$AS$1:$AS$349,"2027|"&amp;$P$1,_CALC_ALLOC!$B$1:$B$349,"MBWAY_NAN",_CALC_ALLOC!$D$1:$D$349,"BAC_MGT",_CALC_ALLOC!$E$1:$E$349,"B3",_CALC_ALLOC!$F$1:$F$349,"ALT")</f>
        <v>57.29</v>
      </c>
      <c r="D34" s="56">
        <f>_xlfn.SUMIFS(_CALC_ALLOC!$I$1:$I$349,_CALC_ALLOC!$AS$1:$AS$349,"2027|"&amp;$P$1,_CALC_ALLOC!$B$1:$B$349,"MBWAY_NAN",_CALC_ALLOC!$D$1:$D$349,"BAC_MGT",_CALC_ALLOC!$E$1:$E$349,"B3",_CALC_ALLOC!$F$1:$F$349,"ALT")</f>
        <v>402425.5844</v>
      </c>
      <c r="E34" s="56">
        <f>_xlfn.SUMIFS(_CALC_ALLOC!$AI$1:$AI$349,_CALC_ALLOC!$AS$1:$AS$349,"2027|"&amp;$P$1,_CALC_ALLOC!$B$1:$B$349,"MBWAY_NAN",_CALC_ALLOC!$D$1:$D$349,"BAC_MGT",_CALC_ALLOC!$E$1:$E$349,"B3",_CALC_ALLOC!$F$1:$F$349,"ALT")</f>
        <v>25390.2331099574</v>
      </c>
      <c r="F34" s="56">
        <f>_xlfn.SUMIFS(_CALC_ALLOC!$AJ$1:$AJ$349,_CALC_ALLOC!$AS$1:$AS$349,"2027|"&amp;$P$1,_CALC_ALLOC!$B$1:$B$349,"MBWAY_NAN",_CALC_ALLOC!$D$1:$D$349,"BAC_MGT",_CALC_ALLOC!$E$1:$E$349,"B3",_CALC_ALLOC!$F$1:$F$349,"ALT")</f>
        <v>62463.4993021277</v>
      </c>
      <c r="G34" s="56">
        <f>_xlfn.SUMIFS(_CALC_ALLOC!$AK$1:$AK$349,_CALC_ALLOC!$AS$1:$AS$349,"2027|"&amp;$P$1,_CALC_ALLOC!$B$1:$B$349,"MBWAY_NAN",_CALC_ALLOC!$D$1:$D$349,"BAC_MGT",_CALC_ALLOC!$E$1:$E$349,"B3",_CALC_ALLOC!$F$1:$F$349,"ALT")</f>
        <v>20996.0747175512</v>
      </c>
      <c r="H34" s="56">
        <f>_xlfn.SUMIFS(_CALC_ALLOC!$AL$1:$AL$349,_CALC_ALLOC!$AS$1:$AS$349,"2027|"&amp;$P$1,_CALC_ALLOC!$B$1:$B$349,"MBWAY_NAN",_CALC_ALLOC!$D$1:$D$349,"BAC_MGT",_CALC_ALLOC!$E$1:$E$349,"B3",_CALC_ALLOC!$F$1:$F$349,"ALT")</f>
        <v>139600.208028833</v>
      </c>
      <c r="I34" s="56">
        <f>_xlfn.SUMIFS(_CALC_ALLOC!$AR$1:$AR$349,_CALC_ALLOC!$AS$1:$AS$349,"2027|"&amp;$P$1,_CALC_ALLOC!$B$1:$B$349,"MBWAY_NAN",_CALC_ALLOC!$D$1:$D$349,"BAC_MGT",_CALC_ALLOC!$E$1:$E$349,"B3",_CALC_ALLOC!$F$1:$F$349,"ALT")</f>
        <v>12103.7973892213</v>
      </c>
      <c r="J34" s="56">
        <f>_xlfn.SUMIFS(_CALC_ALLOC!$AM$1:$AM$349,_CALC_ALLOC!$AS$1:$AS$349,"2027|"&amp;$P$1,_CALC_ALLOC!$B$1:$B$349,"MBWAY_NAN",_CALC_ALLOC!$D$1:$D$349,"BAC_MGT",_CALC_ALLOC!$E$1:$E$349,"B3",_CALC_ALLOC!$F$1:$F$349,"ALT")</f>
        <v>43261.2114088822</v>
      </c>
      <c r="K34" s="57">
        <f t="shared" si="0"/>
        <v>303815.023956573</v>
      </c>
      <c r="L34" s="58">
        <f>_xlfn.SUMIFS(_CALC_ALLOC!$AN$1:$AN$349,_CALC_ALLOC!$AS$1:$AS$349,"2027|"&amp;$P$1,_CALC_ALLOC!$B$1:$B$349,"MBWAY_NAN",_CALC_ALLOC!$D$1:$D$349,"BAC_MGT",_CALC_ALLOC!$E$1:$E$349,"B3",_CALC_ALLOC!$F$1:$F$349,"ALT")</f>
        <v>98610.5604434272</v>
      </c>
      <c r="M34" s="59">
        <f t="shared" si="1"/>
        <v>0.245040485163118</v>
      </c>
      <c r="BF34" t="s">
        <v>35</v>
      </c>
      <c r="BG34" t="s">
        <v>36</v>
      </c>
      <c r="BH34" t="s">
        <v>37</v>
      </c>
      <c r="BI34" t="s">
        <v>38</v>
      </c>
      <c r="BJ34" t="s">
        <v>97</v>
      </c>
      <c r="BK34" t="s">
        <v>93</v>
      </c>
      <c r="BL34" t="s">
        <v>95</v>
      </c>
      <c r="BM34" t="s">
        <v>71</v>
      </c>
      <c r="BN34" t="s">
        <v>43</v>
      </c>
      <c r="BO34">
        <v>59</v>
      </c>
      <c r="BP34">
        <v>3</v>
      </c>
      <c r="BQ34">
        <v>469935</v>
      </c>
      <c r="BR34">
        <v>28922.440905</v>
      </c>
      <c r="BS34">
        <v>74489.915661</v>
      </c>
      <c r="BT34">
        <v>39727.8238</v>
      </c>
      <c r="BU34">
        <v>201383.224001</v>
      </c>
      <c r="BV34">
        <v>12416.529116</v>
      </c>
      <c r="BW34">
        <v>63476.349179</v>
      </c>
      <c r="BX34">
        <v>75892.878295</v>
      </c>
      <c r="BY34">
        <v>68650.264705</v>
      </c>
      <c r="BZ34">
        <v>351766.017957</v>
      </c>
      <c r="CA34">
        <v>420416.282662</v>
      </c>
      <c r="CB34">
        <v>49518.717338</v>
      </c>
      <c r="CC34">
        <v>59</v>
      </c>
      <c r="CD34">
        <v>143235</v>
      </c>
      <c r="CE34">
        <v>368902.58</v>
      </c>
      <c r="CF34">
        <v>110025</v>
      </c>
      <c r="CG34">
        <v>34532</v>
      </c>
      <c r="CH34">
        <v>872661.51</v>
      </c>
      <c r="CI34">
        <v>2639292</v>
      </c>
      <c r="CJ34">
        <v>499926</v>
      </c>
    </row>
    <row r="35" ht="14.497499999999997" customHeight="1" hidden="0" collapsed="0" outlineLevel="2">
      <c r="B35" s="54" t="s">
        <v>89</v>
      </c>
      <c r="C35" s="55">
        <f>_xlfn.SUMIFS(_CALC_ALLOC!$G$1:$G$349,_CALC_ALLOC!$AS$1:$AS$349,"2027|"&amp;$P$1,_CALC_ALLOC!$B$1:$B$349,"MBWAY_NAN",_CALC_ALLOC!$D$1:$D$349,"MAS_MGT",_CALC_ALLOC!$E$1:$E$349,"M1",_CALC_ALLOC!$F$1:$F$349,"ALT")</f>
        <v>66.913655</v>
      </c>
      <c r="D35" s="56">
        <f>_xlfn.SUMIFS(_CALC_ALLOC!$I$1:$I$349,_CALC_ALLOC!$AS$1:$AS$349,"2027|"&amp;$P$1,_CALC_ALLOC!$B$1:$B$349,"MBWAY_NAN",_CALC_ALLOC!$D$1:$D$349,"MAS_MGT",_CALC_ALLOC!$E$1:$E$349,"M1",_CALC_ALLOC!$F$1:$F$349,"ALT")</f>
        <v>509621.087846</v>
      </c>
      <c r="E35" s="56">
        <f>_xlfn.SUMIFS(_CALC_ALLOC!$AI$1:$AI$349,_CALC_ALLOC!$AS$1:$AS$349,"2027|"&amp;$P$1,_CALC_ALLOC!$B$1:$B$349,"MBWAY_NAN",_CALC_ALLOC!$D$1:$D$349,"MAS_MGT",_CALC_ALLOC!$E$1:$E$349,"M1",_CALC_ALLOC!$F$1:$F$349,"ALT")</f>
        <v>33324.6809568191</v>
      </c>
      <c r="F35" s="56">
        <f>_xlfn.SUMIFS(_CALC_ALLOC!$AJ$1:$AJ$349,_CALC_ALLOC!$AS$1:$AS$349,"2027|"&amp;$P$1,_CALC_ALLOC!$B$1:$B$349,"MBWAY_NAN",_CALC_ALLOC!$D$1:$D$349,"MAS_MGT",_CALC_ALLOC!$E$1:$E$349,"M1",_CALC_ALLOC!$F$1:$F$349,"ALT")</f>
        <v>81983.3428340425</v>
      </c>
      <c r="G35" s="56">
        <f>_xlfn.SUMIFS(_CALC_ALLOC!$AK$1:$AK$349,_CALC_ALLOC!$AS$1:$AS$349,"2027|"&amp;$P$1,_CALC_ALLOC!$B$1:$B$349,"MBWAY_NAN",_CALC_ALLOC!$D$1:$D$349,"MAS_MGT",_CALC_ALLOC!$E$1:$E$349,"M1",_CALC_ALLOC!$F$1:$F$349,"ALT")</f>
        <v>41727.5283360224</v>
      </c>
      <c r="H35" s="56">
        <f>_xlfn.SUMIFS(_CALC_ALLOC!$AL$1:$AL$349,_CALC_ALLOC!$AS$1:$AS$349,"2027|"&amp;$P$1,_CALC_ALLOC!$B$1:$B$349,"MBWAY_NAN",_CALC_ALLOC!$D$1:$D$349,"MAS_MGT",_CALC_ALLOC!$E$1:$E$349,"M1",_CALC_ALLOC!$F$1:$F$349,"ALT")</f>
        <v>209400.31204325</v>
      </c>
      <c r="I35" s="56">
        <f>_xlfn.SUMIFS(_CALC_ALLOC!$AR$1:$AR$349,_CALC_ALLOC!$AS$1:$AS$349,"2027|"&amp;$P$1,_CALC_ALLOC!$B$1:$B$349,"MBWAY_NAN",_CALC_ALLOC!$D$1:$D$349,"MAS_MGT",_CALC_ALLOC!$E$1:$E$349,"M1",_CALC_ALLOC!$F$1:$F$349,"ALT")</f>
        <v>18155.696083832</v>
      </c>
      <c r="J35" s="56">
        <f>_xlfn.SUMIFS(_CALC_ALLOC!$AM$1:$AM$349,_CALC_ALLOC!$AS$1:$AS$349,"2027|"&amp;$P$1,_CALC_ALLOC!$B$1:$B$349,"MBWAY_NAN",_CALC_ALLOC!$D$1:$D$349,"MAS_MGT",_CALC_ALLOC!$E$1:$E$349,"M1",_CALC_ALLOC!$F$1:$F$349,"ALT")</f>
        <v>64891.8171133233</v>
      </c>
      <c r="K35" s="57">
        <f t="shared" si="0"/>
        <v>449483.377367289</v>
      </c>
      <c r="L35" s="58">
        <f>_xlfn.SUMIFS(_CALC_ALLOC!$AN$1:$AN$349,_CALC_ALLOC!$AS$1:$AS$349,"2027|"&amp;$P$1,_CALC_ALLOC!$B$1:$B$349,"MBWAY_NAN",_CALC_ALLOC!$D$1:$D$349,"MAS_MGT",_CALC_ALLOC!$E$1:$E$349,"M1",_CALC_ALLOC!$F$1:$F$349,"ALT")</f>
        <v>60137.7104787107</v>
      </c>
      <c r="M35" s="59">
        <f t="shared" si="1"/>
        <v>0.11800475277209</v>
      </c>
      <c r="BF35" t="s">
        <v>35</v>
      </c>
      <c r="BG35" t="s">
        <v>36</v>
      </c>
      <c r="BH35" t="s">
        <v>37</v>
      </c>
      <c r="BI35" t="s">
        <v>38</v>
      </c>
      <c r="BJ35" t="s">
        <v>97</v>
      </c>
      <c r="BK35" t="s">
        <v>93</v>
      </c>
      <c r="BL35" t="s">
        <v>95</v>
      </c>
      <c r="BM35" t="s">
        <v>72</v>
      </c>
      <c r="BN35" t="s">
        <v>43</v>
      </c>
      <c r="BO35">
        <v>58</v>
      </c>
      <c r="BP35">
        <v>3</v>
      </c>
      <c r="BQ35">
        <v>456750</v>
      </c>
      <c r="BR35">
        <v>28922.440905</v>
      </c>
      <c r="BS35">
        <v>74489.915661</v>
      </c>
      <c r="BT35">
        <v>22081.1373</v>
      </c>
      <c r="BU35">
        <v>201383.224001</v>
      </c>
      <c r="BV35">
        <v>12416.529116</v>
      </c>
      <c r="BW35">
        <v>63476.349179</v>
      </c>
      <c r="BX35">
        <v>75892.878295</v>
      </c>
      <c r="BY35">
        <v>51003.578205</v>
      </c>
      <c r="BZ35">
        <v>351766.017957</v>
      </c>
      <c r="CA35">
        <v>402769.596162</v>
      </c>
      <c r="CB35">
        <v>53980.403838</v>
      </c>
      <c r="CC35">
        <v>0</v>
      </c>
      <c r="CD35">
        <v>143235</v>
      </c>
      <c r="CE35">
        <v>368902.58</v>
      </c>
      <c r="CF35">
        <v>110025</v>
      </c>
      <c r="CG35">
        <v>34532</v>
      </c>
      <c r="CH35">
        <v>872661.51</v>
      </c>
      <c r="CI35">
        <v>2639292</v>
      </c>
      <c r="CJ35">
        <v>499926</v>
      </c>
    </row>
    <row r="36" ht="14.497499999999997" customHeight="1" hidden="0" collapsed="0" outlineLevel="2">
      <c r="B36" s="54" t="s">
        <v>90</v>
      </c>
      <c r="C36" s="55">
        <f>_xlfn.SUMIFS(_CALC_ALLOC!$G$1:$G$349,_CALC_ALLOC!$AS$1:$AS$349,"2027|"&amp;$P$1,_CALC_ALLOC!$B$1:$B$349,"MBWAY_NAN",_CALC_ALLOC!$D$1:$D$349,"MAS_MGT",_CALC_ALLOC!$E$1:$E$349,"M2",_CALC_ALLOC!$F$1:$F$349,"ALT")</f>
        <v>59.3</v>
      </c>
      <c r="D36" s="56">
        <f>_xlfn.SUMIFS(_CALC_ALLOC!$I$1:$I$349,_CALC_ALLOC!$AS$1:$AS$349,"2027|"&amp;$P$1,_CALC_ALLOC!$B$1:$B$349,"MBWAY_NAN",_CALC_ALLOC!$D$1:$D$349,"MAS_MGT",_CALC_ALLOC!$E$1:$E$349,"M2",_CALC_ALLOC!$F$1:$F$349,"ALT")</f>
        <v>446297.73</v>
      </c>
      <c r="E36" s="56">
        <f>_xlfn.SUMIFS(_CALC_ALLOC!$AI$1:$AI$349,_CALC_ALLOC!$AS$1:$AS$349,"2027|"&amp;$P$1,_CALC_ALLOC!$B$1:$B$349,"MBWAY_NAN",_CALC_ALLOC!$D$1:$D$349,"MAS_MGT",_CALC_ALLOC!$E$1:$E$349,"M2",_CALC_ALLOC!$F$1:$F$349,"ALT")</f>
        <v>33324.6809568191</v>
      </c>
      <c r="F36" s="56">
        <f>_xlfn.SUMIFS(_CALC_ALLOC!$AJ$1:$AJ$349,_CALC_ALLOC!$AS$1:$AS$349,"2027|"&amp;$P$1,_CALC_ALLOC!$B$1:$B$349,"MBWAY_NAN",_CALC_ALLOC!$D$1:$D$349,"MAS_MGT",_CALC_ALLOC!$E$1:$E$349,"M2",_CALC_ALLOC!$F$1:$F$349,"ALT")</f>
        <v>81983.3428340425</v>
      </c>
      <c r="G36" s="56">
        <f>_xlfn.SUMIFS(_CALC_ALLOC!$AK$1:$AK$349,_CALC_ALLOC!$AS$1:$AS$349,"2027|"&amp;$P$1,_CALC_ALLOC!$B$1:$B$349,"MBWAY_NAN",_CALC_ALLOC!$D$1:$D$349,"MAS_MGT",_CALC_ALLOC!$E$1:$E$349,"M2",_CALC_ALLOC!$F$1:$F$349,"ALT")</f>
        <v>21732.7147975351</v>
      </c>
      <c r="H36" s="56">
        <f>_xlfn.SUMIFS(_CALC_ALLOC!$AL$1:$AL$349,_CALC_ALLOC!$AS$1:$AS$349,"2027|"&amp;$P$1,_CALC_ALLOC!$B$1:$B$349,"MBWAY_NAN",_CALC_ALLOC!$D$1:$D$349,"MAS_MGT",_CALC_ALLOC!$E$1:$E$349,"M2",_CALC_ALLOC!$F$1:$F$349,"ALT")</f>
        <v>209400.31204325</v>
      </c>
      <c r="I36" s="56">
        <f>_xlfn.SUMIFS(_CALC_ALLOC!$AR$1:$AR$349,_CALC_ALLOC!$AS$1:$AS$349,"2027|"&amp;$P$1,_CALC_ALLOC!$B$1:$B$349,"MBWAY_NAN",_CALC_ALLOC!$D$1:$D$349,"MAS_MGT",_CALC_ALLOC!$E$1:$E$349,"M2",_CALC_ALLOC!$F$1:$F$349,"ALT")</f>
        <v>18155.696083832</v>
      </c>
      <c r="J36" s="56">
        <f>_xlfn.SUMIFS(_CALC_ALLOC!$AM$1:$AM$349,_CALC_ALLOC!$AS$1:$AS$349,"2027|"&amp;$P$1,_CALC_ALLOC!$B$1:$B$349,"MBWAY_NAN",_CALC_ALLOC!$D$1:$D$349,"MAS_MGT",_CALC_ALLOC!$E$1:$E$349,"M2",_CALC_ALLOC!$F$1:$F$349,"ALT")</f>
        <v>64891.8171133233</v>
      </c>
      <c r="K36" s="57">
        <f t="shared" si="0"/>
        <v>429488.563828802</v>
      </c>
      <c r="L36" s="58">
        <f>_xlfn.SUMIFS(_CALC_ALLOC!$AN$1:$AN$349,_CALC_ALLOC!$AS$1:$AS$349,"2027|"&amp;$P$1,_CALC_ALLOC!$B$1:$B$349,"MBWAY_NAN",_CALC_ALLOC!$D$1:$D$349,"MAS_MGT",_CALC_ALLOC!$E$1:$E$349,"M2",_CALC_ALLOC!$F$1:$F$349,"ALT")</f>
        <v>16809.166171198</v>
      </c>
      <c r="M36" s="59">
        <f t="shared" si="1"/>
        <v>0.0376635708436115</v>
      </c>
      <c r="BF36" t="s">
        <v>35</v>
      </c>
      <c r="BG36" t="s">
        <v>36</v>
      </c>
      <c r="BH36" t="s">
        <v>37</v>
      </c>
      <c r="BI36" t="s">
        <v>38</v>
      </c>
      <c r="BJ36" t="s">
        <v>98</v>
      </c>
      <c r="BK36" t="s">
        <v>93</v>
      </c>
      <c r="BL36" t="s">
        <v>94</v>
      </c>
      <c r="BM36" t="s">
        <v>42</v>
      </c>
      <c r="BN36" t="s">
        <v>67</v>
      </c>
      <c r="BO36">
        <v>53</v>
      </c>
      <c r="BP36">
        <v>2</v>
      </c>
      <c r="BQ36">
        <v>402270</v>
      </c>
      <c r="BR36">
        <v>28130.93724</v>
      </c>
      <c r="BS36">
        <v>67425.875306</v>
      </c>
      <c r="BT36">
        <v>33226.02673</v>
      </c>
      <c r="BU36">
        <v>123506.229306</v>
      </c>
      <c r="BV36">
        <v>8129.66045</v>
      </c>
      <c r="BW36">
        <v>41560.822724</v>
      </c>
      <c r="BX36">
        <v>49690.483174</v>
      </c>
      <c r="BY36">
        <v>61356.96397</v>
      </c>
      <c r="BZ36">
        <v>240622.587786</v>
      </c>
      <c r="CA36">
        <v>301979.551756</v>
      </c>
      <c r="CB36">
        <v>100290.448244</v>
      </c>
      <c r="CC36">
        <v>53</v>
      </c>
      <c r="CD36">
        <v>132216</v>
      </c>
      <c r="CE36">
        <v>316903.04</v>
      </c>
      <c r="CF36">
        <v>99837</v>
      </c>
      <c r="CG36">
        <v>26060</v>
      </c>
      <c r="CH36">
        <v>741040.34</v>
      </c>
      <c r="CI36">
        <v>2639292</v>
      </c>
      <c r="CJ36">
        <v>499926</v>
      </c>
    </row>
    <row r="37" ht="14.497499999999997" customHeight="1" hidden="0" collapsed="0" outlineLevel="1">
      <c r="B37" s="49" t="s">
        <v>99</v>
      </c>
      <c r="C37" s="50">
        <f>_xlfn.SUMIFS(_CALC_ALLOC!$G$1:$G$349,_CALC_ALLOC!$AS$1:$AS$349,"2027|"&amp;$P$1,_CALC_ALLOC!$B$1:$B$349,"MBWAY_BOR")</f>
        <v>260.41181</v>
      </c>
      <c r="D37" s="51">
        <f>_xlfn.SUMIFS(_CALC_ALLOC!$I$1:$I$349,_CALC_ALLOC!$AS$1:$AS$349,"2027|"&amp;$P$1,_CALC_ALLOC!$B$1:$B$349,"MBWAY_BOR")</f>
        <v>1863775.815944</v>
      </c>
      <c r="E37" s="51">
        <f>_xlfn.SUMIFS(_CALC_ALLOC!$AI$1:$AI$349,_CALC_ALLOC!$AS$1:$AS$349,"2027|"&amp;$P$1,_CALC_ALLOC!$B$1:$B$349,"MBWAY_BOR")</f>
        <v>124306.177995</v>
      </c>
      <c r="F37" s="51">
        <f>_xlfn.SUMIFS(_CALC_ALLOC!$AJ$1:$AJ$349,_CALC_ALLOC!$AS$1:$AS$349,"2027|"&amp;$P$1,_CALC_ALLOC!$B$1:$B$349,"MBWAY_BOR")</f>
        <v>298839.33794</v>
      </c>
      <c r="G37" s="51">
        <f>_xlfn.SUMIFS(_CALC_ALLOC!$AK$1:$AK$349,_CALC_ALLOC!$AS$1:$AS$349,"2027|"&amp;$P$1,_CALC_ALLOC!$B$1:$B$349,"MBWAY_BOR")</f>
        <v>122314.101665</v>
      </c>
      <c r="H37" s="51">
        <f>_xlfn.SUMIFS(_CALC_ALLOC!$AL$1:$AL$349,_CALC_ALLOC!$AS$1:$AS$349,"2027|"&amp;$P$1,_CALC_ALLOC!$B$1:$B$349,"MBWAY_BOR")</f>
        <v>689721.513923</v>
      </c>
      <c r="I37" s="51">
        <f>_xlfn.SUMIFS(_CALC_ALLOC!$AR$1:$AR$349,_CALC_ALLOC!$AS$1:$AS$349,"2027|"&amp;$P$1,_CALC_ALLOC!$B$1:$B$349,"MBWAY_BOR")</f>
        <v>61533.3141211445</v>
      </c>
      <c r="J37" s="51">
        <f>_xlfn.SUMIFS(_CALC_ALLOC!$AM$1:$AM$349,_CALC_ALLOC!$AS$1:$AS$349,"2027|"&amp;$P$1,_CALC_ALLOC!$B$1:$B$349,"MBWAY_BOR")</f>
        <v>219931.450046789</v>
      </c>
      <c r="K37" s="51">
        <f t="shared" si="0"/>
        <v>1516645.89569093</v>
      </c>
      <c r="L37" s="52">
        <f>_xlfn.SUMIFS(_CALC_ALLOC!$AN$1:$AN$349,_CALC_ALLOC!$AS$1:$AS$349,"2027|"&amp;$P$1,_CALC_ALLOC!$B$1:$B$349,"MBWAY_BOR")</f>
        <v>347129.920253066</v>
      </c>
      <c r="M37" s="53">
        <f t="shared" si="1"/>
        <v>0.186250898462938</v>
      </c>
      <c r="BF37" t="s">
        <v>35</v>
      </c>
      <c r="BG37" t="s">
        <v>36</v>
      </c>
      <c r="BH37" t="s">
        <v>37</v>
      </c>
      <c r="BI37" t="s">
        <v>38</v>
      </c>
      <c r="BJ37" t="s">
        <v>98</v>
      </c>
      <c r="BK37" t="s">
        <v>93</v>
      </c>
      <c r="BL37" t="s">
        <v>94</v>
      </c>
      <c r="BM37" t="s">
        <v>44</v>
      </c>
      <c r="BN37" t="s">
        <v>43</v>
      </c>
      <c r="BO37">
        <v>52</v>
      </c>
      <c r="BP37">
        <v>2</v>
      </c>
      <c r="BQ37">
        <v>364000</v>
      </c>
      <c r="BR37">
        <v>22504.749792</v>
      </c>
      <c r="BS37">
        <v>53940.700244</v>
      </c>
      <c r="BT37">
        <v>19814.948901</v>
      </c>
      <c r="BU37">
        <v>123506.229306</v>
      </c>
      <c r="BV37">
        <v>8129.66045</v>
      </c>
      <c r="BW37">
        <v>41560.822724</v>
      </c>
      <c r="BX37">
        <v>49690.483174</v>
      </c>
      <c r="BY37">
        <v>42319.698693</v>
      </c>
      <c r="BZ37">
        <v>227137.412724</v>
      </c>
      <c r="CA37">
        <v>269457.111417</v>
      </c>
      <c r="CB37">
        <v>94542.888583</v>
      </c>
      <c r="CC37">
        <v>0</v>
      </c>
      <c r="CD37">
        <v>132216</v>
      </c>
      <c r="CE37">
        <v>316903.04</v>
      </c>
      <c r="CF37">
        <v>99837</v>
      </c>
      <c r="CG37">
        <v>26060</v>
      </c>
      <c r="CH37">
        <v>741040.34</v>
      </c>
      <c r="CI37">
        <v>2639292</v>
      </c>
      <c r="CJ37">
        <v>499926</v>
      </c>
    </row>
    <row r="38" ht="14.497499999999997" customHeight="1" hidden="0" collapsed="0" outlineLevel="2">
      <c r="B38" s="54" t="s">
        <v>85</v>
      </c>
      <c r="C38" s="55">
        <f>_xlfn.SUMIFS(_CALC_ALLOC!$G$1:$G$349,_CALC_ALLOC!$AS$1:$AS$349,"2027|"&amp;$P$1,_CALC_ALLOC!$B$1:$B$349,"MBWAY_BOR",_CALC_ALLOC!$D$1:$D$349,"BAC_MGT",_CALC_ALLOC!$E$1:$E$349,"B1",_CALC_ALLOC!$F$1:$F$349,"INIT")</f>
        <v>55.74675</v>
      </c>
      <c r="D38" s="56">
        <f>_xlfn.SUMIFS(_CALC_ALLOC!$I$1:$I$349,_CALC_ALLOC!$AS$1:$AS$349,"2027|"&amp;$P$1,_CALC_ALLOC!$B$1:$B$349,"MBWAY_BOR",_CALC_ALLOC!$D$1:$D$349,"BAC_MGT",_CALC_ALLOC!$E$1:$E$349,"B1",_CALC_ALLOC!$F$1:$F$349,"INIT")</f>
        <v>411986.15422</v>
      </c>
      <c r="E38" s="56">
        <f>_xlfn.SUMIFS(_CALC_ALLOC!$AI$1:$AI$349,_CALC_ALLOC!$AS$1:$AS$349,"2027|"&amp;$P$1,_CALC_ALLOC!$B$1:$B$349,"MBWAY_BOR",_CALC_ALLOC!$D$1:$D$349,"BAC_MGT",_CALC_ALLOC!$E$1:$E$349,"B1",_CALC_ALLOC!$F$1:$F$349,"INIT")</f>
        <v>31076.54449875</v>
      </c>
      <c r="F38" s="56">
        <f>_xlfn.SUMIFS(_CALC_ALLOC!$AJ$1:$AJ$349,_CALC_ALLOC!$AS$1:$AS$349,"2027|"&amp;$P$1,_CALC_ALLOC!$B$1:$B$349,"MBWAY_BOR",_CALC_ALLOC!$D$1:$D$349,"BAC_MGT",_CALC_ALLOC!$E$1:$E$349,"B1",_CALC_ALLOC!$F$1:$F$349,"INIT")</f>
        <v>74709.834485</v>
      </c>
      <c r="G38" s="56">
        <f>_xlfn.SUMIFS(_CALC_ALLOC!$AK$1:$AK$349,_CALC_ALLOC!$AS$1:$AS$349,"2027|"&amp;$P$1,_CALC_ALLOC!$B$1:$B$349,"MBWAY_BOR",_CALC_ALLOC!$D$1:$D$349,"BAC_MGT",_CALC_ALLOC!$E$1:$E$349,"B1",_CALC_ALLOC!$F$1:$F$349,"INIT")</f>
        <v>33741.2825484388</v>
      </c>
      <c r="H38" s="56">
        <f>_xlfn.SUMIFS(_CALC_ALLOC!$AL$1:$AL$349,_CALC_ALLOC!$AS$1:$AS$349,"2027|"&amp;$P$1,_CALC_ALLOC!$B$1:$B$349,"MBWAY_BOR",_CALC_ALLOC!$D$1:$D$349,"BAC_MGT",_CALC_ALLOC!$E$1:$E$349,"B1",_CALC_ALLOC!$F$1:$F$349,"INIT")</f>
        <v>137944.3027846</v>
      </c>
      <c r="I38" s="56">
        <f>_xlfn.SUMIFS(_CALC_ALLOC!$AR$1:$AR$349,_CALC_ALLOC!$AS$1:$AS$349,"2027|"&amp;$P$1,_CALC_ALLOC!$B$1:$B$349,"MBWAY_BOR",_CALC_ALLOC!$D$1:$D$349,"BAC_MGT",_CALC_ALLOC!$E$1:$E$349,"B1",_CALC_ALLOC!$F$1:$F$349,"INIT")</f>
        <v>12306.6628242289</v>
      </c>
      <c r="J38" s="56">
        <f>_xlfn.SUMIFS(_CALC_ALLOC!$AM$1:$AM$349,_CALC_ALLOC!$AS$1:$AS$349,"2027|"&amp;$P$1,_CALC_ALLOC!$B$1:$B$349,"MBWAY_BOR",_CALC_ALLOC!$D$1:$D$349,"BAC_MGT",_CALC_ALLOC!$E$1:$E$349,"B1",_CALC_ALLOC!$F$1:$F$349,"INIT")</f>
        <v>43986.2900093578</v>
      </c>
      <c r="K38" s="57">
        <f t="shared" si="0"/>
        <v>333764.917150375</v>
      </c>
      <c r="L38" s="58">
        <f>_xlfn.SUMIFS(_CALC_ALLOC!$AN$1:$AN$349,_CALC_ALLOC!$AS$1:$AS$349,"2027|"&amp;$P$1,_CALC_ALLOC!$B$1:$B$349,"MBWAY_BOR",_CALC_ALLOC!$D$1:$D$349,"BAC_MGT",_CALC_ALLOC!$E$1:$E$349,"B1",_CALC_ALLOC!$F$1:$F$349,"INIT")</f>
        <v>78221.2370696245</v>
      </c>
      <c r="M38" s="59">
        <f t="shared" si="1"/>
        <v>0.189863752139239</v>
      </c>
      <c r="BF38" t="s">
        <v>35</v>
      </c>
      <c r="BG38" t="s">
        <v>36</v>
      </c>
      <c r="BH38" t="s">
        <v>37</v>
      </c>
      <c r="BI38" t="s">
        <v>38</v>
      </c>
      <c r="BJ38" t="s">
        <v>98</v>
      </c>
      <c r="BK38" t="s">
        <v>93</v>
      </c>
      <c r="BL38" t="s">
        <v>94</v>
      </c>
      <c r="BM38" t="s">
        <v>50</v>
      </c>
      <c r="BN38" t="s">
        <v>43</v>
      </c>
      <c r="BO38">
        <v>51</v>
      </c>
      <c r="BP38">
        <v>2</v>
      </c>
      <c r="BQ38">
        <v>357000</v>
      </c>
      <c r="BR38">
        <v>22504.749792</v>
      </c>
      <c r="BS38">
        <v>53940.700244</v>
      </c>
      <c r="BT38">
        <v>19433.871072</v>
      </c>
      <c r="BU38">
        <v>123506.229306</v>
      </c>
      <c r="BV38">
        <v>8129.66045</v>
      </c>
      <c r="BW38">
        <v>41560.822724</v>
      </c>
      <c r="BX38">
        <v>49690.483174</v>
      </c>
      <c r="BY38">
        <v>41938.620864</v>
      </c>
      <c r="BZ38">
        <v>227137.412724</v>
      </c>
      <c r="CA38">
        <v>269076.033588</v>
      </c>
      <c r="CB38">
        <v>87923.966412</v>
      </c>
      <c r="CC38">
        <v>0</v>
      </c>
      <c r="CD38">
        <v>132216</v>
      </c>
      <c r="CE38">
        <v>316903.04</v>
      </c>
      <c r="CF38">
        <v>99837</v>
      </c>
      <c r="CG38">
        <v>26060</v>
      </c>
      <c r="CH38">
        <v>741040.34</v>
      </c>
      <c r="CI38">
        <v>2639292</v>
      </c>
      <c r="CJ38">
        <v>499926</v>
      </c>
    </row>
    <row r="39" ht="14.497499999999997" customHeight="1" hidden="0" collapsed="0" outlineLevel="2">
      <c r="B39" s="54" t="s">
        <v>86</v>
      </c>
      <c r="C39" s="55">
        <f>_xlfn.SUMIFS(_CALC_ALLOC!$G$1:$G$349,_CALC_ALLOC!$AS$1:$AS$349,"2027|"&amp;$P$1,_CALC_ALLOC!$B$1:$B$349,"MBWAY_BOR",_CALC_ALLOC!$D$1:$D$349,"BAC_MGT",_CALC_ALLOC!$E$1:$E$349,"B2",_CALC_ALLOC!$F$1:$F$349,"ALT")</f>
        <v>49.255</v>
      </c>
      <c r="D39" s="56">
        <f>_xlfn.SUMIFS(_CALC_ALLOC!$I$1:$I$349,_CALC_ALLOC!$AS$1:$AS$349,"2027|"&amp;$P$1,_CALC_ALLOC!$B$1:$B$349,"MBWAY_BOR",_CALC_ALLOC!$D$1:$D$349,"BAC_MGT",_CALC_ALLOC!$E$1:$E$349,"B2",_CALC_ALLOC!$F$1:$F$349,"ALT")</f>
        <v>335605.306246</v>
      </c>
      <c r="E39" s="56">
        <f>_xlfn.SUMIFS(_CALC_ALLOC!$AI$1:$AI$349,_CALC_ALLOC!$AS$1:$AS$349,"2027|"&amp;$P$1,_CALC_ALLOC!$B$1:$B$349,"MBWAY_BOR",_CALC_ALLOC!$D$1:$D$349,"BAC_MGT",_CALC_ALLOC!$E$1:$E$349,"B2",_CALC_ALLOC!$F$1:$F$349,"ALT")</f>
        <v>24861.235599</v>
      </c>
      <c r="F39" s="56">
        <f>_xlfn.SUMIFS(_CALC_ALLOC!$AJ$1:$AJ$349,_CALC_ALLOC!$AS$1:$AS$349,"2027|"&amp;$P$1,_CALC_ALLOC!$B$1:$B$349,"MBWAY_BOR",_CALC_ALLOC!$D$1:$D$349,"BAC_MGT",_CALC_ALLOC!$E$1:$E$349,"B2",_CALC_ALLOC!$F$1:$F$349,"ALT")</f>
        <v>59767.867588</v>
      </c>
      <c r="G39" s="56">
        <f>_xlfn.SUMIFS(_CALC_ALLOC!$AK$1:$AK$349,_CALC_ALLOC!$AS$1:$AS$349,"2027|"&amp;$P$1,_CALC_ALLOC!$B$1:$B$349,"MBWAY_BOR",_CALC_ALLOC!$D$1:$D$349,"BAC_MGT",_CALC_ALLOC!$E$1:$E$349,"B2",_CALC_ALLOC!$F$1:$F$349,"ALT")</f>
        <v>18043.6982612639</v>
      </c>
      <c r="H39" s="56">
        <f>_xlfn.SUMIFS(_CALC_ALLOC!$AL$1:$AL$349,_CALC_ALLOC!$AS$1:$AS$349,"2027|"&amp;$P$1,_CALC_ALLOC!$B$1:$B$349,"MBWAY_BOR",_CALC_ALLOC!$D$1:$D$349,"BAC_MGT",_CALC_ALLOC!$E$1:$E$349,"B2",_CALC_ALLOC!$F$1:$F$349,"ALT")</f>
        <v>137944.3027846</v>
      </c>
      <c r="I39" s="56">
        <f>_xlfn.SUMIFS(_CALC_ALLOC!$AR$1:$AR$349,_CALC_ALLOC!$AS$1:$AS$349,"2027|"&amp;$P$1,_CALC_ALLOC!$B$1:$B$349,"MBWAY_BOR",_CALC_ALLOC!$D$1:$D$349,"BAC_MGT",_CALC_ALLOC!$E$1:$E$349,"B2",_CALC_ALLOC!$F$1:$F$349,"ALT")</f>
        <v>12306.6628242289</v>
      </c>
      <c r="J39" s="56">
        <f>_xlfn.SUMIFS(_CALC_ALLOC!$AM$1:$AM$349,_CALC_ALLOC!$AS$1:$AS$349,"2027|"&amp;$P$1,_CALC_ALLOC!$B$1:$B$349,"MBWAY_BOR",_CALC_ALLOC!$D$1:$D$349,"BAC_MGT",_CALC_ALLOC!$E$1:$E$349,"B2",_CALC_ALLOC!$F$1:$F$349,"ALT")</f>
        <v>43986.2900093578</v>
      </c>
      <c r="K39" s="57">
        <f t="shared" si="0"/>
        <v>296910.057066451</v>
      </c>
      <c r="L39" s="58">
        <f>_xlfn.SUMIFS(_CALC_ALLOC!$AN$1:$AN$349,_CALC_ALLOC!$AS$1:$AS$349,"2027|"&amp;$P$1,_CALC_ALLOC!$B$1:$B$349,"MBWAY_BOR",_CALC_ALLOC!$D$1:$D$349,"BAC_MGT",_CALC_ALLOC!$E$1:$E$349,"B2",_CALC_ALLOC!$F$1:$F$349,"ALT")</f>
        <v>38695.2491795494</v>
      </c>
      <c r="M39" s="59">
        <f t="shared" si="1"/>
        <v>0.115299872973956</v>
      </c>
      <c r="BF39" t="s">
        <v>35</v>
      </c>
      <c r="BG39" t="s">
        <v>36</v>
      </c>
      <c r="BH39" t="s">
        <v>37</v>
      </c>
      <c r="BI39" t="s">
        <v>38</v>
      </c>
      <c r="BJ39" t="s">
        <v>98</v>
      </c>
      <c r="BK39" t="s">
        <v>93</v>
      </c>
      <c r="BL39" t="s">
        <v>95</v>
      </c>
      <c r="BM39" t="s">
        <v>71</v>
      </c>
      <c r="BN39" t="s">
        <v>43</v>
      </c>
      <c r="BO39">
        <v>53</v>
      </c>
      <c r="BP39">
        <v>3</v>
      </c>
      <c r="BQ39">
        <v>402270</v>
      </c>
      <c r="BR39">
        <v>29537.583264</v>
      </c>
      <c r="BS39">
        <v>70797.406748</v>
      </c>
      <c r="BT39">
        <v>33226.02673</v>
      </c>
      <c r="BU39">
        <v>185260.085</v>
      </c>
      <c r="BV39">
        <v>12194.539453</v>
      </c>
      <c r="BW39">
        <v>62341.483452</v>
      </c>
      <c r="BX39">
        <v>74536.022905</v>
      </c>
      <c r="BY39">
        <v>62763.609994</v>
      </c>
      <c r="BZ39">
        <v>330593.514653</v>
      </c>
      <c r="CA39">
        <v>393357.124647</v>
      </c>
      <c r="CB39">
        <v>8912.875353</v>
      </c>
      <c r="CC39">
        <v>53</v>
      </c>
      <c r="CD39">
        <v>132216</v>
      </c>
      <c r="CE39">
        <v>316903.04</v>
      </c>
      <c r="CF39">
        <v>99837</v>
      </c>
      <c r="CG39">
        <v>26060</v>
      </c>
      <c r="CH39">
        <v>741040.34</v>
      </c>
      <c r="CI39">
        <v>2639292</v>
      </c>
      <c r="CJ39">
        <v>499926</v>
      </c>
    </row>
    <row r="40" ht="14.497499999999997" customHeight="1" hidden="0" collapsed="0" outlineLevel="2">
      <c r="B40" s="54" t="s">
        <v>88</v>
      </c>
      <c r="C40" s="55">
        <f>_xlfn.SUMIFS(_CALC_ALLOC!$G$1:$G$349,_CALC_ALLOC!$AS$1:$AS$349,"2027|"&amp;$P$1,_CALC_ALLOC!$B$1:$B$349,"MBWAY_BOR",_CALC_ALLOC!$D$1:$D$349,"BAC_MGT",_CALC_ALLOC!$E$1:$E$349,"B3",_CALC_ALLOC!$F$1:$F$349,"ALT")</f>
        <v>48.245</v>
      </c>
      <c r="D40" s="56">
        <f>_xlfn.SUMIFS(_CALC_ALLOC!$I$1:$I$349,_CALC_ALLOC!$AS$1:$AS$349,"2027|"&amp;$P$1,_CALC_ALLOC!$B$1:$B$349,"MBWAY_BOR",_CALC_ALLOC!$D$1:$D$349,"BAC_MGT",_CALC_ALLOC!$E$1:$E$349,"B3",_CALC_ALLOC!$F$1:$F$349,"ALT")</f>
        <v>328723.540754</v>
      </c>
      <c r="E40" s="56">
        <f>_xlfn.SUMIFS(_CALC_ALLOC!$AI$1:$AI$349,_CALC_ALLOC!$AS$1:$AS$349,"2027|"&amp;$P$1,_CALC_ALLOC!$B$1:$B$349,"MBWAY_BOR",_CALC_ALLOC!$D$1:$D$349,"BAC_MGT",_CALC_ALLOC!$E$1:$E$349,"B3",_CALC_ALLOC!$F$1:$F$349,"ALT")</f>
        <v>24861.235599</v>
      </c>
      <c r="F40" s="56">
        <f>_xlfn.SUMIFS(_CALC_ALLOC!$AJ$1:$AJ$349,_CALC_ALLOC!$AS$1:$AS$349,"2027|"&amp;$P$1,_CALC_ALLOC!$B$1:$B$349,"MBWAY_BOR",_CALC_ALLOC!$D$1:$D$349,"BAC_MGT",_CALC_ALLOC!$E$1:$E$349,"B3",_CALC_ALLOC!$F$1:$F$349,"ALT")</f>
        <v>59767.867588</v>
      </c>
      <c r="G40" s="56">
        <f>_xlfn.SUMIFS(_CALC_ALLOC!$AK$1:$AK$349,_CALC_ALLOC!$AS$1:$AS$349,"2027|"&amp;$P$1,_CALC_ALLOC!$B$1:$B$349,"MBWAY_BOR",_CALC_ALLOC!$D$1:$D$349,"BAC_MGT",_CALC_ALLOC!$E$1:$E$349,"B3",_CALC_ALLOC!$F$1:$F$349,"ALT")</f>
        <v>17673.7026213516</v>
      </c>
      <c r="H40" s="56">
        <f>_xlfn.SUMIFS(_CALC_ALLOC!$AL$1:$AL$349,_CALC_ALLOC!$AS$1:$AS$349,"2027|"&amp;$P$1,_CALC_ALLOC!$B$1:$B$349,"MBWAY_BOR",_CALC_ALLOC!$D$1:$D$349,"BAC_MGT",_CALC_ALLOC!$E$1:$E$349,"B3",_CALC_ALLOC!$F$1:$F$349,"ALT")</f>
        <v>137944.3027846</v>
      </c>
      <c r="I40" s="56">
        <f>_xlfn.SUMIFS(_CALC_ALLOC!$AR$1:$AR$349,_CALC_ALLOC!$AS$1:$AS$349,"2027|"&amp;$P$1,_CALC_ALLOC!$B$1:$B$349,"MBWAY_BOR",_CALC_ALLOC!$D$1:$D$349,"BAC_MGT",_CALC_ALLOC!$E$1:$E$349,"B3",_CALC_ALLOC!$F$1:$F$349,"ALT")</f>
        <v>12306.6628242289</v>
      </c>
      <c r="J40" s="56">
        <f>_xlfn.SUMIFS(_CALC_ALLOC!$AM$1:$AM$349,_CALC_ALLOC!$AS$1:$AS$349,"2027|"&amp;$P$1,_CALC_ALLOC!$B$1:$B$349,"MBWAY_BOR",_CALC_ALLOC!$D$1:$D$349,"BAC_MGT",_CALC_ALLOC!$E$1:$E$349,"B3",_CALC_ALLOC!$F$1:$F$349,"ALT")</f>
        <v>43986.2900093578</v>
      </c>
      <c r="K40" s="57">
        <f t="shared" si="0"/>
        <v>296540.061426538</v>
      </c>
      <c r="L40" s="58">
        <f>_xlfn.SUMIFS(_CALC_ALLOC!$AN$1:$AN$349,_CALC_ALLOC!$AS$1:$AS$349,"2027|"&amp;$P$1,_CALC_ALLOC!$B$1:$B$349,"MBWAY_BOR",_CALC_ALLOC!$D$1:$D$349,"BAC_MGT",_CALC_ALLOC!$E$1:$E$349,"B3",_CALC_ALLOC!$F$1:$F$349,"ALT")</f>
        <v>32183.4793274617</v>
      </c>
      <c r="M40" s="59">
        <f t="shared" si="1"/>
        <v>0.0979043948408495</v>
      </c>
      <c r="BF40" t="s">
        <v>35</v>
      </c>
      <c r="BG40" t="s">
        <v>36</v>
      </c>
      <c r="BH40" t="s">
        <v>37</v>
      </c>
      <c r="BI40" t="s">
        <v>38</v>
      </c>
      <c r="BJ40" t="s">
        <v>98</v>
      </c>
      <c r="BK40" t="s">
        <v>93</v>
      </c>
      <c r="BL40" t="s">
        <v>95</v>
      </c>
      <c r="BM40" t="s">
        <v>72</v>
      </c>
      <c r="BN40" t="s">
        <v>43</v>
      </c>
      <c r="BO40">
        <v>53</v>
      </c>
      <c r="BP40">
        <v>3</v>
      </c>
      <c r="BQ40">
        <v>397500</v>
      </c>
      <c r="BR40">
        <v>29537.583264</v>
      </c>
      <c r="BS40">
        <v>70797.406748</v>
      </c>
      <c r="BT40">
        <v>20196.02673</v>
      </c>
      <c r="BU40">
        <v>185260.085</v>
      </c>
      <c r="BV40">
        <v>12194.539453</v>
      </c>
      <c r="BW40">
        <v>62341.483452</v>
      </c>
      <c r="BX40">
        <v>74536.022905</v>
      </c>
      <c r="BY40">
        <v>49733.609994</v>
      </c>
      <c r="BZ40">
        <v>330593.514653</v>
      </c>
      <c r="CA40">
        <v>380327.124647</v>
      </c>
      <c r="CB40">
        <v>17172.875353</v>
      </c>
      <c r="CC40">
        <v>0</v>
      </c>
      <c r="CD40">
        <v>132216</v>
      </c>
      <c r="CE40">
        <v>316903.04</v>
      </c>
      <c r="CF40">
        <v>99837</v>
      </c>
      <c r="CG40">
        <v>26060</v>
      </c>
      <c r="CH40">
        <v>741040.34</v>
      </c>
      <c r="CI40">
        <v>2639292</v>
      </c>
      <c r="CJ40">
        <v>499926</v>
      </c>
    </row>
    <row r="41" ht="14.497499999999997" customHeight="1" hidden="0" collapsed="0" outlineLevel="2">
      <c r="B41" s="54" t="s">
        <v>89</v>
      </c>
      <c r="C41" s="55">
        <f>_xlfn.SUMIFS(_CALC_ALLOC!$G$1:$G$349,_CALC_ALLOC!$AS$1:$AS$349,"2027|"&amp;$P$1,_CALC_ALLOC!$B$1:$B$349,"MBWAY_BOR",_CALC_ALLOC!$D$1:$D$349,"MAS_MGT",_CALC_ALLOC!$E$1:$E$349,"M1",_CALC_ALLOC!$F$1:$F$349,"ALT")</f>
        <v>56.91006</v>
      </c>
      <c r="D41" s="56">
        <f>_xlfn.SUMIFS(_CALC_ALLOC!$I$1:$I$349,_CALC_ALLOC!$AS$1:$AS$349,"2027|"&amp;$P$1,_CALC_ALLOC!$B$1:$B$349,"MBWAY_BOR",_CALC_ALLOC!$D$1:$D$349,"MAS_MGT",_CALC_ALLOC!$E$1:$E$349,"M1",_CALC_ALLOC!$F$1:$F$349,"ALT")</f>
        <v>420583.383889</v>
      </c>
      <c r="E41" s="56">
        <f>_xlfn.SUMIFS(_CALC_ALLOC!$AI$1:$AI$349,_CALC_ALLOC!$AS$1:$AS$349,"2027|"&amp;$P$1,_CALC_ALLOC!$B$1:$B$349,"MBWAY_BOR",_CALC_ALLOC!$D$1:$D$349,"MAS_MGT",_CALC_ALLOC!$E$1:$E$349,"M1",_CALC_ALLOC!$F$1:$F$349,"ALT")</f>
        <v>21753.581149125</v>
      </c>
      <c r="F41" s="56">
        <f>_xlfn.SUMIFS(_CALC_ALLOC!$AJ$1:$AJ$349,_CALC_ALLOC!$AS$1:$AS$349,"2027|"&amp;$P$1,_CALC_ALLOC!$B$1:$B$349,"MBWAY_BOR",_CALC_ALLOC!$D$1:$D$349,"MAS_MGT",_CALC_ALLOC!$E$1:$E$349,"M1",_CALC_ALLOC!$F$1:$F$349,"ALT")</f>
        <v>52296.8841395</v>
      </c>
      <c r="G41" s="56">
        <f>_xlfn.SUMIFS(_CALC_ALLOC!$AK$1:$AK$349,_CALC_ALLOC!$AS$1:$AS$349,"2027|"&amp;$P$1,_CALC_ALLOC!$B$1:$B$349,"MBWAY_BOR",_CALC_ALLOC!$D$1:$D$349,"MAS_MGT",_CALC_ALLOC!$E$1:$E$349,"M1",_CALC_ALLOC!$F$1:$F$349,"ALT")</f>
        <v>34445.387655937</v>
      </c>
      <c r="H41" s="56">
        <f>_xlfn.SUMIFS(_CALC_ALLOC!$AL$1:$AL$349,_CALC_ALLOC!$AS$1:$AS$349,"2027|"&amp;$P$1,_CALC_ALLOC!$B$1:$B$349,"MBWAY_BOR",_CALC_ALLOC!$D$1:$D$349,"MAS_MGT",_CALC_ALLOC!$E$1:$E$349,"M1",_CALC_ALLOC!$F$1:$F$349,"ALT")</f>
        <v>137944.3027846</v>
      </c>
      <c r="I41" s="56">
        <f>_xlfn.SUMIFS(_CALC_ALLOC!$AR$1:$AR$349,_CALC_ALLOC!$AS$1:$AS$349,"2027|"&amp;$P$1,_CALC_ALLOC!$B$1:$B$349,"MBWAY_BOR",_CALC_ALLOC!$D$1:$D$349,"MAS_MGT",_CALC_ALLOC!$E$1:$E$349,"M1",_CALC_ALLOC!$F$1:$F$349,"ALT")</f>
        <v>12306.6628242289</v>
      </c>
      <c r="J41" s="56">
        <f>_xlfn.SUMIFS(_CALC_ALLOC!$AM$1:$AM$349,_CALC_ALLOC!$AS$1:$AS$349,"2027|"&amp;$P$1,_CALC_ALLOC!$B$1:$B$349,"MBWAY_BOR",_CALC_ALLOC!$D$1:$D$349,"MAS_MGT",_CALC_ALLOC!$E$1:$E$349,"M1",_CALC_ALLOC!$F$1:$F$349,"ALT")</f>
        <v>43986.2900093578</v>
      </c>
      <c r="K41" s="57">
        <f t="shared" si="0"/>
        <v>302733.108562749</v>
      </c>
      <c r="L41" s="58">
        <f>_xlfn.SUMIFS(_CALC_ALLOC!$AN$1:$AN$349,_CALC_ALLOC!$AS$1:$AS$349,"2027|"&amp;$P$1,_CALC_ALLOC!$B$1:$B$349,"MBWAY_BOR",_CALC_ALLOC!$D$1:$D$349,"MAS_MGT",_CALC_ALLOC!$E$1:$E$349,"M1",_CALC_ALLOC!$F$1:$F$349,"ALT")</f>
        <v>117850.275326251</v>
      </c>
      <c r="M41" s="59">
        <f t="shared" si="1"/>
        <v>0.280206683955337</v>
      </c>
      <c r="BF41" t="s">
        <v>35</v>
      </c>
      <c r="BG41" t="s">
        <v>36</v>
      </c>
      <c r="BH41" t="s">
        <v>37</v>
      </c>
      <c r="BI41" t="s">
        <v>38</v>
      </c>
      <c r="BJ41" t="s">
        <v>100</v>
      </c>
      <c r="BK41" t="s">
        <v>93</v>
      </c>
      <c r="BL41" t="s">
        <v>94</v>
      </c>
      <c r="BM41" t="s">
        <v>42</v>
      </c>
      <c r="BN41" t="s">
        <v>67</v>
      </c>
      <c r="BO41">
        <v>69</v>
      </c>
      <c r="BP41">
        <v>3</v>
      </c>
      <c r="BQ41">
        <v>585810</v>
      </c>
      <c r="BR41">
        <v>41317.75</v>
      </c>
      <c r="BS41">
        <v>115398.44</v>
      </c>
      <c r="BT41">
        <v>54544.50652</v>
      </c>
      <c r="BU41">
        <v>221608.662</v>
      </c>
      <c r="BV41">
        <v>12659.990953</v>
      </c>
      <c r="BW41">
        <v>64720.98594</v>
      </c>
      <c r="BX41">
        <v>77380.976893</v>
      </c>
      <c r="BY41">
        <v>95862.25652</v>
      </c>
      <c r="BZ41">
        <v>414388.078893</v>
      </c>
      <c r="CA41">
        <v>510250.335413</v>
      </c>
      <c r="CB41">
        <v>75559.664587</v>
      </c>
      <c r="CC41">
        <v>69</v>
      </c>
      <c r="CD41">
        <v>165271</v>
      </c>
      <c r="CE41">
        <v>461593.76</v>
      </c>
      <c r="CF41">
        <v>129720</v>
      </c>
      <c r="CG41">
        <v>56438</v>
      </c>
      <c r="CH41">
        <v>1108043.31</v>
      </c>
      <c r="CI41">
        <v>2639292</v>
      </c>
      <c r="CJ41">
        <v>499926</v>
      </c>
    </row>
    <row r="42" ht="14.497499999999997" customHeight="1" hidden="0" collapsed="0" outlineLevel="2">
      <c r="B42" s="54" t="s">
        <v>90</v>
      </c>
      <c r="C42" s="55">
        <f>_xlfn.SUMIFS(_CALC_ALLOC!$G$1:$G$349,_CALC_ALLOC!$AS$1:$AS$349,"2027|"&amp;$P$1,_CALC_ALLOC!$B$1:$B$349,"MBWAY_BOR",_CALC_ALLOC!$D$1:$D$349,"MAS_MGT",_CALC_ALLOC!$E$1:$E$349,"M2",_CALC_ALLOC!$F$1:$F$349,"ALT")</f>
        <v>50.255</v>
      </c>
      <c r="D42" s="56">
        <f>_xlfn.SUMIFS(_CALC_ALLOC!$I$1:$I$349,_CALC_ALLOC!$AS$1:$AS$349,"2027|"&amp;$P$1,_CALC_ALLOC!$B$1:$B$349,"MBWAY_BOR",_CALC_ALLOC!$D$1:$D$349,"MAS_MGT",_CALC_ALLOC!$E$1:$E$349,"M2",_CALC_ALLOC!$F$1:$F$349,"ALT")</f>
        <v>366877.430835</v>
      </c>
      <c r="E42" s="56">
        <f>_xlfn.SUMIFS(_CALC_ALLOC!$AI$1:$AI$349,_CALC_ALLOC!$AS$1:$AS$349,"2027|"&amp;$P$1,_CALC_ALLOC!$B$1:$B$349,"MBWAY_BOR",_CALC_ALLOC!$D$1:$D$349,"MAS_MGT",_CALC_ALLOC!$E$1:$E$349,"M2",_CALC_ALLOC!$F$1:$F$349,"ALT")</f>
        <v>21753.581149125</v>
      </c>
      <c r="F42" s="56">
        <f>_xlfn.SUMIFS(_CALC_ALLOC!$AJ$1:$AJ$349,_CALC_ALLOC!$AS$1:$AS$349,"2027|"&amp;$P$1,_CALC_ALLOC!$B$1:$B$349,"MBWAY_BOR",_CALC_ALLOC!$D$1:$D$349,"MAS_MGT",_CALC_ALLOC!$E$1:$E$349,"M2",_CALC_ALLOC!$F$1:$F$349,"ALT")</f>
        <v>52296.8841395</v>
      </c>
      <c r="G42" s="56">
        <f>_xlfn.SUMIFS(_CALC_ALLOC!$AK$1:$AK$349,_CALC_ALLOC!$AS$1:$AS$349,"2027|"&amp;$P$1,_CALC_ALLOC!$B$1:$B$349,"MBWAY_BOR",_CALC_ALLOC!$D$1:$D$349,"MAS_MGT",_CALC_ALLOC!$E$1:$E$349,"M2",_CALC_ALLOC!$F$1:$F$349,"ALT")</f>
        <v>18410.0305780086</v>
      </c>
      <c r="H42" s="56">
        <f>_xlfn.SUMIFS(_CALC_ALLOC!$AL$1:$AL$349,_CALC_ALLOC!$AS$1:$AS$349,"2027|"&amp;$P$1,_CALC_ALLOC!$B$1:$B$349,"MBWAY_BOR",_CALC_ALLOC!$D$1:$D$349,"MAS_MGT",_CALC_ALLOC!$E$1:$E$349,"M2",_CALC_ALLOC!$F$1:$F$349,"ALT")</f>
        <v>137944.3027846</v>
      </c>
      <c r="I42" s="56">
        <f>_xlfn.SUMIFS(_CALC_ALLOC!$AR$1:$AR$349,_CALC_ALLOC!$AS$1:$AS$349,"2027|"&amp;$P$1,_CALC_ALLOC!$B$1:$B$349,"MBWAY_BOR",_CALC_ALLOC!$D$1:$D$349,"MAS_MGT",_CALC_ALLOC!$E$1:$E$349,"M2",_CALC_ALLOC!$F$1:$F$349,"ALT")</f>
        <v>12306.6628242289</v>
      </c>
      <c r="J42" s="56">
        <f>_xlfn.SUMIFS(_CALC_ALLOC!$AM$1:$AM$349,_CALC_ALLOC!$AS$1:$AS$349,"2027|"&amp;$P$1,_CALC_ALLOC!$B$1:$B$349,"MBWAY_BOR",_CALC_ALLOC!$D$1:$D$349,"MAS_MGT",_CALC_ALLOC!$E$1:$E$349,"M2",_CALC_ALLOC!$F$1:$F$349,"ALT")</f>
        <v>43986.2900093578</v>
      </c>
      <c r="K42" s="57">
        <f t="shared" si="0"/>
        <v>286697.75148482</v>
      </c>
      <c r="L42" s="58">
        <f>_xlfn.SUMIFS(_CALC_ALLOC!$AN$1:$AN$349,_CALC_ALLOC!$AS$1:$AS$349,"2027|"&amp;$P$1,_CALC_ALLOC!$B$1:$B$349,"MBWAY_BOR",_CALC_ALLOC!$D$1:$D$349,"MAS_MGT",_CALC_ALLOC!$E$1:$E$349,"M2",_CALC_ALLOC!$F$1:$F$349,"ALT")</f>
        <v>80179.6793501797</v>
      </c>
      <c r="M42" s="59">
        <f t="shared" si="1"/>
        <v>0.218546229915788</v>
      </c>
      <c r="BF42" t="s">
        <v>35</v>
      </c>
      <c r="BG42" t="s">
        <v>36</v>
      </c>
      <c r="BH42" t="s">
        <v>37</v>
      </c>
      <c r="BI42" t="s">
        <v>38</v>
      </c>
      <c r="BJ42" t="s">
        <v>100</v>
      </c>
      <c r="BK42" t="s">
        <v>93</v>
      </c>
      <c r="BL42" t="s">
        <v>94</v>
      </c>
      <c r="BM42" t="s">
        <v>44</v>
      </c>
      <c r="BN42" t="s">
        <v>43</v>
      </c>
      <c r="BO42">
        <v>68</v>
      </c>
      <c r="BP42">
        <v>3</v>
      </c>
      <c r="BQ42">
        <v>533120</v>
      </c>
      <c r="BR42">
        <v>33054.2</v>
      </c>
      <c r="BS42">
        <v>92318.752</v>
      </c>
      <c r="BT42">
        <v>25944</v>
      </c>
      <c r="BU42">
        <v>221608.662</v>
      </c>
      <c r="BV42">
        <v>12659.990953</v>
      </c>
      <c r="BW42">
        <v>64720.98594</v>
      </c>
      <c r="BX42">
        <v>77380.976893</v>
      </c>
      <c r="BY42">
        <v>58998.2</v>
      </c>
      <c r="BZ42">
        <v>391308.390893</v>
      </c>
      <c r="CA42">
        <v>450306.590893</v>
      </c>
      <c r="CB42">
        <v>82813.409107</v>
      </c>
      <c r="CC42">
        <v>0</v>
      </c>
      <c r="CD42">
        <v>165271</v>
      </c>
      <c r="CE42">
        <v>461593.76</v>
      </c>
      <c r="CF42">
        <v>129720</v>
      </c>
      <c r="CG42">
        <v>56438</v>
      </c>
      <c r="CH42">
        <v>1108043.31</v>
      </c>
      <c r="CI42">
        <v>2639292</v>
      </c>
      <c r="CJ42">
        <v>499926</v>
      </c>
    </row>
    <row r="43" ht="14.497499999999997" customHeight="1" collapsed="0" outlineLevel="0">
      <c r="B43" s="44" t="s">
        <v>65</v>
      </c>
      <c r="C43" s="45">
        <f>_xlfn.SUMIFS(_CALC_ALLOC!$G$1:$G$349,_CALC_ALLOC!$AS$1:$AS$349,"2027|"&amp;$P$1,_CALC_ALLOC!$C$1:$C$349,"ISCOM")</f>
        <v>865.920342</v>
      </c>
      <c r="D43" s="46">
        <f>_xlfn.SUMIFS(_CALC_ALLOC!$I$1:$I$349,_CALC_ALLOC!$AS$1:$AS$349,"2027|"&amp;$P$1,_CALC_ALLOC!$C$1:$C$349,"ISCOM")</f>
        <v>6602533.150951</v>
      </c>
      <c r="E43" s="46">
        <f>_xlfn.SUMIFS(_CALC_ALLOC!$AI$1:$AI$349,_CALC_ALLOC!$AS$1:$AS$349,"2027|"&amp;$P$1,_CALC_ALLOC!$C$1:$C$349,"ISCOM")</f>
        <v>435072.137798</v>
      </c>
      <c r="F43" s="46">
        <f>_xlfn.SUMIFS(_CALC_ALLOC!$AJ$1:$AJ$349,_CALC_ALLOC!$AS$1:$AS$349,"2027|"&amp;$P$1,_CALC_ALLOC!$C$1:$C$349,"ISCOM")</f>
        <v>1109070.15232</v>
      </c>
      <c r="G43" s="46">
        <f>_xlfn.SUMIFS(_CALC_ALLOC!$AK$1:$AK$349,_CALC_ALLOC!$AS$1:$AS$349,"2027|"&amp;$P$1,_CALC_ALLOC!$C$1:$C$349,"ISCOM")</f>
        <v>434358.060298</v>
      </c>
      <c r="H43" s="46">
        <f>_xlfn.SUMIFS(_CALC_ALLOC!$AL$1:$AL$349,_CALC_ALLOC!$AS$1:$AS$349,"2027|"&amp;$P$1,_CALC_ALLOC!$C$1:$C$349,"ISCOM")</f>
        <v>2474067.067961</v>
      </c>
      <c r="I43" s="46">
        <f>_xlfn.SUMIFS(_CALC_ALLOC!$AR$1:$AR$349,_CALC_ALLOC!$AS$1:$AS$349,"2027|"&amp;$P$1,_CALC_ALLOC!$C$1:$C$349,"ISCOM")</f>
        <v>202715.503962247</v>
      </c>
      <c r="J43" s="46">
        <f>_xlfn.SUMIFS(_CALC_ALLOC!$AM$1:$AM$349,_CALC_ALLOC!$AS$1:$AS$349,"2027|"&amp;$P$1,_CALC_ALLOC!$C$1:$C$349,"ISCOM")</f>
        <v>771519.669257037</v>
      </c>
      <c r="K43" s="46">
        <f t="shared" si="0"/>
        <v>5426802.59159628</v>
      </c>
      <c r="L43" s="47">
        <f>_xlfn.SUMIFS(_CALC_ALLOC!$AN$1:$AN$349,_CALC_ALLOC!$AS$1:$AS$349,"2027|"&amp;$P$1,_CALC_ALLOC!$C$1:$C$349,"ISCOM")</f>
        <v>1175730.55935472</v>
      </c>
      <c r="M43" s="48">
        <f t="shared" si="1"/>
        <v>0.17807264764515</v>
      </c>
      <c r="BF43" t="s">
        <v>35</v>
      </c>
      <c r="BG43" t="s">
        <v>36</v>
      </c>
      <c r="BH43" t="s">
        <v>37</v>
      </c>
      <c r="BI43" t="s">
        <v>38</v>
      </c>
      <c r="BJ43" t="s">
        <v>100</v>
      </c>
      <c r="BK43" t="s">
        <v>93</v>
      </c>
      <c r="BL43" t="s">
        <v>94</v>
      </c>
      <c r="BM43" t="s">
        <v>50</v>
      </c>
      <c r="BN43" t="s">
        <v>43</v>
      </c>
      <c r="BO43">
        <v>66</v>
      </c>
      <c r="BP43">
        <v>3</v>
      </c>
      <c r="BQ43">
        <v>517440</v>
      </c>
      <c r="BR43">
        <v>33054.2</v>
      </c>
      <c r="BS43">
        <v>92318.752</v>
      </c>
      <c r="BT43">
        <v>25180.85724</v>
      </c>
      <c r="BU43">
        <v>221608.662</v>
      </c>
      <c r="BV43">
        <v>12659.990953</v>
      </c>
      <c r="BW43">
        <v>64720.98594</v>
      </c>
      <c r="BX43">
        <v>77380.976893</v>
      </c>
      <c r="BY43">
        <v>58235.05724</v>
      </c>
      <c r="BZ43">
        <v>391308.390893</v>
      </c>
      <c r="CA43">
        <v>449543.448133</v>
      </c>
      <c r="CB43">
        <v>67896.551867</v>
      </c>
      <c r="CC43">
        <v>0</v>
      </c>
      <c r="CD43">
        <v>165271</v>
      </c>
      <c r="CE43">
        <v>461593.76</v>
      </c>
      <c r="CF43">
        <v>129720</v>
      </c>
      <c r="CG43">
        <v>56438</v>
      </c>
      <c r="CH43">
        <v>1108043.31</v>
      </c>
      <c r="CI43">
        <v>2639292</v>
      </c>
      <c r="CJ43">
        <v>499926</v>
      </c>
    </row>
    <row r="44" ht="14.497499999999997" customHeight="1" hidden="0" collapsed="1" outlineLevel="1">
      <c r="B44" s="49" t="s">
        <v>101</v>
      </c>
      <c r="C44" s="50">
        <f>_xlfn.SUMIFS(_CALC_ALLOC!$G$1:$G$349,_CALC_ALLOC!$AS$1:$AS$349,"2027|"&amp;$P$1,_CALC_ALLOC!$B$1:$B$349,"ISCOM_PAR")</f>
        <v>369.352343</v>
      </c>
      <c r="D44" s="51">
        <f>_xlfn.SUMIFS(_CALC_ALLOC!$I$1:$I$349,_CALC_ALLOC!$AS$1:$AS$349,"2027|"&amp;$P$1,_CALC_ALLOC!$B$1:$B$349,"ISCOM_PAR")</f>
        <v>3048653.606211</v>
      </c>
      <c r="E44" s="51">
        <f>_xlfn.SUMIFS(_CALC_ALLOC!$AI$1:$AI$349,_CALC_ALLOC!$AS$1:$AS$349,"2027|"&amp;$P$1,_CALC_ALLOC!$B$1:$B$349,"ISCOM_PAR")</f>
        <v>186459.781808</v>
      </c>
      <c r="F44" s="51">
        <f>_xlfn.SUMIFS(_CALC_ALLOC!$AJ$1:$AJ$349,_CALC_ALLOC!$AS$1:$AS$349,"2027|"&amp;$P$1,_CALC_ALLOC!$B$1:$B$349,"ISCOM_PAR")</f>
        <v>520261.81168</v>
      </c>
      <c r="G44" s="51">
        <f>_xlfn.SUMIFS(_CALC_ALLOC!$AK$1:$AK$349,_CALC_ALLOC!$AS$1:$AS$349,"2027|"&amp;$P$1,_CALC_ALLOC!$B$1:$B$349,"ISCOM_PAR")</f>
        <v>201288.898557</v>
      </c>
      <c r="H44" s="51">
        <f>_xlfn.SUMIFS(_CALC_ALLOC!$AL$1:$AL$349,_CALC_ALLOC!$AS$1:$AS$349,"2027|"&amp;$P$1,_CALC_ALLOC!$B$1:$B$349,"ISCOM_PAR")</f>
        <v>1157580.073157</v>
      </c>
      <c r="I44" s="51">
        <f>_xlfn.SUMIFS(_CALC_ALLOC!$AR$1:$AR$349,_CALC_ALLOC!$AS$1:$AS$349,"2027|"&amp;$P$1,_CALC_ALLOC!$B$1:$B$349,"ISCOM_PAR")</f>
        <v>86466.8985347405</v>
      </c>
      <c r="J44" s="51">
        <f>_xlfn.SUMIFS(_CALC_ALLOC!$AM$1:$AM$349,_CALC_ALLOC!$AS$1:$AS$349,"2027|"&amp;$P$1,_CALC_ALLOC!$B$1:$B$349,"ISCOM_PAR")</f>
        <v>329086.387845444</v>
      </c>
      <c r="K44" s="51">
        <f t="shared" si="0"/>
        <v>2481143.85158218</v>
      </c>
      <c r="L44" s="52">
        <f>_xlfn.SUMIFS(_CALC_ALLOC!$AN$1:$AN$349,_CALC_ALLOC!$AS$1:$AS$349,"2027|"&amp;$P$1,_CALC_ALLOC!$B$1:$B$349,"ISCOM_PAR")</f>
        <v>567509.754628815</v>
      </c>
      <c r="M44" s="53">
        <f t="shared" si="1"/>
        <v>0.1861509465925</v>
      </c>
      <c r="BF44" t="s">
        <v>35</v>
      </c>
      <c r="BG44" t="s">
        <v>36</v>
      </c>
      <c r="BH44" t="s">
        <v>37</v>
      </c>
      <c r="BI44" t="s">
        <v>38</v>
      </c>
      <c r="BJ44" t="s">
        <v>100</v>
      </c>
      <c r="BK44" t="s">
        <v>93</v>
      </c>
      <c r="BL44" t="s">
        <v>95</v>
      </c>
      <c r="BM44" t="s">
        <v>71</v>
      </c>
      <c r="BN44" t="s">
        <v>43</v>
      </c>
      <c r="BO44">
        <v>69</v>
      </c>
      <c r="BP44">
        <v>3</v>
      </c>
      <c r="BQ44">
        <v>585810</v>
      </c>
      <c r="BR44">
        <v>28922.425</v>
      </c>
      <c r="BS44">
        <v>80778.908</v>
      </c>
      <c r="BT44">
        <v>54544.50652</v>
      </c>
      <c r="BU44">
        <v>221608.662</v>
      </c>
      <c r="BV44">
        <v>12659.990953</v>
      </c>
      <c r="BW44">
        <v>64720.98594</v>
      </c>
      <c r="BX44">
        <v>77380.976893</v>
      </c>
      <c r="BY44">
        <v>83466.93152</v>
      </c>
      <c r="BZ44">
        <v>379768.546893</v>
      </c>
      <c r="CA44">
        <v>463235.478413</v>
      </c>
      <c r="CB44">
        <v>122574.521587</v>
      </c>
      <c r="CC44">
        <v>69</v>
      </c>
      <c r="CD44">
        <v>165271</v>
      </c>
      <c r="CE44">
        <v>461593.76</v>
      </c>
      <c r="CF44">
        <v>129720</v>
      </c>
      <c r="CG44">
        <v>56438</v>
      </c>
      <c r="CH44">
        <v>1108043.31</v>
      </c>
      <c r="CI44">
        <v>2639292</v>
      </c>
      <c r="CJ44">
        <v>499926</v>
      </c>
    </row>
    <row r="45" ht="14.497499999999997" customHeight="1" hidden="0" collapsed="0" outlineLevel="2">
      <c r="B45" s="54" t="s">
        <v>102</v>
      </c>
      <c r="C45" s="55">
        <f>_xlfn.SUMIFS(_CALC_ALLOC!$G$1:$G$349,_CALC_ALLOC!$AS$1:$AS$349,"2027|"&amp;$P$1,_CALC_ALLOC!$B$1:$B$349,"ISCOM_PAR",_CALC_ALLOC!$D$1:$D$349,"BAC_COM",_CALC_ALLOC!$E$1:$E$349,"B1",_CALC_ALLOC!$F$1:$F$349,"INIT")</f>
        <v>78.323408</v>
      </c>
      <c r="D45" s="56">
        <f>_xlfn.SUMIFS(_CALC_ALLOC!$I$1:$I$349,_CALC_ALLOC!$AS$1:$AS$349,"2027|"&amp;$P$1,_CALC_ALLOC!$B$1:$B$349,"ISCOM_PAR",_CALC_ALLOC!$D$1:$D$349,"BAC_COM",_CALC_ALLOC!$E$1:$E$349,"B1",_CALC_ALLOC!$F$1:$F$349,"INIT")</f>
        <v>667159.885872</v>
      </c>
      <c r="E45" s="56">
        <f>_xlfn.SUMIFS(_CALC_ALLOC!$AI$1:$AI$349,_CALC_ALLOC!$AS$1:$AS$349,"2027|"&amp;$P$1,_CALC_ALLOC!$B$1:$B$349,"ISCOM_PAR",_CALC_ALLOC!$D$1:$D$349,"BAC_COM",_CALC_ALLOC!$E$1:$E$349,"B1",_CALC_ALLOC!$F$1:$F$349,"INIT")</f>
        <v>46614.945452</v>
      </c>
      <c r="F45" s="56">
        <f>_xlfn.SUMIFS(_CALC_ALLOC!$AJ$1:$AJ$349,_CALC_ALLOC!$AS$1:$AS$349,"2027|"&amp;$P$1,_CALC_ALLOC!$B$1:$B$349,"ISCOM_PAR",_CALC_ALLOC!$D$1:$D$349,"BAC_COM",_CALC_ALLOC!$E$1:$E$349,"B1",_CALC_ALLOC!$F$1:$F$349,"INIT")</f>
        <v>130065.45292</v>
      </c>
      <c r="G45" s="56">
        <f>_xlfn.SUMIFS(_CALC_ALLOC!$AK$1:$AK$349,_CALC_ALLOC!$AS$1:$AS$349,"2027|"&amp;$P$1,_CALC_ALLOC!$B$1:$B$349,"ISCOM_PAR",_CALC_ALLOC!$D$1:$D$349,"BAC_COM",_CALC_ALLOC!$E$1:$E$349,"B1",_CALC_ALLOC!$F$1:$F$349,"INIT")</f>
        <v>61252.8314727875</v>
      </c>
      <c r="H45" s="56">
        <f>_xlfn.SUMIFS(_CALC_ALLOC!$AL$1:$AL$349,_CALC_ALLOC!$AS$1:$AS$349,"2027|"&amp;$P$1,_CALC_ALLOC!$B$1:$B$349,"ISCOM_PAR",_CALC_ALLOC!$D$1:$D$349,"BAC_COM",_CALC_ALLOC!$E$1:$E$349,"B1",_CALC_ALLOC!$F$1:$F$349,"INIT")</f>
        <v>231516.0146314</v>
      </c>
      <c r="I45" s="56">
        <f>_xlfn.SUMIFS(_CALC_ALLOC!$AR$1:$AR$349,_CALC_ALLOC!$AS$1:$AS$349,"2027|"&amp;$P$1,_CALC_ALLOC!$B$1:$B$349,"ISCOM_PAR",_CALC_ALLOC!$D$1:$D$349,"BAC_COM",_CALC_ALLOC!$E$1:$E$349,"B1",_CALC_ALLOC!$F$1:$F$349,"INIT")</f>
        <v>17293.3797069481</v>
      </c>
      <c r="J45" s="56">
        <f>_xlfn.SUMIFS(_CALC_ALLOC!$AM$1:$AM$349,_CALC_ALLOC!$AS$1:$AS$349,"2027|"&amp;$P$1,_CALC_ALLOC!$B$1:$B$349,"ISCOM_PAR",_CALC_ALLOC!$D$1:$D$349,"BAC_COM",_CALC_ALLOC!$E$1:$E$349,"B1",_CALC_ALLOC!$F$1:$F$349,"INIT")</f>
        <v>65817.2775690888</v>
      </c>
      <c r="K45" s="57">
        <f t="shared" si="0"/>
        <v>552559.901752224</v>
      </c>
      <c r="L45" s="58">
        <f>_xlfn.SUMIFS(_CALC_ALLOC!$AN$1:$AN$349,_CALC_ALLOC!$AS$1:$AS$349,"2027|"&amp;$P$1,_CALC_ALLOC!$B$1:$B$349,"ISCOM_PAR",_CALC_ALLOC!$D$1:$D$349,"BAC_COM",_CALC_ALLOC!$E$1:$E$349,"B1",_CALC_ALLOC!$F$1:$F$349,"INIT")</f>
        <v>114599.984119776</v>
      </c>
      <c r="M45" s="59">
        <f t="shared" si="1"/>
        <v>0.171772893644512</v>
      </c>
      <c r="BF45" t="s">
        <v>35</v>
      </c>
      <c r="BG45" t="s">
        <v>36</v>
      </c>
      <c r="BH45" t="s">
        <v>37</v>
      </c>
      <c r="BI45" t="s">
        <v>38</v>
      </c>
      <c r="BJ45" t="s">
        <v>100</v>
      </c>
      <c r="BK45" t="s">
        <v>93</v>
      </c>
      <c r="BL45" t="s">
        <v>95</v>
      </c>
      <c r="BM45" t="s">
        <v>72</v>
      </c>
      <c r="BN45" t="s">
        <v>43</v>
      </c>
      <c r="BO45">
        <v>68</v>
      </c>
      <c r="BP45">
        <v>3</v>
      </c>
      <c r="BQ45">
        <v>571200</v>
      </c>
      <c r="BR45">
        <v>28922.425</v>
      </c>
      <c r="BS45">
        <v>80778.908</v>
      </c>
      <c r="BT45">
        <v>25944</v>
      </c>
      <c r="BU45">
        <v>221608.662</v>
      </c>
      <c r="BV45">
        <v>12659.990953</v>
      </c>
      <c r="BW45">
        <v>64720.98594</v>
      </c>
      <c r="BX45">
        <v>77380.976893</v>
      </c>
      <c r="BY45">
        <v>54866.425</v>
      </c>
      <c r="BZ45">
        <v>379768.546893</v>
      </c>
      <c r="CA45">
        <v>434634.971893</v>
      </c>
      <c r="CB45">
        <v>136565.028107</v>
      </c>
      <c r="CC45">
        <v>0</v>
      </c>
      <c r="CD45">
        <v>165271</v>
      </c>
      <c r="CE45">
        <v>461593.76</v>
      </c>
      <c r="CF45">
        <v>129720</v>
      </c>
      <c r="CG45">
        <v>56438</v>
      </c>
      <c r="CH45">
        <v>1108043.31</v>
      </c>
      <c r="CI45">
        <v>2639292</v>
      </c>
      <c r="CJ45">
        <v>499926</v>
      </c>
    </row>
    <row r="46" ht="14.497499999999997" customHeight="1" hidden="0" collapsed="0" outlineLevel="2">
      <c r="B46" s="54" t="s">
        <v>103</v>
      </c>
      <c r="C46" s="55">
        <f>_xlfn.SUMIFS(_CALC_ALLOC!$G$1:$G$349,_CALC_ALLOC!$AS$1:$AS$349,"2027|"&amp;$P$1,_CALC_ALLOC!$B$1:$B$349,"ISCOM_PAR",_CALC_ALLOC!$D$1:$D$349,"BAC_COM",_CALC_ALLOC!$E$1:$E$349,"B2",_CALC_ALLOC!$F$1:$F$349,"ALT")</f>
        <v>70.36</v>
      </c>
      <c r="D46" s="56">
        <f>_xlfn.SUMIFS(_CALC_ALLOC!$I$1:$I$349,_CALC_ALLOC!$AS$1:$AS$349,"2027|"&amp;$P$1,_CALC_ALLOC!$B$1:$B$349,"ISCOM_PAR",_CALC_ALLOC!$D$1:$D$349,"BAC_COM",_CALC_ALLOC!$E$1:$E$349,"B2",_CALC_ALLOC!$F$1:$F$349,"ALT")</f>
        <v>553462.060704</v>
      </c>
      <c r="E46" s="56">
        <f>_xlfn.SUMIFS(_CALC_ALLOC!$AI$1:$AI$349,_CALC_ALLOC!$AS$1:$AS$349,"2027|"&amp;$P$1,_CALC_ALLOC!$B$1:$B$349,"ISCOM_PAR",_CALC_ALLOC!$D$1:$D$349,"BAC_COM",_CALC_ALLOC!$E$1:$E$349,"B2",_CALC_ALLOC!$F$1:$F$349,"ALT")</f>
        <v>37291.9563616</v>
      </c>
      <c r="F46" s="56">
        <f>_xlfn.SUMIFS(_CALC_ALLOC!$AJ$1:$AJ$349,_CALC_ALLOC!$AS$1:$AS$349,"2027|"&amp;$P$1,_CALC_ALLOC!$B$1:$B$349,"ISCOM_PAR",_CALC_ALLOC!$D$1:$D$349,"BAC_COM",_CALC_ALLOC!$E$1:$E$349,"B2",_CALC_ALLOC!$F$1:$F$349,"ALT")</f>
        <v>104052.362336</v>
      </c>
      <c r="G46" s="56">
        <f>_xlfn.SUMIFS(_CALC_ALLOC!$AK$1:$AK$349,_CALC_ALLOC!$AS$1:$AS$349,"2027|"&amp;$P$1,_CALC_ALLOC!$B$1:$B$349,"ISCOM_PAR",_CALC_ALLOC!$D$1:$D$349,"BAC_COM",_CALC_ALLOC!$E$1:$E$349,"B2",_CALC_ALLOC!$F$1:$F$349,"ALT")</f>
        <v>25835.9478241364</v>
      </c>
      <c r="H46" s="56">
        <f>_xlfn.SUMIFS(_CALC_ALLOC!$AL$1:$AL$349,_CALC_ALLOC!$AS$1:$AS$349,"2027|"&amp;$P$1,_CALC_ALLOC!$B$1:$B$349,"ISCOM_PAR",_CALC_ALLOC!$D$1:$D$349,"BAC_COM",_CALC_ALLOC!$E$1:$E$349,"B2",_CALC_ALLOC!$F$1:$F$349,"ALT")</f>
        <v>231516.0146314</v>
      </c>
      <c r="I46" s="56">
        <f>_xlfn.SUMIFS(_CALC_ALLOC!$AR$1:$AR$349,_CALC_ALLOC!$AS$1:$AS$349,"2027|"&amp;$P$1,_CALC_ALLOC!$B$1:$B$349,"ISCOM_PAR",_CALC_ALLOC!$D$1:$D$349,"BAC_COM",_CALC_ALLOC!$E$1:$E$349,"B2",_CALC_ALLOC!$F$1:$F$349,"ALT")</f>
        <v>17293.3797069481</v>
      </c>
      <c r="J46" s="56">
        <f>_xlfn.SUMIFS(_CALC_ALLOC!$AM$1:$AM$349,_CALC_ALLOC!$AS$1:$AS$349,"2027|"&amp;$P$1,_CALC_ALLOC!$B$1:$B$349,"ISCOM_PAR",_CALC_ALLOC!$D$1:$D$349,"BAC_COM",_CALC_ALLOC!$E$1:$E$349,"B2",_CALC_ALLOC!$F$1:$F$349,"ALT")</f>
        <v>65817.2775690888</v>
      </c>
      <c r="K46" s="57">
        <f t="shared" si="0"/>
        <v>481806.938429173</v>
      </c>
      <c r="L46" s="58">
        <f>_xlfn.SUMIFS(_CALC_ALLOC!$AN$1:$AN$349,_CALC_ALLOC!$AS$1:$AS$349,"2027|"&amp;$P$1,_CALC_ALLOC!$B$1:$B$349,"ISCOM_PAR",_CALC_ALLOC!$D$1:$D$349,"BAC_COM",_CALC_ALLOC!$E$1:$E$349,"B2",_CALC_ALLOC!$F$1:$F$349,"ALT")</f>
        <v>71655.1222748266</v>
      </c>
      <c r="M46" s="59">
        <f t="shared" si="1"/>
        <v>0.129467089729117</v>
      </c>
      <c r="BF46" t="s">
        <v>35</v>
      </c>
      <c r="BG46" t="s">
        <v>36</v>
      </c>
      <c r="BH46" t="s">
        <v>37</v>
      </c>
      <c r="BI46" t="s">
        <v>38</v>
      </c>
      <c r="BJ46" t="s">
        <v>104</v>
      </c>
      <c r="BK46" t="s">
        <v>105</v>
      </c>
      <c r="BL46" t="s">
        <v>106</v>
      </c>
      <c r="BM46" t="s">
        <v>107</v>
      </c>
      <c r="BN46" t="s">
        <v>43</v>
      </c>
      <c r="BO46">
        <v>32</v>
      </c>
      <c r="BP46">
        <v>2</v>
      </c>
      <c r="BQ46">
        <v>189120</v>
      </c>
      <c r="BR46">
        <v>21725.556832</v>
      </c>
      <c r="BS46">
        <v>40999.742067</v>
      </c>
      <c r="BT46">
        <v>18968.77216</v>
      </c>
      <c r="BU46">
        <v>63370.352</v>
      </c>
      <c r="BV46">
        <v>5105.897169</v>
      </c>
      <c r="BW46">
        <v>29695.450103</v>
      </c>
      <c r="BX46">
        <v>34801.347272</v>
      </c>
      <c r="BY46">
        <v>40694.328992</v>
      </c>
      <c r="BZ46">
        <v>139171.441339</v>
      </c>
      <c r="CA46">
        <v>179865.770331</v>
      </c>
      <c r="CB46">
        <v>9254.229669</v>
      </c>
      <c r="CC46">
        <v>32</v>
      </c>
      <c r="CD46">
        <v>88144</v>
      </c>
      <c r="CE46">
        <v>166342.4</v>
      </c>
      <c r="CF46">
        <v>48220</v>
      </c>
      <c r="CG46">
        <v>18155</v>
      </c>
      <c r="CH46">
        <v>316851.76</v>
      </c>
      <c r="CI46">
        <v>2639292</v>
      </c>
      <c r="CJ46">
        <v>499926</v>
      </c>
    </row>
    <row r="47" ht="14.497499999999997" customHeight="1" hidden="0" collapsed="0" outlineLevel="2">
      <c r="B47" s="54" t="s">
        <v>108</v>
      </c>
      <c r="C47" s="55">
        <f>_xlfn.SUMIFS(_CALC_ALLOC!$G$1:$G$349,_CALC_ALLOC!$AS$1:$AS$349,"2027|"&amp;$P$1,_CALC_ALLOC!$B$1:$B$349,"ISCOM_PAR",_CALC_ALLOC!$D$1:$D$349,"BAC_COM",_CALC_ALLOC!$E$1:$E$349,"B3",_CALC_ALLOC!$F$1:$F$349,"ALT")</f>
        <v>69.35</v>
      </c>
      <c r="D47" s="56">
        <f>_xlfn.SUMIFS(_CALC_ALLOC!$I$1:$I$349,_CALC_ALLOC!$AS$1:$AS$349,"2027|"&amp;$P$1,_CALC_ALLOC!$B$1:$B$349,"ISCOM_PAR",_CALC_ALLOC!$D$1:$D$349,"BAC_COM",_CALC_ALLOC!$E$1:$E$349,"B3",_CALC_ALLOC!$F$1:$F$349,"ALT")</f>
        <v>545517.25284</v>
      </c>
      <c r="E47" s="56">
        <f>_xlfn.SUMIFS(_CALC_ALLOC!$AI$1:$AI$349,_CALC_ALLOC!$AS$1:$AS$349,"2027|"&amp;$P$1,_CALC_ALLOC!$B$1:$B$349,"ISCOM_PAR",_CALC_ALLOC!$D$1:$D$349,"BAC_COM",_CALC_ALLOC!$E$1:$E$349,"B3",_CALC_ALLOC!$F$1:$F$349,"ALT")</f>
        <v>37291.9563616</v>
      </c>
      <c r="F47" s="56">
        <f>_xlfn.SUMIFS(_CALC_ALLOC!$AJ$1:$AJ$349,_CALC_ALLOC!$AS$1:$AS$349,"2027|"&amp;$P$1,_CALC_ALLOC!$B$1:$B$349,"ISCOM_PAR",_CALC_ALLOC!$D$1:$D$349,"BAC_COM",_CALC_ALLOC!$E$1:$E$349,"B3",_CALC_ALLOC!$F$1:$F$349,"ALT")</f>
        <v>104052.362336</v>
      </c>
      <c r="G47" s="56">
        <f>_xlfn.SUMIFS(_CALC_ALLOC!$AK$1:$AK$349,_CALC_ALLOC!$AS$1:$AS$349,"2027|"&amp;$P$1,_CALC_ALLOC!$B$1:$B$349,"ISCOM_PAR",_CALC_ALLOC!$D$1:$D$349,"BAC_COM",_CALC_ALLOC!$E$1:$E$349,"B3",_CALC_ALLOC!$F$1:$F$349,"ALT")</f>
        <v>25465.0793292191</v>
      </c>
      <c r="H47" s="56">
        <f>_xlfn.SUMIFS(_CALC_ALLOC!$AL$1:$AL$349,_CALC_ALLOC!$AS$1:$AS$349,"2027|"&amp;$P$1,_CALC_ALLOC!$B$1:$B$349,"ISCOM_PAR",_CALC_ALLOC!$D$1:$D$349,"BAC_COM",_CALC_ALLOC!$E$1:$E$349,"B3",_CALC_ALLOC!$F$1:$F$349,"ALT")</f>
        <v>231516.0146314</v>
      </c>
      <c r="I47" s="56">
        <f>_xlfn.SUMIFS(_CALC_ALLOC!$AR$1:$AR$349,_CALC_ALLOC!$AS$1:$AS$349,"2027|"&amp;$P$1,_CALC_ALLOC!$B$1:$B$349,"ISCOM_PAR",_CALC_ALLOC!$D$1:$D$349,"BAC_COM",_CALC_ALLOC!$E$1:$E$349,"B3",_CALC_ALLOC!$F$1:$F$349,"ALT")</f>
        <v>17293.3797069481</v>
      </c>
      <c r="J47" s="56">
        <f>_xlfn.SUMIFS(_CALC_ALLOC!$AM$1:$AM$349,_CALC_ALLOC!$AS$1:$AS$349,"2027|"&amp;$P$1,_CALC_ALLOC!$B$1:$B$349,"ISCOM_PAR",_CALC_ALLOC!$D$1:$D$349,"BAC_COM",_CALC_ALLOC!$E$1:$E$349,"B3",_CALC_ALLOC!$F$1:$F$349,"ALT")</f>
        <v>65817.2775690888</v>
      </c>
      <c r="K47" s="57">
        <f t="shared" si="0"/>
        <v>481436.069934256</v>
      </c>
      <c r="L47" s="58">
        <f>_xlfn.SUMIFS(_CALC_ALLOC!$AN$1:$AN$349,_CALC_ALLOC!$AS$1:$AS$349,"2027|"&amp;$P$1,_CALC_ALLOC!$B$1:$B$349,"ISCOM_PAR",_CALC_ALLOC!$D$1:$D$349,"BAC_COM",_CALC_ALLOC!$E$1:$E$349,"B3",_CALC_ALLOC!$F$1:$F$349,"ALT")</f>
        <v>64081.1829057439</v>
      </c>
      <c r="M47" s="59">
        <f t="shared" si="1"/>
        <v>0.117468664047073</v>
      </c>
      <c r="BF47" t="s">
        <v>35</v>
      </c>
      <c r="BG47" t="s">
        <v>36</v>
      </c>
      <c r="BH47" t="s">
        <v>37</v>
      </c>
      <c r="BI47" t="s">
        <v>38</v>
      </c>
      <c r="BJ47" t="s">
        <v>104</v>
      </c>
      <c r="BK47" t="s">
        <v>105</v>
      </c>
      <c r="BL47" t="s">
        <v>106</v>
      </c>
      <c r="BM47" t="s">
        <v>109</v>
      </c>
      <c r="BN47" t="s">
        <v>43</v>
      </c>
      <c r="BO47">
        <v>31</v>
      </c>
      <c r="BP47">
        <v>2</v>
      </c>
      <c r="BQ47">
        <v>180420</v>
      </c>
      <c r="BR47">
        <v>21725.556832</v>
      </c>
      <c r="BS47">
        <v>40999.742067</v>
      </c>
      <c r="BT47">
        <v>9582.13374</v>
      </c>
      <c r="BU47">
        <v>63370.352</v>
      </c>
      <c r="BV47">
        <v>5105.897169</v>
      </c>
      <c r="BW47">
        <v>29695.450103</v>
      </c>
      <c r="BX47">
        <v>34801.347272</v>
      </c>
      <c r="BY47">
        <v>31307.690572</v>
      </c>
      <c r="BZ47">
        <v>139171.441339</v>
      </c>
      <c r="CA47">
        <v>170479.131911</v>
      </c>
      <c r="CB47">
        <v>9940.868089</v>
      </c>
      <c r="CC47">
        <v>0</v>
      </c>
      <c r="CD47">
        <v>88144</v>
      </c>
      <c r="CE47">
        <v>166342.4</v>
      </c>
      <c r="CF47">
        <v>48220</v>
      </c>
      <c r="CG47">
        <v>18155</v>
      </c>
      <c r="CH47">
        <v>316851.76</v>
      </c>
      <c r="CI47">
        <v>2639292</v>
      </c>
      <c r="CJ47">
        <v>499926</v>
      </c>
    </row>
    <row r="48" ht="14.497499999999997" customHeight="1" hidden="0" collapsed="0" outlineLevel="2">
      <c r="B48" s="54" t="s">
        <v>110</v>
      </c>
      <c r="C48" s="55">
        <f>_xlfn.SUMIFS(_CALC_ALLOC!$G$1:$G$349,_CALC_ALLOC!$AS$1:$AS$349,"2027|"&amp;$P$1,_CALC_ALLOC!$B$1:$B$349,"ISCOM_PAR",_CALC_ALLOC!$D$1:$D$349,"MAS_COM",_CALC_ALLOC!$E$1:$E$349,"M1",_CALC_ALLOC!$F$1:$F$349,"ALT")</f>
        <v>79.958935</v>
      </c>
      <c r="D48" s="56">
        <f>_xlfn.SUMIFS(_CALC_ALLOC!$I$1:$I$349,_CALC_ALLOC!$AS$1:$AS$349,"2027|"&amp;$P$1,_CALC_ALLOC!$B$1:$B$349,"ISCOM_PAR",_CALC_ALLOC!$D$1:$D$349,"MAS_COM",_CALC_ALLOC!$E$1:$E$349,"M1",_CALC_ALLOC!$F$1:$F$349,"ALT")</f>
        <v>681091.327755</v>
      </c>
      <c r="E48" s="56">
        <f>_xlfn.SUMIFS(_CALC_ALLOC!$AI$1:$AI$349,_CALC_ALLOC!$AS$1:$AS$349,"2027|"&amp;$P$1,_CALC_ALLOC!$B$1:$B$349,"ISCOM_PAR",_CALC_ALLOC!$D$1:$D$349,"MAS_COM",_CALC_ALLOC!$E$1:$E$349,"M1",_CALC_ALLOC!$F$1:$F$349,"ALT")</f>
        <v>32630.4618164</v>
      </c>
      <c r="F48" s="56">
        <f>_xlfn.SUMIFS(_CALC_ALLOC!$AJ$1:$AJ$349,_CALC_ALLOC!$AS$1:$AS$349,"2027|"&amp;$P$1,_CALC_ALLOC!$B$1:$B$349,"ISCOM_PAR",_CALC_ALLOC!$D$1:$D$349,"MAS_COM",_CALC_ALLOC!$E$1:$E$349,"M1",_CALC_ALLOC!$F$1:$F$349,"ALT")</f>
        <v>91045.817044</v>
      </c>
      <c r="G48" s="56">
        <f>_xlfn.SUMIFS(_CALC_ALLOC!$AK$1:$AK$349,_CALC_ALLOC!$AS$1:$AS$349,"2027|"&amp;$P$1,_CALC_ALLOC!$B$1:$B$349,"ISCOM_PAR",_CALC_ALLOC!$D$1:$D$349,"MAS_COM",_CALC_ALLOC!$E$1:$E$349,"M1",_CALC_ALLOC!$F$1:$F$349,"ALT")</f>
        <v>62531.8955770996</v>
      </c>
      <c r="H48" s="56">
        <f>_xlfn.SUMIFS(_CALC_ALLOC!$AL$1:$AL$349,_CALC_ALLOC!$AS$1:$AS$349,"2027|"&amp;$P$1,_CALC_ALLOC!$B$1:$B$349,"ISCOM_PAR",_CALC_ALLOC!$D$1:$D$349,"MAS_COM",_CALC_ALLOC!$E$1:$E$349,"M1",_CALC_ALLOC!$F$1:$F$349,"ALT")</f>
        <v>231516.0146314</v>
      </c>
      <c r="I48" s="56">
        <f>_xlfn.SUMIFS(_CALC_ALLOC!$AR$1:$AR$349,_CALC_ALLOC!$AS$1:$AS$349,"2027|"&amp;$P$1,_CALC_ALLOC!$B$1:$B$349,"ISCOM_PAR",_CALC_ALLOC!$D$1:$D$349,"MAS_COM",_CALC_ALLOC!$E$1:$E$349,"M1",_CALC_ALLOC!$F$1:$F$349,"ALT")</f>
        <v>17293.3797069481</v>
      </c>
      <c r="J48" s="56">
        <f>_xlfn.SUMIFS(_CALC_ALLOC!$AM$1:$AM$349,_CALC_ALLOC!$AS$1:$AS$349,"2027|"&amp;$P$1,_CALC_ALLOC!$B$1:$B$349,"ISCOM_PAR",_CALC_ALLOC!$D$1:$D$349,"MAS_COM",_CALC_ALLOC!$E$1:$E$349,"M1",_CALC_ALLOC!$F$1:$F$349,"ALT")</f>
        <v>65817.2775690888</v>
      </c>
      <c r="K48" s="57">
        <f t="shared" si="0"/>
        <v>500834.846344937</v>
      </c>
      <c r="L48" s="58">
        <f>_xlfn.SUMIFS(_CALC_ALLOC!$AN$1:$AN$349,_CALC_ALLOC!$AS$1:$AS$349,"2027|"&amp;$P$1,_CALC_ALLOC!$B$1:$B$349,"ISCOM_PAR",_CALC_ALLOC!$D$1:$D$349,"MAS_COM",_CALC_ALLOC!$E$1:$E$349,"M1",_CALC_ALLOC!$F$1:$F$349,"ALT")</f>
        <v>180256.481410063</v>
      </c>
      <c r="M48" s="59">
        <f t="shared" si="1"/>
        <v>0.264658312423711</v>
      </c>
      <c r="BF48" t="s">
        <v>35</v>
      </c>
      <c r="BG48" t="s">
        <v>36</v>
      </c>
      <c r="BH48" t="s">
        <v>37</v>
      </c>
      <c r="BI48" t="s">
        <v>38</v>
      </c>
      <c r="BJ48" t="s">
        <v>104</v>
      </c>
      <c r="BK48" t="s">
        <v>105</v>
      </c>
      <c r="BL48" t="s">
        <v>111</v>
      </c>
      <c r="BM48" t="s">
        <v>42</v>
      </c>
      <c r="BN48" t="s">
        <v>43</v>
      </c>
      <c r="BO48">
        <v>32</v>
      </c>
      <c r="BP48">
        <v>2</v>
      </c>
      <c r="BQ48">
        <v>220160</v>
      </c>
      <c r="BR48">
        <v>14897.570016</v>
      </c>
      <c r="BS48">
        <v>28114.194394</v>
      </c>
      <c r="BT48">
        <v>18968.77216</v>
      </c>
      <c r="BU48">
        <v>63370.352</v>
      </c>
      <c r="BV48">
        <v>5105.897169</v>
      </c>
      <c r="BW48">
        <v>29695.450103</v>
      </c>
      <c r="BX48">
        <v>34801.347272</v>
      </c>
      <c r="BY48">
        <v>33866.342176</v>
      </c>
      <c r="BZ48">
        <v>126285.893666</v>
      </c>
      <c r="CA48">
        <v>160152.235842</v>
      </c>
      <c r="CB48">
        <v>60007.764158</v>
      </c>
      <c r="CC48">
        <v>32</v>
      </c>
      <c r="CD48">
        <v>88144</v>
      </c>
      <c r="CE48">
        <v>166342.4</v>
      </c>
      <c r="CF48">
        <v>48220</v>
      </c>
      <c r="CG48">
        <v>18155</v>
      </c>
      <c r="CH48">
        <v>316851.76</v>
      </c>
      <c r="CI48">
        <v>2639292</v>
      </c>
      <c r="CJ48">
        <v>499926</v>
      </c>
    </row>
    <row r="49" ht="14.497499999999997" customHeight="1" hidden="0" collapsed="0" outlineLevel="2">
      <c r="B49" s="54" t="s">
        <v>112</v>
      </c>
      <c r="C49" s="55">
        <f>_xlfn.SUMIFS(_CALC_ALLOC!$G$1:$G$349,_CALC_ALLOC!$AS$1:$AS$349,"2027|"&amp;$P$1,_CALC_ALLOC!$B$1:$B$349,"ISCOM_PAR",_CALC_ALLOC!$D$1:$D$349,"MAS_COM",_CALC_ALLOC!$E$1:$E$349,"M2",_CALC_ALLOC!$F$1:$F$349,"ALT")</f>
        <v>71.36</v>
      </c>
      <c r="D49" s="56">
        <f>_xlfn.SUMIFS(_CALC_ALLOC!$I$1:$I$349,_CALC_ALLOC!$AS$1:$AS$349,"2027|"&amp;$P$1,_CALC_ALLOC!$B$1:$B$349,"ISCOM_PAR",_CALC_ALLOC!$D$1:$D$349,"MAS_COM",_CALC_ALLOC!$E$1:$E$349,"M2",_CALC_ALLOC!$F$1:$F$349,"ALT")</f>
        <v>601423.07904</v>
      </c>
      <c r="E49" s="56">
        <f>_xlfn.SUMIFS(_CALC_ALLOC!$AI$1:$AI$349,_CALC_ALLOC!$AS$1:$AS$349,"2027|"&amp;$P$1,_CALC_ALLOC!$B$1:$B$349,"ISCOM_PAR",_CALC_ALLOC!$D$1:$D$349,"MAS_COM",_CALC_ALLOC!$E$1:$E$349,"M2",_CALC_ALLOC!$F$1:$F$349,"ALT")</f>
        <v>32630.4618164</v>
      </c>
      <c r="F49" s="56">
        <f>_xlfn.SUMIFS(_CALC_ALLOC!$AJ$1:$AJ$349,_CALC_ALLOC!$AS$1:$AS$349,"2027|"&amp;$P$1,_CALC_ALLOC!$B$1:$B$349,"ISCOM_PAR",_CALC_ALLOC!$D$1:$D$349,"MAS_COM",_CALC_ALLOC!$E$1:$E$349,"M2",_CALC_ALLOC!$F$1:$F$349,"ALT")</f>
        <v>91045.817044</v>
      </c>
      <c r="G49" s="56">
        <f>_xlfn.SUMIFS(_CALC_ALLOC!$AK$1:$AK$349,_CALC_ALLOC!$AS$1:$AS$349,"2027|"&amp;$P$1,_CALC_ALLOC!$B$1:$B$349,"ISCOM_PAR",_CALC_ALLOC!$D$1:$D$349,"MAS_COM",_CALC_ALLOC!$E$1:$E$349,"M2",_CALC_ALLOC!$F$1:$F$349,"ALT")</f>
        <v>26203.1443537574</v>
      </c>
      <c r="H49" s="56">
        <f>_xlfn.SUMIFS(_CALC_ALLOC!$AL$1:$AL$349,_CALC_ALLOC!$AS$1:$AS$349,"2027|"&amp;$P$1,_CALC_ALLOC!$B$1:$B$349,"ISCOM_PAR",_CALC_ALLOC!$D$1:$D$349,"MAS_COM",_CALC_ALLOC!$E$1:$E$349,"M2",_CALC_ALLOC!$F$1:$F$349,"ALT")</f>
        <v>231516.0146314</v>
      </c>
      <c r="I49" s="56">
        <f>_xlfn.SUMIFS(_CALC_ALLOC!$AR$1:$AR$349,_CALC_ALLOC!$AS$1:$AS$349,"2027|"&amp;$P$1,_CALC_ALLOC!$B$1:$B$349,"ISCOM_PAR",_CALC_ALLOC!$D$1:$D$349,"MAS_COM",_CALC_ALLOC!$E$1:$E$349,"M2",_CALC_ALLOC!$F$1:$F$349,"ALT")</f>
        <v>17293.3797069481</v>
      </c>
      <c r="J49" s="56">
        <f>_xlfn.SUMIFS(_CALC_ALLOC!$AM$1:$AM$349,_CALC_ALLOC!$AS$1:$AS$349,"2027|"&amp;$P$1,_CALC_ALLOC!$B$1:$B$349,"ISCOM_PAR",_CALC_ALLOC!$D$1:$D$349,"MAS_COM",_CALC_ALLOC!$E$1:$E$349,"M2",_CALC_ALLOC!$F$1:$F$349,"ALT")</f>
        <v>65817.2775690888</v>
      </c>
      <c r="K49" s="57">
        <f t="shared" si="0"/>
        <v>464506.095121594</v>
      </c>
      <c r="L49" s="58">
        <f>_xlfn.SUMIFS(_CALC_ALLOC!$AN$1:$AN$349,_CALC_ALLOC!$AS$1:$AS$349,"2027|"&amp;$P$1,_CALC_ALLOC!$B$1:$B$349,"ISCOM_PAR",_CALC_ALLOC!$D$1:$D$349,"MAS_COM",_CALC_ALLOC!$E$1:$E$349,"M2",_CALC_ALLOC!$F$1:$F$349,"ALT")</f>
        <v>136916.983918406</v>
      </c>
      <c r="M49" s="59">
        <f t="shared" si="1"/>
        <v>0.227655021381878</v>
      </c>
      <c r="BF49" t="s">
        <v>35</v>
      </c>
      <c r="BG49" t="s">
        <v>36</v>
      </c>
      <c r="BH49" t="s">
        <v>37</v>
      </c>
      <c r="BI49" t="s">
        <v>38</v>
      </c>
      <c r="BJ49" t="s">
        <v>104</v>
      </c>
      <c r="BK49" t="s">
        <v>105</v>
      </c>
      <c r="BL49" t="s">
        <v>111</v>
      </c>
      <c r="BM49" t="s">
        <v>44</v>
      </c>
      <c r="BN49" t="s">
        <v>43</v>
      </c>
      <c r="BO49">
        <v>31</v>
      </c>
      <c r="BP49">
        <v>2</v>
      </c>
      <c r="BQ49">
        <v>210490</v>
      </c>
      <c r="BR49">
        <v>14897.570016</v>
      </c>
      <c r="BS49">
        <v>28114.194394</v>
      </c>
      <c r="BT49">
        <v>9582.13374</v>
      </c>
      <c r="BU49">
        <v>63370.352</v>
      </c>
      <c r="BV49">
        <v>5105.897169</v>
      </c>
      <c r="BW49">
        <v>29695.450103</v>
      </c>
      <c r="BX49">
        <v>34801.347272</v>
      </c>
      <c r="BY49">
        <v>24479.703756</v>
      </c>
      <c r="BZ49">
        <v>126285.893666</v>
      </c>
      <c r="CA49">
        <v>150765.597422</v>
      </c>
      <c r="CB49">
        <v>59724.402578</v>
      </c>
      <c r="CC49">
        <v>0</v>
      </c>
      <c r="CD49">
        <v>88144</v>
      </c>
      <c r="CE49">
        <v>166342.4</v>
      </c>
      <c r="CF49">
        <v>48220</v>
      </c>
      <c r="CG49">
        <v>18155</v>
      </c>
      <c r="CH49">
        <v>316851.76</v>
      </c>
      <c r="CI49">
        <v>2639292</v>
      </c>
      <c r="CJ49">
        <v>499926</v>
      </c>
    </row>
    <row r="50" ht="14.497499999999997" customHeight="1" hidden="0" collapsed="0" outlineLevel="1">
      <c r="B50" s="49" t="s">
        <v>113</v>
      </c>
      <c r="C50" s="50">
        <f>_xlfn.SUMIFS(_CALC_ALLOC!$G$1:$G$349,_CALC_ALLOC!$AS$1:$AS$349,"2027|"&amp;$P$1,_CALC_ALLOC!$B$1:$B$349,"ISCOM_LIL")</f>
        <v>255.086642</v>
      </c>
      <c r="D50" s="51">
        <f>_xlfn.SUMIFS(_CALC_ALLOC!$I$1:$I$349,_CALC_ALLOC!$AS$1:$AS$349,"2027|"&amp;$P$1,_CALC_ALLOC!$B$1:$B$349,"ISCOM_LIL")</f>
        <v>1844124.619037</v>
      </c>
      <c r="E50" s="51">
        <f>_xlfn.SUMIFS(_CALC_ALLOC!$AI$1:$AI$349,_CALC_ALLOC!$AS$1:$AS$349,"2027|"&amp;$P$1,_CALC_ALLOC!$B$1:$B$349,"ISCOM_LIL")</f>
        <v>124306.177995</v>
      </c>
      <c r="F50" s="51">
        <f>_xlfn.SUMIFS(_CALC_ALLOC!$AJ$1:$AJ$349,_CALC_ALLOC!$AS$1:$AS$349,"2027|"&amp;$P$1,_CALC_ALLOC!$B$1:$B$349,"ISCOM_LIL")</f>
        <v>303457.33522</v>
      </c>
      <c r="G50" s="51">
        <f>_xlfn.SUMIFS(_CALC_ALLOC!$AK$1:$AK$349,_CALC_ALLOC!$AS$1:$AS$349,"2027|"&amp;$P$1,_CALC_ALLOC!$B$1:$B$349,"ISCOM_LIL")</f>
        <v>120718.720579</v>
      </c>
      <c r="H50" s="51">
        <f>_xlfn.SUMIFS(_CALC_ALLOC!$AL$1:$AL$349,_CALC_ALLOC!$AS$1:$AS$349,"2027|"&amp;$P$1,_CALC_ALLOC!$B$1:$B$349,"ISCOM_LIL")</f>
        <v>690691.551778</v>
      </c>
      <c r="I50" s="51">
        <f>_xlfn.SUMIFS(_CALC_ALLOC!$AR$1:$AR$349,_CALC_ALLOC!$AS$1:$AS$349,"2027|"&amp;$P$1,_CALC_ALLOC!$B$1:$B$349,"ISCOM_LIL")</f>
        <v>59716.8292266165</v>
      </c>
      <c r="J50" s="51">
        <f>_xlfn.SUMIFS(_CALC_ALLOC!$AM$1:$AM$349,_CALC_ALLOC!$AS$1:$AS$349,"2027|"&amp;$P$1,_CALC_ALLOC!$B$1:$B$349,"ISCOM_LIL")</f>
        <v>227277.674541255</v>
      </c>
      <c r="K50" s="51">
        <f t="shared" si="0"/>
        <v>1526168.28933987</v>
      </c>
      <c r="L50" s="52">
        <f>_xlfn.SUMIFS(_CALC_ALLOC!$AN$1:$AN$349,_CALC_ALLOC!$AS$1:$AS$349,"2027|"&amp;$P$1,_CALC_ALLOC!$B$1:$B$349,"ISCOM_LIL")</f>
        <v>317956.329697128</v>
      </c>
      <c r="M50" s="53">
        <f t="shared" si="1"/>
        <v>0.172415858676169</v>
      </c>
      <c r="BF50" t="s">
        <v>35</v>
      </c>
      <c r="BG50" t="s">
        <v>36</v>
      </c>
      <c r="BH50" t="s">
        <v>37</v>
      </c>
      <c r="BI50" t="s">
        <v>38</v>
      </c>
      <c r="BJ50" t="s">
        <v>104</v>
      </c>
      <c r="BK50" t="s">
        <v>105</v>
      </c>
      <c r="BL50" t="s">
        <v>111</v>
      </c>
      <c r="BM50" t="s">
        <v>50</v>
      </c>
      <c r="BN50" t="s">
        <v>43</v>
      </c>
      <c r="BO50">
        <v>30</v>
      </c>
      <c r="BP50">
        <v>2</v>
      </c>
      <c r="BQ50">
        <v>203700</v>
      </c>
      <c r="BR50">
        <v>14897.570016</v>
      </c>
      <c r="BS50">
        <v>28114.194394</v>
      </c>
      <c r="BT50">
        <v>9273.04354</v>
      </c>
      <c r="BU50">
        <v>63370.352</v>
      </c>
      <c r="BV50">
        <v>5105.897169</v>
      </c>
      <c r="BW50">
        <v>29695.450103</v>
      </c>
      <c r="BX50">
        <v>34801.347272</v>
      </c>
      <c r="BY50">
        <v>24170.613556</v>
      </c>
      <c r="BZ50">
        <v>126285.893666</v>
      </c>
      <c r="CA50">
        <v>150456.507222</v>
      </c>
      <c r="CB50">
        <v>53243.492778</v>
      </c>
      <c r="CC50">
        <v>0</v>
      </c>
      <c r="CD50">
        <v>88144</v>
      </c>
      <c r="CE50">
        <v>166342.4</v>
      </c>
      <c r="CF50">
        <v>48220</v>
      </c>
      <c r="CG50">
        <v>18155</v>
      </c>
      <c r="CH50">
        <v>316851.76</v>
      </c>
      <c r="CI50">
        <v>2639292</v>
      </c>
      <c r="CJ50">
        <v>499926</v>
      </c>
    </row>
    <row r="51" ht="14.497499999999997" customHeight="1" hidden="0" collapsed="0" outlineLevel="2">
      <c r="B51" s="54" t="s">
        <v>102</v>
      </c>
      <c r="C51" s="55">
        <f>_xlfn.SUMIFS(_CALC_ALLOC!$G$1:$G$349,_CALC_ALLOC!$AS$1:$AS$349,"2027|"&amp;$P$1,_CALC_ALLOC!$B$1:$B$349,"ISCOM_LIL",_CALC_ALLOC!$D$1:$D$349,"BAC_COM",_CALC_ALLOC!$E$1:$E$349,"B1",_CALC_ALLOC!$F$1:$F$349,"INIT")</f>
        <v>54.601406</v>
      </c>
      <c r="D51" s="56">
        <f>_xlfn.SUMIFS(_CALC_ALLOC!$I$1:$I$349,_CALC_ALLOC!$AS$1:$AS$349,"2027|"&amp;$P$1,_CALC_ALLOC!$B$1:$B$349,"ISCOM_LIL",_CALC_ALLOC!$D$1:$D$349,"BAC_COM",_CALC_ALLOC!$E$1:$E$349,"B1",_CALC_ALLOC!$F$1:$F$349,"INIT")</f>
        <v>407572.863954</v>
      </c>
      <c r="E51" s="56">
        <f>_xlfn.SUMIFS(_CALC_ALLOC!$AI$1:$AI$349,_CALC_ALLOC!$AS$1:$AS$349,"2027|"&amp;$P$1,_CALC_ALLOC!$B$1:$B$349,"ISCOM_LIL",_CALC_ALLOC!$D$1:$D$349,"BAC_COM",_CALC_ALLOC!$E$1:$E$349,"B1",_CALC_ALLOC!$F$1:$F$349,"INIT")</f>
        <v>31076.54449875</v>
      </c>
      <c r="F51" s="56">
        <f>_xlfn.SUMIFS(_CALC_ALLOC!$AJ$1:$AJ$349,_CALC_ALLOC!$AS$1:$AS$349,"2027|"&amp;$P$1,_CALC_ALLOC!$B$1:$B$349,"ISCOM_LIL",_CALC_ALLOC!$D$1:$D$349,"BAC_COM",_CALC_ALLOC!$E$1:$E$349,"B1",_CALC_ALLOC!$F$1:$F$349,"INIT")</f>
        <v>75864.333805</v>
      </c>
      <c r="G51" s="56">
        <f>_xlfn.SUMIFS(_CALC_ALLOC!$AK$1:$AK$349,_CALC_ALLOC!$AS$1:$AS$349,"2027|"&amp;$P$1,_CALC_ALLOC!$B$1:$B$349,"ISCOM_LIL",_CALC_ALLOC!$D$1:$D$349,"BAC_COM",_CALC_ALLOC!$E$1:$E$349,"B1",_CALC_ALLOC!$F$1:$F$349,"INIT")</f>
        <v>33487.3046677351</v>
      </c>
      <c r="H51" s="56">
        <f>_xlfn.SUMIFS(_CALC_ALLOC!$AL$1:$AL$349,_CALC_ALLOC!$AS$1:$AS$349,"2027|"&amp;$P$1,_CALC_ALLOC!$B$1:$B$349,"ISCOM_LIL",_CALC_ALLOC!$D$1:$D$349,"BAC_COM",_CALC_ALLOC!$E$1:$E$349,"B1",_CALC_ALLOC!$F$1:$F$349,"INIT")</f>
        <v>138138.3103556</v>
      </c>
      <c r="I51" s="56">
        <f>_xlfn.SUMIFS(_CALC_ALLOC!$AR$1:$AR$349,_CALC_ALLOC!$AS$1:$AS$349,"2027|"&amp;$P$1,_CALC_ALLOC!$B$1:$B$349,"ISCOM_LIL",_CALC_ALLOC!$D$1:$D$349,"BAC_COM",_CALC_ALLOC!$E$1:$E$349,"B1",_CALC_ALLOC!$F$1:$F$349,"INIT")</f>
        <v>11943.3658453233</v>
      </c>
      <c r="J51" s="56">
        <f>_xlfn.SUMIFS(_CALC_ALLOC!$AM$1:$AM$349,_CALC_ALLOC!$AS$1:$AS$349,"2027|"&amp;$P$1,_CALC_ALLOC!$B$1:$B$349,"ISCOM_LIL",_CALC_ALLOC!$D$1:$D$349,"BAC_COM",_CALC_ALLOC!$E$1:$E$349,"B1",_CALC_ALLOC!$F$1:$F$349,"INIT")</f>
        <v>45455.534908251</v>
      </c>
      <c r="K51" s="57">
        <f t="shared" si="0"/>
        <v>335965.394080659</v>
      </c>
      <c r="L51" s="58">
        <f>_xlfn.SUMIFS(_CALC_ALLOC!$AN$1:$AN$349,_CALC_ALLOC!$AS$1:$AS$349,"2027|"&amp;$P$1,_CALC_ALLOC!$B$1:$B$349,"ISCOM_LIL",_CALC_ALLOC!$D$1:$D$349,"BAC_COM",_CALC_ALLOC!$E$1:$E$349,"B1",_CALC_ALLOC!$F$1:$F$349,"INIT")</f>
        <v>71607.4698733406</v>
      </c>
      <c r="M51" s="59">
        <f t="shared" si="1"/>
        <v>0.175692437368506</v>
      </c>
      <c r="BF51" t="s">
        <v>35</v>
      </c>
      <c r="BG51" t="s">
        <v>36</v>
      </c>
      <c r="BH51" t="s">
        <v>37</v>
      </c>
      <c r="BI51" t="s">
        <v>38</v>
      </c>
      <c r="BJ51" t="s">
        <v>114</v>
      </c>
      <c r="BK51" t="s">
        <v>105</v>
      </c>
      <c r="BL51" t="s">
        <v>111</v>
      </c>
      <c r="BM51" t="s">
        <v>50</v>
      </c>
      <c r="BN51" t="s">
        <v>43</v>
      </c>
      <c r="BO51">
        <v>39</v>
      </c>
      <c r="BP51">
        <v>2</v>
      </c>
      <c r="BQ51">
        <v>286650</v>
      </c>
      <c r="BR51">
        <v>14897.570016</v>
      </c>
      <c r="BS51">
        <v>37284.457977</v>
      </c>
      <c r="BT51">
        <v>11991.768316</v>
      </c>
      <c r="BU51">
        <v>98210.434</v>
      </c>
      <c r="BV51">
        <v>6578.761559</v>
      </c>
      <c r="BW51">
        <v>38261.500214</v>
      </c>
      <c r="BX51">
        <v>44840.261773</v>
      </c>
      <c r="BY51">
        <v>26889.338332</v>
      </c>
      <c r="BZ51">
        <v>180335.15375</v>
      </c>
      <c r="CA51">
        <v>207224.492082</v>
      </c>
      <c r="CB51">
        <v>79425.507918</v>
      </c>
      <c r="CC51">
        <v>0</v>
      </c>
      <c r="CD51">
        <v>88144</v>
      </c>
      <c r="CE51">
        <v>220599.82</v>
      </c>
      <c r="CF51">
        <v>61804</v>
      </c>
      <c r="CG51">
        <v>30258</v>
      </c>
      <c r="CH51">
        <v>491052.17</v>
      </c>
      <c r="CI51">
        <v>2639292</v>
      </c>
      <c r="CJ51">
        <v>499926</v>
      </c>
    </row>
    <row r="52" ht="14.497499999999997" customHeight="1" hidden="0" collapsed="0" outlineLevel="2">
      <c r="B52" s="54" t="s">
        <v>103</v>
      </c>
      <c r="C52" s="55">
        <f>_xlfn.SUMIFS(_CALC_ALLOC!$G$1:$G$349,_CALC_ALLOC!$AS$1:$AS$349,"2027|"&amp;$P$1,_CALC_ALLOC!$B$1:$B$349,"ISCOM_LIL",_CALC_ALLOC!$D$1:$D$349,"BAC_COM",_CALC_ALLOC!$E$1:$E$349,"B2",_CALC_ALLOC!$F$1:$F$349,"ALT")</f>
        <v>48.25</v>
      </c>
      <c r="D52" s="56">
        <f>_xlfn.SUMIFS(_CALC_ALLOC!$I$1:$I$349,_CALC_ALLOC!$AS$1:$AS$349,"2027|"&amp;$P$1,_CALC_ALLOC!$B$1:$B$349,"ISCOM_LIL",_CALC_ALLOC!$D$1:$D$349,"BAC_COM",_CALC_ALLOC!$E$1:$E$349,"B2",_CALC_ALLOC!$F$1:$F$349,"ALT")</f>
        <v>332098.868325</v>
      </c>
      <c r="E52" s="56">
        <f>_xlfn.SUMIFS(_CALC_ALLOC!$AI$1:$AI$349,_CALC_ALLOC!$AS$1:$AS$349,"2027|"&amp;$P$1,_CALC_ALLOC!$B$1:$B$349,"ISCOM_LIL",_CALC_ALLOC!$D$1:$D$349,"BAC_COM",_CALC_ALLOC!$E$1:$E$349,"B2",_CALC_ALLOC!$F$1:$F$349,"ALT")</f>
        <v>24861.235599</v>
      </c>
      <c r="F52" s="56">
        <f>_xlfn.SUMIFS(_CALC_ALLOC!$AJ$1:$AJ$349,_CALC_ALLOC!$AS$1:$AS$349,"2027|"&amp;$P$1,_CALC_ALLOC!$B$1:$B$349,"ISCOM_LIL",_CALC_ALLOC!$D$1:$D$349,"BAC_COM",_CALC_ALLOC!$E$1:$E$349,"B2",_CALC_ALLOC!$F$1:$F$349,"ALT")</f>
        <v>60691.467044</v>
      </c>
      <c r="G52" s="56">
        <f>_xlfn.SUMIFS(_CALC_ALLOC!$AK$1:$AK$349,_CALC_ALLOC!$AS$1:$AS$349,"2027|"&amp;$P$1,_CALC_ALLOC!$B$1:$B$349,"ISCOM_LIL",_CALC_ALLOC!$D$1:$D$349,"BAC_COM",_CALC_ALLOC!$E$1:$E$349,"B2",_CALC_ALLOC!$F$1:$F$349,"ALT")</f>
        <v>17682.0864964648</v>
      </c>
      <c r="H52" s="56">
        <f>_xlfn.SUMIFS(_CALC_ALLOC!$AL$1:$AL$349,_CALC_ALLOC!$AS$1:$AS$349,"2027|"&amp;$P$1,_CALC_ALLOC!$B$1:$B$349,"ISCOM_LIL",_CALC_ALLOC!$D$1:$D$349,"BAC_COM",_CALC_ALLOC!$E$1:$E$349,"B2",_CALC_ALLOC!$F$1:$F$349,"ALT")</f>
        <v>138138.3103556</v>
      </c>
      <c r="I52" s="56">
        <f>_xlfn.SUMIFS(_CALC_ALLOC!$AR$1:$AR$349,_CALC_ALLOC!$AS$1:$AS$349,"2027|"&amp;$P$1,_CALC_ALLOC!$B$1:$B$349,"ISCOM_LIL",_CALC_ALLOC!$D$1:$D$349,"BAC_COM",_CALC_ALLOC!$E$1:$E$349,"B2",_CALC_ALLOC!$F$1:$F$349,"ALT")</f>
        <v>11943.3658453233</v>
      </c>
      <c r="J52" s="56">
        <f>_xlfn.SUMIFS(_CALC_ALLOC!$AM$1:$AM$349,_CALC_ALLOC!$AS$1:$AS$349,"2027|"&amp;$P$1,_CALC_ALLOC!$B$1:$B$349,"ISCOM_LIL",_CALC_ALLOC!$D$1:$D$349,"BAC_COM",_CALC_ALLOC!$E$1:$E$349,"B2",_CALC_ALLOC!$F$1:$F$349,"ALT")</f>
        <v>45455.534908251</v>
      </c>
      <c r="K52" s="57">
        <f t="shared" si="0"/>
        <v>298772.000248639</v>
      </c>
      <c r="L52" s="58">
        <f>_xlfn.SUMIFS(_CALC_ALLOC!$AN$1:$AN$349,_CALC_ALLOC!$AS$1:$AS$349,"2027|"&amp;$P$1,_CALC_ALLOC!$B$1:$B$349,"ISCOM_LIL",_CALC_ALLOC!$D$1:$D$349,"BAC_COM",_CALC_ALLOC!$E$1:$E$349,"B2",_CALC_ALLOC!$F$1:$F$349,"ALT")</f>
        <v>33326.8680763609</v>
      </c>
      <c r="M52" s="59">
        <f t="shared" si="1"/>
        <v>0.100352248245984</v>
      </c>
      <c r="BF52" t="s">
        <v>35</v>
      </c>
      <c r="BG52" t="s">
        <v>36</v>
      </c>
      <c r="BH52" t="s">
        <v>37</v>
      </c>
      <c r="BI52" t="s">
        <v>38</v>
      </c>
      <c r="BJ52" t="s">
        <v>114</v>
      </c>
      <c r="BK52" t="s">
        <v>105</v>
      </c>
      <c r="BL52" t="s">
        <v>106</v>
      </c>
      <c r="BM52" t="s">
        <v>107</v>
      </c>
      <c r="BN52" t="s">
        <v>43</v>
      </c>
      <c r="BO52">
        <v>41</v>
      </c>
      <c r="BP52">
        <v>2</v>
      </c>
      <c r="BQ52">
        <v>261990</v>
      </c>
      <c r="BR52">
        <v>21725.556832</v>
      </c>
      <c r="BS52">
        <v>54373.002434</v>
      </c>
      <c r="BT52">
        <v>27735.77992</v>
      </c>
      <c r="BU52">
        <v>98210.434</v>
      </c>
      <c r="BV52">
        <v>6578.761559</v>
      </c>
      <c r="BW52">
        <v>38261.500214</v>
      </c>
      <c r="BX52">
        <v>44840.261773</v>
      </c>
      <c r="BY52">
        <v>49461.336752</v>
      </c>
      <c r="BZ52">
        <v>197423.698207</v>
      </c>
      <c r="CA52">
        <v>246885.034959</v>
      </c>
      <c r="CB52">
        <v>15104.965041</v>
      </c>
      <c r="CC52">
        <v>41</v>
      </c>
      <c r="CD52">
        <v>88144</v>
      </c>
      <c r="CE52">
        <v>220599.82</v>
      </c>
      <c r="CF52">
        <v>61804</v>
      </c>
      <c r="CG52">
        <v>30258</v>
      </c>
      <c r="CH52">
        <v>491052.17</v>
      </c>
      <c r="CI52">
        <v>2639292</v>
      </c>
      <c r="CJ52">
        <v>499926</v>
      </c>
    </row>
    <row r="53" ht="14.497499999999997" customHeight="1" hidden="0" collapsed="0" outlineLevel="2">
      <c r="B53" s="54" t="s">
        <v>108</v>
      </c>
      <c r="C53" s="55">
        <f>_xlfn.SUMIFS(_CALC_ALLOC!$G$1:$G$349,_CALC_ALLOC!$AS$1:$AS$349,"2027|"&amp;$P$1,_CALC_ALLOC!$B$1:$B$349,"ISCOM_LIL",_CALC_ALLOC!$D$1:$D$349,"BAC_COM",_CALC_ALLOC!$E$1:$E$349,"B3",_CALC_ALLOC!$F$1:$F$349,"ALT")</f>
        <v>47.24</v>
      </c>
      <c r="D53" s="56">
        <f>_xlfn.SUMIFS(_CALC_ALLOC!$I$1:$I$349,_CALC_ALLOC!$AS$1:$AS$349,"2027|"&amp;$P$1,_CALC_ALLOC!$B$1:$B$349,"ISCOM_LIL",_CALC_ALLOC!$D$1:$D$349,"BAC_COM",_CALC_ALLOC!$E$1:$E$349,"B3",_CALC_ALLOC!$F$1:$F$349,"ALT")</f>
        <v>325147.161444</v>
      </c>
      <c r="E53" s="56">
        <f>_xlfn.SUMIFS(_CALC_ALLOC!$AI$1:$AI$349,_CALC_ALLOC!$AS$1:$AS$349,"2027|"&amp;$P$1,_CALC_ALLOC!$B$1:$B$349,"ISCOM_LIL",_CALC_ALLOC!$D$1:$D$349,"BAC_COM",_CALC_ALLOC!$E$1:$E$349,"B3",_CALC_ALLOC!$F$1:$F$349,"ALT")</f>
        <v>24861.235599</v>
      </c>
      <c r="F53" s="56">
        <f>_xlfn.SUMIFS(_CALC_ALLOC!$AJ$1:$AJ$349,_CALC_ALLOC!$AS$1:$AS$349,"2027|"&amp;$P$1,_CALC_ALLOC!$B$1:$B$349,"ISCOM_LIL",_CALC_ALLOC!$D$1:$D$349,"BAC_COM",_CALC_ALLOC!$E$1:$E$349,"B3",_CALC_ALLOC!$F$1:$F$349,"ALT")</f>
        <v>60691.467044</v>
      </c>
      <c r="G53" s="56">
        <f>_xlfn.SUMIFS(_CALC_ALLOC!$AK$1:$AK$349,_CALC_ALLOC!$AS$1:$AS$349,"2027|"&amp;$P$1,_CALC_ALLOC!$B$1:$B$349,"ISCOM_LIL",_CALC_ALLOC!$D$1:$D$349,"BAC_COM",_CALC_ALLOC!$E$1:$E$349,"B3",_CALC_ALLOC!$F$1:$F$349,"ALT")</f>
        <v>17311.9537014093</v>
      </c>
      <c r="H53" s="56">
        <f>_xlfn.SUMIFS(_CALC_ALLOC!$AL$1:$AL$349,_CALC_ALLOC!$AS$1:$AS$349,"2027|"&amp;$P$1,_CALC_ALLOC!$B$1:$B$349,"ISCOM_LIL",_CALC_ALLOC!$D$1:$D$349,"BAC_COM",_CALC_ALLOC!$E$1:$E$349,"B3",_CALC_ALLOC!$F$1:$F$349,"ALT")</f>
        <v>138138.3103556</v>
      </c>
      <c r="I53" s="56">
        <f>_xlfn.SUMIFS(_CALC_ALLOC!$AR$1:$AR$349,_CALC_ALLOC!$AS$1:$AS$349,"2027|"&amp;$P$1,_CALC_ALLOC!$B$1:$B$349,"ISCOM_LIL",_CALC_ALLOC!$D$1:$D$349,"BAC_COM",_CALC_ALLOC!$E$1:$E$349,"B3",_CALC_ALLOC!$F$1:$F$349,"ALT")</f>
        <v>11943.3658453233</v>
      </c>
      <c r="J53" s="56">
        <f>_xlfn.SUMIFS(_CALC_ALLOC!$AM$1:$AM$349,_CALC_ALLOC!$AS$1:$AS$349,"2027|"&amp;$P$1,_CALC_ALLOC!$B$1:$B$349,"ISCOM_LIL",_CALC_ALLOC!$D$1:$D$349,"BAC_COM",_CALC_ALLOC!$E$1:$E$349,"B3",_CALC_ALLOC!$F$1:$F$349,"ALT")</f>
        <v>45455.534908251</v>
      </c>
      <c r="K53" s="57">
        <f t="shared" si="0"/>
        <v>298401.867453584</v>
      </c>
      <c r="L53" s="58">
        <f>_xlfn.SUMIFS(_CALC_ALLOC!$AN$1:$AN$349,_CALC_ALLOC!$AS$1:$AS$349,"2027|"&amp;$P$1,_CALC_ALLOC!$B$1:$B$349,"ISCOM_LIL",_CALC_ALLOC!$D$1:$D$349,"BAC_COM",_CALC_ALLOC!$E$1:$E$349,"B3",_CALC_ALLOC!$F$1:$F$349,"ALT")</f>
        <v>26745.2939904164</v>
      </c>
      <c r="M53" s="59">
        <f t="shared" si="1"/>
        <v>0.0822559664111438</v>
      </c>
      <c r="BF53" t="s">
        <v>35</v>
      </c>
      <c r="BG53" t="s">
        <v>36</v>
      </c>
      <c r="BH53" t="s">
        <v>37</v>
      </c>
      <c r="BI53" t="s">
        <v>38</v>
      </c>
      <c r="BJ53" t="s">
        <v>114</v>
      </c>
      <c r="BK53" t="s">
        <v>105</v>
      </c>
      <c r="BL53" t="s">
        <v>106</v>
      </c>
      <c r="BM53" t="s">
        <v>109</v>
      </c>
      <c r="BN53" t="s">
        <v>43</v>
      </c>
      <c r="BO53">
        <v>40</v>
      </c>
      <c r="BP53">
        <v>2</v>
      </c>
      <c r="BQ53">
        <v>252000</v>
      </c>
      <c r="BR53">
        <v>21725.556832</v>
      </c>
      <c r="BS53">
        <v>54373.002434</v>
      </c>
      <c r="BT53">
        <v>12299.243216</v>
      </c>
      <c r="BU53">
        <v>98210.434</v>
      </c>
      <c r="BV53">
        <v>6578.761559</v>
      </c>
      <c r="BW53">
        <v>38261.500214</v>
      </c>
      <c r="BX53">
        <v>44840.261773</v>
      </c>
      <c r="BY53">
        <v>34024.800048</v>
      </c>
      <c r="BZ53">
        <v>197423.698207</v>
      </c>
      <c r="CA53">
        <v>231448.498255</v>
      </c>
      <c r="CB53">
        <v>20551.501745</v>
      </c>
      <c r="CC53">
        <v>0</v>
      </c>
      <c r="CD53">
        <v>88144</v>
      </c>
      <c r="CE53">
        <v>220599.82</v>
      </c>
      <c r="CF53">
        <v>61804</v>
      </c>
      <c r="CG53">
        <v>30258</v>
      </c>
      <c r="CH53">
        <v>491052.17</v>
      </c>
      <c r="CI53">
        <v>2639292</v>
      </c>
      <c r="CJ53">
        <v>499926</v>
      </c>
    </row>
    <row r="54" ht="14.497499999999997" customHeight="1" hidden="0" collapsed="0" outlineLevel="2">
      <c r="B54" s="54" t="s">
        <v>110</v>
      </c>
      <c r="C54" s="55">
        <f>_xlfn.SUMIFS(_CALC_ALLOC!$G$1:$G$349,_CALC_ALLOC!$AS$1:$AS$349,"2027|"&amp;$P$1,_CALC_ALLOC!$B$1:$B$349,"ISCOM_LIL",_CALC_ALLOC!$D$1:$D$349,"MAS_COM",_CALC_ALLOC!$E$1:$E$349,"M1",_CALC_ALLOC!$F$1:$F$349,"ALT")</f>
        <v>55.745236</v>
      </c>
      <c r="D54" s="56">
        <f>_xlfn.SUMIFS(_CALC_ALLOC!$I$1:$I$349,_CALC_ALLOC!$AS$1:$AS$349,"2027|"&amp;$P$1,_CALC_ALLOC!$B$1:$B$349,"ISCOM_LIL",_CALC_ALLOC!$D$1:$D$349,"MAS_COM",_CALC_ALLOC!$E$1:$E$349,"M1",_CALC_ALLOC!$F$1:$F$349,"ALT")</f>
        <v>416110.997001</v>
      </c>
      <c r="E54" s="56">
        <f>_xlfn.SUMIFS(_CALC_ALLOC!$AI$1:$AI$349,_CALC_ALLOC!$AS$1:$AS$349,"2027|"&amp;$P$1,_CALC_ALLOC!$B$1:$B$349,"ISCOM_LIL",_CALC_ALLOC!$D$1:$D$349,"MAS_COM",_CALC_ALLOC!$E$1:$E$349,"M1",_CALC_ALLOC!$F$1:$F$349,"ALT")</f>
        <v>21753.581149125</v>
      </c>
      <c r="F54" s="56">
        <f>_xlfn.SUMIFS(_CALC_ALLOC!$AJ$1:$AJ$349,_CALC_ALLOC!$AS$1:$AS$349,"2027|"&amp;$P$1,_CALC_ALLOC!$B$1:$B$349,"ISCOM_LIL",_CALC_ALLOC!$D$1:$D$349,"MAS_COM",_CALC_ALLOC!$E$1:$E$349,"M1",_CALC_ALLOC!$F$1:$F$349,"ALT")</f>
        <v>53105.0336635</v>
      </c>
      <c r="G54" s="56">
        <f>_xlfn.SUMIFS(_CALC_ALLOC!$AK$1:$AK$349,_CALC_ALLOC!$AS$1:$AS$349,"2027|"&amp;$P$1,_CALC_ALLOC!$B$1:$B$349,"ISCOM_LIL",_CALC_ALLOC!$D$1:$D$349,"MAS_COM",_CALC_ALLOC!$E$1:$E$349,"M1",_CALC_ALLOC!$F$1:$F$349,"ALT")</f>
        <v>34188.8211030096</v>
      </c>
      <c r="H54" s="56">
        <f>_xlfn.SUMIFS(_CALC_ALLOC!$AL$1:$AL$349,_CALC_ALLOC!$AS$1:$AS$349,"2027|"&amp;$P$1,_CALC_ALLOC!$B$1:$B$349,"ISCOM_LIL",_CALC_ALLOC!$D$1:$D$349,"MAS_COM",_CALC_ALLOC!$E$1:$E$349,"M1",_CALC_ALLOC!$F$1:$F$349,"ALT")</f>
        <v>138138.3103556</v>
      </c>
      <c r="I54" s="56">
        <f>_xlfn.SUMIFS(_CALC_ALLOC!$AR$1:$AR$349,_CALC_ALLOC!$AS$1:$AS$349,"2027|"&amp;$P$1,_CALC_ALLOC!$B$1:$B$349,"ISCOM_LIL",_CALC_ALLOC!$D$1:$D$349,"MAS_COM",_CALC_ALLOC!$E$1:$E$349,"M1",_CALC_ALLOC!$F$1:$F$349,"ALT")</f>
        <v>11943.3658453233</v>
      </c>
      <c r="J54" s="56">
        <f>_xlfn.SUMIFS(_CALC_ALLOC!$AM$1:$AM$349,_CALC_ALLOC!$AS$1:$AS$349,"2027|"&amp;$P$1,_CALC_ALLOC!$B$1:$B$349,"ISCOM_LIL",_CALC_ALLOC!$D$1:$D$349,"MAS_COM",_CALC_ALLOC!$E$1:$E$349,"M1",_CALC_ALLOC!$F$1:$F$349,"ALT")</f>
        <v>45455.534908251</v>
      </c>
      <c r="K54" s="57">
        <f t="shared" si="0"/>
        <v>304584.647024809</v>
      </c>
      <c r="L54" s="58">
        <f>_xlfn.SUMIFS(_CALC_ALLOC!$AN$1:$AN$349,_CALC_ALLOC!$AS$1:$AS$349,"2027|"&amp;$P$1,_CALC_ALLOC!$B$1:$B$349,"ISCOM_LIL",_CALC_ALLOC!$D$1:$D$349,"MAS_COM",_CALC_ALLOC!$E$1:$E$349,"M1",_CALC_ALLOC!$F$1:$F$349,"ALT")</f>
        <v>111526.349976191</v>
      </c>
      <c r="M54" s="59">
        <f t="shared" si="1"/>
        <v>0.268020674243135</v>
      </c>
      <c r="BF54" t="s">
        <v>35</v>
      </c>
      <c r="BG54" t="s">
        <v>36</v>
      </c>
      <c r="BH54" t="s">
        <v>37</v>
      </c>
      <c r="BI54" t="s">
        <v>38</v>
      </c>
      <c r="BJ54" t="s">
        <v>114</v>
      </c>
      <c r="BK54" t="s">
        <v>105</v>
      </c>
      <c r="BL54" t="s">
        <v>111</v>
      </c>
      <c r="BM54" t="s">
        <v>42</v>
      </c>
      <c r="BN54" t="s">
        <v>43</v>
      </c>
      <c r="BO54">
        <v>41</v>
      </c>
      <c r="BP54">
        <v>2</v>
      </c>
      <c r="BQ54">
        <v>305040</v>
      </c>
      <c r="BR54">
        <v>14897.570016</v>
      </c>
      <c r="BS54">
        <v>37284.457977</v>
      </c>
      <c r="BT54">
        <v>27735.77992</v>
      </c>
      <c r="BU54">
        <v>98210.434</v>
      </c>
      <c r="BV54">
        <v>6578.761559</v>
      </c>
      <c r="BW54">
        <v>38261.500214</v>
      </c>
      <c r="BX54">
        <v>44840.261773</v>
      </c>
      <c r="BY54">
        <v>42633.349936</v>
      </c>
      <c r="BZ54">
        <v>180335.15375</v>
      </c>
      <c r="CA54">
        <v>222968.503686</v>
      </c>
      <c r="CB54">
        <v>82071.496314</v>
      </c>
      <c r="CC54">
        <v>41</v>
      </c>
      <c r="CD54">
        <v>88144</v>
      </c>
      <c r="CE54">
        <v>220599.82</v>
      </c>
      <c r="CF54">
        <v>61804</v>
      </c>
      <c r="CG54">
        <v>30258</v>
      </c>
      <c r="CH54">
        <v>491052.17</v>
      </c>
      <c r="CI54">
        <v>2639292</v>
      </c>
      <c r="CJ54">
        <v>499926</v>
      </c>
    </row>
    <row r="55" ht="14.497499999999997" customHeight="1" hidden="0" collapsed="0" outlineLevel="2">
      <c r="B55" s="54" t="s">
        <v>112</v>
      </c>
      <c r="C55" s="55">
        <f>_xlfn.SUMIFS(_CALC_ALLOC!$G$1:$G$349,_CALC_ALLOC!$AS$1:$AS$349,"2027|"&amp;$P$1,_CALC_ALLOC!$B$1:$B$349,"ISCOM_LIL",_CALC_ALLOC!$D$1:$D$349,"MAS_COM",_CALC_ALLOC!$E$1:$E$349,"M2",_CALC_ALLOC!$F$1:$F$349,"ALT")</f>
        <v>49.25</v>
      </c>
      <c r="D55" s="56">
        <f>_xlfn.SUMIFS(_CALC_ALLOC!$I$1:$I$349,_CALC_ALLOC!$AS$1:$AS$349,"2027|"&amp;$P$1,_CALC_ALLOC!$B$1:$B$349,"ISCOM_LIL",_CALC_ALLOC!$D$1:$D$349,"MAS_COM",_CALC_ALLOC!$E$1:$E$349,"M2",_CALC_ALLOC!$F$1:$F$349,"ALT")</f>
        <v>363194.728313</v>
      </c>
      <c r="E55" s="56">
        <f>_xlfn.SUMIFS(_CALC_ALLOC!$AI$1:$AI$349,_CALC_ALLOC!$AS$1:$AS$349,"2027|"&amp;$P$1,_CALC_ALLOC!$B$1:$B$349,"ISCOM_LIL",_CALC_ALLOC!$D$1:$D$349,"MAS_COM",_CALC_ALLOC!$E$1:$E$349,"M2",_CALC_ALLOC!$F$1:$F$349,"ALT")</f>
        <v>21753.581149125</v>
      </c>
      <c r="F55" s="56">
        <f>_xlfn.SUMIFS(_CALC_ALLOC!$AJ$1:$AJ$349,_CALC_ALLOC!$AS$1:$AS$349,"2027|"&amp;$P$1,_CALC_ALLOC!$B$1:$B$349,"ISCOM_LIL",_CALC_ALLOC!$D$1:$D$349,"MAS_COM",_CALC_ALLOC!$E$1:$E$349,"M2",_CALC_ALLOC!$F$1:$F$349,"ALT")</f>
        <v>53105.0336635</v>
      </c>
      <c r="G55" s="56">
        <f>_xlfn.SUMIFS(_CALC_ALLOC!$AK$1:$AK$349,_CALC_ALLOC!$AS$1:$AS$349,"2027|"&amp;$P$1,_CALC_ALLOC!$B$1:$B$349,"ISCOM_LIL",_CALC_ALLOC!$D$1:$D$349,"MAS_COM",_CALC_ALLOC!$E$1:$E$349,"M2",_CALC_ALLOC!$F$1:$F$349,"ALT")</f>
        <v>18048.5546103812</v>
      </c>
      <c r="H55" s="56">
        <f>_xlfn.SUMIFS(_CALC_ALLOC!$AL$1:$AL$349,_CALC_ALLOC!$AS$1:$AS$349,"2027|"&amp;$P$1,_CALC_ALLOC!$B$1:$B$349,"ISCOM_LIL",_CALC_ALLOC!$D$1:$D$349,"MAS_COM",_CALC_ALLOC!$E$1:$E$349,"M2",_CALC_ALLOC!$F$1:$F$349,"ALT")</f>
        <v>138138.3103556</v>
      </c>
      <c r="I55" s="56">
        <f>_xlfn.SUMIFS(_CALC_ALLOC!$AR$1:$AR$349,_CALC_ALLOC!$AS$1:$AS$349,"2027|"&amp;$P$1,_CALC_ALLOC!$B$1:$B$349,"ISCOM_LIL",_CALC_ALLOC!$D$1:$D$349,"MAS_COM",_CALC_ALLOC!$E$1:$E$349,"M2",_CALC_ALLOC!$F$1:$F$349,"ALT")</f>
        <v>11943.3658453233</v>
      </c>
      <c r="J55" s="56">
        <f>_xlfn.SUMIFS(_CALC_ALLOC!$AM$1:$AM$349,_CALC_ALLOC!$AS$1:$AS$349,"2027|"&amp;$P$1,_CALC_ALLOC!$B$1:$B$349,"ISCOM_LIL",_CALC_ALLOC!$D$1:$D$349,"MAS_COM",_CALC_ALLOC!$E$1:$E$349,"M2",_CALC_ALLOC!$F$1:$F$349,"ALT")</f>
        <v>45455.534908251</v>
      </c>
      <c r="K55" s="57">
        <f t="shared" si="0"/>
        <v>288444.38053218</v>
      </c>
      <c r="L55" s="58">
        <f>_xlfn.SUMIFS(_CALC_ALLOC!$AN$1:$AN$349,_CALC_ALLOC!$AS$1:$AS$349,"2027|"&amp;$P$1,_CALC_ALLOC!$B$1:$B$349,"ISCOM_LIL",_CALC_ALLOC!$D$1:$D$349,"MAS_COM",_CALC_ALLOC!$E$1:$E$349,"M2",_CALC_ALLOC!$F$1:$F$349,"ALT")</f>
        <v>74750.3477808195</v>
      </c>
      <c r="M55" s="59">
        <f t="shared" si="1"/>
        <v>0.205813416202451</v>
      </c>
      <c r="BF55" t="s">
        <v>35</v>
      </c>
      <c r="BG55" t="s">
        <v>36</v>
      </c>
      <c r="BH55" t="s">
        <v>37</v>
      </c>
      <c r="BI55" t="s">
        <v>38</v>
      </c>
      <c r="BJ55" t="s">
        <v>114</v>
      </c>
      <c r="BK55" t="s">
        <v>105</v>
      </c>
      <c r="BL55" t="s">
        <v>111</v>
      </c>
      <c r="BM55" t="s">
        <v>44</v>
      </c>
      <c r="BN55" t="s">
        <v>43</v>
      </c>
      <c r="BO55">
        <v>40</v>
      </c>
      <c r="BP55">
        <v>2</v>
      </c>
      <c r="BQ55">
        <v>294000</v>
      </c>
      <c r="BR55">
        <v>14897.570016</v>
      </c>
      <c r="BS55">
        <v>37284.457977</v>
      </c>
      <c r="BT55">
        <v>12299.243216</v>
      </c>
      <c r="BU55">
        <v>98210.434</v>
      </c>
      <c r="BV55">
        <v>6578.761559</v>
      </c>
      <c r="BW55">
        <v>38261.500214</v>
      </c>
      <c r="BX55">
        <v>44840.261773</v>
      </c>
      <c r="BY55">
        <v>27196.813232</v>
      </c>
      <c r="BZ55">
        <v>180335.15375</v>
      </c>
      <c r="CA55">
        <v>207531.966982</v>
      </c>
      <c r="CB55">
        <v>86468.033018</v>
      </c>
      <c r="CC55">
        <v>0</v>
      </c>
      <c r="CD55">
        <v>88144</v>
      </c>
      <c r="CE55">
        <v>220599.82</v>
      </c>
      <c r="CF55">
        <v>61804</v>
      </c>
      <c r="CG55">
        <v>30258</v>
      </c>
      <c r="CH55">
        <v>491052.17</v>
      </c>
      <c r="CI55">
        <v>2639292</v>
      </c>
      <c r="CJ55">
        <v>499926</v>
      </c>
    </row>
    <row r="56" ht="14.497499999999997" customHeight="1" hidden="0" collapsed="0" outlineLevel="1">
      <c r="B56" s="49" t="s">
        <v>115</v>
      </c>
      <c r="C56" s="50">
        <f>_xlfn.SUMIFS(_CALC_ALLOC!$G$1:$G$349,_CALC_ALLOC!$AS$1:$AS$349,"2027|"&amp;$P$1,_CALC_ALLOC!$B$1:$B$349,"ISCOM_TLS")</f>
        <v>241.481357</v>
      </c>
      <c r="D56" s="51">
        <f>_xlfn.SUMIFS(_CALC_ALLOC!$I$1:$I$349,_CALC_ALLOC!$AS$1:$AS$349,"2027|"&amp;$P$1,_CALC_ALLOC!$B$1:$B$349,"ISCOM_TLS")</f>
        <v>1709754.925703</v>
      </c>
      <c r="E56" s="51">
        <f>_xlfn.SUMIFS(_CALC_ALLOC!$AI$1:$AI$349,_CALC_ALLOC!$AS$1:$AS$349,"2027|"&amp;$P$1,_CALC_ALLOC!$B$1:$B$349,"ISCOM_TLS")</f>
        <v>124306.177995</v>
      </c>
      <c r="F56" s="51">
        <f>_xlfn.SUMIFS(_CALC_ALLOC!$AJ$1:$AJ$349,_CALC_ALLOC!$AS$1:$AS$349,"2027|"&amp;$P$1,_CALC_ALLOC!$B$1:$B$349,"ISCOM_TLS")</f>
        <v>285351.00542</v>
      </c>
      <c r="G56" s="51">
        <f>_xlfn.SUMIFS(_CALC_ALLOC!$AK$1:$AK$349,_CALC_ALLOC!$AS$1:$AS$349,"2027|"&amp;$P$1,_CALC_ALLOC!$B$1:$B$349,"ISCOM_TLS")</f>
        <v>112350.441162</v>
      </c>
      <c r="H56" s="51">
        <f>_xlfn.SUMIFS(_CALC_ALLOC!$AL$1:$AL$349,_CALC_ALLOC!$AS$1:$AS$349,"2027|"&amp;$P$1,_CALC_ALLOC!$B$1:$B$349,"ISCOM_TLS")</f>
        <v>625795.443026</v>
      </c>
      <c r="I56" s="51">
        <f>_xlfn.SUMIFS(_CALC_ALLOC!$AR$1:$AR$349,_CALC_ALLOC!$AS$1:$AS$349,"2027|"&amp;$P$1,_CALC_ALLOC!$B$1:$B$349,"ISCOM_TLS")</f>
        <v>56531.77620089</v>
      </c>
      <c r="J56" s="51">
        <f>_xlfn.SUMIFS(_CALC_ALLOC!$AM$1:$AM$349,_CALC_ALLOC!$AS$1:$AS$349,"2027|"&amp;$P$1,_CALC_ALLOC!$B$1:$B$349,"ISCOM_TLS")</f>
        <v>215155.606870338</v>
      </c>
      <c r="K56" s="51">
        <f t="shared" si="0"/>
        <v>1419490.45067423</v>
      </c>
      <c r="L56" s="52">
        <f>_xlfn.SUMIFS(_CALC_ALLOC!$AN$1:$AN$349,_CALC_ALLOC!$AS$1:$AS$349,"2027|"&amp;$P$1,_CALC_ALLOC!$B$1:$B$349,"ISCOM_TLS")</f>
        <v>290264.475028772</v>
      </c>
      <c r="M56" s="53">
        <f t="shared" si="1"/>
        <v>0.169769638130695</v>
      </c>
      <c r="BF56" t="s">
        <v>35</v>
      </c>
      <c r="BG56" t="s">
        <v>36</v>
      </c>
      <c r="BH56" t="s">
        <v>37</v>
      </c>
      <c r="BI56" t="s">
        <v>38</v>
      </c>
      <c r="BJ56" t="s">
        <v>116</v>
      </c>
      <c r="BK56" t="s">
        <v>117</v>
      </c>
      <c r="BL56" t="s">
        <v>118</v>
      </c>
      <c r="BM56" t="s">
        <v>42</v>
      </c>
      <c r="BN56" t="s">
        <v>43</v>
      </c>
      <c r="BO56">
        <v>36</v>
      </c>
      <c r="BP56">
        <v>2</v>
      </c>
      <c r="BQ56">
        <v>267840</v>
      </c>
      <c r="BR56">
        <v>22035.977964</v>
      </c>
      <c r="BS56">
        <v>53952.792714</v>
      </c>
      <c r="BT56">
        <v>29200.051467</v>
      </c>
      <c r="BU56">
        <v>108834.584499</v>
      </c>
      <c r="BV56">
        <v>6503.960516</v>
      </c>
      <c r="BW56">
        <v>33312.149826</v>
      </c>
      <c r="BX56">
        <v>39816.110342</v>
      </c>
      <c r="BY56">
        <v>51236.029431</v>
      </c>
      <c r="BZ56">
        <v>202603.487555</v>
      </c>
      <c r="CA56">
        <v>253839.516986</v>
      </c>
      <c r="CB56">
        <v>14000.483014</v>
      </c>
      <c r="CC56">
        <v>36</v>
      </c>
      <c r="CD56">
        <v>66108</v>
      </c>
      <c r="CE56">
        <v>161858.54</v>
      </c>
      <c r="CF56">
        <v>39731</v>
      </c>
      <c r="CG56">
        <v>15578</v>
      </c>
      <c r="CH56">
        <v>326504.08</v>
      </c>
      <c r="CI56">
        <v>2639292</v>
      </c>
      <c r="CJ56">
        <v>499926</v>
      </c>
    </row>
    <row r="57" ht="14.497499999999997" customHeight="1" hidden="0" collapsed="0" outlineLevel="2">
      <c r="B57" s="54" t="s">
        <v>102</v>
      </c>
      <c r="C57" s="55">
        <f>_xlfn.SUMIFS(_CALC_ALLOC!$G$1:$G$349,_CALC_ALLOC!$AS$1:$AS$349,"2027|"&amp;$P$1,_CALC_ALLOC!$B$1:$B$349,"ISCOM_TLS",_CALC_ALLOC!$D$1:$D$349,"BAC_COM",_CALC_ALLOC!$E$1:$E$349,"B1",_CALC_ALLOC!$F$1:$F$349,"INIT")</f>
        <v>51.351967</v>
      </c>
      <c r="D57" s="56">
        <f>_xlfn.SUMIFS(_CALC_ALLOC!$I$1:$I$349,_CALC_ALLOC!$AS$1:$AS$349,"2027|"&amp;$P$1,_CALC_ALLOC!$B$1:$B$349,"ISCOM_TLS",_CALC_ALLOC!$D$1:$D$349,"BAC_COM",_CALC_ALLOC!$E$1:$E$349,"B1",_CALC_ALLOC!$F$1:$F$349,"INIT")</f>
        <v>375588.902862</v>
      </c>
      <c r="E57" s="56">
        <f>_xlfn.SUMIFS(_CALC_ALLOC!$AI$1:$AI$349,_CALC_ALLOC!$AS$1:$AS$349,"2027|"&amp;$P$1,_CALC_ALLOC!$B$1:$B$349,"ISCOM_TLS",_CALC_ALLOC!$D$1:$D$349,"BAC_COM",_CALC_ALLOC!$E$1:$E$349,"B1",_CALC_ALLOC!$F$1:$F$349,"INIT")</f>
        <v>31076.54449875</v>
      </c>
      <c r="F57" s="56">
        <f>_xlfn.SUMIFS(_CALC_ALLOC!$AJ$1:$AJ$349,_CALC_ALLOC!$AS$1:$AS$349,"2027|"&amp;$P$1,_CALC_ALLOC!$B$1:$B$349,"ISCOM_TLS",_CALC_ALLOC!$D$1:$D$349,"BAC_COM",_CALC_ALLOC!$E$1:$E$349,"B1",_CALC_ALLOC!$F$1:$F$349,"INIT")</f>
        <v>71337.751355</v>
      </c>
      <c r="G57" s="56">
        <f>_xlfn.SUMIFS(_CALC_ALLOC!$AK$1:$AK$349,_CALC_ALLOC!$AS$1:$AS$349,"2027|"&amp;$P$1,_CALC_ALLOC!$B$1:$B$349,"ISCOM_TLS",_CALC_ALLOC!$D$1:$D$349,"BAC_COM",_CALC_ALLOC!$E$1:$E$349,"B1",_CALC_ALLOC!$F$1:$F$349,"INIT")</f>
        <v>30621.0664376941</v>
      </c>
      <c r="H57" s="56">
        <f>_xlfn.SUMIFS(_CALC_ALLOC!$AL$1:$AL$349,_CALC_ALLOC!$AS$1:$AS$349,"2027|"&amp;$P$1,_CALC_ALLOC!$B$1:$B$349,"ISCOM_TLS",_CALC_ALLOC!$D$1:$D$349,"BAC_COM",_CALC_ALLOC!$E$1:$E$349,"B1",_CALC_ALLOC!$F$1:$F$349,"INIT")</f>
        <v>125159.0886052</v>
      </c>
      <c r="I57" s="56">
        <f>_xlfn.SUMIFS(_CALC_ALLOC!$AR$1:$AR$349,_CALC_ALLOC!$AS$1:$AS$349,"2027|"&amp;$P$1,_CALC_ALLOC!$B$1:$B$349,"ISCOM_TLS",_CALC_ALLOC!$D$1:$D$349,"BAC_COM",_CALC_ALLOC!$E$1:$E$349,"B1",_CALC_ALLOC!$F$1:$F$349,"INIT")</f>
        <v>11306.355240178</v>
      </c>
      <c r="J57" s="56">
        <f>_xlfn.SUMIFS(_CALC_ALLOC!$AM$1:$AM$349,_CALC_ALLOC!$AS$1:$AS$349,"2027|"&amp;$P$1,_CALC_ALLOC!$B$1:$B$349,"ISCOM_TLS",_CALC_ALLOC!$D$1:$D$349,"BAC_COM",_CALC_ALLOC!$E$1:$E$349,"B1",_CALC_ALLOC!$F$1:$F$349,"INIT")</f>
        <v>43031.1213740676</v>
      </c>
      <c r="K57" s="57">
        <f t="shared" si="0"/>
        <v>312531.92751089</v>
      </c>
      <c r="L57" s="58">
        <f>_xlfn.SUMIFS(_CALC_ALLOC!$AN$1:$AN$349,_CALC_ALLOC!$AS$1:$AS$349,"2027|"&amp;$P$1,_CALC_ALLOC!$B$1:$B$349,"ISCOM_TLS",_CALC_ALLOC!$D$1:$D$349,"BAC_COM",_CALC_ALLOC!$E$1:$E$349,"B1",_CALC_ALLOC!$F$1:$F$349,"INIT")</f>
        <v>63056.9753511103</v>
      </c>
      <c r="M57" s="59">
        <f t="shared" si="1"/>
        <v>0.167888281231458</v>
      </c>
      <c r="BF57" t="s">
        <v>35</v>
      </c>
      <c r="BG57" t="s">
        <v>36</v>
      </c>
      <c r="BH57" t="s">
        <v>37</v>
      </c>
      <c r="BI57" t="s">
        <v>38</v>
      </c>
      <c r="BJ57" t="s">
        <v>116</v>
      </c>
      <c r="BK57" t="s">
        <v>117</v>
      </c>
      <c r="BL57" t="s">
        <v>118</v>
      </c>
      <c r="BM57" t="s">
        <v>44</v>
      </c>
      <c r="BN57" t="s">
        <v>43</v>
      </c>
      <c r="BO57">
        <v>35</v>
      </c>
      <c r="BP57">
        <v>2</v>
      </c>
      <c r="BQ57">
        <v>257250</v>
      </c>
      <c r="BR57">
        <v>22035.977964</v>
      </c>
      <c r="BS57">
        <v>53952.792714</v>
      </c>
      <c r="BT57">
        <v>13243.653423</v>
      </c>
      <c r="BU57">
        <v>108834.584499</v>
      </c>
      <c r="BV57">
        <v>6503.960516</v>
      </c>
      <c r="BW57">
        <v>33312.149826</v>
      </c>
      <c r="BX57">
        <v>39816.110342</v>
      </c>
      <c r="BY57">
        <v>35279.631387</v>
      </c>
      <c r="BZ57">
        <v>202603.487555</v>
      </c>
      <c r="CA57">
        <v>237883.118942</v>
      </c>
      <c r="CB57">
        <v>19366.881058</v>
      </c>
      <c r="CC57">
        <v>0</v>
      </c>
      <c r="CD57">
        <v>66108</v>
      </c>
      <c r="CE57">
        <v>161858.54</v>
      </c>
      <c r="CF57">
        <v>39731</v>
      </c>
      <c r="CG57">
        <v>15578</v>
      </c>
      <c r="CH57">
        <v>326504.08</v>
      </c>
      <c r="CI57">
        <v>2639292</v>
      </c>
      <c r="CJ57">
        <v>499926</v>
      </c>
    </row>
    <row r="58" ht="14.497499999999997" customHeight="1" hidden="0" collapsed="0" outlineLevel="2">
      <c r="B58" s="54" t="s">
        <v>103</v>
      </c>
      <c r="C58" s="55">
        <f>_xlfn.SUMIFS(_CALC_ALLOC!$G$1:$G$349,_CALC_ALLOC!$AS$1:$AS$349,"2027|"&amp;$P$1,_CALC_ALLOC!$B$1:$B$349,"ISCOM_TLS",_CALC_ALLOC!$D$1:$D$349,"BAC_COM",_CALC_ALLOC!$E$1:$E$349,"B2",_CALC_ALLOC!$F$1:$F$349,"ALT")</f>
        <v>46.235</v>
      </c>
      <c r="D58" s="56">
        <f>_xlfn.SUMIFS(_CALC_ALLOC!$I$1:$I$349,_CALC_ALLOC!$AS$1:$AS$349,"2027|"&amp;$P$1,_CALC_ALLOC!$B$1:$B$349,"ISCOM_TLS",_CALC_ALLOC!$D$1:$D$349,"BAC_COM",_CALC_ALLOC!$E$1:$E$349,"B2",_CALC_ALLOC!$F$1:$F$349,"ALT")</f>
        <v>311735.381832</v>
      </c>
      <c r="E58" s="56">
        <f>_xlfn.SUMIFS(_CALC_ALLOC!$AI$1:$AI$349,_CALC_ALLOC!$AS$1:$AS$349,"2027|"&amp;$P$1,_CALC_ALLOC!$B$1:$B$349,"ISCOM_TLS",_CALC_ALLOC!$D$1:$D$349,"BAC_COM",_CALC_ALLOC!$E$1:$E$349,"B2",_CALC_ALLOC!$F$1:$F$349,"ALT")</f>
        <v>24861.235599</v>
      </c>
      <c r="F58" s="56">
        <f>_xlfn.SUMIFS(_CALC_ALLOC!$AJ$1:$AJ$349,_CALC_ALLOC!$AS$1:$AS$349,"2027|"&amp;$P$1,_CALC_ALLOC!$B$1:$B$349,"ISCOM_TLS",_CALC_ALLOC!$D$1:$D$349,"BAC_COM",_CALC_ALLOC!$E$1:$E$349,"B2",_CALC_ALLOC!$F$1:$F$349,"ALT")</f>
        <v>57070.201084</v>
      </c>
      <c r="G58" s="56">
        <f>_xlfn.SUMIFS(_CALC_ALLOC!$AK$1:$AK$349,_CALC_ALLOC!$AS$1:$AS$349,"2027|"&amp;$P$1,_CALC_ALLOC!$B$1:$B$349,"ISCOM_TLS",_CALC_ALLOC!$D$1:$D$349,"BAC_COM",_CALC_ALLOC!$E$1:$E$349,"B2",_CALC_ALLOC!$F$1:$F$349,"ALT")</f>
        <v>16944.7223278817</v>
      </c>
      <c r="H58" s="56">
        <f>_xlfn.SUMIFS(_CALC_ALLOC!$AL$1:$AL$349,_CALC_ALLOC!$AS$1:$AS$349,"2027|"&amp;$P$1,_CALC_ALLOC!$B$1:$B$349,"ISCOM_TLS",_CALC_ALLOC!$D$1:$D$349,"BAC_COM",_CALC_ALLOC!$E$1:$E$349,"B2",_CALC_ALLOC!$F$1:$F$349,"ALT")</f>
        <v>125159.0886052</v>
      </c>
      <c r="I58" s="56">
        <f>_xlfn.SUMIFS(_CALC_ALLOC!$AR$1:$AR$349,_CALC_ALLOC!$AS$1:$AS$349,"2027|"&amp;$P$1,_CALC_ALLOC!$B$1:$B$349,"ISCOM_TLS",_CALC_ALLOC!$D$1:$D$349,"BAC_COM",_CALC_ALLOC!$E$1:$E$349,"B2",_CALC_ALLOC!$F$1:$F$349,"ALT")</f>
        <v>11306.355240178</v>
      </c>
      <c r="J58" s="56">
        <f>_xlfn.SUMIFS(_CALC_ALLOC!$AM$1:$AM$349,_CALC_ALLOC!$AS$1:$AS$349,"2027|"&amp;$P$1,_CALC_ALLOC!$B$1:$B$349,"ISCOM_TLS",_CALC_ALLOC!$D$1:$D$349,"BAC_COM",_CALC_ALLOC!$E$1:$E$349,"B2",_CALC_ALLOC!$F$1:$F$349,"ALT")</f>
        <v>43031.1213740676</v>
      </c>
      <c r="K58" s="57">
        <f t="shared" si="0"/>
        <v>278372.724230327</v>
      </c>
      <c r="L58" s="58">
        <f>_xlfn.SUMIFS(_CALC_ALLOC!$AN$1:$AN$349,_CALC_ALLOC!$AS$1:$AS$349,"2027|"&amp;$P$1,_CALC_ALLOC!$B$1:$B$349,"ISCOM_TLS",_CALC_ALLOC!$D$1:$D$349,"BAC_COM",_CALC_ALLOC!$E$1:$E$349,"B2",_CALC_ALLOC!$F$1:$F$349,"ALT")</f>
        <v>33362.6576016727</v>
      </c>
      <c r="M58" s="59">
        <f t="shared" si="1"/>
        <v>0.107022364306572</v>
      </c>
      <c r="BF58" t="s">
        <v>35</v>
      </c>
      <c r="BG58" t="s">
        <v>36</v>
      </c>
      <c r="BH58" t="s">
        <v>37</v>
      </c>
      <c r="BI58" t="s">
        <v>38</v>
      </c>
      <c r="BJ58" t="s">
        <v>116</v>
      </c>
      <c r="BK58" t="s">
        <v>117</v>
      </c>
      <c r="BL58" t="s">
        <v>118</v>
      </c>
      <c r="BM58" t="s">
        <v>50</v>
      </c>
      <c r="BN58" t="s">
        <v>43</v>
      </c>
      <c r="BO58">
        <v>34</v>
      </c>
      <c r="BP58">
        <v>2</v>
      </c>
      <c r="BQ58">
        <v>249900</v>
      </c>
      <c r="BR58">
        <v>22035.977964</v>
      </c>
      <c r="BS58">
        <v>53952.792714</v>
      </c>
      <c r="BT58">
        <v>12865.255379</v>
      </c>
      <c r="BU58">
        <v>108834.584499</v>
      </c>
      <c r="BV58">
        <v>6503.960516</v>
      </c>
      <c r="BW58">
        <v>33312.149826</v>
      </c>
      <c r="BX58">
        <v>39816.110342</v>
      </c>
      <c r="BY58">
        <v>34901.233343</v>
      </c>
      <c r="BZ58">
        <v>202603.487555</v>
      </c>
      <c r="CA58">
        <v>237504.720898</v>
      </c>
      <c r="CB58">
        <v>12395.279102</v>
      </c>
      <c r="CC58">
        <v>0</v>
      </c>
      <c r="CD58">
        <v>66108</v>
      </c>
      <c r="CE58">
        <v>161858.54</v>
      </c>
      <c r="CF58">
        <v>39731</v>
      </c>
      <c r="CG58">
        <v>15578</v>
      </c>
      <c r="CH58">
        <v>326504.08</v>
      </c>
      <c r="CI58">
        <v>2639292</v>
      </c>
      <c r="CJ58">
        <v>499926</v>
      </c>
    </row>
    <row r="59" ht="14.497499999999997" customHeight="1" hidden="0" collapsed="0" outlineLevel="2">
      <c r="B59" s="54" t="s">
        <v>108</v>
      </c>
      <c r="C59" s="55">
        <f>_xlfn.SUMIFS(_CALC_ALLOC!$G$1:$G$349,_CALC_ALLOC!$AS$1:$AS$349,"2027|"&amp;$P$1,_CALC_ALLOC!$B$1:$B$349,"ISCOM_TLS",_CALC_ALLOC!$D$1:$D$349,"BAC_COM",_CALC_ALLOC!$E$1:$E$349,"B3",_CALC_ALLOC!$F$1:$F$349,"ALT")</f>
        <v>45.23</v>
      </c>
      <c r="D59" s="56">
        <f>_xlfn.SUMIFS(_CALC_ALLOC!$I$1:$I$349,_CALC_ALLOC!$AS$1:$AS$349,"2027|"&amp;$P$1,_CALC_ALLOC!$B$1:$B$349,"ISCOM_TLS",_CALC_ALLOC!$D$1:$D$349,"BAC_COM",_CALC_ALLOC!$E$1:$E$349,"B3",_CALC_ALLOC!$F$1:$F$349,"ALT")</f>
        <v>304959.258576</v>
      </c>
      <c r="E59" s="56">
        <f>_xlfn.SUMIFS(_CALC_ALLOC!$AI$1:$AI$349,_CALC_ALLOC!$AS$1:$AS$349,"2027|"&amp;$P$1,_CALC_ALLOC!$B$1:$B$349,"ISCOM_TLS",_CALC_ALLOC!$D$1:$D$349,"BAC_COM",_CALC_ALLOC!$E$1:$E$349,"B3",_CALC_ALLOC!$F$1:$F$349,"ALT")</f>
        <v>24861.235599</v>
      </c>
      <c r="F59" s="56">
        <f>_xlfn.SUMIFS(_CALC_ALLOC!$AJ$1:$AJ$349,_CALC_ALLOC!$AS$1:$AS$349,"2027|"&amp;$P$1,_CALC_ALLOC!$B$1:$B$349,"ISCOM_TLS",_CALC_ALLOC!$D$1:$D$349,"BAC_COM",_CALC_ALLOC!$E$1:$E$349,"B3",_CALC_ALLOC!$F$1:$F$349,"ALT")</f>
        <v>57070.201084</v>
      </c>
      <c r="G59" s="56">
        <f>_xlfn.SUMIFS(_CALC_ALLOC!$AK$1:$AK$349,_CALC_ALLOC!$AS$1:$AS$349,"2027|"&amp;$P$1,_CALC_ALLOC!$B$1:$B$349,"ISCOM_TLS",_CALC_ALLOC!$D$1:$D$349,"BAC_COM",_CALC_ALLOC!$E$1:$E$349,"B3",_CALC_ALLOC!$F$1:$F$349,"ALT")</f>
        <v>16576.3986350187</v>
      </c>
      <c r="H59" s="56">
        <f>_xlfn.SUMIFS(_CALC_ALLOC!$AL$1:$AL$349,_CALC_ALLOC!$AS$1:$AS$349,"2027|"&amp;$P$1,_CALC_ALLOC!$B$1:$B$349,"ISCOM_TLS",_CALC_ALLOC!$D$1:$D$349,"BAC_COM",_CALC_ALLOC!$E$1:$E$349,"B3",_CALC_ALLOC!$F$1:$F$349,"ALT")</f>
        <v>125159.0886052</v>
      </c>
      <c r="I59" s="56">
        <f>_xlfn.SUMIFS(_CALC_ALLOC!$AR$1:$AR$349,_CALC_ALLOC!$AS$1:$AS$349,"2027|"&amp;$P$1,_CALC_ALLOC!$B$1:$B$349,"ISCOM_TLS",_CALC_ALLOC!$D$1:$D$349,"BAC_COM",_CALC_ALLOC!$E$1:$E$349,"B3",_CALC_ALLOC!$F$1:$F$349,"ALT")</f>
        <v>11306.355240178</v>
      </c>
      <c r="J59" s="56">
        <f>_xlfn.SUMIFS(_CALC_ALLOC!$AM$1:$AM$349,_CALC_ALLOC!$AS$1:$AS$349,"2027|"&amp;$P$1,_CALC_ALLOC!$B$1:$B$349,"ISCOM_TLS",_CALC_ALLOC!$D$1:$D$349,"BAC_COM",_CALC_ALLOC!$E$1:$E$349,"B3",_CALC_ALLOC!$F$1:$F$349,"ALT")</f>
        <v>43031.1213740676</v>
      </c>
      <c r="K59" s="57">
        <f t="shared" si="0"/>
        <v>278004.400537464</v>
      </c>
      <c r="L59" s="58">
        <f>_xlfn.SUMIFS(_CALC_ALLOC!$AN$1:$AN$349,_CALC_ALLOC!$AS$1:$AS$349,"2027|"&amp;$P$1,_CALC_ALLOC!$B$1:$B$349,"ISCOM_TLS",_CALC_ALLOC!$D$1:$D$349,"BAC_COM",_CALC_ALLOC!$E$1:$E$349,"B3",_CALC_ALLOC!$F$1:$F$349,"ALT")</f>
        <v>26954.8580385357</v>
      </c>
      <c r="M59" s="59">
        <f t="shared" si="1"/>
        <v>0.0883883905161652</v>
      </c>
      <c r="BF59" t="s">
        <v>35</v>
      </c>
      <c r="BG59" t="s">
        <v>36</v>
      </c>
      <c r="BH59" t="s">
        <v>37</v>
      </c>
      <c r="BI59" t="s">
        <v>38</v>
      </c>
      <c r="BJ59" t="s">
        <v>119</v>
      </c>
      <c r="BK59" t="s">
        <v>117</v>
      </c>
      <c r="BL59" t="s">
        <v>118</v>
      </c>
      <c r="BM59" t="s">
        <v>42</v>
      </c>
      <c r="BN59" t="s">
        <v>43</v>
      </c>
      <c r="BO59">
        <v>42</v>
      </c>
      <c r="BP59">
        <v>2</v>
      </c>
      <c r="BQ59">
        <v>333060</v>
      </c>
      <c r="BR59">
        <v>22035.977964</v>
      </c>
      <c r="BS59">
        <v>64380.832286</v>
      </c>
      <c r="BT59">
        <v>40993.639106</v>
      </c>
      <c r="BU59">
        <v>144344.215656</v>
      </c>
      <c r="BV59">
        <v>7618.920738</v>
      </c>
      <c r="BW59">
        <v>39022.781348</v>
      </c>
      <c r="BX59">
        <v>46641.702086</v>
      </c>
      <c r="BY59">
        <v>63029.61707</v>
      </c>
      <c r="BZ59">
        <v>255366.750028</v>
      </c>
      <c r="CA59">
        <v>318396.367098</v>
      </c>
      <c r="CB59">
        <v>14663.632902</v>
      </c>
      <c r="CC59">
        <v>42</v>
      </c>
      <c r="CD59">
        <v>66108</v>
      </c>
      <c r="CE59">
        <v>193142.69</v>
      </c>
      <c r="CF59">
        <v>46862</v>
      </c>
      <c r="CG59">
        <v>24992</v>
      </c>
      <c r="CH59">
        <v>433033.08</v>
      </c>
      <c r="CI59">
        <v>2639292</v>
      </c>
      <c r="CJ59">
        <v>499926</v>
      </c>
    </row>
    <row r="60" ht="14.497499999999997" customHeight="1" hidden="0" collapsed="0" outlineLevel="2">
      <c r="B60" s="54" t="s">
        <v>110</v>
      </c>
      <c r="C60" s="55">
        <f>_xlfn.SUMIFS(_CALC_ALLOC!$G$1:$G$349,_CALC_ALLOC!$AS$1:$AS$349,"2027|"&amp;$P$1,_CALC_ALLOC!$B$1:$B$349,"ISCOM_TLS",_CALC_ALLOC!$D$1:$D$349,"MAS_COM",_CALC_ALLOC!$E$1:$E$349,"M1",_CALC_ALLOC!$F$1:$F$349,"ALT")</f>
        <v>52.42939</v>
      </c>
      <c r="D60" s="56">
        <f>_xlfn.SUMIFS(_CALC_ALLOC!$I$1:$I$349,_CALC_ALLOC!$AS$1:$AS$349,"2027|"&amp;$P$1,_CALC_ALLOC!$B$1:$B$349,"ISCOM_TLS",_CALC_ALLOC!$D$1:$D$349,"MAS_COM",_CALC_ALLOC!$E$1:$E$349,"M1",_CALC_ALLOC!$F$1:$F$349,"ALT")</f>
        <v>383469.187613</v>
      </c>
      <c r="E60" s="56">
        <f>_xlfn.SUMIFS(_CALC_ALLOC!$AI$1:$AI$349,_CALC_ALLOC!$AS$1:$AS$349,"2027|"&amp;$P$1,_CALC_ALLOC!$B$1:$B$349,"ISCOM_TLS",_CALC_ALLOC!$D$1:$D$349,"MAS_COM",_CALC_ALLOC!$E$1:$E$349,"M1",_CALC_ALLOC!$F$1:$F$349,"ALT")</f>
        <v>21753.581149125</v>
      </c>
      <c r="F60" s="56">
        <f>_xlfn.SUMIFS(_CALC_ALLOC!$AJ$1:$AJ$349,_CALC_ALLOC!$AS$1:$AS$349,"2027|"&amp;$P$1,_CALC_ALLOC!$B$1:$B$349,"ISCOM_TLS",_CALC_ALLOC!$D$1:$D$349,"MAS_COM",_CALC_ALLOC!$E$1:$E$349,"M1",_CALC_ALLOC!$F$1:$F$349,"ALT")</f>
        <v>49936.4259485</v>
      </c>
      <c r="G60" s="56">
        <f>_xlfn.SUMIFS(_CALC_ALLOC!$AK$1:$AK$349,_CALC_ALLOC!$AS$1:$AS$349,"2027|"&amp;$P$1,_CALC_ALLOC!$B$1:$B$349,"ISCOM_TLS",_CALC_ALLOC!$D$1:$D$349,"MAS_COM",_CALC_ALLOC!$E$1:$E$349,"M1",_CALC_ALLOC!$F$1:$F$349,"ALT")</f>
        <v>31263.5314335238</v>
      </c>
      <c r="H60" s="56">
        <f>_xlfn.SUMIFS(_CALC_ALLOC!$AL$1:$AL$349,_CALC_ALLOC!$AS$1:$AS$349,"2027|"&amp;$P$1,_CALC_ALLOC!$B$1:$B$349,"ISCOM_TLS",_CALC_ALLOC!$D$1:$D$349,"MAS_COM",_CALC_ALLOC!$E$1:$E$349,"M1",_CALC_ALLOC!$F$1:$F$349,"ALT")</f>
        <v>125159.0886052</v>
      </c>
      <c r="I60" s="56">
        <f>_xlfn.SUMIFS(_CALC_ALLOC!$AR$1:$AR$349,_CALC_ALLOC!$AS$1:$AS$349,"2027|"&amp;$P$1,_CALC_ALLOC!$B$1:$B$349,"ISCOM_TLS",_CALC_ALLOC!$D$1:$D$349,"MAS_COM",_CALC_ALLOC!$E$1:$E$349,"M1",_CALC_ALLOC!$F$1:$F$349,"ALT")</f>
        <v>11306.355240178</v>
      </c>
      <c r="J60" s="56">
        <f>_xlfn.SUMIFS(_CALC_ALLOC!$AM$1:$AM$349,_CALC_ALLOC!$AS$1:$AS$349,"2027|"&amp;$P$1,_CALC_ALLOC!$B$1:$B$349,"ISCOM_TLS",_CALC_ALLOC!$D$1:$D$349,"MAS_COM",_CALC_ALLOC!$E$1:$E$349,"M1",_CALC_ALLOC!$F$1:$F$349,"ALT")</f>
        <v>43031.1213740676</v>
      </c>
      <c r="K60" s="57">
        <f t="shared" si="0"/>
        <v>282450.103750594</v>
      </c>
      <c r="L60" s="58">
        <f>_xlfn.SUMIFS(_CALC_ALLOC!$AN$1:$AN$349,_CALC_ALLOC!$AS$1:$AS$349,"2027|"&amp;$P$1,_CALC_ALLOC!$B$1:$B$349,"ISCOM_TLS",_CALC_ALLOC!$D$1:$D$349,"MAS_COM",_CALC_ALLOC!$E$1:$E$349,"M1",_CALC_ALLOC!$F$1:$F$349,"ALT")</f>
        <v>101019.083862406</v>
      </c>
      <c r="M60" s="59">
        <f t="shared" si="1"/>
        <v>0.263434682956471</v>
      </c>
      <c r="BF60" t="s">
        <v>35</v>
      </c>
      <c r="BG60" t="s">
        <v>36</v>
      </c>
      <c r="BH60" t="s">
        <v>37</v>
      </c>
      <c r="BI60" t="s">
        <v>38</v>
      </c>
      <c r="BJ60" t="s">
        <v>119</v>
      </c>
      <c r="BK60" t="s">
        <v>117</v>
      </c>
      <c r="BL60" t="s">
        <v>118</v>
      </c>
      <c r="BM60" t="s">
        <v>44</v>
      </c>
      <c r="BN60" t="s">
        <v>43</v>
      </c>
      <c r="BO60">
        <v>41</v>
      </c>
      <c r="BP60">
        <v>2</v>
      </c>
      <c r="BQ60">
        <v>321440</v>
      </c>
      <c r="BR60">
        <v>22035.977964</v>
      </c>
      <c r="BS60">
        <v>64380.832286</v>
      </c>
      <c r="BT60">
        <v>15620.651046</v>
      </c>
      <c r="BU60">
        <v>144344.215656</v>
      </c>
      <c r="BV60">
        <v>7618.920738</v>
      </c>
      <c r="BW60">
        <v>39022.781348</v>
      </c>
      <c r="BX60">
        <v>46641.702086</v>
      </c>
      <c r="BY60">
        <v>37656.62901</v>
      </c>
      <c r="BZ60">
        <v>255366.750028</v>
      </c>
      <c r="CA60">
        <v>293023.379038</v>
      </c>
      <c r="CB60">
        <v>28416.620962</v>
      </c>
      <c r="CC60">
        <v>0</v>
      </c>
      <c r="CD60">
        <v>66108</v>
      </c>
      <c r="CE60">
        <v>193142.69</v>
      </c>
      <c r="CF60">
        <v>46862</v>
      </c>
      <c r="CG60">
        <v>24992</v>
      </c>
      <c r="CH60">
        <v>433033.08</v>
      </c>
      <c r="CI60">
        <v>2639292</v>
      </c>
      <c r="CJ60">
        <v>499926</v>
      </c>
    </row>
    <row r="61" ht="14.497499999999997" customHeight="1" hidden="0" collapsed="0" outlineLevel="2">
      <c r="B61" s="54" t="s">
        <v>112</v>
      </c>
      <c r="C61" s="55">
        <f>_xlfn.SUMIFS(_CALC_ALLOC!$G$1:$G$349,_CALC_ALLOC!$AS$1:$AS$349,"2027|"&amp;$P$1,_CALC_ALLOC!$B$1:$B$349,"ISCOM_TLS",_CALC_ALLOC!$D$1:$D$349,"MAS_COM",_CALC_ALLOC!$E$1:$E$349,"M2",_CALC_ALLOC!$F$1:$F$349,"ALT")</f>
        <v>46.235</v>
      </c>
      <c r="D61" s="56">
        <f>_xlfn.SUMIFS(_CALC_ALLOC!$I$1:$I$349,_CALC_ALLOC!$AS$1:$AS$349,"2027|"&amp;$P$1,_CALC_ALLOC!$B$1:$B$349,"ISCOM_TLS",_CALC_ALLOC!$D$1:$D$349,"MAS_COM",_CALC_ALLOC!$E$1:$E$349,"M2",_CALC_ALLOC!$F$1:$F$349,"ALT")</f>
        <v>334002.19482</v>
      </c>
      <c r="E61" s="56">
        <f>_xlfn.SUMIFS(_CALC_ALLOC!$AI$1:$AI$349,_CALC_ALLOC!$AS$1:$AS$349,"2027|"&amp;$P$1,_CALC_ALLOC!$B$1:$B$349,"ISCOM_TLS",_CALC_ALLOC!$D$1:$D$349,"MAS_COM",_CALC_ALLOC!$E$1:$E$349,"M2",_CALC_ALLOC!$F$1:$F$349,"ALT")</f>
        <v>21753.581149125</v>
      </c>
      <c r="F61" s="56">
        <f>_xlfn.SUMIFS(_CALC_ALLOC!$AJ$1:$AJ$349,_CALC_ALLOC!$AS$1:$AS$349,"2027|"&amp;$P$1,_CALC_ALLOC!$B$1:$B$349,"ISCOM_TLS",_CALC_ALLOC!$D$1:$D$349,"MAS_COM",_CALC_ALLOC!$E$1:$E$349,"M2",_CALC_ALLOC!$F$1:$F$349,"ALT")</f>
        <v>49936.4259485</v>
      </c>
      <c r="G61" s="56">
        <f>_xlfn.SUMIFS(_CALC_ALLOC!$AK$1:$AK$349,_CALC_ALLOC!$AS$1:$AS$349,"2027|"&amp;$P$1,_CALC_ALLOC!$B$1:$B$349,"ISCOM_TLS",_CALC_ALLOC!$D$1:$D$349,"MAS_COM",_CALC_ALLOC!$E$1:$E$349,"M2",_CALC_ALLOC!$F$1:$F$349,"ALT")</f>
        <v>16944.7223278817</v>
      </c>
      <c r="H61" s="56">
        <f>_xlfn.SUMIFS(_CALC_ALLOC!$AL$1:$AL$349,_CALC_ALLOC!$AS$1:$AS$349,"2027|"&amp;$P$1,_CALC_ALLOC!$B$1:$B$349,"ISCOM_TLS",_CALC_ALLOC!$D$1:$D$349,"MAS_COM",_CALC_ALLOC!$E$1:$E$349,"M2",_CALC_ALLOC!$F$1:$F$349,"ALT")</f>
        <v>125159.0886052</v>
      </c>
      <c r="I61" s="56">
        <f>_xlfn.SUMIFS(_CALC_ALLOC!$AR$1:$AR$349,_CALC_ALLOC!$AS$1:$AS$349,"2027|"&amp;$P$1,_CALC_ALLOC!$B$1:$B$349,"ISCOM_TLS",_CALC_ALLOC!$D$1:$D$349,"MAS_COM",_CALC_ALLOC!$E$1:$E$349,"M2",_CALC_ALLOC!$F$1:$F$349,"ALT")</f>
        <v>11306.355240178</v>
      </c>
      <c r="J61" s="56">
        <f>_xlfn.SUMIFS(_CALC_ALLOC!$AM$1:$AM$349,_CALC_ALLOC!$AS$1:$AS$349,"2027|"&amp;$P$1,_CALC_ALLOC!$B$1:$B$349,"ISCOM_TLS",_CALC_ALLOC!$D$1:$D$349,"MAS_COM",_CALC_ALLOC!$E$1:$E$349,"M2",_CALC_ALLOC!$F$1:$F$349,"ALT")</f>
        <v>43031.1213740676</v>
      </c>
      <c r="K61" s="57">
        <f t="shared" si="0"/>
        <v>268131.294644952</v>
      </c>
      <c r="L61" s="58">
        <f>_xlfn.SUMIFS(_CALC_ALLOC!$AN$1:$AN$349,_CALC_ALLOC!$AS$1:$AS$349,"2027|"&amp;$P$1,_CALC_ALLOC!$B$1:$B$349,"ISCOM_TLS",_CALC_ALLOC!$D$1:$D$349,"MAS_COM",_CALC_ALLOC!$E$1:$E$349,"M2",_CALC_ALLOC!$F$1:$F$349,"ALT")</f>
        <v>65870.9001750477</v>
      </c>
      <c r="M61" s="59">
        <f t="shared" si="1"/>
        <v>0.197216968021862</v>
      </c>
      <c r="BF61" t="s">
        <v>35</v>
      </c>
      <c r="BG61" t="s">
        <v>36</v>
      </c>
      <c r="BH61" t="s">
        <v>37</v>
      </c>
      <c r="BI61" t="s">
        <v>38</v>
      </c>
      <c r="BJ61" t="s">
        <v>119</v>
      </c>
      <c r="BK61" t="s">
        <v>117</v>
      </c>
      <c r="BL61" t="s">
        <v>118</v>
      </c>
      <c r="BM61" t="s">
        <v>50</v>
      </c>
      <c r="BN61" t="s">
        <v>43</v>
      </c>
      <c r="BO61">
        <v>40</v>
      </c>
      <c r="BP61">
        <v>2</v>
      </c>
      <c r="BQ61">
        <v>313600</v>
      </c>
      <c r="BR61">
        <v>22035.977964</v>
      </c>
      <c r="BS61">
        <v>64380.832286</v>
      </c>
      <c r="BT61">
        <v>15239.662986</v>
      </c>
      <c r="BU61">
        <v>144344.215656</v>
      </c>
      <c r="BV61">
        <v>7618.920738</v>
      </c>
      <c r="BW61">
        <v>39022.781348</v>
      </c>
      <c r="BX61">
        <v>46641.702086</v>
      </c>
      <c r="BY61">
        <v>37275.64095</v>
      </c>
      <c r="BZ61">
        <v>255366.750028</v>
      </c>
      <c r="CA61">
        <v>292642.390978</v>
      </c>
      <c r="CB61">
        <v>20957.609022</v>
      </c>
      <c r="CC61">
        <v>0</v>
      </c>
      <c r="CD61">
        <v>66108</v>
      </c>
      <c r="CE61">
        <v>193142.69</v>
      </c>
      <c r="CF61">
        <v>46862</v>
      </c>
      <c r="CG61">
        <v>24992</v>
      </c>
      <c r="CH61">
        <v>433033.08</v>
      </c>
      <c r="CI61">
        <v>2639292</v>
      </c>
      <c r="CJ61">
        <v>499926</v>
      </c>
    </row>
    <row r="62" ht="14.497499999999997" customHeight="1" collapsed="0" outlineLevel="0">
      <c r="B62" s="44" t="s">
        <v>120</v>
      </c>
      <c r="C62" s="45">
        <f>_xlfn.SUMIFS(_CALC_ALLOC!$G$1:$G$349,_CALC_ALLOC!$AS$1:$AS$349,"2027|"&amp;$P$1,_CALC_ALLOC!$C$1:$C$349,"IPAC")</f>
        <v>395.576722</v>
      </c>
      <c r="D62" s="46">
        <f>_xlfn.SUMIFS(_CALC_ALLOC!$I$1:$I$349,_CALC_ALLOC!$AS$1:$AS$349,"2027|"&amp;$P$1,_CALC_ALLOC!$C$1:$C$349,"IPAC")</f>
        <v>2704017.967109</v>
      </c>
      <c r="E62" s="46">
        <f>_xlfn.SUMIFS(_CALC_ALLOC!$AI$1:$AI$349,_CALC_ALLOC!$AS$1:$AS$349,"2027|"&amp;$P$1,_CALC_ALLOC!$C$1:$C$349,"IPAC")</f>
        <v>223752.973725</v>
      </c>
      <c r="F62" s="46">
        <f>_xlfn.SUMIFS(_CALC_ALLOC!$AJ$1:$AJ$349,_CALC_ALLOC!$AS$1:$AS$349,"2027|"&amp;$P$1,_CALC_ALLOC!$C$1:$C$349,"IPAC")</f>
        <v>469507.75014</v>
      </c>
      <c r="G62" s="46">
        <f>_xlfn.SUMIFS(_CALC_ALLOC!$AK$1:$AK$349,_CALC_ALLOC!$AS$1:$AS$349,"2027|"&amp;$P$1,_CALC_ALLOC!$C$1:$C$349,"IPAC")</f>
        <v>201223.195101</v>
      </c>
      <c r="H62" s="46">
        <f>_xlfn.SUMIFS(_CALC_ALLOC!$AL$1:$AL$349,_CALC_ALLOC!$AS$1:$AS$349,"2027|"&amp;$P$1,_CALC_ALLOC!$C$1:$C$349,"IPAC")</f>
        <v>975160.943683001</v>
      </c>
      <c r="I62" s="46">
        <f>_xlfn.SUMIFS(_CALC_ALLOC!$AR$1:$AR$349,_CALC_ALLOC!$AS$1:$AS$349,"2027|"&amp;$P$1,_CALC_ALLOC!$C$1:$C$349,"IPAC")</f>
        <v>83020.6153295147</v>
      </c>
      <c r="J62" s="46">
        <f>_xlfn.SUMIFS(_CALC_ALLOC!$AM$1:$AM$349,_CALC_ALLOC!$AS$1:$AS$349,"2027|"&amp;$P$1,_CALC_ALLOC!$C$1:$C$349,"IPAC")</f>
        <v>396781.544189333</v>
      </c>
      <c r="K62" s="46">
        <f t="shared" si="0"/>
        <v>2349447.02216785</v>
      </c>
      <c r="L62" s="47">
        <f>_xlfn.SUMIFS(_CALC_ALLOC!$AN$1:$AN$349,_CALC_ALLOC!$AS$1:$AS$349,"2027|"&amp;$P$1,_CALC_ALLOC!$C$1:$C$349,"IPAC")</f>
        <v>354570.944941151</v>
      </c>
      <c r="M62" s="48">
        <f t="shared" si="1"/>
        <v>0.131127436745637</v>
      </c>
      <c r="BF62" t="s">
        <v>35</v>
      </c>
      <c r="BG62" t="s">
        <v>36</v>
      </c>
      <c r="BH62" t="s">
        <v>37</v>
      </c>
      <c r="BI62" t="s">
        <v>121</v>
      </c>
      <c r="BJ62" t="s">
        <v>39</v>
      </c>
      <c r="BK62" t="s">
        <v>40</v>
      </c>
      <c r="BL62" t="s">
        <v>41</v>
      </c>
      <c r="BM62" t="s">
        <v>42</v>
      </c>
      <c r="BN62" t="s">
        <v>43</v>
      </c>
      <c r="BO62">
        <v>38</v>
      </c>
      <c r="BP62">
        <v>2</v>
      </c>
      <c r="BQ62">
        <v>256120</v>
      </c>
      <c r="BR62">
        <v>23045.643621</v>
      </c>
      <c r="BS62">
        <v>44060.962606</v>
      </c>
      <c r="BT62">
        <v>28022.994784</v>
      </c>
      <c r="BU62">
        <v>88880.907786</v>
      </c>
      <c r="BV62">
        <v>6722.186408</v>
      </c>
      <c r="BW62">
        <v>34820.294845</v>
      </c>
      <c r="BX62">
        <v>41542.481253</v>
      </c>
      <c r="BY62">
        <v>51068.638405</v>
      </c>
      <c r="BZ62">
        <v>174484.351645</v>
      </c>
      <c r="CA62">
        <v>225552.99005</v>
      </c>
      <c r="CB62">
        <v>30567.00995</v>
      </c>
      <c r="CC62">
        <v>38</v>
      </c>
      <c r="CD62">
        <v>69137</v>
      </c>
      <c r="CE62">
        <v>132183.02</v>
      </c>
      <c r="CF62">
        <v>41552</v>
      </c>
      <c r="CG62">
        <v>13798</v>
      </c>
      <c r="CH62">
        <v>266642.99</v>
      </c>
      <c r="CI62">
        <v>2760232</v>
      </c>
      <c r="CJ62">
        <v>580167</v>
      </c>
    </row>
    <row r="63" ht="14.497499999999997" customHeight="1" hidden="0" collapsed="1" outlineLevel="1">
      <c r="B63" s="49" t="s">
        <v>122</v>
      </c>
      <c r="C63" s="50">
        <f>_xlfn.SUMIFS(_CALC_ALLOC!$G$1:$G$349,_CALC_ALLOC!$AS$1:$AS$349,"2027|"&amp;$P$1,_CALC_ALLOC!$B$1:$B$349,"IPAC_NAN")</f>
        <v>151.322531</v>
      </c>
      <c r="D63" s="51">
        <f>_xlfn.SUMIFS(_CALC_ALLOC!$I$1:$I$349,_CALC_ALLOC!$AS$1:$AS$349,"2027|"&amp;$P$1,_CALC_ALLOC!$B$1:$B$349,"IPAC_NAN")</f>
        <v>1067200.8998</v>
      </c>
      <c r="E63" s="51">
        <f>_xlfn.SUMIFS(_CALC_ALLOC!$AI$1:$AI$349,_CALC_ALLOC!$AS$1:$AS$349,"2027|"&amp;$P$1,_CALC_ALLOC!$B$1:$B$349,"IPAC_NAN")</f>
        <v>74584.324575</v>
      </c>
      <c r="F63" s="51">
        <f>_xlfn.SUMIFS(_CALC_ALLOC!$AJ$1:$AJ$349,_CALC_ALLOC!$AS$1:$AS$349,"2027|"&amp;$P$1,_CALC_ALLOC!$B$1:$B$349,"IPAC_NAN")</f>
        <v>179282.79018</v>
      </c>
      <c r="G63" s="51">
        <f>_xlfn.SUMIFS(_CALC_ALLOC!$AK$1:$AK$349,_CALC_ALLOC!$AS$1:$AS$349,"2027|"&amp;$P$1,_CALC_ALLOC!$B$1:$B$349,"IPAC_NAN")</f>
        <v>79053.447065</v>
      </c>
      <c r="H63" s="51">
        <f>_xlfn.SUMIFS(_CALC_ALLOC!$AL$1:$AL$349,_CALC_ALLOC!$AS$1:$AS$349,"2027|"&amp;$P$1,_CALC_ALLOC!$B$1:$B$349,"IPAC_NAN")</f>
        <v>405388.681538001</v>
      </c>
      <c r="I63" s="51">
        <f>_xlfn.SUMIFS(_CALC_ALLOC!$AR$1:$AR$349,_CALC_ALLOC!$AS$1:$AS$349,"2027|"&amp;$P$1,_CALC_ALLOC!$B$1:$B$349,"IPAC_NAN")</f>
        <v>31758.4148362491</v>
      </c>
      <c r="J63" s="51">
        <f>_xlfn.SUMIFS(_CALC_ALLOC!$AM$1:$AM$349,_CALC_ALLOC!$AS$1:$AS$349,"2027|"&amp;$P$1,_CALC_ALLOC!$B$1:$B$349,"IPAC_NAN")</f>
        <v>151783.419452114</v>
      </c>
      <c r="K63" s="51">
        <f t="shared" si="0"/>
        <v>921851.077646364</v>
      </c>
      <c r="L63" s="52">
        <f>_xlfn.SUMIFS(_CALC_ALLOC!$AN$1:$AN$349,_CALC_ALLOC!$AS$1:$AS$349,"2027|"&amp;$P$1,_CALC_ALLOC!$B$1:$B$349,"IPAC_NAN")</f>
        <v>145349.822153636</v>
      </c>
      <c r="M63" s="53">
        <f t="shared" si="1"/>
        <v>0.136197244755768</v>
      </c>
      <c r="BF63" t="s">
        <v>35</v>
      </c>
      <c r="BG63" t="s">
        <v>36</v>
      </c>
      <c r="BH63" t="s">
        <v>37</v>
      </c>
      <c r="BI63" t="s">
        <v>121</v>
      </c>
      <c r="BJ63" t="s">
        <v>39</v>
      </c>
      <c r="BK63" t="s">
        <v>40</v>
      </c>
      <c r="BL63" t="s">
        <v>41</v>
      </c>
      <c r="BM63" t="s">
        <v>44</v>
      </c>
      <c r="BN63" t="s">
        <v>43</v>
      </c>
      <c r="BO63">
        <v>37</v>
      </c>
      <c r="BP63">
        <v>2</v>
      </c>
      <c r="BQ63">
        <v>246050</v>
      </c>
      <c r="BR63">
        <v>23045.643621</v>
      </c>
      <c r="BS63">
        <v>44060.962606</v>
      </c>
      <c r="BT63">
        <v>13850.652816</v>
      </c>
      <c r="BU63">
        <v>88880.907786</v>
      </c>
      <c r="BV63">
        <v>6722.186408</v>
      </c>
      <c r="BW63">
        <v>34820.294845</v>
      </c>
      <c r="BX63">
        <v>41542.481253</v>
      </c>
      <c r="BY63">
        <v>36896.296437</v>
      </c>
      <c r="BZ63">
        <v>174484.351645</v>
      </c>
      <c r="CA63">
        <v>211380.648082</v>
      </c>
      <c r="CB63">
        <v>34669.351918</v>
      </c>
      <c r="CC63">
        <v>0</v>
      </c>
      <c r="CD63">
        <v>69137</v>
      </c>
      <c r="CE63">
        <v>132183.02</v>
      </c>
      <c r="CF63">
        <v>41552</v>
      </c>
      <c r="CG63">
        <v>13798</v>
      </c>
      <c r="CH63">
        <v>266642.99</v>
      </c>
      <c r="CI63">
        <v>2760232</v>
      </c>
      <c r="CJ63">
        <v>580167</v>
      </c>
    </row>
    <row r="64" ht="14.497499999999997" customHeight="1" hidden="0" collapsed="0" outlineLevel="2">
      <c r="B64" s="54" t="s">
        <v>123</v>
      </c>
      <c r="C64" s="55">
        <f>_xlfn.SUMIFS(_CALC_ALLOC!$G$1:$G$349,_CALC_ALLOC!$AS$1:$AS$349,"2027|"&amp;$P$1,_CALC_ALLOC!$B$1:$B$349,"IPAC_NAN",_CALC_ALLOC!$D$1:$D$349,"BAC_CCE",_CALC_ALLOC!$E$1:$E$349,"B1",_CALC_ALLOC!$F$1:$F$349,"ALT")</f>
        <v>55.832531</v>
      </c>
      <c r="D64" s="56">
        <f>_xlfn.SUMIFS(_CALC_ALLOC!$I$1:$I$349,_CALC_ALLOC!$AS$1:$AS$349,"2027|"&amp;$P$1,_CALC_ALLOC!$B$1:$B$349,"IPAC_NAN",_CALC_ALLOC!$D$1:$D$349,"BAC_CCE",_CALC_ALLOC!$E$1:$E$349,"B1",_CALC_ALLOC!$F$1:$F$349,"ALT")</f>
        <v>396929.37515</v>
      </c>
      <c r="E64" s="56">
        <f>_xlfn.SUMIFS(_CALC_ALLOC!$AI$1:$AI$349,_CALC_ALLOC!$AS$1:$AS$349,"2027|"&amp;$P$1,_CALC_ALLOC!$B$1:$B$349,"IPAC_NAN",_CALC_ALLOC!$D$1:$D$349,"BAC_CCE",_CALC_ALLOC!$E$1:$E$349,"B1",_CALC_ALLOC!$F$1:$F$349,"ALT")</f>
        <v>24861.441525</v>
      </c>
      <c r="F64" s="56">
        <f>_xlfn.SUMIFS(_CALC_ALLOC!$AJ$1:$AJ$349,_CALC_ALLOC!$AS$1:$AS$349,"2027|"&amp;$P$1,_CALC_ALLOC!$B$1:$B$349,"IPAC_NAN",_CALC_ALLOC!$D$1:$D$349,"BAC_CCE",_CALC_ALLOC!$E$1:$E$349,"B1",_CALC_ALLOC!$F$1:$F$349,"ALT")</f>
        <v>59760.93006</v>
      </c>
      <c r="G64" s="56">
        <f>_xlfn.SUMIFS(_CALC_ALLOC!$AK$1:$AK$349,_CALC_ALLOC!$AS$1:$AS$349,"2027|"&amp;$P$1,_CALC_ALLOC!$B$1:$B$349,"IPAC_NAN",_CALC_ALLOC!$D$1:$D$349,"BAC_CCE",_CALC_ALLOC!$E$1:$E$349,"B1",_CALC_ALLOC!$F$1:$F$349,"ALT")</f>
        <v>43997.7139023234</v>
      </c>
      <c r="H64" s="56">
        <f>_xlfn.SUMIFS(_CALC_ALLOC!$AL$1:$AL$349,_CALC_ALLOC!$AS$1:$AS$349,"2027|"&amp;$P$1,_CALC_ALLOC!$B$1:$B$349,"IPAC_NAN",_CALC_ALLOC!$D$1:$D$349,"BAC_CCE",_CALC_ALLOC!$E$1:$E$349,"B1",_CALC_ALLOC!$F$1:$F$349,"ALT")</f>
        <v>135129.560512667</v>
      </c>
      <c r="I64" s="56">
        <f>_xlfn.SUMIFS(_CALC_ALLOC!$AR$1:$AR$349,_CALC_ALLOC!$AS$1:$AS$349,"2027|"&amp;$P$1,_CALC_ALLOC!$B$1:$B$349,"IPAC_NAN",_CALC_ALLOC!$D$1:$D$349,"BAC_CCE",_CALC_ALLOC!$E$1:$E$349,"B1",_CALC_ALLOC!$F$1:$F$349,"ALT")</f>
        <v>10586.1382787497</v>
      </c>
      <c r="J64" s="56">
        <f>_xlfn.SUMIFS(_CALC_ALLOC!$AM$1:$AM$349,_CALC_ALLOC!$AS$1:$AS$349,"2027|"&amp;$P$1,_CALC_ALLOC!$B$1:$B$349,"IPAC_NAN",_CALC_ALLOC!$D$1:$D$349,"BAC_CCE",_CALC_ALLOC!$E$1:$E$349,"B1",_CALC_ALLOC!$F$1:$F$349,"ALT")</f>
        <v>50594.4731507046</v>
      </c>
      <c r="K64" s="57">
        <f t="shared" si="0"/>
        <v>324930.257429445</v>
      </c>
      <c r="L64" s="58">
        <f>_xlfn.SUMIFS(_CALC_ALLOC!$AN$1:$AN$349,_CALC_ALLOC!$AS$1:$AS$349,"2027|"&amp;$P$1,_CALC_ALLOC!$B$1:$B$349,"IPAC_NAN",_CALC_ALLOC!$D$1:$D$349,"BAC_CCE",_CALC_ALLOC!$E$1:$E$349,"B1",_CALC_ALLOC!$F$1:$F$349,"ALT")</f>
        <v>71999.1177205553</v>
      </c>
      <c r="M64" s="59">
        <f t="shared" si="1"/>
        <v>0.181390247807552</v>
      </c>
      <c r="BF64" t="s">
        <v>35</v>
      </c>
      <c r="BG64" t="s">
        <v>36</v>
      </c>
      <c r="BH64" t="s">
        <v>37</v>
      </c>
      <c r="BI64" t="s">
        <v>121</v>
      </c>
      <c r="BJ64" t="s">
        <v>39</v>
      </c>
      <c r="BK64" t="s">
        <v>40</v>
      </c>
      <c r="BL64" t="s">
        <v>41</v>
      </c>
      <c r="BM64" t="s">
        <v>50</v>
      </c>
      <c r="BN64" t="s">
        <v>43</v>
      </c>
      <c r="BO64">
        <v>36</v>
      </c>
      <c r="BP64">
        <v>2</v>
      </c>
      <c r="BQ64">
        <v>239400</v>
      </c>
      <c r="BR64">
        <v>23045.643621</v>
      </c>
      <c r="BS64">
        <v>44060.962606</v>
      </c>
      <c r="BT64">
        <v>13476.310848</v>
      </c>
      <c r="BU64">
        <v>88880.907786</v>
      </c>
      <c r="BV64">
        <v>6722.186408</v>
      </c>
      <c r="BW64">
        <v>34820.294845</v>
      </c>
      <c r="BX64">
        <v>41542.481253</v>
      </c>
      <c r="BY64">
        <v>36521.954469</v>
      </c>
      <c r="BZ64">
        <v>174484.351645</v>
      </c>
      <c r="CA64">
        <v>211006.306114</v>
      </c>
      <c r="CB64">
        <v>28393.693886</v>
      </c>
      <c r="CC64">
        <v>0</v>
      </c>
      <c r="CD64">
        <v>69137</v>
      </c>
      <c r="CE64">
        <v>132183.02</v>
      </c>
      <c r="CF64">
        <v>41552</v>
      </c>
      <c r="CG64">
        <v>13798</v>
      </c>
      <c r="CH64">
        <v>266642.99</v>
      </c>
      <c r="CI64">
        <v>2760232</v>
      </c>
      <c r="CJ64">
        <v>580167</v>
      </c>
    </row>
    <row r="65" ht="14.497499999999997" customHeight="1" hidden="0" collapsed="0" outlineLevel="2">
      <c r="B65" s="54" t="s">
        <v>124</v>
      </c>
      <c r="C65" s="55">
        <f>_xlfn.SUMIFS(_CALC_ALLOC!$G$1:$G$349,_CALC_ALLOC!$AS$1:$AS$349,"2027|"&amp;$P$1,_CALC_ALLOC!$B$1:$B$349,"IPAC_NAN",_CALC_ALLOC!$D$1:$D$349,"BAC_CCE",_CALC_ALLOC!$E$1:$E$349,"B2",_CALC_ALLOC!$F$1:$F$349,"ALT")</f>
        <v>48.25</v>
      </c>
      <c r="D65" s="56">
        <f>_xlfn.SUMIFS(_CALC_ALLOC!$I$1:$I$349,_CALC_ALLOC!$AS$1:$AS$349,"2027|"&amp;$P$1,_CALC_ALLOC!$B$1:$B$349,"IPAC_NAN",_CALC_ALLOC!$D$1:$D$349,"BAC_CCE",_CALC_ALLOC!$E$1:$E$349,"B2",_CALC_ALLOC!$F$1:$F$349,"ALT")</f>
        <v>338680.50125</v>
      </c>
      <c r="E65" s="56">
        <f>_xlfn.SUMIFS(_CALC_ALLOC!$AI$1:$AI$349,_CALC_ALLOC!$AS$1:$AS$349,"2027|"&amp;$P$1,_CALC_ALLOC!$B$1:$B$349,"IPAC_NAN",_CALC_ALLOC!$D$1:$D$349,"BAC_CCE",_CALC_ALLOC!$E$1:$E$349,"B2",_CALC_ALLOC!$F$1:$F$349,"ALT")</f>
        <v>24861.441525</v>
      </c>
      <c r="F65" s="56">
        <f>_xlfn.SUMIFS(_CALC_ALLOC!$AJ$1:$AJ$349,_CALC_ALLOC!$AS$1:$AS$349,"2027|"&amp;$P$1,_CALC_ALLOC!$B$1:$B$349,"IPAC_NAN",_CALC_ALLOC!$D$1:$D$349,"BAC_CCE",_CALC_ALLOC!$E$1:$E$349,"B2",_CALC_ALLOC!$F$1:$F$349,"ALT")</f>
        <v>59760.93006</v>
      </c>
      <c r="G65" s="56">
        <f>_xlfn.SUMIFS(_CALC_ALLOC!$AK$1:$AK$349,_CALC_ALLOC!$AS$1:$AS$349,"2027|"&amp;$P$1,_CALC_ALLOC!$B$1:$B$349,"IPAC_NAN",_CALC_ALLOC!$D$1:$D$349,"BAC_CCE",_CALC_ALLOC!$E$1:$E$349,"B2",_CALC_ALLOC!$F$1:$F$349,"ALT")</f>
        <v>17713.2592428437</v>
      </c>
      <c r="H65" s="56">
        <f>_xlfn.SUMIFS(_CALC_ALLOC!$AL$1:$AL$349,_CALC_ALLOC!$AS$1:$AS$349,"2027|"&amp;$P$1,_CALC_ALLOC!$B$1:$B$349,"IPAC_NAN",_CALC_ALLOC!$D$1:$D$349,"BAC_CCE",_CALC_ALLOC!$E$1:$E$349,"B2",_CALC_ALLOC!$F$1:$F$349,"ALT")</f>
        <v>135129.560512667</v>
      </c>
      <c r="I65" s="56">
        <f>_xlfn.SUMIFS(_CALC_ALLOC!$AR$1:$AR$349,_CALC_ALLOC!$AS$1:$AS$349,"2027|"&amp;$P$1,_CALC_ALLOC!$B$1:$B$349,"IPAC_NAN",_CALC_ALLOC!$D$1:$D$349,"BAC_CCE",_CALC_ALLOC!$E$1:$E$349,"B2",_CALC_ALLOC!$F$1:$F$349,"ALT")</f>
        <v>10586.1382787497</v>
      </c>
      <c r="J65" s="56">
        <f>_xlfn.SUMIFS(_CALC_ALLOC!$AM$1:$AM$349,_CALC_ALLOC!$AS$1:$AS$349,"2027|"&amp;$P$1,_CALC_ALLOC!$B$1:$B$349,"IPAC_NAN",_CALC_ALLOC!$D$1:$D$349,"BAC_CCE",_CALC_ALLOC!$E$1:$E$349,"B2",_CALC_ALLOC!$F$1:$F$349,"ALT")</f>
        <v>50594.4731507046</v>
      </c>
      <c r="K65" s="57">
        <f t="shared" si="0"/>
        <v>298645.802769965</v>
      </c>
      <c r="L65" s="58">
        <f>_xlfn.SUMIFS(_CALC_ALLOC!$AN$1:$AN$349,_CALC_ALLOC!$AS$1:$AS$349,"2027|"&amp;$P$1,_CALC_ALLOC!$B$1:$B$349,"IPAC_NAN",_CALC_ALLOC!$D$1:$D$349,"BAC_CCE",_CALC_ALLOC!$E$1:$E$349,"B2",_CALC_ALLOC!$F$1:$F$349,"ALT")</f>
        <v>40034.6984800349</v>
      </c>
      <c r="M65" s="59">
        <f t="shared" si="1"/>
        <v>0.11820786355363</v>
      </c>
      <c r="BF65" t="s">
        <v>35</v>
      </c>
      <c r="BG65" t="s">
        <v>36</v>
      </c>
      <c r="BH65" t="s">
        <v>37</v>
      </c>
      <c r="BI65" t="s">
        <v>121</v>
      </c>
      <c r="BJ65" t="s">
        <v>53</v>
      </c>
      <c r="BK65" t="s">
        <v>40</v>
      </c>
      <c r="BL65" t="s">
        <v>41</v>
      </c>
      <c r="BM65" t="s">
        <v>42</v>
      </c>
      <c r="BN65" t="s">
        <v>43</v>
      </c>
      <c r="BO65">
        <v>47</v>
      </c>
      <c r="BP65">
        <v>2</v>
      </c>
      <c r="BQ65">
        <v>333230</v>
      </c>
      <c r="BR65">
        <v>23045.643621</v>
      </c>
      <c r="BS65">
        <v>53637.10303</v>
      </c>
      <c r="BT65">
        <v>37578.05406</v>
      </c>
      <c r="BU65">
        <v>124275.612391</v>
      </c>
      <c r="BV65">
        <v>8236.209544</v>
      </c>
      <c r="BW65">
        <v>42662.792628</v>
      </c>
      <c r="BX65">
        <v>50899.002172</v>
      </c>
      <c r="BY65">
        <v>60623.697681</v>
      </c>
      <c r="BZ65">
        <v>228811.717593</v>
      </c>
      <c r="CA65">
        <v>289435.415274</v>
      </c>
      <c r="CB65">
        <v>43794.584726</v>
      </c>
      <c r="CC65">
        <v>47</v>
      </c>
      <c r="CD65">
        <v>69137</v>
      </c>
      <c r="CE65">
        <v>160911.47</v>
      </c>
      <c r="CF65">
        <v>51495</v>
      </c>
      <c r="CG65">
        <v>19782</v>
      </c>
      <c r="CH65">
        <v>372827.21</v>
      </c>
      <c r="CI65">
        <v>2760232</v>
      </c>
      <c r="CJ65">
        <v>580167</v>
      </c>
    </row>
    <row r="66" ht="14.497499999999997" customHeight="1" hidden="0" collapsed="0" outlineLevel="2">
      <c r="B66" s="54" t="s">
        <v>125</v>
      </c>
      <c r="C66" s="55">
        <f>_xlfn.SUMIFS(_CALC_ALLOC!$G$1:$G$349,_CALC_ALLOC!$AS$1:$AS$349,"2027|"&amp;$P$1,_CALC_ALLOC!$B$1:$B$349,"IPAC_NAN",_CALC_ALLOC!$D$1:$D$349,"BAC_CCE",_CALC_ALLOC!$E$1:$E$349,"B3",_CALC_ALLOC!$F$1:$F$349,"ALT")</f>
        <v>47.24</v>
      </c>
      <c r="D66" s="56">
        <f>_xlfn.SUMIFS(_CALC_ALLOC!$I$1:$I$349,_CALC_ALLOC!$AS$1:$AS$349,"2027|"&amp;$P$1,_CALC_ALLOC!$B$1:$B$349,"IPAC_NAN",_CALC_ALLOC!$D$1:$D$349,"BAC_CCE",_CALC_ALLOC!$E$1:$E$349,"B3",_CALC_ALLOC!$F$1:$F$349,"ALT")</f>
        <v>331591.0234</v>
      </c>
      <c r="E66" s="56">
        <f>_xlfn.SUMIFS(_CALC_ALLOC!$AI$1:$AI$349,_CALC_ALLOC!$AS$1:$AS$349,"2027|"&amp;$P$1,_CALC_ALLOC!$B$1:$B$349,"IPAC_NAN",_CALC_ALLOC!$D$1:$D$349,"BAC_CCE",_CALC_ALLOC!$E$1:$E$349,"B3",_CALC_ALLOC!$F$1:$F$349,"ALT")</f>
        <v>24861.441525</v>
      </c>
      <c r="F66" s="56">
        <f>_xlfn.SUMIFS(_CALC_ALLOC!$AJ$1:$AJ$349,_CALC_ALLOC!$AS$1:$AS$349,"2027|"&amp;$P$1,_CALC_ALLOC!$B$1:$B$349,"IPAC_NAN",_CALC_ALLOC!$D$1:$D$349,"BAC_CCE",_CALC_ALLOC!$E$1:$E$349,"B3",_CALC_ALLOC!$F$1:$F$349,"ALT")</f>
        <v>59760.93006</v>
      </c>
      <c r="G66" s="56">
        <f>_xlfn.SUMIFS(_CALC_ALLOC!$AK$1:$AK$349,_CALC_ALLOC!$AS$1:$AS$349,"2027|"&amp;$P$1,_CALC_ALLOC!$B$1:$B$349,"IPAC_NAN",_CALC_ALLOC!$D$1:$D$349,"BAC_CCE",_CALC_ALLOC!$E$1:$E$349,"B3",_CALC_ALLOC!$F$1:$F$349,"ALT")</f>
        <v>17342.4739198329</v>
      </c>
      <c r="H66" s="56">
        <f>_xlfn.SUMIFS(_CALC_ALLOC!$AL$1:$AL$349,_CALC_ALLOC!$AS$1:$AS$349,"2027|"&amp;$P$1,_CALC_ALLOC!$B$1:$B$349,"IPAC_NAN",_CALC_ALLOC!$D$1:$D$349,"BAC_CCE",_CALC_ALLOC!$E$1:$E$349,"B3",_CALC_ALLOC!$F$1:$F$349,"ALT")</f>
        <v>135129.560512667</v>
      </c>
      <c r="I66" s="56">
        <f>_xlfn.SUMIFS(_CALC_ALLOC!$AR$1:$AR$349,_CALC_ALLOC!$AS$1:$AS$349,"2027|"&amp;$P$1,_CALC_ALLOC!$B$1:$B$349,"IPAC_NAN",_CALC_ALLOC!$D$1:$D$349,"BAC_CCE",_CALC_ALLOC!$E$1:$E$349,"B3",_CALC_ALLOC!$F$1:$F$349,"ALT")</f>
        <v>10586.1382787497</v>
      </c>
      <c r="J66" s="56">
        <f>_xlfn.SUMIFS(_CALC_ALLOC!$AM$1:$AM$349,_CALC_ALLOC!$AS$1:$AS$349,"2027|"&amp;$P$1,_CALC_ALLOC!$B$1:$B$349,"IPAC_NAN",_CALC_ALLOC!$D$1:$D$349,"BAC_CCE",_CALC_ALLOC!$E$1:$E$349,"B3",_CALC_ALLOC!$F$1:$F$349,"ALT")</f>
        <v>50594.4731507046</v>
      </c>
      <c r="K66" s="57">
        <f t="shared" si="0"/>
        <v>298275.017446954</v>
      </c>
      <c r="L66" s="58">
        <f>_xlfn.SUMIFS(_CALC_ALLOC!$AN$1:$AN$349,_CALC_ALLOC!$AS$1:$AS$349,"2027|"&amp;$P$1,_CALC_ALLOC!$B$1:$B$349,"IPAC_NAN",_CALC_ALLOC!$D$1:$D$349,"BAC_CCE",_CALC_ALLOC!$E$1:$E$349,"B3",_CALC_ALLOC!$F$1:$F$349,"ALT")</f>
        <v>33316.0059530458</v>
      </c>
      <c r="M66" s="59">
        <f t="shared" si="1"/>
        <v>0.100473184139417</v>
      </c>
      <c r="BF66" t="s">
        <v>35</v>
      </c>
      <c r="BG66" t="s">
        <v>36</v>
      </c>
      <c r="BH66" t="s">
        <v>37</v>
      </c>
      <c r="BI66" t="s">
        <v>121</v>
      </c>
      <c r="BJ66" t="s">
        <v>53</v>
      </c>
      <c r="BK66" t="s">
        <v>40</v>
      </c>
      <c r="BL66" t="s">
        <v>41</v>
      </c>
      <c r="BM66" t="s">
        <v>44</v>
      </c>
      <c r="BN66" t="s">
        <v>43</v>
      </c>
      <c r="BO66">
        <v>45</v>
      </c>
      <c r="BP66">
        <v>2</v>
      </c>
      <c r="BQ66">
        <v>315000</v>
      </c>
      <c r="BR66">
        <v>23045.643621</v>
      </c>
      <c r="BS66">
        <v>53637.10303</v>
      </c>
      <c r="BT66">
        <v>17038.76859</v>
      </c>
      <c r="BU66">
        <v>124275.612391</v>
      </c>
      <c r="BV66">
        <v>8236.209544</v>
      </c>
      <c r="BW66">
        <v>42662.792628</v>
      </c>
      <c r="BX66">
        <v>50899.002172</v>
      </c>
      <c r="BY66">
        <v>40084.412211</v>
      </c>
      <c r="BZ66">
        <v>228811.717593</v>
      </c>
      <c r="CA66">
        <v>268896.129804</v>
      </c>
      <c r="CB66">
        <v>46103.870196</v>
      </c>
      <c r="CC66">
        <v>0</v>
      </c>
      <c r="CD66">
        <v>69137</v>
      </c>
      <c r="CE66">
        <v>160911.47</v>
      </c>
      <c r="CF66">
        <v>51495</v>
      </c>
      <c r="CG66">
        <v>19782</v>
      </c>
      <c r="CH66">
        <v>372827.21</v>
      </c>
      <c r="CI66">
        <v>2760232</v>
      </c>
      <c r="CJ66">
        <v>580167</v>
      </c>
    </row>
    <row r="67" ht="14.497499999999997" customHeight="1" hidden="0" collapsed="0" outlineLevel="1">
      <c r="B67" s="49" t="s">
        <v>126</v>
      </c>
      <c r="C67" s="50">
        <f>_xlfn.SUMIFS(_CALC_ALLOC!$G$1:$G$349,_CALC_ALLOC!$AS$1:$AS$349,"2027|"&amp;$P$1,_CALC_ALLOC!$B$1:$B$349,"IPAC_REN")</f>
        <v>122.121592</v>
      </c>
      <c r="D67" s="51">
        <f>_xlfn.SUMIFS(_CALC_ALLOC!$I$1:$I$349,_CALC_ALLOC!$AS$1:$AS$349,"2027|"&amp;$P$1,_CALC_ALLOC!$B$1:$B$349,"IPAC_REN")</f>
        <v>818371.339236</v>
      </c>
      <c r="E67" s="51">
        <f>_xlfn.SUMIFS(_CALC_ALLOC!$AI$1:$AI$349,_CALC_ALLOC!$AS$1:$AS$349,"2027|"&amp;$P$1,_CALC_ALLOC!$B$1:$B$349,"IPAC_REN")</f>
        <v>74584.324575</v>
      </c>
      <c r="F67" s="51">
        <f>_xlfn.SUMIFS(_CALC_ALLOC!$AJ$1:$AJ$349,_CALC_ALLOC!$AS$1:$AS$349,"2027|"&amp;$P$1,_CALC_ALLOC!$B$1:$B$349,"IPAC_REN")</f>
        <v>145155.75958</v>
      </c>
      <c r="G67" s="51">
        <f>_xlfn.SUMIFS(_CALC_ALLOC!$AK$1:$AK$349,_CALC_ALLOC!$AS$1:$AS$349,"2027|"&amp;$P$1,_CALC_ALLOC!$B$1:$B$349,"IPAC_REN")</f>
        <v>60952.574018</v>
      </c>
      <c r="H67" s="51">
        <f>_xlfn.SUMIFS(_CALC_ALLOC!$AL$1:$AL$349,_CALC_ALLOC!$AS$1:$AS$349,"2027|"&amp;$P$1,_CALC_ALLOC!$B$1:$B$349,"IPAC_REN")</f>
        <v>284971.099207</v>
      </c>
      <c r="I67" s="51">
        <f>_xlfn.SUMIFS(_CALC_ALLOC!$AR$1:$AR$349,_CALC_ALLOC!$AS$1:$AS$349,"2027|"&amp;$P$1,_CALC_ALLOC!$B$1:$B$349,"IPAC_REN")</f>
        <v>25629.9452141674</v>
      </c>
      <c r="J67" s="51">
        <f>_xlfn.SUMIFS(_CALC_ALLOC!$AM$1:$AM$349,_CALC_ALLOC!$AS$1:$AS$349,"2027|"&amp;$P$1,_CALC_ALLOC!$B$1:$B$349,"IPAC_REN")</f>
        <v>122493.542106403</v>
      </c>
      <c r="K67" s="51">
        <f t="shared" si="0"/>
        <v>713787.24470057</v>
      </c>
      <c r="L67" s="52">
        <f>_xlfn.SUMIFS(_CALC_ALLOC!$AN$1:$AN$349,_CALC_ALLOC!$AS$1:$AS$349,"2027|"&amp;$P$1,_CALC_ALLOC!$B$1:$B$349,"IPAC_REN")</f>
        <v>104584.09453543</v>
      </c>
      <c r="M67" s="53">
        <f t="shared" si="1"/>
        <v>0.127795402308524</v>
      </c>
      <c r="BF67" t="s">
        <v>35</v>
      </c>
      <c r="BG67" t="s">
        <v>36</v>
      </c>
      <c r="BH67" t="s">
        <v>37</v>
      </c>
      <c r="BI67" t="s">
        <v>121</v>
      </c>
      <c r="BJ67" t="s">
        <v>53</v>
      </c>
      <c r="BK67" t="s">
        <v>40</v>
      </c>
      <c r="BL67" t="s">
        <v>41</v>
      </c>
      <c r="BM67" t="s">
        <v>50</v>
      </c>
      <c r="BN67" t="s">
        <v>43</v>
      </c>
      <c r="BO67">
        <v>44</v>
      </c>
      <c r="BP67">
        <v>2</v>
      </c>
      <c r="BQ67">
        <v>308000</v>
      </c>
      <c r="BR67">
        <v>23045.643621</v>
      </c>
      <c r="BS67">
        <v>53637.10303</v>
      </c>
      <c r="BT67">
        <v>16660.125855</v>
      </c>
      <c r="BU67">
        <v>124275.612391</v>
      </c>
      <c r="BV67">
        <v>8236.209544</v>
      </c>
      <c r="BW67">
        <v>42662.792628</v>
      </c>
      <c r="BX67">
        <v>50899.002172</v>
      </c>
      <c r="BY67">
        <v>39705.769476</v>
      </c>
      <c r="BZ67">
        <v>228811.717593</v>
      </c>
      <c r="CA67">
        <v>268517.487069</v>
      </c>
      <c r="CB67">
        <v>39482.512931</v>
      </c>
      <c r="CC67">
        <v>0</v>
      </c>
      <c r="CD67">
        <v>69137</v>
      </c>
      <c r="CE67">
        <v>160911.47</v>
      </c>
      <c r="CF67">
        <v>51495</v>
      </c>
      <c r="CG67">
        <v>19782</v>
      </c>
      <c r="CH67">
        <v>372827.21</v>
      </c>
      <c r="CI67">
        <v>2760232</v>
      </c>
      <c r="CJ67">
        <v>580167</v>
      </c>
    </row>
    <row r="68" ht="14.497499999999997" customHeight="1" hidden="0" collapsed="0" outlineLevel="2">
      <c r="B68" s="54" t="s">
        <v>123</v>
      </c>
      <c r="C68" s="55">
        <f>_xlfn.SUMIFS(_CALC_ALLOC!$G$1:$G$349,_CALC_ALLOC!$AS$1:$AS$349,"2027|"&amp;$P$1,_CALC_ALLOC!$B$1:$B$349,"IPAC_REN",_CALC_ALLOC!$D$1:$D$349,"BAC_CCE",_CALC_ALLOC!$E$1:$E$349,"B1",_CALC_ALLOC!$F$1:$F$349,"ALT")</f>
        <v>44.726592</v>
      </c>
      <c r="D68" s="56">
        <f>_xlfn.SUMIFS(_CALC_ALLOC!$I$1:$I$349,_CALC_ALLOC!$AS$1:$AS$349,"2027|"&amp;$P$1,_CALC_ALLOC!$B$1:$B$349,"IPAC_REN",_CALC_ALLOC!$D$1:$D$349,"BAC_CCE",_CALC_ALLOC!$E$1:$E$349,"B1",_CALC_ALLOC!$F$1:$F$349,"ALT")</f>
        <v>302276.65479</v>
      </c>
      <c r="E68" s="56">
        <f>_xlfn.SUMIFS(_CALC_ALLOC!$AI$1:$AI$349,_CALC_ALLOC!$AS$1:$AS$349,"2027|"&amp;$P$1,_CALC_ALLOC!$B$1:$B$349,"IPAC_REN",_CALC_ALLOC!$D$1:$D$349,"BAC_CCE",_CALC_ALLOC!$E$1:$E$349,"B1",_CALC_ALLOC!$F$1:$F$349,"ALT")</f>
        <v>24861.441525</v>
      </c>
      <c r="F68" s="56">
        <f>_xlfn.SUMIFS(_CALC_ALLOC!$AJ$1:$AJ$349,_CALC_ALLOC!$AS$1:$AS$349,"2027|"&amp;$P$1,_CALC_ALLOC!$B$1:$B$349,"IPAC_REN",_CALC_ALLOC!$D$1:$D$349,"BAC_CCE",_CALC_ALLOC!$E$1:$E$349,"B1",_CALC_ALLOC!$F$1:$F$349,"ALT")</f>
        <v>48385.2531933333</v>
      </c>
      <c r="G68" s="56">
        <f>_xlfn.SUMIFS(_CALC_ALLOC!$AK$1:$AK$349,_CALC_ALLOC!$AS$1:$AS$349,"2027|"&amp;$P$1,_CALC_ALLOC!$B$1:$B$349,"IPAC_REN",_CALC_ALLOC!$D$1:$D$349,"BAC_CCE",_CALC_ALLOC!$E$1:$E$349,"B1",_CALC_ALLOC!$F$1:$F$349,"ALT")</f>
        <v>32544.6101886134</v>
      </c>
      <c r="H68" s="56">
        <f>_xlfn.SUMIFS(_CALC_ALLOC!$AL$1:$AL$349,_CALC_ALLOC!$AS$1:$AS$349,"2027|"&amp;$P$1,_CALC_ALLOC!$B$1:$B$349,"IPAC_REN",_CALC_ALLOC!$D$1:$D$349,"BAC_CCE",_CALC_ALLOC!$E$1:$E$349,"B1",_CALC_ALLOC!$F$1:$F$349,"ALT")</f>
        <v>94990.3664023333</v>
      </c>
      <c r="I68" s="56">
        <f>_xlfn.SUMIFS(_CALC_ALLOC!$AR$1:$AR$349,_CALC_ALLOC!$AS$1:$AS$349,"2027|"&amp;$P$1,_CALC_ALLOC!$B$1:$B$349,"IPAC_REN",_CALC_ALLOC!$D$1:$D$349,"BAC_CCE",_CALC_ALLOC!$E$1:$E$349,"B1",_CALC_ALLOC!$F$1:$F$349,"ALT")</f>
        <v>8543.31507138913</v>
      </c>
      <c r="J68" s="56">
        <f>_xlfn.SUMIFS(_CALC_ALLOC!$AM$1:$AM$349,_CALC_ALLOC!$AS$1:$AS$349,"2027|"&amp;$P$1,_CALC_ALLOC!$B$1:$B$349,"IPAC_REN",_CALC_ALLOC!$D$1:$D$349,"BAC_CCE",_CALC_ALLOC!$E$1:$E$349,"B1",_CALC_ALLOC!$F$1:$F$349,"ALT")</f>
        <v>40831.1807021342</v>
      </c>
      <c r="K68" s="57">
        <f t="shared" si="0"/>
        <v>250156.167082803</v>
      </c>
      <c r="L68" s="58">
        <f>_xlfn.SUMIFS(_CALC_ALLOC!$AN$1:$AN$349,_CALC_ALLOC!$AS$1:$AS$349,"2027|"&amp;$P$1,_CALC_ALLOC!$B$1:$B$349,"IPAC_REN",_CALC_ALLOC!$D$1:$D$349,"BAC_CCE",_CALC_ALLOC!$E$1:$E$349,"B1",_CALC_ALLOC!$F$1:$F$349,"ALT")</f>
        <v>52120.4877071967</v>
      </c>
      <c r="M68" s="59">
        <f t="shared" si="1"/>
        <v>0.172426440749803</v>
      </c>
      <c r="BF68" t="s">
        <v>35</v>
      </c>
      <c r="BG68" t="s">
        <v>36</v>
      </c>
      <c r="BH68" t="s">
        <v>37</v>
      </c>
      <c r="BI68" t="s">
        <v>121</v>
      </c>
      <c r="BJ68" t="s">
        <v>62</v>
      </c>
      <c r="BK68" t="s">
        <v>40</v>
      </c>
      <c r="BL68" t="s">
        <v>41</v>
      </c>
      <c r="BM68" t="s">
        <v>42</v>
      </c>
      <c r="BN68" t="s">
        <v>43</v>
      </c>
      <c r="BO68">
        <v>38</v>
      </c>
      <c r="BP68">
        <v>2</v>
      </c>
      <c r="BQ68">
        <v>256120</v>
      </c>
      <c r="BR68">
        <v>23045.643621</v>
      </c>
      <c r="BS68">
        <v>44085.599248</v>
      </c>
      <c r="BT68">
        <v>27799.994784</v>
      </c>
      <c r="BU68">
        <v>88930.611069</v>
      </c>
      <c r="BV68">
        <v>6722.186408</v>
      </c>
      <c r="BW68">
        <v>34820.294845</v>
      </c>
      <c r="BX68">
        <v>41542.481253</v>
      </c>
      <c r="BY68">
        <v>50845.638405</v>
      </c>
      <c r="BZ68">
        <v>174558.69157</v>
      </c>
      <c r="CA68">
        <v>225404.329975</v>
      </c>
      <c r="CB68">
        <v>30715.670025</v>
      </c>
      <c r="CC68">
        <v>38</v>
      </c>
      <c r="CD68">
        <v>69137</v>
      </c>
      <c r="CE68">
        <v>132256.93</v>
      </c>
      <c r="CF68">
        <v>41552</v>
      </c>
      <c r="CG68">
        <v>13575</v>
      </c>
      <c r="CH68">
        <v>266792.1</v>
      </c>
      <c r="CI68">
        <v>2760232</v>
      </c>
      <c r="CJ68">
        <v>580167</v>
      </c>
    </row>
    <row r="69" ht="14.497499999999997" customHeight="1" hidden="0" collapsed="0" outlineLevel="2">
      <c r="B69" s="54" t="s">
        <v>124</v>
      </c>
      <c r="C69" s="55">
        <f>_xlfn.SUMIFS(_CALC_ALLOC!$G$1:$G$349,_CALC_ALLOC!$AS$1:$AS$349,"2027|"&amp;$P$1,_CALC_ALLOC!$B$1:$B$349,"IPAC_REN",_CALC_ALLOC!$D$1:$D$349,"BAC_CCE",_CALC_ALLOC!$E$1:$E$349,"B2",_CALC_ALLOC!$F$1:$F$349,"ALT")</f>
        <v>39.2</v>
      </c>
      <c r="D69" s="56">
        <f>_xlfn.SUMIFS(_CALC_ALLOC!$I$1:$I$349,_CALC_ALLOC!$AS$1:$AS$349,"2027|"&amp;$P$1,_CALC_ALLOC!$B$1:$B$349,"IPAC_REN",_CALC_ALLOC!$D$1:$D$349,"BAC_CCE",_CALC_ALLOC!$E$1:$E$349,"B2",_CALC_ALLOC!$F$1:$F$349,"ALT")</f>
        <v>261398.1734</v>
      </c>
      <c r="E69" s="56">
        <f>_xlfn.SUMIFS(_CALC_ALLOC!$AI$1:$AI$349,_CALC_ALLOC!$AS$1:$AS$349,"2027|"&amp;$P$1,_CALC_ALLOC!$B$1:$B$349,"IPAC_REN",_CALC_ALLOC!$D$1:$D$349,"BAC_CCE",_CALC_ALLOC!$E$1:$E$349,"B2",_CALC_ALLOC!$F$1:$F$349,"ALT")</f>
        <v>24861.441525</v>
      </c>
      <c r="F69" s="56">
        <f>_xlfn.SUMIFS(_CALC_ALLOC!$AJ$1:$AJ$349,_CALC_ALLOC!$AS$1:$AS$349,"2027|"&amp;$P$1,_CALC_ALLOC!$B$1:$B$349,"IPAC_REN",_CALC_ALLOC!$D$1:$D$349,"BAC_CCE",_CALC_ALLOC!$E$1:$E$349,"B2",_CALC_ALLOC!$F$1:$F$349,"ALT")</f>
        <v>48385.2531933333</v>
      </c>
      <c r="G69" s="56">
        <f>_xlfn.SUMIFS(_CALC_ALLOC!$AK$1:$AK$349,_CALC_ALLOC!$AS$1:$AS$349,"2027|"&amp;$P$1,_CALC_ALLOC!$B$1:$B$349,"IPAC_REN",_CALC_ALLOC!$D$1:$D$349,"BAC_CCE",_CALC_ALLOC!$E$1:$E$349,"B2",_CALC_ALLOC!$F$1:$F$349,"ALT")</f>
        <v>14388.4253777628</v>
      </c>
      <c r="H69" s="56">
        <f>_xlfn.SUMIFS(_CALC_ALLOC!$AL$1:$AL$349,_CALC_ALLOC!$AS$1:$AS$349,"2027|"&amp;$P$1,_CALC_ALLOC!$B$1:$B$349,"IPAC_REN",_CALC_ALLOC!$D$1:$D$349,"BAC_CCE",_CALC_ALLOC!$E$1:$E$349,"B2",_CALC_ALLOC!$F$1:$F$349,"ALT")</f>
        <v>94990.3664023333</v>
      </c>
      <c r="I69" s="56">
        <f>_xlfn.SUMIFS(_CALC_ALLOC!$AR$1:$AR$349,_CALC_ALLOC!$AS$1:$AS$349,"2027|"&amp;$P$1,_CALC_ALLOC!$B$1:$B$349,"IPAC_REN",_CALC_ALLOC!$D$1:$D$349,"BAC_CCE",_CALC_ALLOC!$E$1:$E$349,"B2",_CALC_ALLOC!$F$1:$F$349,"ALT")</f>
        <v>8543.31507138913</v>
      </c>
      <c r="J69" s="56">
        <f>_xlfn.SUMIFS(_CALC_ALLOC!$AM$1:$AM$349,_CALC_ALLOC!$AS$1:$AS$349,"2027|"&amp;$P$1,_CALC_ALLOC!$B$1:$B$349,"IPAC_REN",_CALC_ALLOC!$D$1:$D$349,"BAC_CCE",_CALC_ALLOC!$E$1:$E$349,"B2",_CALC_ALLOC!$F$1:$F$349,"ALT")</f>
        <v>40831.1807021342</v>
      </c>
      <c r="K69" s="57">
        <f t="shared" si="0"/>
        <v>231999.982271953</v>
      </c>
      <c r="L69" s="58">
        <f>_xlfn.SUMIFS(_CALC_ALLOC!$AN$1:$AN$349,_CALC_ALLOC!$AS$1:$AS$349,"2027|"&amp;$P$1,_CALC_ALLOC!$B$1:$B$349,"IPAC_REN",_CALC_ALLOC!$D$1:$D$349,"BAC_CCE",_CALC_ALLOC!$E$1:$E$349,"B2",_CALC_ALLOC!$F$1:$F$349,"ALT")</f>
        <v>29398.1911280473</v>
      </c>
      <c r="M69" s="59">
        <f t="shared" si="1"/>
        <v>0.112465174280546</v>
      </c>
      <c r="BF69" t="s">
        <v>35</v>
      </c>
      <c r="BG69" t="s">
        <v>36</v>
      </c>
      <c r="BH69" t="s">
        <v>37</v>
      </c>
      <c r="BI69" t="s">
        <v>121</v>
      </c>
      <c r="BJ69" t="s">
        <v>62</v>
      </c>
      <c r="BK69" t="s">
        <v>40</v>
      </c>
      <c r="BL69" t="s">
        <v>41</v>
      </c>
      <c r="BM69" t="s">
        <v>44</v>
      </c>
      <c r="BN69" t="s">
        <v>43</v>
      </c>
      <c r="BO69">
        <v>37</v>
      </c>
      <c r="BP69">
        <v>2</v>
      </c>
      <c r="BQ69">
        <v>246050</v>
      </c>
      <c r="BR69">
        <v>23045.643621</v>
      </c>
      <c r="BS69">
        <v>44085.599248</v>
      </c>
      <c r="BT69">
        <v>13850.652816</v>
      </c>
      <c r="BU69">
        <v>88930.611069</v>
      </c>
      <c r="BV69">
        <v>6722.186408</v>
      </c>
      <c r="BW69">
        <v>34820.294845</v>
      </c>
      <c r="BX69">
        <v>41542.481253</v>
      </c>
      <c r="BY69">
        <v>36896.296437</v>
      </c>
      <c r="BZ69">
        <v>174558.69157</v>
      </c>
      <c r="CA69">
        <v>211454.988007</v>
      </c>
      <c r="CB69">
        <v>34595.011993</v>
      </c>
      <c r="CC69">
        <v>0</v>
      </c>
      <c r="CD69">
        <v>69137</v>
      </c>
      <c r="CE69">
        <v>132256.93</v>
      </c>
      <c r="CF69">
        <v>41552</v>
      </c>
      <c r="CG69">
        <v>13575</v>
      </c>
      <c r="CH69">
        <v>266792.1</v>
      </c>
      <c r="CI69">
        <v>2760232</v>
      </c>
      <c r="CJ69">
        <v>580167</v>
      </c>
    </row>
    <row r="70" ht="14.497499999999997" customHeight="1" hidden="0" collapsed="0" outlineLevel="2">
      <c r="B70" s="54" t="s">
        <v>125</v>
      </c>
      <c r="C70" s="55">
        <f>_xlfn.SUMIFS(_CALC_ALLOC!$G$1:$G$349,_CALC_ALLOC!$AS$1:$AS$349,"2027|"&amp;$P$1,_CALC_ALLOC!$B$1:$B$349,"IPAC_REN",_CALC_ALLOC!$D$1:$D$349,"BAC_CCE",_CALC_ALLOC!$E$1:$E$349,"B3",_CALC_ALLOC!$F$1:$F$349,"ALT")</f>
        <v>38.195</v>
      </c>
      <c r="D70" s="56">
        <f>_xlfn.SUMIFS(_CALC_ALLOC!$I$1:$I$349,_CALC_ALLOC!$AS$1:$AS$349,"2027|"&amp;$P$1,_CALC_ALLOC!$B$1:$B$349,"IPAC_REN",_CALC_ALLOC!$D$1:$D$349,"BAC_CCE",_CALC_ALLOC!$E$1:$E$349,"B3",_CALC_ALLOC!$F$1:$F$349,"ALT")</f>
        <v>254696.511046</v>
      </c>
      <c r="E70" s="56">
        <f>_xlfn.SUMIFS(_CALC_ALLOC!$AI$1:$AI$349,_CALC_ALLOC!$AS$1:$AS$349,"2027|"&amp;$P$1,_CALC_ALLOC!$B$1:$B$349,"IPAC_REN",_CALC_ALLOC!$D$1:$D$349,"BAC_CCE",_CALC_ALLOC!$E$1:$E$349,"B3",_CALC_ALLOC!$F$1:$F$349,"ALT")</f>
        <v>24861.441525</v>
      </c>
      <c r="F70" s="56">
        <f>_xlfn.SUMIFS(_CALC_ALLOC!$AJ$1:$AJ$349,_CALC_ALLOC!$AS$1:$AS$349,"2027|"&amp;$P$1,_CALC_ALLOC!$B$1:$B$349,"IPAC_REN",_CALC_ALLOC!$D$1:$D$349,"BAC_CCE",_CALC_ALLOC!$E$1:$E$349,"B3",_CALC_ALLOC!$F$1:$F$349,"ALT")</f>
        <v>48385.2531933333</v>
      </c>
      <c r="G70" s="56">
        <f>_xlfn.SUMIFS(_CALC_ALLOC!$AK$1:$AK$349,_CALC_ALLOC!$AS$1:$AS$349,"2027|"&amp;$P$1,_CALC_ALLOC!$B$1:$B$349,"IPAC_REN",_CALC_ALLOC!$D$1:$D$349,"BAC_CCE",_CALC_ALLOC!$E$1:$E$349,"B3",_CALC_ALLOC!$F$1:$F$349,"ALT")</f>
        <v>14019.5384516238</v>
      </c>
      <c r="H70" s="56">
        <f>_xlfn.SUMIFS(_CALC_ALLOC!$AL$1:$AL$349,_CALC_ALLOC!$AS$1:$AS$349,"2027|"&amp;$P$1,_CALC_ALLOC!$B$1:$B$349,"IPAC_REN",_CALC_ALLOC!$D$1:$D$349,"BAC_CCE",_CALC_ALLOC!$E$1:$E$349,"B3",_CALC_ALLOC!$F$1:$F$349,"ALT")</f>
        <v>94990.3664023333</v>
      </c>
      <c r="I70" s="56">
        <f>_xlfn.SUMIFS(_CALC_ALLOC!$AR$1:$AR$349,_CALC_ALLOC!$AS$1:$AS$349,"2027|"&amp;$P$1,_CALC_ALLOC!$B$1:$B$349,"IPAC_REN",_CALC_ALLOC!$D$1:$D$349,"BAC_CCE",_CALC_ALLOC!$E$1:$E$349,"B3",_CALC_ALLOC!$F$1:$F$349,"ALT")</f>
        <v>8543.31507138913</v>
      </c>
      <c r="J70" s="56">
        <f>_xlfn.SUMIFS(_CALC_ALLOC!$AM$1:$AM$349,_CALC_ALLOC!$AS$1:$AS$349,"2027|"&amp;$P$1,_CALC_ALLOC!$B$1:$B$349,"IPAC_REN",_CALC_ALLOC!$D$1:$D$349,"BAC_CCE",_CALC_ALLOC!$E$1:$E$349,"B3",_CALC_ALLOC!$F$1:$F$349,"ALT")</f>
        <v>40831.1807021342</v>
      </c>
      <c r="K70" s="57">
        <f t="shared" si="0"/>
        <v>231631.095345814</v>
      </c>
      <c r="L70" s="58">
        <f>_xlfn.SUMIFS(_CALC_ALLOC!$AN$1:$AN$349,_CALC_ALLOC!$AS$1:$AS$349,"2027|"&amp;$P$1,_CALC_ALLOC!$B$1:$B$349,"IPAC_REN",_CALC_ALLOC!$D$1:$D$349,"BAC_CCE",_CALC_ALLOC!$E$1:$E$349,"B3",_CALC_ALLOC!$F$1:$F$349,"ALT")</f>
        <v>23065.4157001863</v>
      </c>
      <c r="M70" s="59">
        <f t="shared" si="1"/>
        <v>0.0905603912886758</v>
      </c>
      <c r="BF70" t="s">
        <v>35</v>
      </c>
      <c r="BG70" t="s">
        <v>36</v>
      </c>
      <c r="BH70" t="s">
        <v>37</v>
      </c>
      <c r="BI70" t="s">
        <v>121</v>
      </c>
      <c r="BJ70" t="s">
        <v>62</v>
      </c>
      <c r="BK70" t="s">
        <v>40</v>
      </c>
      <c r="BL70" t="s">
        <v>41</v>
      </c>
      <c r="BM70" t="s">
        <v>50</v>
      </c>
      <c r="BN70" t="s">
        <v>43</v>
      </c>
      <c r="BO70">
        <v>36</v>
      </c>
      <c r="BP70">
        <v>2</v>
      </c>
      <c r="BQ70">
        <v>239400</v>
      </c>
      <c r="BR70">
        <v>23045.643621</v>
      </c>
      <c r="BS70">
        <v>44085.599248</v>
      </c>
      <c r="BT70">
        <v>13476.310848</v>
      </c>
      <c r="BU70">
        <v>88930.611069</v>
      </c>
      <c r="BV70">
        <v>6722.186408</v>
      </c>
      <c r="BW70">
        <v>34820.294845</v>
      </c>
      <c r="BX70">
        <v>41542.481253</v>
      </c>
      <c r="BY70">
        <v>36521.954469</v>
      </c>
      <c r="BZ70">
        <v>174558.69157</v>
      </c>
      <c r="CA70">
        <v>211080.646039</v>
      </c>
      <c r="CB70">
        <v>28319.353961</v>
      </c>
      <c r="CC70">
        <v>0</v>
      </c>
      <c r="CD70">
        <v>69137</v>
      </c>
      <c r="CE70">
        <v>132256.93</v>
      </c>
      <c r="CF70">
        <v>41552</v>
      </c>
      <c r="CG70">
        <v>13575</v>
      </c>
      <c r="CH70">
        <v>266792.1</v>
      </c>
      <c r="CI70">
        <v>2760232</v>
      </c>
      <c r="CJ70">
        <v>580167</v>
      </c>
    </row>
    <row r="71" ht="14.497499999999997" customHeight="1" hidden="0" collapsed="0" outlineLevel="1">
      <c r="B71" s="49" t="s">
        <v>127</v>
      </c>
      <c r="C71" s="50">
        <f>_xlfn.SUMIFS(_CALC_ALLOC!$G$1:$G$349,_CALC_ALLOC!$AS$1:$AS$349,"2027|"&amp;$P$1,_CALC_ALLOC!$B$1:$B$349,"IPAC_MTP")</f>
        <v>122.132599</v>
      </c>
      <c r="D71" s="51">
        <f>_xlfn.SUMIFS(_CALC_ALLOC!$I$1:$I$349,_CALC_ALLOC!$AS$1:$AS$349,"2027|"&amp;$P$1,_CALC_ALLOC!$B$1:$B$349,"IPAC_MTP")</f>
        <v>818445.728073</v>
      </c>
      <c r="E71" s="51">
        <f>_xlfn.SUMIFS(_CALC_ALLOC!$AI$1:$AI$349,_CALC_ALLOC!$AS$1:$AS$349,"2027|"&amp;$P$1,_CALC_ALLOC!$B$1:$B$349,"IPAC_MTP")</f>
        <v>74584.324575</v>
      </c>
      <c r="F71" s="51">
        <f>_xlfn.SUMIFS(_CALC_ALLOC!$AJ$1:$AJ$349,_CALC_ALLOC!$AS$1:$AS$349,"2027|"&amp;$P$1,_CALC_ALLOC!$B$1:$B$349,"IPAC_MTP")</f>
        <v>145069.20038</v>
      </c>
      <c r="G71" s="51">
        <f>_xlfn.SUMIFS(_CALC_ALLOC!$AK$1:$AK$349,_CALC_ALLOC!$AS$1:$AS$349,"2027|"&amp;$P$1,_CALC_ALLOC!$B$1:$B$349,"IPAC_MTP")</f>
        <v>61217.1740180001</v>
      </c>
      <c r="H71" s="51">
        <f>_xlfn.SUMIFS(_CALC_ALLOC!$AL$1:$AL$349,_CALC_ALLOC!$AS$1:$AS$349,"2027|"&amp;$P$1,_CALC_ALLOC!$B$1:$B$349,"IPAC_MTP")</f>
        <v>284801.162938</v>
      </c>
      <c r="I71" s="51">
        <f>_xlfn.SUMIFS(_CALC_ALLOC!$AR$1:$AR$349,_CALC_ALLOC!$AS$1:$AS$349,"2027|"&amp;$P$1,_CALC_ALLOC!$B$1:$B$349,"IPAC_MTP")</f>
        <v>25632.2552790982</v>
      </c>
      <c r="J71" s="51">
        <f>_xlfn.SUMIFS(_CALC_ALLOC!$AM$1:$AM$349,_CALC_ALLOC!$AS$1:$AS$349,"2027|"&amp;$P$1,_CALC_ALLOC!$B$1:$B$349,"IPAC_MTP")</f>
        <v>122504.582630817</v>
      </c>
      <c r="K71" s="51">
        <f t="shared" si="0"/>
        <v>713808.699820915</v>
      </c>
      <c r="L71" s="52">
        <f>_xlfn.SUMIFS(_CALC_ALLOC!$AN$1:$AN$349,_CALC_ALLOC!$AS$1:$AS$349,"2027|"&amp;$P$1,_CALC_ALLOC!$B$1:$B$349,"IPAC_MTP")</f>
        <v>104637.028252085</v>
      </c>
      <c r="M71" s="53">
        <f t="shared" si="1"/>
        <v>0.127848462839984</v>
      </c>
      <c r="BF71" t="s">
        <v>35</v>
      </c>
      <c r="BG71" t="s">
        <v>36</v>
      </c>
      <c r="BH71" t="s">
        <v>37</v>
      </c>
      <c r="BI71" t="s">
        <v>121</v>
      </c>
      <c r="BJ71" t="s">
        <v>64</v>
      </c>
      <c r="BK71" t="s">
        <v>65</v>
      </c>
      <c r="BL71" t="s">
        <v>66</v>
      </c>
      <c r="BM71" t="s">
        <v>42</v>
      </c>
      <c r="BN71" t="s">
        <v>67</v>
      </c>
      <c r="BO71">
        <v>47</v>
      </c>
      <c r="BP71">
        <v>2</v>
      </c>
      <c r="BQ71">
        <v>349680</v>
      </c>
      <c r="BR71">
        <v>28807.25</v>
      </c>
      <c r="BS71">
        <v>67642.5525</v>
      </c>
      <c r="BT71">
        <v>29248.5722</v>
      </c>
      <c r="BU71">
        <v>126191.864</v>
      </c>
      <c r="BV71">
        <v>9272.257725</v>
      </c>
      <c r="BW71">
        <v>43102.006243</v>
      </c>
      <c r="BX71">
        <v>52374.263968</v>
      </c>
      <c r="BY71">
        <v>58055.8222</v>
      </c>
      <c r="BZ71">
        <v>246208.680468</v>
      </c>
      <c r="CA71">
        <v>304264.502668</v>
      </c>
      <c r="CB71">
        <v>45415.497332</v>
      </c>
      <c r="CC71">
        <v>47</v>
      </c>
      <c r="CD71">
        <v>115229</v>
      </c>
      <c r="CE71">
        <v>270570.21</v>
      </c>
      <c r="CF71">
        <v>86655</v>
      </c>
      <c r="CG71">
        <v>22927</v>
      </c>
      <c r="CH71">
        <v>630959.32</v>
      </c>
      <c r="CI71">
        <v>2760232</v>
      </c>
      <c r="CJ71">
        <v>580167</v>
      </c>
    </row>
    <row r="72" ht="14.497499999999997" customHeight="1" hidden="0" collapsed="0" outlineLevel="2">
      <c r="B72" s="54" t="s">
        <v>123</v>
      </c>
      <c r="C72" s="55">
        <f>_xlfn.SUMIFS(_CALC_ALLOC!$G$1:$G$349,_CALC_ALLOC!$AS$1:$AS$349,"2027|"&amp;$P$1,_CALC_ALLOC!$B$1:$B$349,"IPAC_MTP",_CALC_ALLOC!$D$1:$D$349,"BAC_CCE",_CALC_ALLOC!$E$1:$E$349,"B1",_CALC_ALLOC!$F$1:$F$349,"ALT")</f>
        <v>44.737599</v>
      </c>
      <c r="D72" s="56">
        <f>_xlfn.SUMIFS(_CALC_ALLOC!$I$1:$I$349,_CALC_ALLOC!$AS$1:$AS$349,"2027|"&amp;$P$1,_CALC_ALLOC!$B$1:$B$349,"IPAC_MTP",_CALC_ALLOC!$D$1:$D$349,"BAC_CCE",_CALC_ALLOC!$E$1:$E$349,"B1",_CALC_ALLOC!$F$1:$F$349,"ALT")</f>
        <v>302351.043627</v>
      </c>
      <c r="E72" s="56">
        <f>_xlfn.SUMIFS(_CALC_ALLOC!$AI$1:$AI$349,_CALC_ALLOC!$AS$1:$AS$349,"2027|"&amp;$P$1,_CALC_ALLOC!$B$1:$B$349,"IPAC_MTP",_CALC_ALLOC!$D$1:$D$349,"BAC_CCE",_CALC_ALLOC!$E$1:$E$349,"B1",_CALC_ALLOC!$F$1:$F$349,"ALT")</f>
        <v>24861.441525</v>
      </c>
      <c r="F72" s="56">
        <f>_xlfn.SUMIFS(_CALC_ALLOC!$AJ$1:$AJ$349,_CALC_ALLOC!$AS$1:$AS$349,"2027|"&amp;$P$1,_CALC_ALLOC!$B$1:$B$349,"IPAC_MTP",_CALC_ALLOC!$D$1:$D$349,"BAC_CCE",_CALC_ALLOC!$E$1:$E$349,"B1",_CALC_ALLOC!$F$1:$F$349,"ALT")</f>
        <v>48356.4001266667</v>
      </c>
      <c r="G72" s="56">
        <f>_xlfn.SUMIFS(_CALC_ALLOC!$AK$1:$AK$349,_CALC_ALLOC!$AS$1:$AS$349,"2027|"&amp;$P$1,_CALC_ALLOC!$B$1:$B$349,"IPAC_MTP",_CALC_ALLOC!$D$1:$D$349,"BAC_CCE",_CALC_ALLOC!$E$1:$E$349,"B1",_CALC_ALLOC!$F$1:$F$349,"ALT")</f>
        <v>32811.7704097209</v>
      </c>
      <c r="H72" s="56">
        <f>_xlfn.SUMIFS(_CALC_ALLOC!$AL$1:$AL$349,_CALC_ALLOC!$AS$1:$AS$349,"2027|"&amp;$P$1,_CALC_ALLOC!$B$1:$B$349,"IPAC_MTP",_CALC_ALLOC!$D$1:$D$349,"BAC_CCE",_CALC_ALLOC!$E$1:$E$349,"B1",_CALC_ALLOC!$F$1:$F$349,"ALT")</f>
        <v>94933.7209793333</v>
      </c>
      <c r="I72" s="56">
        <f>_xlfn.SUMIFS(_CALC_ALLOC!$AR$1:$AR$349,_CALC_ALLOC!$AS$1:$AS$349,"2027|"&amp;$P$1,_CALC_ALLOC!$B$1:$B$349,"IPAC_MTP",_CALC_ALLOC!$D$1:$D$349,"BAC_CCE",_CALC_ALLOC!$E$1:$E$349,"B1",_CALC_ALLOC!$F$1:$F$349,"ALT")</f>
        <v>8544.08509303273</v>
      </c>
      <c r="J72" s="56">
        <f>_xlfn.SUMIFS(_CALC_ALLOC!$AM$1:$AM$349,_CALC_ALLOC!$AS$1:$AS$349,"2027|"&amp;$P$1,_CALC_ALLOC!$B$1:$B$349,"IPAC_MTP",_CALC_ALLOC!$D$1:$D$349,"BAC_CCE",_CALC_ALLOC!$E$1:$E$349,"B1",_CALC_ALLOC!$F$1:$F$349,"ALT")</f>
        <v>40834.8608769389</v>
      </c>
      <c r="K72" s="57">
        <f t="shared" si="0"/>
        <v>250342.279010693</v>
      </c>
      <c r="L72" s="58">
        <f>_xlfn.SUMIFS(_CALC_ALLOC!$AN$1:$AN$349,_CALC_ALLOC!$AS$1:$AS$349,"2027|"&amp;$P$1,_CALC_ALLOC!$B$1:$B$349,"IPAC_MTP",_CALC_ALLOC!$D$1:$D$349,"BAC_CCE",_CALC_ALLOC!$E$1:$E$349,"B1",_CALC_ALLOC!$F$1:$F$349,"ALT")</f>
        <v>52008.7646163075</v>
      </c>
      <c r="M72" s="59">
        <f t="shared" si="1"/>
        <v>0.172014503381271</v>
      </c>
      <c r="BF72" t="s">
        <v>35</v>
      </c>
      <c r="BG72" t="s">
        <v>36</v>
      </c>
      <c r="BH72" t="s">
        <v>37</v>
      </c>
      <c r="BI72" t="s">
        <v>121</v>
      </c>
      <c r="BJ72" t="s">
        <v>64</v>
      </c>
      <c r="BK72" t="s">
        <v>65</v>
      </c>
      <c r="BL72" t="s">
        <v>66</v>
      </c>
      <c r="BM72" t="s">
        <v>44</v>
      </c>
      <c r="BN72" t="s">
        <v>43</v>
      </c>
      <c r="BO72">
        <v>45</v>
      </c>
      <c r="BP72">
        <v>2</v>
      </c>
      <c r="BQ72">
        <v>308700</v>
      </c>
      <c r="BR72">
        <v>23045.8</v>
      </c>
      <c r="BS72">
        <v>54114.042</v>
      </c>
      <c r="BT72">
        <v>17028.22743</v>
      </c>
      <c r="BU72">
        <v>126191.864</v>
      </c>
      <c r="BV72">
        <v>9272.257725</v>
      </c>
      <c r="BW72">
        <v>43102.006243</v>
      </c>
      <c r="BX72">
        <v>52374.263968</v>
      </c>
      <c r="BY72">
        <v>40074.02743</v>
      </c>
      <c r="BZ72">
        <v>232680.169968</v>
      </c>
      <c r="CA72">
        <v>272754.197398</v>
      </c>
      <c r="CB72">
        <v>35945.802602</v>
      </c>
      <c r="CC72">
        <v>0</v>
      </c>
      <c r="CD72">
        <v>115229</v>
      </c>
      <c r="CE72">
        <v>270570.21</v>
      </c>
      <c r="CF72">
        <v>86655</v>
      </c>
      <c r="CG72">
        <v>22927</v>
      </c>
      <c r="CH72">
        <v>630959.32</v>
      </c>
      <c r="CI72">
        <v>2760232</v>
      </c>
      <c r="CJ72">
        <v>580167</v>
      </c>
    </row>
    <row r="73" ht="14.497499999999997" customHeight="1" hidden="0" collapsed="0" outlineLevel="2">
      <c r="B73" s="54" t="s">
        <v>124</v>
      </c>
      <c r="C73" s="55">
        <f>_xlfn.SUMIFS(_CALC_ALLOC!$G$1:$G$349,_CALC_ALLOC!$AS$1:$AS$349,"2027|"&amp;$P$1,_CALC_ALLOC!$B$1:$B$349,"IPAC_MTP",_CALC_ALLOC!$D$1:$D$349,"BAC_CCE",_CALC_ALLOC!$E$1:$E$349,"B2",_CALC_ALLOC!$F$1:$F$349,"ALT")</f>
        <v>39.2</v>
      </c>
      <c r="D73" s="56">
        <f>_xlfn.SUMIFS(_CALC_ALLOC!$I$1:$I$349,_CALC_ALLOC!$AS$1:$AS$349,"2027|"&amp;$P$1,_CALC_ALLOC!$B$1:$B$349,"IPAC_MTP",_CALC_ALLOC!$D$1:$D$349,"BAC_CCE",_CALC_ALLOC!$E$1:$E$349,"B2",_CALC_ALLOC!$F$1:$F$349,"ALT")</f>
        <v>261398.1734</v>
      </c>
      <c r="E73" s="56">
        <f>_xlfn.SUMIFS(_CALC_ALLOC!$AI$1:$AI$349,_CALC_ALLOC!$AS$1:$AS$349,"2027|"&amp;$P$1,_CALC_ALLOC!$B$1:$B$349,"IPAC_MTP",_CALC_ALLOC!$D$1:$D$349,"BAC_CCE",_CALC_ALLOC!$E$1:$E$349,"B2",_CALC_ALLOC!$F$1:$F$349,"ALT")</f>
        <v>24861.441525</v>
      </c>
      <c r="F73" s="56">
        <f>_xlfn.SUMIFS(_CALC_ALLOC!$AJ$1:$AJ$349,_CALC_ALLOC!$AS$1:$AS$349,"2027|"&amp;$P$1,_CALC_ALLOC!$B$1:$B$349,"IPAC_MTP",_CALC_ALLOC!$D$1:$D$349,"BAC_CCE",_CALC_ALLOC!$E$1:$E$349,"B2",_CALC_ALLOC!$F$1:$F$349,"ALT")</f>
        <v>48356.4001266667</v>
      </c>
      <c r="G73" s="56">
        <f>_xlfn.SUMIFS(_CALC_ALLOC!$AK$1:$AK$349,_CALC_ALLOC!$AS$1:$AS$349,"2027|"&amp;$P$1,_CALC_ALLOC!$B$1:$B$349,"IPAC_MTP",_CALC_ALLOC!$D$1:$D$349,"BAC_CCE",_CALC_ALLOC!$E$1:$E$349,"B2",_CALC_ALLOC!$F$1:$F$349,"ALT")</f>
        <v>14387.1286445448</v>
      </c>
      <c r="H73" s="56">
        <f>_xlfn.SUMIFS(_CALC_ALLOC!$AL$1:$AL$349,_CALC_ALLOC!$AS$1:$AS$349,"2027|"&amp;$P$1,_CALC_ALLOC!$B$1:$B$349,"IPAC_MTP",_CALC_ALLOC!$D$1:$D$349,"BAC_CCE",_CALC_ALLOC!$E$1:$E$349,"B2",_CALC_ALLOC!$F$1:$F$349,"ALT")</f>
        <v>94933.7209793333</v>
      </c>
      <c r="I73" s="56">
        <f>_xlfn.SUMIFS(_CALC_ALLOC!$AR$1:$AR$349,_CALC_ALLOC!$AS$1:$AS$349,"2027|"&amp;$P$1,_CALC_ALLOC!$B$1:$B$349,"IPAC_MTP",_CALC_ALLOC!$D$1:$D$349,"BAC_CCE",_CALC_ALLOC!$E$1:$E$349,"B2",_CALC_ALLOC!$F$1:$F$349,"ALT")</f>
        <v>8544.08509303273</v>
      </c>
      <c r="J73" s="56">
        <f>_xlfn.SUMIFS(_CALC_ALLOC!$AM$1:$AM$349,_CALC_ALLOC!$AS$1:$AS$349,"2027|"&amp;$P$1,_CALC_ALLOC!$B$1:$B$349,"IPAC_MTP",_CALC_ALLOC!$D$1:$D$349,"BAC_CCE",_CALC_ALLOC!$E$1:$E$349,"B2",_CALC_ALLOC!$F$1:$F$349,"ALT")</f>
        <v>40834.8608769389</v>
      </c>
      <c r="K73" s="57">
        <f t="shared" si="0"/>
        <v>231917.637245516</v>
      </c>
      <c r="L73" s="58">
        <f>_xlfn.SUMIFS(_CALC_ALLOC!$AN$1:$AN$349,_CALC_ALLOC!$AS$1:$AS$349,"2027|"&amp;$P$1,_CALC_ALLOC!$B$1:$B$349,"IPAC_MTP",_CALC_ALLOC!$D$1:$D$349,"BAC_CCE",_CALC_ALLOC!$E$1:$E$349,"B2",_CALC_ALLOC!$F$1:$F$349,"ALT")</f>
        <v>29480.5361544835</v>
      </c>
      <c r="M73" s="59">
        <f t="shared" si="1"/>
        <v>0.112780191885164</v>
      </c>
      <c r="BF73" t="s">
        <v>35</v>
      </c>
      <c r="BG73" t="s">
        <v>36</v>
      </c>
      <c r="BH73" t="s">
        <v>37</v>
      </c>
      <c r="BI73" t="s">
        <v>121</v>
      </c>
      <c r="BJ73" t="s">
        <v>64</v>
      </c>
      <c r="BK73" t="s">
        <v>65</v>
      </c>
      <c r="BL73" t="s">
        <v>66</v>
      </c>
      <c r="BM73" t="s">
        <v>50</v>
      </c>
      <c r="BN73" t="s">
        <v>43</v>
      </c>
      <c r="BO73">
        <v>44</v>
      </c>
      <c r="BP73">
        <v>2</v>
      </c>
      <c r="BQ73">
        <v>301840</v>
      </c>
      <c r="BR73">
        <v>23045.8</v>
      </c>
      <c r="BS73">
        <v>54114.042</v>
      </c>
      <c r="BT73">
        <v>16649.805045</v>
      </c>
      <c r="BU73">
        <v>126191.864</v>
      </c>
      <c r="BV73">
        <v>9272.257725</v>
      </c>
      <c r="BW73">
        <v>43102.006243</v>
      </c>
      <c r="BX73">
        <v>52374.263968</v>
      </c>
      <c r="BY73">
        <v>39695.605045</v>
      </c>
      <c r="BZ73">
        <v>232680.169968</v>
      </c>
      <c r="CA73">
        <v>272375.775013</v>
      </c>
      <c r="CB73">
        <v>29464.224987</v>
      </c>
      <c r="CC73">
        <v>0</v>
      </c>
      <c r="CD73">
        <v>115229</v>
      </c>
      <c r="CE73">
        <v>270570.21</v>
      </c>
      <c r="CF73">
        <v>86655</v>
      </c>
      <c r="CG73">
        <v>22927</v>
      </c>
      <c r="CH73">
        <v>630959.32</v>
      </c>
      <c r="CI73">
        <v>2760232</v>
      </c>
      <c r="CJ73">
        <v>580167</v>
      </c>
    </row>
    <row r="74" ht="14.497499999999997" customHeight="1" hidden="0" collapsed="0" outlineLevel="2">
      <c r="B74" s="54" t="s">
        <v>125</v>
      </c>
      <c r="C74" s="55">
        <f>_xlfn.SUMIFS(_CALC_ALLOC!$G$1:$G$349,_CALC_ALLOC!$AS$1:$AS$349,"2027|"&amp;$P$1,_CALC_ALLOC!$B$1:$B$349,"IPAC_MTP",_CALC_ALLOC!$D$1:$D$349,"BAC_CCE",_CALC_ALLOC!$E$1:$E$349,"B3",_CALC_ALLOC!$F$1:$F$349,"ALT")</f>
        <v>38.195</v>
      </c>
      <c r="D74" s="56">
        <f>_xlfn.SUMIFS(_CALC_ALLOC!$I$1:$I$349,_CALC_ALLOC!$AS$1:$AS$349,"2027|"&amp;$P$1,_CALC_ALLOC!$B$1:$B$349,"IPAC_MTP",_CALC_ALLOC!$D$1:$D$349,"BAC_CCE",_CALC_ALLOC!$E$1:$E$349,"B3",_CALC_ALLOC!$F$1:$F$349,"ALT")</f>
        <v>254696.511046</v>
      </c>
      <c r="E74" s="56">
        <f>_xlfn.SUMIFS(_CALC_ALLOC!$AI$1:$AI$349,_CALC_ALLOC!$AS$1:$AS$349,"2027|"&amp;$P$1,_CALC_ALLOC!$B$1:$B$349,"IPAC_MTP",_CALC_ALLOC!$D$1:$D$349,"BAC_CCE",_CALC_ALLOC!$E$1:$E$349,"B3",_CALC_ALLOC!$F$1:$F$349,"ALT")</f>
        <v>24861.441525</v>
      </c>
      <c r="F74" s="56">
        <f>_xlfn.SUMIFS(_CALC_ALLOC!$AJ$1:$AJ$349,_CALC_ALLOC!$AS$1:$AS$349,"2027|"&amp;$P$1,_CALC_ALLOC!$B$1:$B$349,"IPAC_MTP",_CALC_ALLOC!$D$1:$D$349,"BAC_CCE",_CALC_ALLOC!$E$1:$E$349,"B3",_CALC_ALLOC!$F$1:$F$349,"ALT")</f>
        <v>48356.4001266667</v>
      </c>
      <c r="G74" s="56">
        <f>_xlfn.SUMIFS(_CALC_ALLOC!$AK$1:$AK$349,_CALC_ALLOC!$AS$1:$AS$349,"2027|"&amp;$P$1,_CALC_ALLOC!$B$1:$B$349,"IPAC_MTP",_CALC_ALLOC!$D$1:$D$349,"BAC_CCE",_CALC_ALLOC!$E$1:$E$349,"B3",_CALC_ALLOC!$F$1:$F$349,"ALT")</f>
        <v>14018.2749637344</v>
      </c>
      <c r="H74" s="56">
        <f>_xlfn.SUMIFS(_CALC_ALLOC!$AL$1:$AL$349,_CALC_ALLOC!$AS$1:$AS$349,"2027|"&amp;$P$1,_CALC_ALLOC!$B$1:$B$349,"IPAC_MTP",_CALC_ALLOC!$D$1:$D$349,"BAC_CCE",_CALC_ALLOC!$E$1:$E$349,"B3",_CALC_ALLOC!$F$1:$F$349,"ALT")</f>
        <v>94933.7209793333</v>
      </c>
      <c r="I74" s="56">
        <f>_xlfn.SUMIFS(_CALC_ALLOC!$AR$1:$AR$349,_CALC_ALLOC!$AS$1:$AS$349,"2027|"&amp;$P$1,_CALC_ALLOC!$B$1:$B$349,"IPAC_MTP",_CALC_ALLOC!$D$1:$D$349,"BAC_CCE",_CALC_ALLOC!$E$1:$E$349,"B3",_CALC_ALLOC!$F$1:$F$349,"ALT")</f>
        <v>8544.08509303273</v>
      </c>
      <c r="J74" s="56">
        <f>_xlfn.SUMIFS(_CALC_ALLOC!$AM$1:$AM$349,_CALC_ALLOC!$AS$1:$AS$349,"2027|"&amp;$P$1,_CALC_ALLOC!$B$1:$B$349,"IPAC_MTP",_CALC_ALLOC!$D$1:$D$349,"BAC_CCE",_CALC_ALLOC!$E$1:$E$349,"B3",_CALC_ALLOC!$F$1:$F$349,"ALT")</f>
        <v>40834.8608769389</v>
      </c>
      <c r="K74" s="57">
        <f t="shared" si="0"/>
        <v>231548.783564706</v>
      </c>
      <c r="L74" s="58">
        <f>_xlfn.SUMIFS(_CALC_ALLOC!$AN$1:$AN$349,_CALC_ALLOC!$AS$1:$AS$349,"2027|"&amp;$P$1,_CALC_ALLOC!$B$1:$B$349,"IPAC_MTP",_CALC_ALLOC!$D$1:$D$349,"BAC_CCE",_CALC_ALLOC!$E$1:$E$349,"B3",_CALC_ALLOC!$F$1:$F$349,"ALT")</f>
        <v>23147.727481294</v>
      </c>
      <c r="M74" s="59">
        <f t="shared" si="1"/>
        <v>0.0908835672158593</v>
      </c>
      <c r="BF74" t="s">
        <v>35</v>
      </c>
      <c r="BG74" t="s">
        <v>36</v>
      </c>
      <c r="BH74" t="s">
        <v>37</v>
      </c>
      <c r="BI74" t="s">
        <v>121</v>
      </c>
      <c r="BJ74" t="s">
        <v>64</v>
      </c>
      <c r="BK74" t="s">
        <v>65</v>
      </c>
      <c r="BL74" t="s">
        <v>70</v>
      </c>
      <c r="BM74" t="s">
        <v>71</v>
      </c>
      <c r="BN74" t="s">
        <v>43</v>
      </c>
      <c r="BO74">
        <v>47</v>
      </c>
      <c r="BP74">
        <v>2</v>
      </c>
      <c r="BQ74">
        <v>349680</v>
      </c>
      <c r="BR74">
        <v>20165.075</v>
      </c>
      <c r="BS74">
        <v>47349.78675</v>
      </c>
      <c r="BT74">
        <v>29248.5722</v>
      </c>
      <c r="BU74">
        <v>126191.864</v>
      </c>
      <c r="BV74">
        <v>9272.257725</v>
      </c>
      <c r="BW74">
        <v>43102.006243</v>
      </c>
      <c r="BX74">
        <v>52374.263968</v>
      </c>
      <c r="BY74">
        <v>49413.6472</v>
      </c>
      <c r="BZ74">
        <v>225915.914718</v>
      </c>
      <c r="CA74">
        <v>275329.561918</v>
      </c>
      <c r="CB74">
        <v>74350.438082</v>
      </c>
      <c r="CC74">
        <v>47</v>
      </c>
      <c r="CD74">
        <v>115229</v>
      </c>
      <c r="CE74">
        <v>270570.21</v>
      </c>
      <c r="CF74">
        <v>86655</v>
      </c>
      <c r="CG74">
        <v>22927</v>
      </c>
      <c r="CH74">
        <v>630959.32</v>
      </c>
      <c r="CI74">
        <v>2760232</v>
      </c>
      <c r="CJ74">
        <v>580167</v>
      </c>
    </row>
    <row r="75" ht="14.497499999999997" customHeight="1" collapsed="0" outlineLevel="0">
      <c r="B75" s="44" t="s">
        <v>128</v>
      </c>
      <c r="C75" s="45">
        <f>_xlfn.SUMIFS(_CALC_ALLOC!$G$1:$G$349,_CALC_ALLOC!$AS$1:$AS$349,"2027|"&amp;$P$1,_CALC_ALLOC!$C$1:$C$349,"PIGIER")</f>
        <v>421.664172</v>
      </c>
      <c r="D75" s="46">
        <f>_xlfn.SUMIFS(_CALC_ALLOC!$I$1:$I$349,_CALC_ALLOC!$AS$1:$AS$349,"2027|"&amp;$P$1,_CALC_ALLOC!$C$1:$C$349,"PIGIER")</f>
        <v>2845382.668199</v>
      </c>
      <c r="E75" s="46">
        <f>_xlfn.SUMIFS(_CALC_ALLOC!$AI$1:$AI$349,_CALC_ALLOC!$AS$1:$AS$349,"2027|"&amp;$P$1,_CALC_ALLOC!$C$1:$C$349,"PIGIER")</f>
        <v>198889.47294</v>
      </c>
      <c r="F75" s="46">
        <f>_xlfn.SUMIFS(_CALC_ALLOC!$AJ$1:$AJ$349,_CALC_ALLOC!$AS$1:$AS$349,"2027|"&amp;$P$1,_CALC_ALLOC!$C$1:$C$349,"PIGIER")</f>
        <v>452053.3433</v>
      </c>
      <c r="G75" s="46">
        <f>_xlfn.SUMIFS(_CALC_ALLOC!$AK$1:$AK$349,_CALC_ALLOC!$AS$1:$AS$349,"2027|"&amp;$P$1,_CALC_ALLOC!$C$1:$C$349,"PIGIER")</f>
        <v>187398.570557</v>
      </c>
      <c r="H75" s="46">
        <f>_xlfn.SUMIFS(_CALC_ALLOC!$AL$1:$AL$349,_CALC_ALLOC!$AS$1:$AS$349,"2027|"&amp;$P$1,_CALC_ALLOC!$C$1:$C$349,"PIGIER")</f>
        <v>919087.969464</v>
      </c>
      <c r="I75" s="46">
        <f>_xlfn.SUMIFS(_CALC_ALLOC!$AR$1:$AR$349,_CALC_ALLOC!$AS$1:$AS$349,"2027|"&amp;$P$1,_CALC_ALLOC!$C$1:$C$349,"PIGIER")</f>
        <v>87360.891397618</v>
      </c>
      <c r="J75" s="46">
        <f>_xlfn.SUMIFS(_CALC_ALLOC!$AM$1:$AM$349,_CALC_ALLOC!$AS$1:$AS$349,"2027|"&amp;$P$1,_CALC_ALLOC!$C$1:$C$349,"PIGIER")</f>
        <v>440868.382432593</v>
      </c>
      <c r="K75" s="46">
        <f t="shared" si="0"/>
        <v>2285658.63009121</v>
      </c>
      <c r="L75" s="47">
        <f>_xlfn.SUMIFS(_CALC_ALLOC!$AN$1:$AN$349,_CALC_ALLOC!$AS$1:$AS$349,"2027|"&amp;$P$1,_CALC_ALLOC!$C$1:$C$349,"PIGIER")</f>
        <v>559724.038107789</v>
      </c>
      <c r="M75" s="48">
        <f t="shared" si="1"/>
        <v>0.196713097455559</v>
      </c>
      <c r="BF75" t="s">
        <v>35</v>
      </c>
      <c r="BG75" t="s">
        <v>36</v>
      </c>
      <c r="BH75" t="s">
        <v>37</v>
      </c>
      <c r="BI75" t="s">
        <v>121</v>
      </c>
      <c r="BJ75" t="s">
        <v>64</v>
      </c>
      <c r="BK75" t="s">
        <v>65</v>
      </c>
      <c r="BL75" t="s">
        <v>70</v>
      </c>
      <c r="BM75" t="s">
        <v>72</v>
      </c>
      <c r="BN75" t="s">
        <v>43</v>
      </c>
      <c r="BO75">
        <v>46</v>
      </c>
      <c r="BP75">
        <v>2</v>
      </c>
      <c r="BQ75">
        <v>338100</v>
      </c>
      <c r="BR75">
        <v>20165.075</v>
      </c>
      <c r="BS75">
        <v>47349.78675</v>
      </c>
      <c r="BT75">
        <v>17406.649815</v>
      </c>
      <c r="BU75">
        <v>126191.864</v>
      </c>
      <c r="BV75">
        <v>9272.257725</v>
      </c>
      <c r="BW75">
        <v>43102.006243</v>
      </c>
      <c r="BX75">
        <v>52374.263968</v>
      </c>
      <c r="BY75">
        <v>37571.724815</v>
      </c>
      <c r="BZ75">
        <v>225915.914718</v>
      </c>
      <c r="CA75">
        <v>263487.639533</v>
      </c>
      <c r="CB75">
        <v>74612.360467</v>
      </c>
      <c r="CC75">
        <v>0</v>
      </c>
      <c r="CD75">
        <v>115229</v>
      </c>
      <c r="CE75">
        <v>270570.21</v>
      </c>
      <c r="CF75">
        <v>86655</v>
      </c>
      <c r="CG75">
        <v>22927</v>
      </c>
      <c r="CH75">
        <v>630959.32</v>
      </c>
      <c r="CI75">
        <v>2760232</v>
      </c>
      <c r="CJ75">
        <v>580167</v>
      </c>
    </row>
    <row r="76" ht="14.497499999999997" customHeight="1" hidden="0" collapsed="1" outlineLevel="1">
      <c r="B76" s="49" t="s">
        <v>129</v>
      </c>
      <c r="C76" s="50">
        <f>_xlfn.SUMIFS(_CALC_ALLOC!$G$1:$G$349,_CALC_ALLOC!$AS$1:$AS$349,"2027|"&amp;$P$1,_CALC_ALLOC!$B$1:$B$349,"PIGIER_LYO")</f>
        <v>236.947532</v>
      </c>
      <c r="D76" s="51">
        <f>_xlfn.SUMIFS(_CALC_ALLOC!$I$1:$I$349,_CALC_ALLOC!$AS$1:$AS$349,"2027|"&amp;$P$1,_CALC_ALLOC!$B$1:$B$349,"PIGIER_LYO")</f>
        <v>1653870.063711</v>
      </c>
      <c r="E76" s="51">
        <f>_xlfn.SUMIFS(_CALC_ALLOC!$AI$1:$AI$349,_CALC_ALLOC!$AS$1:$AS$349,"2027|"&amp;$P$1,_CALC_ALLOC!$B$1:$B$349,"PIGIER_LYO")</f>
        <v>99444.7364699999</v>
      </c>
      <c r="F76" s="51">
        <f>_xlfn.SUMIFS(_CALC_ALLOC!$AJ$1:$AJ$349,_CALC_ALLOC!$AS$1:$AS$349,"2027|"&amp;$P$1,_CALC_ALLOC!$B$1:$B$349,"PIGIER_LYO")</f>
        <v>257235.0742</v>
      </c>
      <c r="G76" s="51">
        <f>_xlfn.SUMIFS(_CALC_ALLOC!$AK$1:$AK$349,_CALC_ALLOC!$AS$1:$AS$349,"2027|"&amp;$P$1,_CALC_ALLOC!$B$1:$B$349,"PIGIER_LYO")</f>
        <v>109269.550365</v>
      </c>
      <c r="H76" s="51">
        <f>_xlfn.SUMIFS(_CALC_ALLOC!$AL$1:$AL$349,_CALC_ALLOC!$AS$1:$AS$349,"2027|"&amp;$P$1,_CALC_ALLOC!$B$1:$B$349,"PIGIER_LYO")</f>
        <v>558386.852255</v>
      </c>
      <c r="I76" s="51">
        <f>_xlfn.SUMIFS(_CALC_ALLOC!$AR$1:$AR$349,_CALC_ALLOC!$AS$1:$AS$349,"2027|"&amp;$P$1,_CALC_ALLOC!$B$1:$B$349,"PIGIER_LYO")</f>
        <v>49091.0752787069</v>
      </c>
      <c r="J76" s="51">
        <f>_xlfn.SUMIFS(_CALC_ALLOC!$AM$1:$AM$349,_CALC_ALLOC!$AS$1:$AS$349,"2027|"&amp;$P$1,_CALC_ALLOC!$B$1:$B$349,"PIGIER_LYO")</f>
        <v>247739.035210786</v>
      </c>
      <c r="K76" s="51">
        <f t="shared" si="0"/>
        <v>1321166.32377949</v>
      </c>
      <c r="L76" s="52">
        <f>_xlfn.SUMIFS(_CALC_ALLOC!$AN$1:$AN$349,_CALC_ALLOC!$AS$1:$AS$349,"2027|"&amp;$P$1,_CALC_ALLOC!$B$1:$B$349,"PIGIER_LYO")</f>
        <v>332703.739931507</v>
      </c>
      <c r="M76" s="53">
        <f t="shared" si="1"/>
        <v>0.20116679492038</v>
      </c>
      <c r="BF76" t="s">
        <v>35</v>
      </c>
      <c r="BG76" t="s">
        <v>36</v>
      </c>
      <c r="BH76" t="s">
        <v>37</v>
      </c>
      <c r="BI76" t="s">
        <v>121</v>
      </c>
      <c r="BJ76" t="s">
        <v>73</v>
      </c>
      <c r="BK76" t="s">
        <v>65</v>
      </c>
      <c r="BL76" t="s">
        <v>66</v>
      </c>
      <c r="BM76" t="s">
        <v>42</v>
      </c>
      <c r="BN76" t="s">
        <v>67</v>
      </c>
      <c r="BO76">
        <v>68</v>
      </c>
      <c r="BP76">
        <v>3</v>
      </c>
      <c r="BQ76">
        <v>577320</v>
      </c>
      <c r="BR76">
        <v>43211</v>
      </c>
      <c r="BS76">
        <v>116748.28</v>
      </c>
      <c r="BT76">
        <v>53231.58624</v>
      </c>
      <c r="BU76">
        <v>213002.642</v>
      </c>
      <c r="BV76">
        <v>13523.732638</v>
      </c>
      <c r="BW76">
        <v>62864.948956</v>
      </c>
      <c r="BX76">
        <v>76388.681594</v>
      </c>
      <c r="BY76">
        <v>96442.58624</v>
      </c>
      <c r="BZ76">
        <v>406139.603594</v>
      </c>
      <c r="CA76">
        <v>502582.189834</v>
      </c>
      <c r="CB76">
        <v>74737.810166</v>
      </c>
      <c r="CC76">
        <v>68</v>
      </c>
      <c r="CD76">
        <v>172844</v>
      </c>
      <c r="CE76">
        <v>466993.12</v>
      </c>
      <c r="CF76">
        <v>125720</v>
      </c>
      <c r="CG76">
        <v>55272</v>
      </c>
      <c r="CH76">
        <v>1065013.21</v>
      </c>
      <c r="CI76">
        <v>2760232</v>
      </c>
      <c r="CJ76">
        <v>580167</v>
      </c>
    </row>
    <row r="77" ht="14.497499999999997" customHeight="1" hidden="0" collapsed="0" outlineLevel="2">
      <c r="B77" s="54" t="s">
        <v>130</v>
      </c>
      <c r="C77" s="55">
        <f>_xlfn.SUMIFS(_CALC_ALLOC!$G$1:$G$349,_CALC_ALLOC!$AS$1:$AS$349,"2027|"&amp;$P$1,_CALC_ALLOC!$B$1:$B$349,"PIGIER_LYO",_CALC_ALLOC!$D$1:$D$349,"BTS_GES",_CALC_ALLOC!$E$1:$E$349,"BTS1",_CALC_ALLOC!$F$1:$F$349,"ALT")</f>
        <v>51.131266</v>
      </c>
      <c r="D77" s="56">
        <f>_xlfn.SUMIFS(_CALC_ALLOC!$I$1:$I$349,_CALC_ALLOC!$AS$1:$AS$349,"2027|"&amp;$P$1,_CALC_ALLOC!$B$1:$B$349,"PIGIER_LYO",_CALC_ALLOC!$D$1:$D$349,"BTS_GES",_CALC_ALLOC!$E$1:$E$349,"BTS1",_CALC_ALLOC!$F$1:$F$349,"ALT")</f>
        <v>327569.541147</v>
      </c>
      <c r="E77" s="56">
        <f>_xlfn.SUMIFS(_CALC_ALLOC!$AI$1:$AI$349,_CALC_ALLOC!$AS$1:$AS$349,"2027|"&amp;$P$1,_CALC_ALLOC!$B$1:$B$349,"PIGIER_LYO",_CALC_ALLOC!$D$1:$D$349,"BTS_GES",_CALC_ALLOC!$E$1:$E$349,"BTS1",_CALC_ALLOC!$F$1:$F$349,"ALT")</f>
        <v>24511.0265947183</v>
      </c>
      <c r="F77" s="56">
        <f>_xlfn.SUMIFS(_CALC_ALLOC!$AJ$1:$AJ$349,_CALC_ALLOC!$AS$1:$AS$349,"2027|"&amp;$P$1,_CALC_ALLOC!$B$1:$B$349,"PIGIER_LYO",_CALC_ALLOC!$D$1:$D$349,"BTS_GES",_CALC_ALLOC!$E$1:$E$349,"BTS1",_CALC_ALLOC!$F$1:$F$349,"ALT")</f>
        <v>63403.0112464789</v>
      </c>
      <c r="G77" s="56">
        <f>_xlfn.SUMIFS(_CALC_ALLOC!$AK$1:$AK$349,_CALC_ALLOC!$AS$1:$AS$349,"2027|"&amp;$P$1,_CALC_ALLOC!$B$1:$B$349,"PIGIER_LYO",_CALC_ALLOC!$D$1:$D$349,"BTS_GES",_CALC_ALLOC!$E$1:$E$349,"BTS1",_CALC_ALLOC!$F$1:$F$349,"ALT")</f>
        <v>34817.3178871228</v>
      </c>
      <c r="H77" s="56">
        <f>_xlfn.SUMIFS(_CALC_ALLOC!$AL$1:$AL$349,_CALC_ALLOC!$AS$1:$AS$349,"2027|"&amp;$P$1,_CALC_ALLOC!$B$1:$B$349,"PIGIER_LYO",_CALC_ALLOC!$D$1:$D$349,"BTS_GES",_CALC_ALLOC!$E$1:$E$349,"BTS1",_CALC_ALLOC!$F$1:$F$349,"ALT")</f>
        <v>111677.370451</v>
      </c>
      <c r="I77" s="56">
        <f>_xlfn.SUMIFS(_CALC_ALLOC!$AR$1:$AR$349,_CALC_ALLOC!$AS$1:$AS$349,"2027|"&amp;$P$1,_CALC_ALLOC!$B$1:$B$349,"PIGIER_LYO",_CALC_ALLOC!$D$1:$D$349,"BTS_GES",_CALC_ALLOC!$E$1:$E$349,"BTS1",_CALC_ALLOC!$F$1:$F$349,"ALT")</f>
        <v>9818.21505574138</v>
      </c>
      <c r="J77" s="56">
        <f>_xlfn.SUMIFS(_CALC_ALLOC!$AM$1:$AM$349,_CALC_ALLOC!$AS$1:$AS$349,"2027|"&amp;$P$1,_CALC_ALLOC!$B$1:$B$349,"PIGIER_LYO",_CALC_ALLOC!$D$1:$D$349,"BTS_GES",_CALC_ALLOC!$E$1:$E$349,"BTS1",_CALC_ALLOC!$F$1:$F$349,"ALT")</f>
        <v>49547.8070421572</v>
      </c>
      <c r="K77" s="57">
        <f t="shared" si="0"/>
        <v>293774.748277219</v>
      </c>
      <c r="L77" s="58">
        <f>_xlfn.SUMIFS(_CALC_ALLOC!$AN$1:$AN$349,_CALC_ALLOC!$AS$1:$AS$349,"2027|"&amp;$P$1,_CALC_ALLOC!$B$1:$B$349,"PIGIER_LYO",_CALC_ALLOC!$D$1:$D$349,"BTS_GES",_CALC_ALLOC!$E$1:$E$349,"BTS1",_CALC_ALLOC!$F$1:$F$349,"ALT")</f>
        <v>33794.7928697814</v>
      </c>
      <c r="M77" s="59">
        <f t="shared" si="1"/>
        <v>0.103168300542985</v>
      </c>
      <c r="BF77" t="s">
        <v>35</v>
      </c>
      <c r="BG77" t="s">
        <v>36</v>
      </c>
      <c r="BH77" t="s">
        <v>37</v>
      </c>
      <c r="BI77" t="s">
        <v>121</v>
      </c>
      <c r="BJ77" t="s">
        <v>73</v>
      </c>
      <c r="BK77" t="s">
        <v>65</v>
      </c>
      <c r="BL77" t="s">
        <v>66</v>
      </c>
      <c r="BM77" t="s">
        <v>44</v>
      </c>
      <c r="BN77" t="s">
        <v>43</v>
      </c>
      <c r="BO77">
        <v>66</v>
      </c>
      <c r="BP77">
        <v>3</v>
      </c>
      <c r="BQ77">
        <v>517440</v>
      </c>
      <c r="BR77">
        <v>34568.8</v>
      </c>
      <c r="BS77">
        <v>93398.624</v>
      </c>
      <c r="BT77">
        <v>24842.77488</v>
      </c>
      <c r="BU77">
        <v>213002.642</v>
      </c>
      <c r="BV77">
        <v>13523.732638</v>
      </c>
      <c r="BW77">
        <v>62864.948956</v>
      </c>
      <c r="BX77">
        <v>76388.681594</v>
      </c>
      <c r="BY77">
        <v>59411.57488</v>
      </c>
      <c r="BZ77">
        <v>382789.947594</v>
      </c>
      <c r="CA77">
        <v>442201.522474</v>
      </c>
      <c r="CB77">
        <v>75238.477526</v>
      </c>
      <c r="CC77">
        <v>0</v>
      </c>
      <c r="CD77">
        <v>172844</v>
      </c>
      <c r="CE77">
        <v>466993.12</v>
      </c>
      <c r="CF77">
        <v>125720</v>
      </c>
      <c r="CG77">
        <v>55272</v>
      </c>
      <c r="CH77">
        <v>1065013.21</v>
      </c>
      <c r="CI77">
        <v>2760232</v>
      </c>
      <c r="CJ77">
        <v>580167</v>
      </c>
    </row>
    <row r="78" ht="14.497499999999997" customHeight="1" hidden="0" collapsed="0" outlineLevel="2">
      <c r="B78" s="54" t="s">
        <v>131</v>
      </c>
      <c r="C78" s="55">
        <f>_xlfn.SUMIFS(_CALC_ALLOC!$G$1:$G$349,_CALC_ALLOC!$AS$1:$AS$349,"2027|"&amp;$P$1,_CALC_ALLOC!$B$1:$B$349,"PIGIER_LYO",_CALC_ALLOC!$D$1:$D$349,"BTS_GES",_CALC_ALLOC!$E$1:$E$349,"BTS2",_CALC_ALLOC!$F$1:$F$349,"ALT")</f>
        <v>45.23</v>
      </c>
      <c r="D78" s="56">
        <f>_xlfn.SUMIFS(_CALC_ALLOC!$I$1:$I$349,_CALC_ALLOC!$AS$1:$AS$349,"2027|"&amp;$P$1,_CALC_ALLOC!$B$1:$B$349,"PIGIER_LYO",_CALC_ALLOC!$D$1:$D$349,"BTS_GES",_CALC_ALLOC!$E$1:$E$349,"BTS2",_CALC_ALLOC!$F$1:$F$349,"ALT")</f>
        <v>285692.71689</v>
      </c>
      <c r="E78" s="56">
        <f>_xlfn.SUMIFS(_CALC_ALLOC!$AI$1:$AI$349,_CALC_ALLOC!$AS$1:$AS$349,"2027|"&amp;$P$1,_CALC_ALLOC!$B$1:$B$349,"PIGIER_LYO",_CALC_ALLOC!$D$1:$D$349,"BTS_GES",_CALC_ALLOC!$E$1:$E$349,"BTS2",_CALC_ALLOC!$F$1:$F$349,"ALT")</f>
        <v>24511.0265947183</v>
      </c>
      <c r="F78" s="56">
        <f>_xlfn.SUMIFS(_CALC_ALLOC!$AJ$1:$AJ$349,_CALC_ALLOC!$AS$1:$AS$349,"2027|"&amp;$P$1,_CALC_ALLOC!$B$1:$B$349,"PIGIER_LYO",_CALC_ALLOC!$D$1:$D$349,"BTS_GES",_CALC_ALLOC!$E$1:$E$349,"BTS2",_CALC_ALLOC!$F$1:$F$349,"ALT")</f>
        <v>63403.0112464789</v>
      </c>
      <c r="G78" s="56">
        <f>_xlfn.SUMIFS(_CALC_ALLOC!$AK$1:$AK$349,_CALC_ALLOC!$AS$1:$AS$349,"2027|"&amp;$P$1,_CALC_ALLOC!$B$1:$B$349,"PIGIER_LYO",_CALC_ALLOC!$D$1:$D$349,"BTS_GES",_CALC_ALLOC!$E$1:$E$349,"BTS2",_CALC_ALLOC!$F$1:$F$349,"ALT")</f>
        <v>13310.2215312753</v>
      </c>
      <c r="H78" s="56">
        <f>_xlfn.SUMIFS(_CALC_ALLOC!$AL$1:$AL$349,_CALC_ALLOC!$AS$1:$AS$349,"2027|"&amp;$P$1,_CALC_ALLOC!$B$1:$B$349,"PIGIER_LYO",_CALC_ALLOC!$D$1:$D$349,"BTS_GES",_CALC_ALLOC!$E$1:$E$349,"BTS2",_CALC_ALLOC!$F$1:$F$349,"ALT")</f>
        <v>111677.370451</v>
      </c>
      <c r="I78" s="56">
        <f>_xlfn.SUMIFS(_CALC_ALLOC!$AR$1:$AR$349,_CALC_ALLOC!$AS$1:$AS$349,"2027|"&amp;$P$1,_CALC_ALLOC!$B$1:$B$349,"PIGIER_LYO",_CALC_ALLOC!$D$1:$D$349,"BTS_GES",_CALC_ALLOC!$E$1:$E$349,"BTS2",_CALC_ALLOC!$F$1:$F$349,"ALT")</f>
        <v>9818.21505574138</v>
      </c>
      <c r="J78" s="56">
        <f>_xlfn.SUMIFS(_CALC_ALLOC!$AM$1:$AM$349,_CALC_ALLOC!$AS$1:$AS$349,"2027|"&amp;$P$1,_CALC_ALLOC!$B$1:$B$349,"PIGIER_LYO",_CALC_ALLOC!$D$1:$D$349,"BTS_GES",_CALC_ALLOC!$E$1:$E$349,"BTS2",_CALC_ALLOC!$F$1:$F$349,"ALT")</f>
        <v>49547.8070421572</v>
      </c>
      <c r="K78" s="57">
        <f t="shared" si="0"/>
        <v>272267.651921371</v>
      </c>
      <c r="L78" s="58">
        <f>_xlfn.SUMIFS(_CALC_ALLOC!$AN$1:$AN$349,_CALC_ALLOC!$AS$1:$AS$349,"2027|"&amp;$P$1,_CALC_ALLOC!$B$1:$B$349,"PIGIER_LYO",_CALC_ALLOC!$D$1:$D$349,"BTS_GES",_CALC_ALLOC!$E$1:$E$349,"BTS2",_CALC_ALLOC!$F$1:$F$349,"ALT")</f>
        <v>13425.0649686289</v>
      </c>
      <c r="M78" s="59">
        <f t="shared" si="1"/>
        <v>0.0469912748031233</v>
      </c>
      <c r="BF78" t="s">
        <v>35</v>
      </c>
      <c r="BG78" t="s">
        <v>36</v>
      </c>
      <c r="BH78" t="s">
        <v>37</v>
      </c>
      <c r="BI78" t="s">
        <v>121</v>
      </c>
      <c r="BJ78" t="s">
        <v>73</v>
      </c>
      <c r="BK78" t="s">
        <v>65</v>
      </c>
      <c r="BL78" t="s">
        <v>66</v>
      </c>
      <c r="BM78" t="s">
        <v>50</v>
      </c>
      <c r="BN78" t="s">
        <v>43</v>
      </c>
      <c r="BO78">
        <v>65</v>
      </c>
      <c r="BP78">
        <v>3</v>
      </c>
      <c r="BQ78">
        <v>509600</v>
      </c>
      <c r="BR78">
        <v>34568.8</v>
      </c>
      <c r="BS78">
        <v>93398.624</v>
      </c>
      <c r="BT78">
        <v>24466.3692</v>
      </c>
      <c r="BU78">
        <v>213002.642</v>
      </c>
      <c r="BV78">
        <v>13523.732638</v>
      </c>
      <c r="BW78">
        <v>62864.948956</v>
      </c>
      <c r="BX78">
        <v>76388.681594</v>
      </c>
      <c r="BY78">
        <v>59035.1692</v>
      </c>
      <c r="BZ78">
        <v>382789.947594</v>
      </c>
      <c r="CA78">
        <v>441825.116794</v>
      </c>
      <c r="CB78">
        <v>67774.883206</v>
      </c>
      <c r="CC78">
        <v>0</v>
      </c>
      <c r="CD78">
        <v>172844</v>
      </c>
      <c r="CE78">
        <v>466993.12</v>
      </c>
      <c r="CF78">
        <v>125720</v>
      </c>
      <c r="CG78">
        <v>55272</v>
      </c>
      <c r="CH78">
        <v>1065013.21</v>
      </c>
      <c r="CI78">
        <v>2760232</v>
      </c>
      <c r="CJ78">
        <v>580167</v>
      </c>
    </row>
    <row r="79" ht="14.497499999999997" customHeight="1" hidden="0" collapsed="0" outlineLevel="2">
      <c r="B79" s="54" t="s">
        <v>132</v>
      </c>
      <c r="C79" s="55">
        <f>_xlfn.SUMIFS(_CALC_ALLOC!$G$1:$G$349,_CALC_ALLOC!$AS$1:$AS$349,"2027|"&amp;$P$1,_CALC_ALLOC!$B$1:$B$349,"PIGIER_LYO",_CALC_ALLOC!$D$1:$D$349,"BAC_RH",_CALC_ALLOC!$E$1:$E$349,"B1",_CALC_ALLOC!$F$1:$F$349,"ALT")</f>
        <v>51.131266</v>
      </c>
      <c r="D79" s="56">
        <f>_xlfn.SUMIFS(_CALC_ALLOC!$I$1:$I$349,_CALC_ALLOC!$AS$1:$AS$349,"2027|"&amp;$P$1,_CALC_ALLOC!$B$1:$B$349,"PIGIER_LYO",_CALC_ALLOC!$D$1:$D$349,"BAC_RH",_CALC_ALLOC!$E$1:$E$349,"B1",_CALC_ALLOC!$F$1:$F$349,"ALT")</f>
        <v>381397.495681</v>
      </c>
      <c r="E79" s="56">
        <f>_xlfn.SUMIFS(_CALC_ALLOC!$AI$1:$AI$349,_CALC_ALLOC!$AS$1:$AS$349,"2027|"&amp;$P$1,_CALC_ALLOC!$B$1:$B$349,"PIGIER_LYO",_CALC_ALLOC!$D$1:$D$349,"BAC_RH",_CALC_ALLOC!$E$1:$E$349,"B1",_CALC_ALLOC!$F$1:$F$349,"ALT")</f>
        <v>16807.5610935211</v>
      </c>
      <c r="F79" s="56">
        <f>_xlfn.SUMIFS(_CALC_ALLOC!$AJ$1:$AJ$349,_CALC_ALLOC!$AS$1:$AS$349,"2027|"&amp;$P$1,_CALC_ALLOC!$B$1:$B$349,"PIGIER_LYO",_CALC_ALLOC!$D$1:$D$349,"BAC_RH",_CALC_ALLOC!$E$1:$E$349,"B1",_CALC_ALLOC!$F$1:$F$349,"ALT")</f>
        <v>43476.3505690141</v>
      </c>
      <c r="G79" s="56">
        <f>_xlfn.SUMIFS(_CALC_ALLOC!$AK$1:$AK$349,_CALC_ALLOC!$AS$1:$AS$349,"2027|"&amp;$P$1,_CALC_ALLOC!$B$1:$B$349,"PIGIER_LYO",_CALC_ALLOC!$D$1:$D$349,"BAC_RH",_CALC_ALLOC!$E$1:$E$349,"B1",_CALC_ALLOC!$F$1:$F$349,"ALT")</f>
        <v>34817.3178871228</v>
      </c>
      <c r="H79" s="56">
        <f>_xlfn.SUMIFS(_CALC_ALLOC!$AL$1:$AL$349,_CALC_ALLOC!$AS$1:$AS$349,"2027|"&amp;$P$1,_CALC_ALLOC!$B$1:$B$349,"PIGIER_LYO",_CALC_ALLOC!$D$1:$D$349,"BAC_RH",_CALC_ALLOC!$E$1:$E$349,"B1",_CALC_ALLOC!$F$1:$F$349,"ALT")</f>
        <v>111677.370451</v>
      </c>
      <c r="I79" s="56">
        <f>_xlfn.SUMIFS(_CALC_ALLOC!$AR$1:$AR$349,_CALC_ALLOC!$AS$1:$AS$349,"2027|"&amp;$P$1,_CALC_ALLOC!$B$1:$B$349,"PIGIER_LYO",_CALC_ALLOC!$D$1:$D$349,"BAC_RH",_CALC_ALLOC!$E$1:$E$349,"B1",_CALC_ALLOC!$F$1:$F$349,"ALT")</f>
        <v>9818.21505574138</v>
      </c>
      <c r="J79" s="56">
        <f>_xlfn.SUMIFS(_CALC_ALLOC!$AM$1:$AM$349,_CALC_ALLOC!$AS$1:$AS$349,"2027|"&amp;$P$1,_CALC_ALLOC!$B$1:$B$349,"PIGIER_LYO",_CALC_ALLOC!$D$1:$D$349,"BAC_RH",_CALC_ALLOC!$E$1:$E$349,"B1",_CALC_ALLOC!$F$1:$F$349,"ALT")</f>
        <v>49547.8070421572</v>
      </c>
      <c r="K79" s="57">
        <f t="shared" si="0"/>
        <v>266144.622098557</v>
      </c>
      <c r="L79" s="58">
        <f>_xlfn.SUMIFS(_CALC_ALLOC!$AN$1:$AN$349,_CALC_ALLOC!$AS$1:$AS$349,"2027|"&amp;$P$1,_CALC_ALLOC!$B$1:$B$349,"PIGIER_LYO",_CALC_ALLOC!$D$1:$D$349,"BAC_RH",_CALC_ALLOC!$E$1:$E$349,"B1",_CALC_ALLOC!$F$1:$F$349,"ALT")</f>
        <v>115252.873582443</v>
      </c>
      <c r="M79" s="59">
        <f t="shared" si="1"/>
        <v>0.302185711462668</v>
      </c>
      <c r="BF79" t="s">
        <v>35</v>
      </c>
      <c r="BG79" t="s">
        <v>36</v>
      </c>
      <c r="BH79" t="s">
        <v>37</v>
      </c>
      <c r="BI79" t="s">
        <v>121</v>
      </c>
      <c r="BJ79" t="s">
        <v>73</v>
      </c>
      <c r="BK79" t="s">
        <v>65</v>
      </c>
      <c r="BL79" t="s">
        <v>70</v>
      </c>
      <c r="BM79" t="s">
        <v>71</v>
      </c>
      <c r="BN79" t="s">
        <v>43</v>
      </c>
      <c r="BO79">
        <v>68</v>
      </c>
      <c r="BP79">
        <v>3</v>
      </c>
      <c r="BQ79">
        <v>577320</v>
      </c>
      <c r="BR79">
        <v>30247.7</v>
      </c>
      <c r="BS79">
        <v>81723.796</v>
      </c>
      <c r="BT79">
        <v>53231.58624</v>
      </c>
      <c r="BU79">
        <v>213002.642</v>
      </c>
      <c r="BV79">
        <v>13523.732638</v>
      </c>
      <c r="BW79">
        <v>62864.948956</v>
      </c>
      <c r="BX79">
        <v>76388.681594</v>
      </c>
      <c r="BY79">
        <v>83479.28624</v>
      </c>
      <c r="BZ79">
        <v>371115.119594</v>
      </c>
      <c r="CA79">
        <v>454594.405834</v>
      </c>
      <c r="CB79">
        <v>122725.594166</v>
      </c>
      <c r="CC79">
        <v>68</v>
      </c>
      <c r="CD79">
        <v>172844</v>
      </c>
      <c r="CE79">
        <v>466993.12</v>
      </c>
      <c r="CF79">
        <v>125720</v>
      </c>
      <c r="CG79">
        <v>55272</v>
      </c>
      <c r="CH79">
        <v>1065013.21</v>
      </c>
      <c r="CI79">
        <v>2760232</v>
      </c>
      <c r="CJ79">
        <v>580167</v>
      </c>
    </row>
    <row r="80" ht="14.497499999999997" customHeight="1" hidden="0" collapsed="0" outlineLevel="2">
      <c r="B80" s="54" t="s">
        <v>133</v>
      </c>
      <c r="C80" s="55">
        <f>_xlfn.SUMIFS(_CALC_ALLOC!$G$1:$G$349,_CALC_ALLOC!$AS$1:$AS$349,"2027|"&amp;$P$1,_CALC_ALLOC!$B$1:$B$349,"PIGIER_LYO",_CALC_ALLOC!$D$1:$D$349,"BAC_RH",_CALC_ALLOC!$E$1:$E$349,"B3",_CALC_ALLOC!$F$1:$F$349,"ALT")</f>
        <v>44.225</v>
      </c>
      <c r="D80" s="56">
        <f>_xlfn.SUMIFS(_CALC_ALLOC!$I$1:$I$349,_CALC_ALLOC!$AS$1:$AS$349,"2027|"&amp;$P$1,_CALC_ALLOC!$B$1:$B$349,"PIGIER_LYO",_CALC_ALLOC!$D$1:$D$349,"BAC_RH",_CALC_ALLOC!$E$1:$E$349,"B3",_CALC_ALLOC!$F$1:$F$349,"ALT")</f>
        <v>325902.140288</v>
      </c>
      <c r="E80" s="56">
        <f>_xlfn.SUMIFS(_CALC_ALLOC!$AI$1:$AI$349,_CALC_ALLOC!$AS$1:$AS$349,"2027|"&amp;$P$1,_CALC_ALLOC!$B$1:$B$349,"PIGIER_LYO",_CALC_ALLOC!$D$1:$D$349,"BAC_RH",_CALC_ALLOC!$E$1:$E$349,"B3",_CALC_ALLOC!$F$1:$F$349,"ALT")</f>
        <v>16807.5610935211</v>
      </c>
      <c r="F80" s="56">
        <f>_xlfn.SUMIFS(_CALC_ALLOC!$AJ$1:$AJ$349,_CALC_ALLOC!$AS$1:$AS$349,"2027|"&amp;$P$1,_CALC_ALLOC!$B$1:$B$349,"PIGIER_LYO",_CALC_ALLOC!$D$1:$D$349,"BAC_RH",_CALC_ALLOC!$E$1:$E$349,"B3",_CALC_ALLOC!$F$1:$F$349,"ALT")</f>
        <v>43476.3505690141</v>
      </c>
      <c r="G80" s="56">
        <f>_xlfn.SUMIFS(_CALC_ALLOC!$AK$1:$AK$349,_CALC_ALLOC!$AS$1:$AS$349,"2027|"&amp;$P$1,_CALC_ALLOC!$B$1:$B$349,"PIGIER_LYO",_CALC_ALLOC!$D$1:$D$349,"BAC_RH",_CALC_ALLOC!$E$1:$E$349,"B3",_CALC_ALLOC!$F$1:$F$349,"ALT")</f>
        <v>13014.4715282037</v>
      </c>
      <c r="H80" s="56">
        <f>_xlfn.SUMIFS(_CALC_ALLOC!$AL$1:$AL$349,_CALC_ALLOC!$AS$1:$AS$349,"2027|"&amp;$P$1,_CALC_ALLOC!$B$1:$B$349,"PIGIER_LYO",_CALC_ALLOC!$D$1:$D$349,"BAC_RH",_CALC_ALLOC!$E$1:$E$349,"B3",_CALC_ALLOC!$F$1:$F$349,"ALT")</f>
        <v>111677.370451</v>
      </c>
      <c r="I80" s="56">
        <f>_xlfn.SUMIFS(_CALC_ALLOC!$AR$1:$AR$349,_CALC_ALLOC!$AS$1:$AS$349,"2027|"&amp;$P$1,_CALC_ALLOC!$B$1:$B$349,"PIGIER_LYO",_CALC_ALLOC!$D$1:$D$349,"BAC_RH",_CALC_ALLOC!$E$1:$E$349,"B3",_CALC_ALLOC!$F$1:$F$349,"ALT")</f>
        <v>9818.21505574138</v>
      </c>
      <c r="J80" s="56">
        <f>_xlfn.SUMIFS(_CALC_ALLOC!$AM$1:$AM$349,_CALC_ALLOC!$AS$1:$AS$349,"2027|"&amp;$P$1,_CALC_ALLOC!$B$1:$B$349,"PIGIER_LYO",_CALC_ALLOC!$D$1:$D$349,"BAC_RH",_CALC_ALLOC!$E$1:$E$349,"B3",_CALC_ALLOC!$F$1:$F$349,"ALT")</f>
        <v>49547.8070421572</v>
      </c>
      <c r="K80" s="57">
        <f t="shared" si="0"/>
        <v>244341.775739637</v>
      </c>
      <c r="L80" s="58">
        <f>_xlfn.SUMIFS(_CALC_ALLOC!$AN$1:$AN$349,_CALC_ALLOC!$AS$1:$AS$349,"2027|"&amp;$P$1,_CALC_ALLOC!$B$1:$B$349,"PIGIER_LYO",_CALC_ALLOC!$D$1:$D$349,"BAC_RH",_CALC_ALLOC!$E$1:$E$349,"B3",_CALC_ALLOC!$F$1:$F$349,"ALT")</f>
        <v>81560.3645483625</v>
      </c>
      <c r="M80" s="59">
        <f t="shared" si="1"/>
        <v>0.250260291252729</v>
      </c>
      <c r="BF80" t="s">
        <v>35</v>
      </c>
      <c r="BG80" t="s">
        <v>36</v>
      </c>
      <c r="BH80" t="s">
        <v>37</v>
      </c>
      <c r="BI80" t="s">
        <v>121</v>
      </c>
      <c r="BJ80" t="s">
        <v>73</v>
      </c>
      <c r="BK80" t="s">
        <v>65</v>
      </c>
      <c r="BL80" t="s">
        <v>70</v>
      </c>
      <c r="BM80" t="s">
        <v>72</v>
      </c>
      <c r="BN80" t="s">
        <v>43</v>
      </c>
      <c r="BO80">
        <v>67</v>
      </c>
      <c r="BP80">
        <v>3</v>
      </c>
      <c r="BQ80">
        <v>562800</v>
      </c>
      <c r="BR80">
        <v>30247.7</v>
      </c>
      <c r="BS80">
        <v>81723.796</v>
      </c>
      <c r="BT80">
        <v>25219.18056</v>
      </c>
      <c r="BU80">
        <v>213002.642</v>
      </c>
      <c r="BV80">
        <v>13523.732638</v>
      </c>
      <c r="BW80">
        <v>62864.948956</v>
      </c>
      <c r="BX80">
        <v>76388.681594</v>
      </c>
      <c r="BY80">
        <v>55466.88056</v>
      </c>
      <c r="BZ80">
        <v>371115.119594</v>
      </c>
      <c r="CA80">
        <v>426582.000154</v>
      </c>
      <c r="CB80">
        <v>136217.999846</v>
      </c>
      <c r="CC80">
        <v>0</v>
      </c>
      <c r="CD80">
        <v>172844</v>
      </c>
      <c r="CE80">
        <v>466993.12</v>
      </c>
      <c r="CF80">
        <v>125720</v>
      </c>
      <c r="CG80">
        <v>55272</v>
      </c>
      <c r="CH80">
        <v>1065013.21</v>
      </c>
      <c r="CI80">
        <v>2760232</v>
      </c>
      <c r="CJ80">
        <v>580167</v>
      </c>
    </row>
    <row r="81" ht="14.497499999999997" customHeight="1" hidden="0" collapsed="0" outlineLevel="1">
      <c r="B81" s="49" t="s">
        <v>134</v>
      </c>
      <c r="C81" s="50">
        <f>_xlfn.SUMIFS(_CALC_ALLOC!$G$1:$G$349,_CALC_ALLOC!$AS$1:$AS$349,"2027|"&amp;$P$1,_CALC_ALLOC!$B$1:$B$349,"PIGIER_BOR")</f>
        <v>184.71664</v>
      </c>
      <c r="D81" s="51">
        <f>_xlfn.SUMIFS(_CALC_ALLOC!$I$1:$I$349,_CALC_ALLOC!$AS$1:$AS$349,"2027|"&amp;$P$1,_CALC_ALLOC!$B$1:$B$349,"PIGIER_BOR")</f>
        <v>1191512.604488</v>
      </c>
      <c r="E81" s="51">
        <f>_xlfn.SUMIFS(_CALC_ALLOC!$AI$1:$AI$349,_CALC_ALLOC!$AS$1:$AS$349,"2027|"&amp;$P$1,_CALC_ALLOC!$B$1:$B$349,"PIGIER_BOR")</f>
        <v>99444.7364699999</v>
      </c>
      <c r="F81" s="51">
        <f>_xlfn.SUMIFS(_CALC_ALLOC!$AJ$1:$AJ$349,_CALC_ALLOC!$AS$1:$AS$349,"2027|"&amp;$P$1,_CALC_ALLOC!$B$1:$B$349,"PIGIER_BOR")</f>
        <v>194818.2691</v>
      </c>
      <c r="G81" s="51">
        <f>_xlfn.SUMIFS(_CALC_ALLOC!$AK$1:$AK$349,_CALC_ALLOC!$AS$1:$AS$349,"2027|"&amp;$P$1,_CALC_ALLOC!$B$1:$B$349,"PIGIER_BOR")</f>
        <v>78129.0201919999</v>
      </c>
      <c r="H81" s="51">
        <f>_xlfn.SUMIFS(_CALC_ALLOC!$AL$1:$AL$349,_CALC_ALLOC!$AS$1:$AS$349,"2027|"&amp;$P$1,_CALC_ALLOC!$B$1:$B$349,"PIGIER_BOR")</f>
        <v>360701.117209</v>
      </c>
      <c r="I81" s="51">
        <f>_xlfn.SUMIFS(_CALC_ALLOC!$AR$1:$AR$349,_CALC_ALLOC!$AS$1:$AS$349,"2027|"&amp;$P$1,_CALC_ALLOC!$B$1:$B$349,"PIGIER_BOR")</f>
        <v>38269.8161189111</v>
      </c>
      <c r="J81" s="51">
        <f>_xlfn.SUMIFS(_CALC_ALLOC!$AM$1:$AM$349,_CALC_ALLOC!$AS$1:$AS$349,"2027|"&amp;$P$1,_CALC_ALLOC!$B$1:$B$349,"PIGIER_BOR")</f>
        <v>193129.347221806</v>
      </c>
      <c r="K81" s="51">
        <f t="shared" si="0"/>
        <v>964492.306311717</v>
      </c>
      <c r="L81" s="52">
        <f>_xlfn.SUMIFS(_CALC_ALLOC!$AN$1:$AN$349,_CALC_ALLOC!$AS$1:$AS$349,"2027|"&amp;$P$1,_CALC_ALLOC!$B$1:$B$349,"PIGIER_BOR")</f>
        <v>227020.298176282</v>
      </c>
      <c r="M81" s="53">
        <f t="shared" si="1"/>
        <v>0.190531176356153</v>
      </c>
      <c r="BF81" t="s">
        <v>35</v>
      </c>
      <c r="BG81" t="s">
        <v>36</v>
      </c>
      <c r="BH81" t="s">
        <v>37</v>
      </c>
      <c r="BI81" t="s">
        <v>121</v>
      </c>
      <c r="BJ81" t="s">
        <v>87</v>
      </c>
      <c r="BK81" t="s">
        <v>65</v>
      </c>
      <c r="BL81" t="s">
        <v>66</v>
      </c>
      <c r="BM81" t="s">
        <v>42</v>
      </c>
      <c r="BN81" t="s">
        <v>67</v>
      </c>
      <c r="BO81">
        <v>44</v>
      </c>
      <c r="BP81">
        <v>2</v>
      </c>
      <c r="BQ81">
        <v>320760</v>
      </c>
      <c r="BR81">
        <v>28807.25</v>
      </c>
      <c r="BS81">
        <v>63305.21</v>
      </c>
      <c r="BT81">
        <v>26749.386714</v>
      </c>
      <c r="BU81">
        <v>113871.436</v>
      </c>
      <c r="BV81">
        <v>8745.885842</v>
      </c>
      <c r="BW81">
        <v>40655.171303</v>
      </c>
      <c r="BX81">
        <v>49401.057145</v>
      </c>
      <c r="BY81">
        <v>55556.636714</v>
      </c>
      <c r="BZ81">
        <v>226577.703145</v>
      </c>
      <c r="CA81">
        <v>282134.339859</v>
      </c>
      <c r="CB81">
        <v>38625.660141</v>
      </c>
      <c r="CC81">
        <v>44</v>
      </c>
      <c r="CD81">
        <v>115229</v>
      </c>
      <c r="CE81">
        <v>253220.84</v>
      </c>
      <c r="CF81">
        <v>82038</v>
      </c>
      <c r="CG81">
        <v>20076</v>
      </c>
      <c r="CH81">
        <v>569357.18</v>
      </c>
      <c r="CI81">
        <v>2760232</v>
      </c>
      <c r="CJ81">
        <v>580167</v>
      </c>
    </row>
    <row r="82" ht="14.497499999999997" customHeight="1" hidden="0" collapsed="0" outlineLevel="2">
      <c r="B82" s="54" t="s">
        <v>130</v>
      </c>
      <c r="C82" s="55">
        <f>_xlfn.SUMIFS(_CALC_ALLOC!$G$1:$G$349,_CALC_ALLOC!$AS$1:$AS$349,"2027|"&amp;$P$1,_CALC_ALLOC!$B$1:$B$349,"PIGIER_BOR",_CALC_ALLOC!$D$1:$D$349,"BTS_GES",_CALC_ALLOC!$E$1:$E$349,"BTS1",_CALC_ALLOC!$F$1:$F$349,"ALT")</f>
        <v>40.09082</v>
      </c>
      <c r="D82" s="56">
        <f>_xlfn.SUMIFS(_CALC_ALLOC!$I$1:$I$349,_CALC_ALLOC!$AS$1:$AS$349,"2027|"&amp;$P$1,_CALC_ALLOC!$B$1:$B$349,"PIGIER_BOR",_CALC_ALLOC!$D$1:$D$349,"BTS_GES",_CALC_ALLOC!$E$1:$E$349,"BTS1",_CALC_ALLOC!$F$1:$F$349,"ALT")</f>
        <v>237545.733774</v>
      </c>
      <c r="E82" s="56">
        <f>_xlfn.SUMIFS(_CALC_ALLOC!$AI$1:$AI$349,_CALC_ALLOC!$AS$1:$AS$349,"2027|"&amp;$P$1,_CALC_ALLOC!$B$1:$B$349,"PIGIER_BOR",_CALC_ALLOC!$D$1:$D$349,"BTS_GES",_CALC_ALLOC!$E$1:$E$349,"BTS1",_CALC_ALLOC!$F$1:$F$349,"ALT")</f>
        <v>24511.0265947183</v>
      </c>
      <c r="F82" s="56">
        <f>_xlfn.SUMIFS(_CALC_ALLOC!$AJ$1:$AJ$349,_CALC_ALLOC!$AS$1:$AS$349,"2027|"&amp;$P$1,_CALC_ALLOC!$B$1:$B$349,"PIGIER_BOR",_CALC_ALLOC!$D$1:$D$349,"BTS_GES",_CALC_ALLOC!$E$1:$E$349,"BTS1",_CALC_ALLOC!$F$1:$F$349,"ALT")</f>
        <v>48018.5874542254</v>
      </c>
      <c r="G82" s="56">
        <f>_xlfn.SUMIFS(_CALC_ALLOC!$AK$1:$AK$349,_CALC_ALLOC!$AS$1:$AS$349,"2027|"&amp;$P$1,_CALC_ALLOC!$B$1:$B$349,"PIGIER_BOR",_CALC_ALLOC!$D$1:$D$349,"BTS_GES",_CALC_ALLOC!$E$1:$E$349,"BTS1",_CALC_ALLOC!$F$1:$F$349,"ALT")</f>
        <v>23670.4496167418</v>
      </c>
      <c r="H82" s="56">
        <f>_xlfn.SUMIFS(_CALC_ALLOC!$AL$1:$AL$349,_CALC_ALLOC!$AS$1:$AS$349,"2027|"&amp;$P$1,_CALC_ALLOC!$B$1:$B$349,"PIGIER_BOR",_CALC_ALLOC!$D$1:$D$349,"BTS_GES",_CALC_ALLOC!$E$1:$E$349,"BTS1",_CALC_ALLOC!$F$1:$F$349,"ALT")</f>
        <v>72140.2234418</v>
      </c>
      <c r="I82" s="56">
        <f>_xlfn.SUMIFS(_CALC_ALLOC!$AR$1:$AR$349,_CALC_ALLOC!$AS$1:$AS$349,"2027|"&amp;$P$1,_CALC_ALLOC!$B$1:$B$349,"PIGIER_BOR",_CALC_ALLOC!$D$1:$D$349,"BTS_GES",_CALC_ALLOC!$E$1:$E$349,"BTS1",_CALC_ALLOC!$F$1:$F$349,"ALT")</f>
        <v>7653.96322378222</v>
      </c>
      <c r="J82" s="56">
        <f>_xlfn.SUMIFS(_CALC_ALLOC!$AM$1:$AM$349,_CALC_ALLOC!$AS$1:$AS$349,"2027|"&amp;$P$1,_CALC_ALLOC!$B$1:$B$349,"PIGIER_BOR",_CALC_ALLOC!$D$1:$D$349,"BTS_GES",_CALC_ALLOC!$E$1:$E$349,"BTS1",_CALC_ALLOC!$F$1:$F$349,"ALT")</f>
        <v>38625.8694443613</v>
      </c>
      <c r="K82" s="57">
        <f t="shared" si="0"/>
        <v>214620.119775629</v>
      </c>
      <c r="L82" s="58">
        <f>_xlfn.SUMIFS(_CALC_ALLOC!$AN$1:$AN$349,_CALC_ALLOC!$AS$1:$AS$349,"2027|"&amp;$P$1,_CALC_ALLOC!$B$1:$B$349,"PIGIER_BOR",_CALC_ALLOC!$D$1:$D$349,"BTS_GES",_CALC_ALLOC!$E$1:$E$349,"BTS1",_CALC_ALLOC!$F$1:$F$349,"ALT")</f>
        <v>22925.6139983709</v>
      </c>
      <c r="M82" s="59">
        <f t="shared" si="1"/>
        <v>0.0965103167046655</v>
      </c>
      <c r="BF82" t="s">
        <v>35</v>
      </c>
      <c r="BG82" t="s">
        <v>36</v>
      </c>
      <c r="BH82" t="s">
        <v>37</v>
      </c>
      <c r="BI82" t="s">
        <v>121</v>
      </c>
      <c r="BJ82" t="s">
        <v>87</v>
      </c>
      <c r="BK82" t="s">
        <v>65</v>
      </c>
      <c r="BL82" t="s">
        <v>66</v>
      </c>
      <c r="BM82" t="s">
        <v>44</v>
      </c>
      <c r="BN82" t="s">
        <v>43</v>
      </c>
      <c r="BO82">
        <v>43</v>
      </c>
      <c r="BP82">
        <v>2</v>
      </c>
      <c r="BQ82">
        <v>288960</v>
      </c>
      <c r="BR82">
        <v>23045.8</v>
      </c>
      <c r="BS82">
        <v>50644.168</v>
      </c>
      <c r="BT82">
        <v>16331.632812</v>
      </c>
      <c r="BU82">
        <v>113871.436</v>
      </c>
      <c r="BV82">
        <v>8745.885842</v>
      </c>
      <c r="BW82">
        <v>40655.171303</v>
      </c>
      <c r="BX82">
        <v>49401.057145</v>
      </c>
      <c r="BY82">
        <v>39377.432812</v>
      </c>
      <c r="BZ82">
        <v>213916.661145</v>
      </c>
      <c r="CA82">
        <v>253294.093957</v>
      </c>
      <c r="CB82">
        <v>35665.906043</v>
      </c>
      <c r="CC82">
        <v>0</v>
      </c>
      <c r="CD82">
        <v>115229</v>
      </c>
      <c r="CE82">
        <v>253220.84</v>
      </c>
      <c r="CF82">
        <v>82038</v>
      </c>
      <c r="CG82">
        <v>20076</v>
      </c>
      <c r="CH82">
        <v>569357.18</v>
      </c>
      <c r="CI82">
        <v>2760232</v>
      </c>
      <c r="CJ82">
        <v>580167</v>
      </c>
    </row>
    <row r="83" ht="14.497499999999997" customHeight="1" hidden="0" collapsed="0" outlineLevel="2">
      <c r="B83" s="54" t="s">
        <v>131</v>
      </c>
      <c r="C83" s="55">
        <f>_xlfn.SUMIFS(_CALC_ALLOC!$G$1:$G$349,_CALC_ALLOC!$AS$1:$AS$349,"2027|"&amp;$P$1,_CALC_ALLOC!$B$1:$B$349,"PIGIER_BOR",_CALC_ALLOC!$D$1:$D$349,"BTS_GES",_CALC_ALLOC!$E$1:$E$349,"BTS2",_CALC_ALLOC!$F$1:$F$349,"ALT")</f>
        <v>35.18</v>
      </c>
      <c r="D83" s="56">
        <f>_xlfn.SUMIFS(_CALC_ALLOC!$I$1:$I$349,_CALC_ALLOC!$AS$1:$AS$349,"2027|"&amp;$P$1,_CALC_ALLOC!$B$1:$B$349,"PIGIER_BOR",_CALC_ALLOC!$D$1:$D$349,"BTS_GES",_CALC_ALLOC!$E$1:$E$349,"BTS2",_CALC_ALLOC!$F$1:$F$349,"ALT")</f>
        <v>205281.991236</v>
      </c>
      <c r="E83" s="56">
        <f>_xlfn.SUMIFS(_CALC_ALLOC!$AI$1:$AI$349,_CALC_ALLOC!$AS$1:$AS$349,"2027|"&amp;$P$1,_CALC_ALLOC!$B$1:$B$349,"PIGIER_BOR",_CALC_ALLOC!$D$1:$D$349,"BTS_GES",_CALC_ALLOC!$E$1:$E$349,"BTS2",_CALC_ALLOC!$F$1:$F$349,"ALT")</f>
        <v>24511.0265947183</v>
      </c>
      <c r="F83" s="56">
        <f>_xlfn.SUMIFS(_CALC_ALLOC!$AJ$1:$AJ$349,_CALC_ALLOC!$AS$1:$AS$349,"2027|"&amp;$P$1,_CALC_ALLOC!$B$1:$B$349,"PIGIER_BOR",_CALC_ALLOC!$D$1:$D$349,"BTS_GES",_CALC_ALLOC!$E$1:$E$349,"BTS2",_CALC_ALLOC!$F$1:$F$349,"ALT")</f>
        <v>48018.5874542254</v>
      </c>
      <c r="G83" s="56">
        <f>_xlfn.SUMIFS(_CALC_ALLOC!$AK$1:$AK$349,_CALC_ALLOC!$AS$1:$AS$349,"2027|"&amp;$P$1,_CALC_ALLOC!$B$1:$B$349,"PIGIER_BOR",_CALC_ALLOC!$D$1:$D$349,"BTS_GES",_CALC_ALLOC!$E$1:$E$349,"BTS2",_CALC_ALLOC!$F$1:$F$349,"ALT")</f>
        <v>10361.3727012063</v>
      </c>
      <c r="H83" s="56">
        <f>_xlfn.SUMIFS(_CALC_ALLOC!$AL$1:$AL$349,_CALC_ALLOC!$AS$1:$AS$349,"2027|"&amp;$P$1,_CALC_ALLOC!$B$1:$B$349,"PIGIER_BOR",_CALC_ALLOC!$D$1:$D$349,"BTS_GES",_CALC_ALLOC!$E$1:$E$349,"BTS2",_CALC_ALLOC!$F$1:$F$349,"ALT")</f>
        <v>72140.2234418</v>
      </c>
      <c r="I83" s="56">
        <f>_xlfn.SUMIFS(_CALC_ALLOC!$AR$1:$AR$349,_CALC_ALLOC!$AS$1:$AS$349,"2027|"&amp;$P$1,_CALC_ALLOC!$B$1:$B$349,"PIGIER_BOR",_CALC_ALLOC!$D$1:$D$349,"BTS_GES",_CALC_ALLOC!$E$1:$E$349,"BTS2",_CALC_ALLOC!$F$1:$F$349,"ALT")</f>
        <v>7653.96322378222</v>
      </c>
      <c r="J83" s="56">
        <f>_xlfn.SUMIFS(_CALC_ALLOC!$AM$1:$AM$349,_CALC_ALLOC!$AS$1:$AS$349,"2027|"&amp;$P$1,_CALC_ALLOC!$B$1:$B$349,"PIGIER_BOR",_CALC_ALLOC!$D$1:$D$349,"BTS_GES",_CALC_ALLOC!$E$1:$E$349,"BTS2",_CALC_ALLOC!$F$1:$F$349,"ALT")</f>
        <v>38625.8694443613</v>
      </c>
      <c r="K83" s="57">
        <f t="shared" si="0"/>
        <v>201311.042860094</v>
      </c>
      <c r="L83" s="58">
        <f>_xlfn.SUMIFS(_CALC_ALLOC!$AN$1:$AN$349,_CALC_ALLOC!$AS$1:$AS$349,"2027|"&amp;$P$1,_CALC_ALLOC!$B$1:$B$349,"PIGIER_BOR",_CALC_ALLOC!$D$1:$D$349,"BTS_GES",_CALC_ALLOC!$E$1:$E$349,"BTS2",_CALC_ALLOC!$F$1:$F$349,"ALT")</f>
        <v>3970.94837590645</v>
      </c>
      <c r="M83" s="59">
        <f t="shared" si="1"/>
        <v>0.0193438710916502</v>
      </c>
      <c r="BF83" t="s">
        <v>35</v>
      </c>
      <c r="BG83" t="s">
        <v>36</v>
      </c>
      <c r="BH83" t="s">
        <v>37</v>
      </c>
      <c r="BI83" t="s">
        <v>121</v>
      </c>
      <c r="BJ83" t="s">
        <v>87</v>
      </c>
      <c r="BK83" t="s">
        <v>65</v>
      </c>
      <c r="BL83" t="s">
        <v>66</v>
      </c>
      <c r="BM83" t="s">
        <v>50</v>
      </c>
      <c r="BN83" t="s">
        <v>43</v>
      </c>
      <c r="BO83">
        <v>42</v>
      </c>
      <c r="BP83">
        <v>2</v>
      </c>
      <c r="BQ83">
        <v>282240</v>
      </c>
      <c r="BR83">
        <v>23045.8</v>
      </c>
      <c r="BS83">
        <v>50644.168</v>
      </c>
      <c r="BT83">
        <v>15951.796872</v>
      </c>
      <c r="BU83">
        <v>113871.436</v>
      </c>
      <c r="BV83">
        <v>8745.885842</v>
      </c>
      <c r="BW83">
        <v>40655.171303</v>
      </c>
      <c r="BX83">
        <v>49401.057145</v>
      </c>
      <c r="BY83">
        <v>38997.596872</v>
      </c>
      <c r="BZ83">
        <v>213916.661145</v>
      </c>
      <c r="CA83">
        <v>252914.258017</v>
      </c>
      <c r="CB83">
        <v>29325.741983</v>
      </c>
      <c r="CC83">
        <v>0</v>
      </c>
      <c r="CD83">
        <v>115229</v>
      </c>
      <c r="CE83">
        <v>253220.84</v>
      </c>
      <c r="CF83">
        <v>82038</v>
      </c>
      <c r="CG83">
        <v>20076</v>
      </c>
      <c r="CH83">
        <v>569357.18</v>
      </c>
      <c r="CI83">
        <v>2760232</v>
      </c>
      <c r="CJ83">
        <v>580167</v>
      </c>
    </row>
    <row r="84" ht="14.497499999999997" customHeight="1" hidden="0" collapsed="0" outlineLevel="2">
      <c r="B84" s="54" t="s">
        <v>132</v>
      </c>
      <c r="C84" s="55">
        <f>_xlfn.SUMIFS(_CALC_ALLOC!$G$1:$G$349,_CALC_ALLOC!$AS$1:$AS$349,"2027|"&amp;$P$1,_CALC_ALLOC!$B$1:$B$349,"PIGIER_BOR",_CALC_ALLOC!$D$1:$D$349,"BAC_RH",_CALC_ALLOC!$E$1:$E$349,"B1",_CALC_ALLOC!$F$1:$F$349,"ALT")</f>
        <v>40.09082</v>
      </c>
      <c r="D84" s="56">
        <f>_xlfn.SUMIFS(_CALC_ALLOC!$I$1:$I$349,_CALC_ALLOC!$AS$1:$AS$349,"2027|"&amp;$P$1,_CALC_ALLOC!$B$1:$B$349,"PIGIER_BOR",_CALC_ALLOC!$D$1:$D$349,"BAC_RH",_CALC_ALLOC!$E$1:$E$349,"B1",_CALC_ALLOC!$F$1:$F$349,"ALT")</f>
        <v>276535.327103</v>
      </c>
      <c r="E84" s="56">
        <f>_xlfn.SUMIFS(_CALC_ALLOC!$AI$1:$AI$349,_CALC_ALLOC!$AS$1:$AS$349,"2027|"&amp;$P$1,_CALC_ALLOC!$B$1:$B$349,"PIGIER_BOR",_CALC_ALLOC!$D$1:$D$349,"BAC_RH",_CALC_ALLOC!$E$1:$E$349,"B1",_CALC_ALLOC!$F$1:$F$349,"ALT")</f>
        <v>16807.5610935211</v>
      </c>
      <c r="F84" s="56">
        <f>_xlfn.SUMIFS(_CALC_ALLOC!$AJ$1:$AJ$349,_CALC_ALLOC!$AS$1:$AS$349,"2027|"&amp;$P$1,_CALC_ALLOC!$B$1:$B$349,"PIGIER_BOR",_CALC_ALLOC!$D$1:$D$349,"BAC_RH",_CALC_ALLOC!$E$1:$E$349,"B1",_CALC_ALLOC!$F$1:$F$349,"ALT")</f>
        <v>32927.0313971831</v>
      </c>
      <c r="G84" s="56">
        <f>_xlfn.SUMIFS(_CALC_ALLOC!$AK$1:$AK$349,_CALC_ALLOC!$AS$1:$AS$349,"2027|"&amp;$P$1,_CALC_ALLOC!$B$1:$B$349,"PIGIER_BOR",_CALC_ALLOC!$D$1:$D$349,"BAC_RH",_CALC_ALLOC!$E$1:$E$349,"B1",_CALC_ALLOC!$F$1:$F$349,"ALT")</f>
        <v>23670.4496167418</v>
      </c>
      <c r="H84" s="56">
        <f>_xlfn.SUMIFS(_CALC_ALLOC!$AL$1:$AL$349,_CALC_ALLOC!$AS$1:$AS$349,"2027|"&amp;$P$1,_CALC_ALLOC!$B$1:$B$349,"PIGIER_BOR",_CALC_ALLOC!$D$1:$D$349,"BAC_RH",_CALC_ALLOC!$E$1:$E$349,"B1",_CALC_ALLOC!$F$1:$F$349,"ALT")</f>
        <v>72140.2234418</v>
      </c>
      <c r="I84" s="56">
        <f>_xlfn.SUMIFS(_CALC_ALLOC!$AR$1:$AR$349,_CALC_ALLOC!$AS$1:$AS$349,"2027|"&amp;$P$1,_CALC_ALLOC!$B$1:$B$349,"PIGIER_BOR",_CALC_ALLOC!$D$1:$D$349,"BAC_RH",_CALC_ALLOC!$E$1:$E$349,"B1",_CALC_ALLOC!$F$1:$F$349,"ALT")</f>
        <v>7653.96322378222</v>
      </c>
      <c r="J84" s="56">
        <f>_xlfn.SUMIFS(_CALC_ALLOC!$AM$1:$AM$349,_CALC_ALLOC!$AS$1:$AS$349,"2027|"&amp;$P$1,_CALC_ALLOC!$B$1:$B$349,"PIGIER_BOR",_CALC_ALLOC!$D$1:$D$349,"BAC_RH",_CALC_ALLOC!$E$1:$E$349,"B1",_CALC_ALLOC!$F$1:$F$349,"ALT")</f>
        <v>38625.8694443613</v>
      </c>
      <c r="K84" s="57">
        <f t="shared" si="0"/>
        <v>191825.09821739</v>
      </c>
      <c r="L84" s="58">
        <f>_xlfn.SUMIFS(_CALC_ALLOC!$AN$1:$AN$349,_CALC_ALLOC!$AS$1:$AS$349,"2027|"&amp;$P$1,_CALC_ALLOC!$B$1:$B$349,"PIGIER_BOR",_CALC_ALLOC!$D$1:$D$349,"BAC_RH",_CALC_ALLOC!$E$1:$E$349,"B1",_CALC_ALLOC!$F$1:$F$349,"ALT")</f>
        <v>84710.2288856105</v>
      </c>
      <c r="M84" s="59">
        <f t="shared" si="1"/>
        <v>0.306326970130868</v>
      </c>
      <c r="BF84" t="s">
        <v>35</v>
      </c>
      <c r="BG84" t="s">
        <v>36</v>
      </c>
      <c r="BH84" t="s">
        <v>37</v>
      </c>
      <c r="BI84" t="s">
        <v>121</v>
      </c>
      <c r="BJ84" t="s">
        <v>87</v>
      </c>
      <c r="BK84" t="s">
        <v>65</v>
      </c>
      <c r="BL84" t="s">
        <v>70</v>
      </c>
      <c r="BM84" t="s">
        <v>71</v>
      </c>
      <c r="BN84" t="s">
        <v>43</v>
      </c>
      <c r="BO84">
        <v>44</v>
      </c>
      <c r="BP84">
        <v>2</v>
      </c>
      <c r="BQ84">
        <v>320760</v>
      </c>
      <c r="BR84">
        <v>20165.075</v>
      </c>
      <c r="BS84">
        <v>44313.647</v>
      </c>
      <c r="BT84">
        <v>26749.386714</v>
      </c>
      <c r="BU84">
        <v>113871.436</v>
      </c>
      <c r="BV84">
        <v>8745.885842</v>
      </c>
      <c r="BW84">
        <v>40655.171303</v>
      </c>
      <c r="BX84">
        <v>49401.057145</v>
      </c>
      <c r="BY84">
        <v>46914.461714</v>
      </c>
      <c r="BZ84">
        <v>207586.140145</v>
      </c>
      <c r="CA84">
        <v>254500.601859</v>
      </c>
      <c r="CB84">
        <v>66259.398141</v>
      </c>
      <c r="CC84">
        <v>44</v>
      </c>
      <c r="CD84">
        <v>115229</v>
      </c>
      <c r="CE84">
        <v>253220.84</v>
      </c>
      <c r="CF84">
        <v>82038</v>
      </c>
      <c r="CG84">
        <v>20076</v>
      </c>
      <c r="CH84">
        <v>569357.18</v>
      </c>
      <c r="CI84">
        <v>2760232</v>
      </c>
      <c r="CJ84">
        <v>580167</v>
      </c>
    </row>
    <row r="85" ht="14.497499999999997" customHeight="1" hidden="0" collapsed="0" outlineLevel="2">
      <c r="B85" s="54" t="s">
        <v>133</v>
      </c>
      <c r="C85" s="55">
        <f>_xlfn.SUMIFS(_CALC_ALLOC!$G$1:$G$349,_CALC_ALLOC!$AS$1:$AS$349,"2027|"&amp;$P$1,_CALC_ALLOC!$B$1:$B$349,"PIGIER_BOR",_CALC_ALLOC!$D$1:$D$349,"BAC_RH",_CALC_ALLOC!$E$1:$E$349,"B3",_CALC_ALLOC!$F$1:$F$349,"ALT")</f>
        <v>34.175</v>
      </c>
      <c r="D85" s="56">
        <f>_xlfn.SUMIFS(_CALC_ALLOC!$I$1:$I$349,_CALC_ALLOC!$AS$1:$AS$349,"2027|"&amp;$P$1,_CALC_ALLOC!$B$1:$B$349,"PIGIER_BOR",_CALC_ALLOC!$D$1:$D$349,"BAC_RH",_CALC_ALLOC!$E$1:$E$349,"B3",_CALC_ALLOC!$F$1:$F$349,"ALT")</f>
        <v>232653.895933</v>
      </c>
      <c r="E85" s="56">
        <f>_xlfn.SUMIFS(_CALC_ALLOC!$AI$1:$AI$349,_CALC_ALLOC!$AS$1:$AS$349,"2027|"&amp;$P$1,_CALC_ALLOC!$B$1:$B$349,"PIGIER_BOR",_CALC_ALLOC!$D$1:$D$349,"BAC_RH",_CALC_ALLOC!$E$1:$E$349,"B3",_CALC_ALLOC!$F$1:$F$349,"ALT")</f>
        <v>16807.5610935211</v>
      </c>
      <c r="F85" s="56">
        <f>_xlfn.SUMIFS(_CALC_ALLOC!$AJ$1:$AJ$349,_CALC_ALLOC!$AS$1:$AS$349,"2027|"&amp;$P$1,_CALC_ALLOC!$B$1:$B$349,"PIGIER_BOR",_CALC_ALLOC!$D$1:$D$349,"BAC_RH",_CALC_ALLOC!$E$1:$E$349,"B3",_CALC_ALLOC!$F$1:$F$349,"ALT")</f>
        <v>32927.0313971831</v>
      </c>
      <c r="G85" s="56">
        <f>_xlfn.SUMIFS(_CALC_ALLOC!$AK$1:$AK$349,_CALC_ALLOC!$AS$1:$AS$349,"2027|"&amp;$P$1,_CALC_ALLOC!$B$1:$B$349,"PIGIER_BOR",_CALC_ALLOC!$D$1:$D$349,"BAC_RH",_CALC_ALLOC!$E$1:$E$349,"B3",_CALC_ALLOC!$F$1:$F$349,"ALT")</f>
        <v>10065.3755561037</v>
      </c>
      <c r="H85" s="56">
        <f>_xlfn.SUMIFS(_CALC_ALLOC!$AL$1:$AL$349,_CALC_ALLOC!$AS$1:$AS$349,"2027|"&amp;$P$1,_CALC_ALLOC!$B$1:$B$349,"PIGIER_BOR",_CALC_ALLOC!$D$1:$D$349,"BAC_RH",_CALC_ALLOC!$E$1:$E$349,"B3",_CALC_ALLOC!$F$1:$F$349,"ALT")</f>
        <v>72140.2234418</v>
      </c>
      <c r="I85" s="56">
        <f>_xlfn.SUMIFS(_CALC_ALLOC!$AR$1:$AR$349,_CALC_ALLOC!$AS$1:$AS$349,"2027|"&amp;$P$1,_CALC_ALLOC!$B$1:$B$349,"PIGIER_BOR",_CALC_ALLOC!$D$1:$D$349,"BAC_RH",_CALC_ALLOC!$E$1:$E$349,"B3",_CALC_ALLOC!$F$1:$F$349,"ALT")</f>
        <v>7653.96322378222</v>
      </c>
      <c r="J85" s="56">
        <f>_xlfn.SUMIFS(_CALC_ALLOC!$AM$1:$AM$349,_CALC_ALLOC!$AS$1:$AS$349,"2027|"&amp;$P$1,_CALC_ALLOC!$B$1:$B$349,"PIGIER_BOR",_CALC_ALLOC!$D$1:$D$349,"BAC_RH",_CALC_ALLOC!$E$1:$E$349,"B3",_CALC_ALLOC!$F$1:$F$349,"ALT")</f>
        <v>38625.8694443613</v>
      </c>
      <c r="K85" s="57">
        <f t="shared" si="0"/>
        <v>178220.024156751</v>
      </c>
      <c r="L85" s="58">
        <f>_xlfn.SUMIFS(_CALC_ALLOC!$AN$1:$AN$349,_CALC_ALLOC!$AS$1:$AS$349,"2027|"&amp;$P$1,_CALC_ALLOC!$B$1:$B$349,"PIGIER_BOR",_CALC_ALLOC!$D$1:$D$349,"BAC_RH",_CALC_ALLOC!$E$1:$E$349,"B3",_CALC_ALLOC!$F$1:$F$349,"ALT")</f>
        <v>54433.8717762486</v>
      </c>
      <c r="M85" s="59">
        <f t="shared" si="1"/>
        <v>0.233969311186281</v>
      </c>
      <c r="BF85" t="s">
        <v>35</v>
      </c>
      <c r="BG85" t="s">
        <v>36</v>
      </c>
      <c r="BH85" t="s">
        <v>37</v>
      </c>
      <c r="BI85" t="s">
        <v>121</v>
      </c>
      <c r="BJ85" t="s">
        <v>87</v>
      </c>
      <c r="BK85" t="s">
        <v>65</v>
      </c>
      <c r="BL85" t="s">
        <v>70</v>
      </c>
      <c r="BM85" t="s">
        <v>72</v>
      </c>
      <c r="BN85" t="s">
        <v>43</v>
      </c>
      <c r="BO85">
        <v>43</v>
      </c>
      <c r="BP85">
        <v>2</v>
      </c>
      <c r="BQ85">
        <v>309600</v>
      </c>
      <c r="BR85">
        <v>20165.075</v>
      </c>
      <c r="BS85">
        <v>44313.647</v>
      </c>
      <c r="BT85">
        <v>16331.632812</v>
      </c>
      <c r="BU85">
        <v>113871.436</v>
      </c>
      <c r="BV85">
        <v>8745.885842</v>
      </c>
      <c r="BW85">
        <v>40655.171303</v>
      </c>
      <c r="BX85">
        <v>49401.057145</v>
      </c>
      <c r="BY85">
        <v>36496.707812</v>
      </c>
      <c r="BZ85">
        <v>207586.140145</v>
      </c>
      <c r="CA85">
        <v>244082.847957</v>
      </c>
      <c r="CB85">
        <v>65517.152043</v>
      </c>
      <c r="CC85">
        <v>0</v>
      </c>
      <c r="CD85">
        <v>115229</v>
      </c>
      <c r="CE85">
        <v>253220.84</v>
      </c>
      <c r="CF85">
        <v>82038</v>
      </c>
      <c r="CG85">
        <v>20076</v>
      </c>
      <c r="CH85">
        <v>569357.18</v>
      </c>
      <c r="CI85">
        <v>2760232</v>
      </c>
      <c r="CJ85">
        <v>580167</v>
      </c>
    </row>
    <row r="86" ht="14.497499999999997" customHeight="1" collapsed="0" outlineLevel="0">
      <c r="B86" s="44" t="s">
        <v>135</v>
      </c>
      <c r="C86" s="45">
        <f>_xlfn.SUMIFS(_CALC_ALLOC!$G$1:$G$349,_CALC_ALLOC!$AS$1:$AS$349,"2027|"&amp;$P$1,_CALC_ALLOC!$C$1:$C$349,"TUNON")</f>
        <v>265.420186</v>
      </c>
      <c r="D86" s="46">
        <f>_xlfn.SUMIFS(_CALC_ALLOC!$I$1:$I$349,_CALC_ALLOC!$AS$1:$AS$349,"2027|"&amp;$P$1,_CALC_ALLOC!$C$1:$C$349,"TUNON")</f>
        <v>2036027.83527</v>
      </c>
      <c r="E86" s="46">
        <f>_xlfn.SUMIFS(_CALC_ALLOC!$AI$1:$AI$349,_CALC_ALLOC!$AS$1:$AS$349,"2027|"&amp;$P$1,_CALC_ALLOC!$C$1:$C$349,"TUNON")</f>
        <v>149168.64915</v>
      </c>
      <c r="F86" s="46">
        <f>_xlfn.SUMIFS(_CALC_ALLOC!$AJ$1:$AJ$349,_CALC_ALLOC!$AS$1:$AS$349,"2027|"&amp;$P$1,_CALC_ALLOC!$C$1:$C$349,"TUNON")</f>
        <v>436332.16718</v>
      </c>
      <c r="G86" s="46">
        <f>_xlfn.SUMIFS(_CALC_ALLOC!$AK$1:$AK$349,_CALC_ALLOC!$AS$1:$AS$349,"2027|"&amp;$P$1,_CALC_ALLOC!$C$1:$C$349,"TUNON")</f>
        <v>150712.595414</v>
      </c>
      <c r="H86" s="46">
        <f>_xlfn.SUMIFS(_CALC_ALLOC!$AL$1:$AL$349,_CALC_ALLOC!$AS$1:$AS$349,"2027|"&amp;$P$1,_CALC_ALLOC!$C$1:$C$349,"TUNON")</f>
        <v>909825.566298</v>
      </c>
      <c r="I86" s="46">
        <f>_xlfn.SUMIFS(_CALC_ALLOC!$AR$1:$AR$349,_CALC_ALLOC!$AS$1:$AS$349,"2027|"&amp;$P$1,_CALC_ALLOC!$C$1:$C$349,"TUNON")</f>
        <v>62511.523876025</v>
      </c>
      <c r="J86" s="46">
        <f>_xlfn.SUMIFS(_CALC_ALLOC!$AM$1:$AM$349,_CALC_ALLOC!$AS$1:$AS$349,"2027|"&amp;$P$1,_CALC_ALLOC!$C$1:$C$349,"TUNON")</f>
        <v>264521.029459556</v>
      </c>
      <c r="K86" s="46">
        <f t="shared" si="0"/>
        <v>1973071.53137758</v>
      </c>
      <c r="L86" s="47">
        <f>_xlfn.SUMIFS(_CALC_ALLOC!$AN$1:$AN$349,_CALC_ALLOC!$AS$1:$AS$349,"2027|"&amp;$P$1,_CALC_ALLOC!$C$1:$C$349,"TUNON")</f>
        <v>62956.3038924193</v>
      </c>
      <c r="M86" s="48">
        <f t="shared" si="1"/>
        <v>0.0309211410580104</v>
      </c>
      <c r="BF86" t="s">
        <v>35</v>
      </c>
      <c r="BG86" t="s">
        <v>36</v>
      </c>
      <c r="BH86" t="s">
        <v>37</v>
      </c>
      <c r="BI86" t="s">
        <v>121</v>
      </c>
      <c r="BJ86" t="s">
        <v>92</v>
      </c>
      <c r="BK86" t="s">
        <v>93</v>
      </c>
      <c r="BL86" t="s">
        <v>94</v>
      </c>
      <c r="BM86" t="s">
        <v>42</v>
      </c>
      <c r="BN86" t="s">
        <v>67</v>
      </c>
      <c r="BO86">
        <v>48</v>
      </c>
      <c r="BP86">
        <v>2</v>
      </c>
      <c r="BQ86">
        <v>353520</v>
      </c>
      <c r="BR86">
        <v>28807.25</v>
      </c>
      <c r="BS86">
        <v>66982.25</v>
      </c>
      <c r="BT86">
        <v>29467.96904</v>
      </c>
      <c r="BU86">
        <v>126681.156</v>
      </c>
      <c r="BV86">
        <v>9559.889646</v>
      </c>
      <c r="BW86">
        <v>44043.134644</v>
      </c>
      <c r="BX86">
        <v>53603.02429</v>
      </c>
      <c r="BY86">
        <v>58275.21904</v>
      </c>
      <c r="BZ86">
        <v>247266.43029</v>
      </c>
      <c r="CA86">
        <v>305541.64933</v>
      </c>
      <c r="CB86">
        <v>47978.35067</v>
      </c>
      <c r="CC86">
        <v>48</v>
      </c>
      <c r="CD86">
        <v>115229</v>
      </c>
      <c r="CE86">
        <v>267929</v>
      </c>
      <c r="CF86">
        <v>88430</v>
      </c>
      <c r="CG86">
        <v>22657</v>
      </c>
      <c r="CH86">
        <v>633405.78</v>
      </c>
      <c r="CI86">
        <v>2760232</v>
      </c>
      <c r="CJ86">
        <v>580167</v>
      </c>
    </row>
    <row r="87" ht="14.497499999999997" customHeight="1" hidden="0" collapsed="1" outlineLevel="1">
      <c r="B87" s="49" t="s">
        <v>136</v>
      </c>
      <c r="C87" s="50">
        <f>_xlfn.SUMIFS(_CALC_ALLOC!$G$1:$G$349,_CALC_ALLOC!$AS$1:$AS$349,"2027|"&amp;$P$1,_CALC_ALLOC!$B$1:$B$349,"TUNON_PAR")</f>
        <v>143.560305</v>
      </c>
      <c r="D87" s="51">
        <f>_xlfn.SUMIFS(_CALC_ALLOC!$I$1:$I$349,_CALC_ALLOC!$AS$1:$AS$349,"2027|"&amp;$P$1,_CALC_ALLOC!$B$1:$B$349,"TUNON_PAR")</f>
        <v>1133628.555099</v>
      </c>
      <c r="E87" s="51">
        <f>_xlfn.SUMIFS(_CALC_ALLOC!$AI$1:$AI$349,_CALC_ALLOC!$AS$1:$AS$349,"2027|"&amp;$P$1,_CALC_ALLOC!$B$1:$B$349,"TUNON_PAR")</f>
        <v>74584.324575</v>
      </c>
      <c r="F87" s="51">
        <f>_xlfn.SUMIFS(_CALC_ALLOC!$AJ$1:$AJ$349,_CALC_ALLOC!$AS$1:$AS$349,"2027|"&amp;$P$1,_CALC_ALLOC!$B$1:$B$349,"TUNON_PAR")</f>
        <v>238111.89766</v>
      </c>
      <c r="G87" s="51">
        <f>_xlfn.SUMIFS(_CALC_ALLOC!$AK$1:$AK$349,_CALC_ALLOC!$AS$1:$AS$349,"2027|"&amp;$P$1,_CALC_ALLOC!$B$1:$B$349,"TUNON_PAR")</f>
        <v>85529.661396</v>
      </c>
      <c r="H87" s="51">
        <f>_xlfn.SUMIFS(_CALC_ALLOC!$AL$1:$AL$349,_CALC_ALLOC!$AS$1:$AS$349,"2027|"&amp;$P$1,_CALC_ALLOC!$B$1:$B$349,"TUNON_PAR")</f>
        <v>520675.939055001</v>
      </c>
      <c r="I87" s="51">
        <f>_xlfn.SUMIFS(_CALC_ALLOC!$AR$1:$AR$349,_CALC_ALLOC!$AS$1:$AS$349,"2027|"&amp;$P$1,_CALC_ALLOC!$B$1:$B$349,"TUNON_PAR")</f>
        <v>33811.194125442</v>
      </c>
      <c r="J87" s="51">
        <f>_xlfn.SUMIFS(_CALC_ALLOC!$AM$1:$AM$349,_CALC_ALLOC!$AS$1:$AS$349,"2027|"&amp;$P$1,_CALC_ALLOC!$B$1:$B$349,"TUNON_PAR")</f>
        <v>143073.96977006</v>
      </c>
      <c r="K87" s="51">
        <f t="shared" si="0"/>
        <v>1095786.9865815</v>
      </c>
      <c r="L87" s="52">
        <f>_xlfn.SUMIFS(_CALC_ALLOC!$AN$1:$AN$349,_CALC_ALLOC!$AS$1:$AS$349,"2027|"&amp;$P$1,_CALC_ALLOC!$B$1:$B$349,"TUNON_PAR")</f>
        <v>37841.5685174967</v>
      </c>
      <c r="M87" s="53">
        <f t="shared" si="1"/>
        <v>0.033380923890182</v>
      </c>
      <c r="BF87" t="s">
        <v>35</v>
      </c>
      <c r="BG87" t="s">
        <v>36</v>
      </c>
      <c r="BH87" t="s">
        <v>37</v>
      </c>
      <c r="BI87" t="s">
        <v>121</v>
      </c>
      <c r="BJ87" t="s">
        <v>92</v>
      </c>
      <c r="BK87" t="s">
        <v>93</v>
      </c>
      <c r="BL87" t="s">
        <v>94</v>
      </c>
      <c r="BM87" t="s">
        <v>44</v>
      </c>
      <c r="BN87" t="s">
        <v>43</v>
      </c>
      <c r="BO87">
        <v>46</v>
      </c>
      <c r="BP87">
        <v>2</v>
      </c>
      <c r="BQ87">
        <v>312340</v>
      </c>
      <c r="BR87">
        <v>23045.8</v>
      </c>
      <c r="BS87">
        <v>53585.8</v>
      </c>
      <c r="BT87">
        <v>17383.65783</v>
      </c>
      <c r="BU87">
        <v>126681.156</v>
      </c>
      <c r="BV87">
        <v>9559.889646</v>
      </c>
      <c r="BW87">
        <v>44043.134644</v>
      </c>
      <c r="BX87">
        <v>53603.02429</v>
      </c>
      <c r="BY87">
        <v>40429.45783</v>
      </c>
      <c r="BZ87">
        <v>233869.98029</v>
      </c>
      <c r="CA87">
        <v>274299.43812</v>
      </c>
      <c r="CB87">
        <v>38040.56188</v>
      </c>
      <c r="CC87">
        <v>0</v>
      </c>
      <c r="CD87">
        <v>115229</v>
      </c>
      <c r="CE87">
        <v>267929</v>
      </c>
      <c r="CF87">
        <v>88430</v>
      </c>
      <c r="CG87">
        <v>22657</v>
      </c>
      <c r="CH87">
        <v>633405.78</v>
      </c>
      <c r="CI87">
        <v>2760232</v>
      </c>
      <c r="CJ87">
        <v>580167</v>
      </c>
    </row>
    <row r="88" ht="14.497499999999997" customHeight="1" hidden="0" collapsed="0" outlineLevel="2">
      <c r="B88" s="54" t="s">
        <v>137</v>
      </c>
      <c r="C88" s="55">
        <f>_xlfn.SUMIFS(_CALC_ALLOC!$G$1:$G$349,_CALC_ALLOC!$AS$1:$AS$349,"2027|"&amp;$P$1,_CALC_ALLOC!$B$1:$B$349,"TUNON_PAR",_CALC_ALLOC!$D$1:$D$349,"BAC_TOU",_CALC_ALLOC!$E$1:$E$349,"B1",_CALC_ALLOC!$F$1:$F$349,"ALT")</f>
        <v>52.095305</v>
      </c>
      <c r="D88" s="56">
        <f>_xlfn.SUMIFS(_CALC_ALLOC!$I$1:$I$349,_CALC_ALLOC!$AS$1:$AS$349,"2027|"&amp;$P$1,_CALC_ALLOC!$B$1:$B$349,"TUNON_PAR",_CALC_ALLOC!$D$1:$D$349,"BAC_TOU",_CALC_ALLOC!$E$1:$E$349,"B1",_CALC_ALLOC!$F$1:$F$349,"ALT")</f>
        <v>414359.429447</v>
      </c>
      <c r="E88" s="56">
        <f>_xlfn.SUMIFS(_CALC_ALLOC!$AI$1:$AI$349,_CALC_ALLOC!$AS$1:$AS$349,"2027|"&amp;$P$1,_CALC_ALLOC!$B$1:$B$349,"TUNON_PAR",_CALC_ALLOC!$D$1:$D$349,"BAC_TOU",_CALC_ALLOC!$E$1:$E$349,"B1",_CALC_ALLOC!$F$1:$F$349,"ALT")</f>
        <v>24861.441525</v>
      </c>
      <c r="F88" s="56">
        <f>_xlfn.SUMIFS(_CALC_ALLOC!$AJ$1:$AJ$349,_CALC_ALLOC!$AS$1:$AS$349,"2027|"&amp;$P$1,_CALC_ALLOC!$B$1:$B$349,"TUNON_PAR",_CALC_ALLOC!$D$1:$D$349,"BAC_TOU",_CALC_ALLOC!$E$1:$E$349,"B1",_CALC_ALLOC!$F$1:$F$349,"ALT")</f>
        <v>79370.6325533333</v>
      </c>
      <c r="G88" s="56">
        <f>_xlfn.SUMIFS(_CALC_ALLOC!$AK$1:$AK$349,_CALC_ALLOC!$AS$1:$AS$349,"2027|"&amp;$P$1,_CALC_ALLOC!$B$1:$B$349,"TUNON_PAR",_CALC_ALLOC!$D$1:$D$349,"BAC_TOU",_CALC_ALLOC!$E$1:$E$349,"B1",_CALC_ALLOC!$F$1:$F$349,"ALT")</f>
        <v>51844.8851510266</v>
      </c>
      <c r="H88" s="56">
        <f>_xlfn.SUMIFS(_CALC_ALLOC!$AL$1:$AL$349,_CALC_ALLOC!$AS$1:$AS$349,"2027|"&amp;$P$1,_CALC_ALLOC!$B$1:$B$349,"TUNON_PAR",_CALC_ALLOC!$D$1:$D$349,"BAC_TOU",_CALC_ALLOC!$E$1:$E$349,"B1",_CALC_ALLOC!$F$1:$F$349,"ALT")</f>
        <v>173558.646351667</v>
      </c>
      <c r="I88" s="56">
        <f>_xlfn.SUMIFS(_CALC_ALLOC!$AR$1:$AR$349,_CALC_ALLOC!$AS$1:$AS$349,"2027|"&amp;$P$1,_CALC_ALLOC!$B$1:$B$349,"TUNON_PAR",_CALC_ALLOC!$D$1:$D$349,"BAC_TOU",_CALC_ALLOC!$E$1:$E$349,"B1",_CALC_ALLOC!$F$1:$F$349,"ALT")</f>
        <v>11270.398041814</v>
      </c>
      <c r="J88" s="56">
        <f>_xlfn.SUMIFS(_CALC_ALLOC!$AM$1:$AM$349,_CALC_ALLOC!$AS$1:$AS$349,"2027|"&amp;$P$1,_CALC_ALLOC!$B$1:$B$349,"TUNON_PAR",_CALC_ALLOC!$D$1:$D$349,"BAC_TOU",_CALC_ALLOC!$E$1:$E$349,"B1",_CALC_ALLOC!$F$1:$F$349,"ALT")</f>
        <v>47691.3232566868</v>
      </c>
      <c r="K88" s="57">
        <f t="shared" si="0"/>
        <v>388597.326879528</v>
      </c>
      <c r="L88" s="58">
        <f>_xlfn.SUMIFS(_CALC_ALLOC!$AN$1:$AN$349,_CALC_ALLOC!$AS$1:$AS$349,"2027|"&amp;$P$1,_CALC_ALLOC!$B$1:$B$349,"TUNON_PAR",_CALC_ALLOC!$D$1:$D$349,"BAC_TOU",_CALC_ALLOC!$E$1:$E$349,"B1",_CALC_ALLOC!$F$1:$F$349,"ALT")</f>
        <v>25762.1025674723</v>
      </c>
      <c r="M88" s="59">
        <f t="shared" si="1"/>
        <v>0.0621733228126464</v>
      </c>
      <c r="BF88" t="s">
        <v>35</v>
      </c>
      <c r="BG88" t="s">
        <v>36</v>
      </c>
      <c r="BH88" t="s">
        <v>37</v>
      </c>
      <c r="BI88" t="s">
        <v>121</v>
      </c>
      <c r="BJ88" t="s">
        <v>92</v>
      </c>
      <c r="BK88" t="s">
        <v>93</v>
      </c>
      <c r="BL88" t="s">
        <v>94</v>
      </c>
      <c r="BM88" t="s">
        <v>50</v>
      </c>
      <c r="BN88" t="s">
        <v>43</v>
      </c>
      <c r="BO88">
        <v>45</v>
      </c>
      <c r="BP88">
        <v>2</v>
      </c>
      <c r="BQ88">
        <v>305550</v>
      </c>
      <c r="BR88">
        <v>23045.8</v>
      </c>
      <c r="BS88">
        <v>53585.8</v>
      </c>
      <c r="BT88">
        <v>17005.70801</v>
      </c>
      <c r="BU88">
        <v>126681.156</v>
      </c>
      <c r="BV88">
        <v>9559.889646</v>
      </c>
      <c r="BW88">
        <v>44043.134644</v>
      </c>
      <c r="BX88">
        <v>53603.02429</v>
      </c>
      <c r="BY88">
        <v>40051.50801</v>
      </c>
      <c r="BZ88">
        <v>233869.98029</v>
      </c>
      <c r="CA88">
        <v>273921.4883</v>
      </c>
      <c r="CB88">
        <v>31628.5117</v>
      </c>
      <c r="CC88">
        <v>0</v>
      </c>
      <c r="CD88">
        <v>115229</v>
      </c>
      <c r="CE88">
        <v>267929</v>
      </c>
      <c r="CF88">
        <v>88430</v>
      </c>
      <c r="CG88">
        <v>22657</v>
      </c>
      <c r="CH88">
        <v>633405.78</v>
      </c>
      <c r="CI88">
        <v>2760232</v>
      </c>
      <c r="CJ88">
        <v>580167</v>
      </c>
    </row>
    <row r="89" ht="14.497499999999997" customHeight="1" hidden="0" collapsed="0" outlineLevel="2">
      <c r="B89" s="54" t="s">
        <v>138</v>
      </c>
      <c r="C89" s="55">
        <f>_xlfn.SUMIFS(_CALC_ALLOC!$G$1:$G$349,_CALC_ALLOC!$AS$1:$AS$349,"2027|"&amp;$P$1,_CALC_ALLOC!$B$1:$B$349,"TUNON_PAR",_CALC_ALLOC!$D$1:$D$349,"BAC_TOU",_CALC_ALLOC!$E$1:$E$349,"B2",_CALC_ALLOC!$F$1:$F$349,"ALT")</f>
        <v>46.235</v>
      </c>
      <c r="D89" s="56">
        <f>_xlfn.SUMIFS(_CALC_ALLOC!$I$1:$I$349,_CALC_ALLOC!$AS$1:$AS$349,"2027|"&amp;$P$1,_CALC_ALLOC!$B$1:$B$349,"TUNON_PAR",_CALC_ALLOC!$D$1:$D$349,"BAC_TOU",_CALC_ALLOC!$E$1:$E$349,"B2",_CALC_ALLOC!$F$1:$F$349,"ALT")</f>
        <v>363586.158908</v>
      </c>
      <c r="E89" s="56">
        <f>_xlfn.SUMIFS(_CALC_ALLOC!$AI$1:$AI$349,_CALC_ALLOC!$AS$1:$AS$349,"2027|"&amp;$P$1,_CALC_ALLOC!$B$1:$B$349,"TUNON_PAR",_CALC_ALLOC!$D$1:$D$349,"BAC_TOU",_CALC_ALLOC!$E$1:$E$349,"B2",_CALC_ALLOC!$F$1:$F$349,"ALT")</f>
        <v>24861.441525</v>
      </c>
      <c r="F89" s="56">
        <f>_xlfn.SUMIFS(_CALC_ALLOC!$AJ$1:$AJ$349,_CALC_ALLOC!$AS$1:$AS$349,"2027|"&amp;$P$1,_CALC_ALLOC!$B$1:$B$349,"TUNON_PAR",_CALC_ALLOC!$D$1:$D$349,"BAC_TOU",_CALC_ALLOC!$E$1:$E$349,"B2",_CALC_ALLOC!$F$1:$F$349,"ALT")</f>
        <v>79370.6325533333</v>
      </c>
      <c r="G89" s="56">
        <f>_xlfn.SUMIFS(_CALC_ALLOC!$AK$1:$AK$349,_CALC_ALLOC!$AS$1:$AS$349,"2027|"&amp;$P$1,_CALC_ALLOC!$B$1:$B$349,"TUNON_PAR",_CALC_ALLOC!$D$1:$D$349,"BAC_TOU",_CALC_ALLOC!$E$1:$E$349,"B2",_CALC_ALLOC!$F$1:$F$349,"ALT")</f>
        <v>17027.4490754534</v>
      </c>
      <c r="H89" s="56">
        <f>_xlfn.SUMIFS(_CALC_ALLOC!$AL$1:$AL$349,_CALC_ALLOC!$AS$1:$AS$349,"2027|"&amp;$P$1,_CALC_ALLOC!$B$1:$B$349,"TUNON_PAR",_CALC_ALLOC!$D$1:$D$349,"BAC_TOU",_CALC_ALLOC!$E$1:$E$349,"B2",_CALC_ALLOC!$F$1:$F$349,"ALT")</f>
        <v>173558.646351667</v>
      </c>
      <c r="I89" s="56">
        <f>_xlfn.SUMIFS(_CALC_ALLOC!$AR$1:$AR$349,_CALC_ALLOC!$AS$1:$AS$349,"2027|"&amp;$P$1,_CALC_ALLOC!$B$1:$B$349,"TUNON_PAR",_CALC_ALLOC!$D$1:$D$349,"BAC_TOU",_CALC_ALLOC!$E$1:$E$349,"B2",_CALC_ALLOC!$F$1:$F$349,"ALT")</f>
        <v>11270.398041814</v>
      </c>
      <c r="J89" s="56">
        <f>_xlfn.SUMIFS(_CALC_ALLOC!$AM$1:$AM$349,_CALC_ALLOC!$AS$1:$AS$349,"2027|"&amp;$P$1,_CALC_ALLOC!$B$1:$B$349,"TUNON_PAR",_CALC_ALLOC!$D$1:$D$349,"BAC_TOU",_CALC_ALLOC!$E$1:$E$349,"B2",_CALC_ALLOC!$F$1:$F$349,"ALT")</f>
        <v>47691.3232566868</v>
      </c>
      <c r="K89" s="57">
        <f t="shared" si="0"/>
        <v>353779.890803955</v>
      </c>
      <c r="L89" s="58">
        <f>_xlfn.SUMIFS(_CALC_ALLOC!$AN$1:$AN$349,_CALC_ALLOC!$AS$1:$AS$349,"2027|"&amp;$P$1,_CALC_ALLOC!$B$1:$B$349,"TUNON_PAR",_CALC_ALLOC!$D$1:$D$349,"BAC_TOU",_CALC_ALLOC!$E$1:$E$349,"B2",_CALC_ALLOC!$F$1:$F$349,"ALT")</f>
        <v>9806.26810404548</v>
      </c>
      <c r="M89" s="59">
        <f t="shared" si="1"/>
        <v>0.0269709609779915</v>
      </c>
      <c r="BF89" t="s">
        <v>35</v>
      </c>
      <c r="BG89" t="s">
        <v>36</v>
      </c>
      <c r="BH89" t="s">
        <v>37</v>
      </c>
      <c r="BI89" t="s">
        <v>121</v>
      </c>
      <c r="BJ89" t="s">
        <v>92</v>
      </c>
      <c r="BK89" t="s">
        <v>93</v>
      </c>
      <c r="BL89" t="s">
        <v>95</v>
      </c>
      <c r="BM89" t="s">
        <v>71</v>
      </c>
      <c r="BN89" t="s">
        <v>43</v>
      </c>
      <c r="BO89">
        <v>48</v>
      </c>
      <c r="BP89">
        <v>2</v>
      </c>
      <c r="BQ89">
        <v>353520</v>
      </c>
      <c r="BR89">
        <v>20165.075</v>
      </c>
      <c r="BS89">
        <v>46887.575</v>
      </c>
      <c r="BT89">
        <v>29467.96904</v>
      </c>
      <c r="BU89">
        <v>126681.156</v>
      </c>
      <c r="BV89">
        <v>9559.889646</v>
      </c>
      <c r="BW89">
        <v>44043.134644</v>
      </c>
      <c r="BX89">
        <v>53603.02429</v>
      </c>
      <c r="BY89">
        <v>49633.04404</v>
      </c>
      <c r="BZ89">
        <v>227171.75529</v>
      </c>
      <c r="CA89">
        <v>276804.79933</v>
      </c>
      <c r="CB89">
        <v>76715.20067</v>
      </c>
      <c r="CC89">
        <v>48</v>
      </c>
      <c r="CD89">
        <v>115229</v>
      </c>
      <c r="CE89">
        <v>267929</v>
      </c>
      <c r="CF89">
        <v>88430</v>
      </c>
      <c r="CG89">
        <v>22657</v>
      </c>
      <c r="CH89">
        <v>633405.78</v>
      </c>
      <c r="CI89">
        <v>2760232</v>
      </c>
      <c r="CJ89">
        <v>580167</v>
      </c>
    </row>
    <row r="90" ht="14.497499999999997" customHeight="1" hidden="0" collapsed="0" outlineLevel="2">
      <c r="B90" s="54" t="s">
        <v>139</v>
      </c>
      <c r="C90" s="55">
        <f>_xlfn.SUMIFS(_CALC_ALLOC!$G$1:$G$349,_CALC_ALLOC!$AS$1:$AS$349,"2027|"&amp;$P$1,_CALC_ALLOC!$B$1:$B$349,"TUNON_PAR",_CALC_ALLOC!$D$1:$D$349,"BAC_TOU",_CALC_ALLOC!$E$1:$E$349,"B3",_CALC_ALLOC!$F$1:$F$349,"ALT")</f>
        <v>45.23</v>
      </c>
      <c r="D90" s="56">
        <f>_xlfn.SUMIFS(_CALC_ALLOC!$I$1:$I$349,_CALC_ALLOC!$AS$1:$AS$349,"2027|"&amp;$P$1,_CALC_ALLOC!$B$1:$B$349,"TUNON_PAR",_CALC_ALLOC!$D$1:$D$349,"BAC_TOU",_CALC_ALLOC!$E$1:$E$349,"B3",_CALC_ALLOC!$F$1:$F$349,"ALT")</f>
        <v>355682.966744</v>
      </c>
      <c r="E90" s="56">
        <f>_xlfn.SUMIFS(_CALC_ALLOC!$AI$1:$AI$349,_CALC_ALLOC!$AS$1:$AS$349,"2027|"&amp;$P$1,_CALC_ALLOC!$B$1:$B$349,"TUNON_PAR",_CALC_ALLOC!$D$1:$D$349,"BAC_TOU",_CALC_ALLOC!$E$1:$E$349,"B3",_CALC_ALLOC!$F$1:$F$349,"ALT")</f>
        <v>24861.441525</v>
      </c>
      <c r="F90" s="56">
        <f>_xlfn.SUMIFS(_CALC_ALLOC!$AJ$1:$AJ$349,_CALC_ALLOC!$AS$1:$AS$349,"2027|"&amp;$P$1,_CALC_ALLOC!$B$1:$B$349,"TUNON_PAR",_CALC_ALLOC!$D$1:$D$349,"BAC_TOU",_CALC_ALLOC!$E$1:$E$349,"B3",_CALC_ALLOC!$F$1:$F$349,"ALT")</f>
        <v>79370.6325533333</v>
      </c>
      <c r="G90" s="56">
        <f>_xlfn.SUMIFS(_CALC_ALLOC!$AK$1:$AK$349,_CALC_ALLOC!$AS$1:$AS$349,"2027|"&amp;$P$1,_CALC_ALLOC!$B$1:$B$349,"TUNON_PAR",_CALC_ALLOC!$D$1:$D$349,"BAC_TOU",_CALC_ALLOC!$E$1:$E$349,"B3",_CALC_ALLOC!$F$1:$F$349,"ALT")</f>
        <v>16657.32716952</v>
      </c>
      <c r="H90" s="56">
        <f>_xlfn.SUMIFS(_CALC_ALLOC!$AL$1:$AL$349,_CALC_ALLOC!$AS$1:$AS$349,"2027|"&amp;$P$1,_CALC_ALLOC!$B$1:$B$349,"TUNON_PAR",_CALC_ALLOC!$D$1:$D$349,"BAC_TOU",_CALC_ALLOC!$E$1:$E$349,"B3",_CALC_ALLOC!$F$1:$F$349,"ALT")</f>
        <v>173558.646351667</v>
      </c>
      <c r="I90" s="56">
        <f>_xlfn.SUMIFS(_CALC_ALLOC!$AR$1:$AR$349,_CALC_ALLOC!$AS$1:$AS$349,"2027|"&amp;$P$1,_CALC_ALLOC!$B$1:$B$349,"TUNON_PAR",_CALC_ALLOC!$D$1:$D$349,"BAC_TOU",_CALC_ALLOC!$E$1:$E$349,"B3",_CALC_ALLOC!$F$1:$F$349,"ALT")</f>
        <v>11270.398041814</v>
      </c>
      <c r="J90" s="56">
        <f>_xlfn.SUMIFS(_CALC_ALLOC!$AM$1:$AM$349,_CALC_ALLOC!$AS$1:$AS$349,"2027|"&amp;$P$1,_CALC_ALLOC!$B$1:$B$349,"TUNON_PAR",_CALC_ALLOC!$D$1:$D$349,"BAC_TOU",_CALC_ALLOC!$E$1:$E$349,"B3",_CALC_ALLOC!$F$1:$F$349,"ALT")</f>
        <v>47691.3232566868</v>
      </c>
      <c r="K90" s="57">
        <f t="shared" si="0"/>
        <v>353409.768898021</v>
      </c>
      <c r="L90" s="58">
        <f>_xlfn.SUMIFS(_CALC_ALLOC!$AN$1:$AN$349,_CALC_ALLOC!$AS$1:$AS$349,"2027|"&amp;$P$1,_CALC_ALLOC!$B$1:$B$349,"TUNON_PAR",_CALC_ALLOC!$D$1:$D$349,"BAC_TOU",_CALC_ALLOC!$E$1:$E$349,"B3",_CALC_ALLOC!$F$1:$F$349,"ALT")</f>
        <v>2273.1978459789</v>
      </c>
      <c r="M90" s="59">
        <f t="shared" si="1"/>
        <v>0.00639107873730433</v>
      </c>
      <c r="BF90" t="s">
        <v>35</v>
      </c>
      <c r="BG90" t="s">
        <v>36</v>
      </c>
      <c r="BH90" t="s">
        <v>37</v>
      </c>
      <c r="BI90" t="s">
        <v>121</v>
      </c>
      <c r="BJ90" t="s">
        <v>92</v>
      </c>
      <c r="BK90" t="s">
        <v>93</v>
      </c>
      <c r="BL90" t="s">
        <v>95</v>
      </c>
      <c r="BM90" t="s">
        <v>72</v>
      </c>
      <c r="BN90" t="s">
        <v>43</v>
      </c>
      <c r="BO90">
        <v>47</v>
      </c>
      <c r="BP90">
        <v>2</v>
      </c>
      <c r="BQ90">
        <v>341925</v>
      </c>
      <c r="BR90">
        <v>20165.075</v>
      </c>
      <c r="BS90">
        <v>46887.575</v>
      </c>
      <c r="BT90">
        <v>17761.51922</v>
      </c>
      <c r="BU90">
        <v>126681.156</v>
      </c>
      <c r="BV90">
        <v>9559.889646</v>
      </c>
      <c r="BW90">
        <v>44043.134644</v>
      </c>
      <c r="BX90">
        <v>53603.02429</v>
      </c>
      <c r="BY90">
        <v>37926.59422</v>
      </c>
      <c r="BZ90">
        <v>227171.75529</v>
      </c>
      <c r="CA90">
        <v>265098.34951</v>
      </c>
      <c r="CB90">
        <v>76826.65049</v>
      </c>
      <c r="CC90">
        <v>0</v>
      </c>
      <c r="CD90">
        <v>115229</v>
      </c>
      <c r="CE90">
        <v>267929</v>
      </c>
      <c r="CF90">
        <v>88430</v>
      </c>
      <c r="CG90">
        <v>22657</v>
      </c>
      <c r="CH90">
        <v>633405.78</v>
      </c>
      <c r="CI90">
        <v>2760232</v>
      </c>
      <c r="CJ90">
        <v>580167</v>
      </c>
    </row>
    <row r="91" ht="14.497499999999997" customHeight="1" hidden="0" collapsed="0" outlineLevel="1">
      <c r="B91" s="49" t="s">
        <v>140</v>
      </c>
      <c r="C91" s="50">
        <f>_xlfn.SUMIFS(_CALC_ALLOC!$G$1:$G$349,_CALC_ALLOC!$AS$1:$AS$349,"2027|"&amp;$P$1,_CALC_ALLOC!$B$1:$B$349,"TUNON_LYO")</f>
        <v>121.859881</v>
      </c>
      <c r="D91" s="51">
        <f>_xlfn.SUMIFS(_CALC_ALLOC!$I$1:$I$349,_CALC_ALLOC!$AS$1:$AS$349,"2027|"&amp;$P$1,_CALC_ALLOC!$B$1:$B$349,"TUNON_LYO")</f>
        <v>902399.280171</v>
      </c>
      <c r="E91" s="51">
        <f>_xlfn.SUMIFS(_CALC_ALLOC!$AI$1:$AI$349,_CALC_ALLOC!$AS$1:$AS$349,"2027|"&amp;$P$1,_CALC_ALLOC!$B$1:$B$349,"TUNON_LYO")</f>
        <v>74584.324575</v>
      </c>
      <c r="F91" s="51">
        <f>_xlfn.SUMIFS(_CALC_ALLOC!$AJ$1:$AJ$349,_CALC_ALLOC!$AS$1:$AS$349,"2027|"&amp;$P$1,_CALC_ALLOC!$B$1:$B$349,"TUNON_LYO")</f>
        <v>198220.26952</v>
      </c>
      <c r="G91" s="51">
        <f>_xlfn.SUMIFS(_CALC_ALLOC!$AK$1:$AK$349,_CALC_ALLOC!$AS$1:$AS$349,"2027|"&amp;$P$1,_CALC_ALLOC!$B$1:$B$349,"TUNON_LYO")</f>
        <v>65182.934018</v>
      </c>
      <c r="H91" s="51">
        <f>_xlfn.SUMIFS(_CALC_ALLOC!$AL$1:$AL$349,_CALC_ALLOC!$AS$1:$AS$349,"2027|"&amp;$P$1,_CALC_ALLOC!$B$1:$B$349,"TUNON_LYO")</f>
        <v>389149.627242999</v>
      </c>
      <c r="I91" s="51">
        <f>_xlfn.SUMIFS(_CALC_ALLOC!$AR$1:$AR$349,_CALC_ALLOC!$AS$1:$AS$349,"2027|"&amp;$P$1,_CALC_ALLOC!$B$1:$B$349,"TUNON_LYO")</f>
        <v>28700.329750583</v>
      </c>
      <c r="J91" s="51">
        <f>_xlfn.SUMIFS(_CALC_ALLOC!$AM$1:$AM$349,_CALC_ALLOC!$AS$1:$AS$349,"2027|"&amp;$P$1,_CALC_ALLOC!$B$1:$B$349,"TUNON_LYO")</f>
        <v>121447.059689495</v>
      </c>
      <c r="K91" s="51">
        <f t="shared" si="0"/>
        <v>877284.544796077</v>
      </c>
      <c r="L91" s="52">
        <f>_xlfn.SUMIFS(_CALC_ALLOC!$AN$1:$AN$349,_CALC_ALLOC!$AS$1:$AS$349,"2027|"&amp;$P$1,_CALC_ALLOC!$B$1:$B$349,"TUNON_LYO")</f>
        <v>25114.7353749226</v>
      </c>
      <c r="M91" s="53">
        <f t="shared" si="1"/>
        <v>0.0278310676069727</v>
      </c>
      <c r="BF91" t="s">
        <v>35</v>
      </c>
      <c r="BG91" t="s">
        <v>36</v>
      </c>
      <c r="BH91" t="s">
        <v>37</v>
      </c>
      <c r="BI91" t="s">
        <v>121</v>
      </c>
      <c r="BJ91" t="s">
        <v>97</v>
      </c>
      <c r="BK91" t="s">
        <v>93</v>
      </c>
      <c r="BL91" t="s">
        <v>94</v>
      </c>
      <c r="BM91" t="s">
        <v>42</v>
      </c>
      <c r="BN91" t="s">
        <v>67</v>
      </c>
      <c r="BO91">
        <v>62</v>
      </c>
      <c r="BP91">
        <v>3</v>
      </c>
      <c r="BQ91">
        <v>493830</v>
      </c>
      <c r="BR91">
        <v>43210.880878</v>
      </c>
      <c r="BS91">
        <v>110109.706</v>
      </c>
      <c r="BT91">
        <v>42460.069449</v>
      </c>
      <c r="BU91">
        <v>208376.715469</v>
      </c>
      <c r="BV91">
        <v>14330.377514</v>
      </c>
      <c r="BW91">
        <v>66021.133059</v>
      </c>
      <c r="BX91">
        <v>80351.510573</v>
      </c>
      <c r="BY91">
        <v>85670.950327</v>
      </c>
      <c r="BZ91">
        <v>398837.932042</v>
      </c>
      <c r="CA91">
        <v>484508.882369</v>
      </c>
      <c r="CB91">
        <v>9321.117631</v>
      </c>
      <c r="CC91">
        <v>62</v>
      </c>
      <c r="CD91">
        <v>149798</v>
      </c>
      <c r="CE91">
        <v>381714.36</v>
      </c>
      <c r="CF91">
        <v>115067</v>
      </c>
      <c r="CG91">
        <v>37985</v>
      </c>
      <c r="CH91">
        <v>902966.67</v>
      </c>
      <c r="CI91">
        <v>2760232</v>
      </c>
      <c r="CJ91">
        <v>580167</v>
      </c>
    </row>
    <row r="92" ht="14.497499999999997" customHeight="1" hidden="0" collapsed="0" outlineLevel="2">
      <c r="B92" s="54" t="s">
        <v>137</v>
      </c>
      <c r="C92" s="55">
        <f>_xlfn.SUMIFS(_CALC_ALLOC!$G$1:$G$349,_CALC_ALLOC!$AS$1:$AS$349,"2027|"&amp;$P$1,_CALC_ALLOC!$B$1:$B$349,"TUNON_LYO",_CALC_ALLOC!$D$1:$D$349,"BAC_TOU",_CALC_ALLOC!$E$1:$E$349,"B1",_CALC_ALLOC!$F$1:$F$349,"ALT")</f>
        <v>44.464881</v>
      </c>
      <c r="D92" s="56">
        <f>_xlfn.SUMIFS(_CALC_ALLOC!$I$1:$I$349,_CALC_ALLOC!$AS$1:$AS$349,"2027|"&amp;$P$1,_CALC_ALLOC!$B$1:$B$349,"TUNON_LYO",_CALC_ALLOC!$D$1:$D$349,"BAC_TOU",_CALC_ALLOC!$E$1:$E$349,"B1",_CALC_ALLOC!$F$1:$F$349,"ALT")</f>
        <v>331813.872025</v>
      </c>
      <c r="E92" s="56">
        <f>_xlfn.SUMIFS(_CALC_ALLOC!$AI$1:$AI$349,_CALC_ALLOC!$AS$1:$AS$349,"2027|"&amp;$P$1,_CALC_ALLOC!$B$1:$B$349,"TUNON_LYO",_CALC_ALLOC!$D$1:$D$349,"BAC_TOU",_CALC_ALLOC!$E$1:$E$349,"B1",_CALC_ALLOC!$F$1:$F$349,"ALT")</f>
        <v>24861.441525</v>
      </c>
      <c r="F92" s="56">
        <f>_xlfn.SUMIFS(_CALC_ALLOC!$AJ$1:$AJ$349,_CALC_ALLOC!$AS$1:$AS$349,"2027|"&amp;$P$1,_CALC_ALLOC!$B$1:$B$349,"TUNON_LYO",_CALC_ALLOC!$D$1:$D$349,"BAC_TOU",_CALC_ALLOC!$E$1:$E$349,"B1",_CALC_ALLOC!$F$1:$F$349,"ALT")</f>
        <v>66073.4231733333</v>
      </c>
      <c r="G92" s="56">
        <f>_xlfn.SUMIFS(_CALC_ALLOC!$AK$1:$AK$349,_CALC_ALLOC!$AS$1:$AS$349,"2027|"&amp;$P$1,_CALC_ALLOC!$B$1:$B$349,"TUNON_LYO",_CALC_ALLOC!$D$1:$D$349,"BAC_TOU",_CALC_ALLOC!$E$1:$E$349,"B1",_CALC_ALLOC!$F$1:$F$349,"ALT")</f>
        <v>36713.960145269</v>
      </c>
      <c r="H92" s="56">
        <f>_xlfn.SUMIFS(_CALC_ALLOC!$AL$1:$AL$349,_CALC_ALLOC!$AS$1:$AS$349,"2027|"&amp;$P$1,_CALC_ALLOC!$B$1:$B$349,"TUNON_LYO",_CALC_ALLOC!$D$1:$D$349,"BAC_TOU",_CALC_ALLOC!$E$1:$E$349,"B1",_CALC_ALLOC!$F$1:$F$349,"ALT")</f>
        <v>129716.542414333</v>
      </c>
      <c r="I92" s="56">
        <f>_xlfn.SUMIFS(_CALC_ALLOC!$AR$1:$AR$349,_CALC_ALLOC!$AS$1:$AS$349,"2027|"&amp;$P$1,_CALC_ALLOC!$B$1:$B$349,"TUNON_LYO",_CALC_ALLOC!$D$1:$D$349,"BAC_TOU",_CALC_ALLOC!$E$1:$E$349,"B1",_CALC_ALLOC!$F$1:$F$349,"ALT")</f>
        <v>9566.77658352766</v>
      </c>
      <c r="J92" s="56">
        <f>_xlfn.SUMIFS(_CALC_ALLOC!$AM$1:$AM$349,_CALC_ALLOC!$AS$1:$AS$349,"2027|"&amp;$P$1,_CALC_ALLOC!$B$1:$B$349,"TUNON_LYO",_CALC_ALLOC!$D$1:$D$349,"BAC_TOU",_CALC_ALLOC!$E$1:$E$349,"B1",_CALC_ALLOC!$F$1:$F$349,"ALT")</f>
        <v>40482.3532298318</v>
      </c>
      <c r="K92" s="57">
        <f t="shared" si="0"/>
        <v>307414.497071295</v>
      </c>
      <c r="L92" s="58">
        <f>_xlfn.SUMIFS(_CALC_ALLOC!$AN$1:$AN$349,_CALC_ALLOC!$AS$1:$AS$349,"2027|"&amp;$P$1,_CALC_ALLOC!$B$1:$B$349,"TUNON_LYO",_CALC_ALLOC!$D$1:$D$349,"BAC_TOU",_CALC_ALLOC!$E$1:$E$349,"B1",_CALC_ALLOC!$F$1:$F$349,"ALT")</f>
        <v>24399.3749537052</v>
      </c>
      <c r="M92" s="59">
        <f t="shared" si="1"/>
        <v>0.0735333179556365</v>
      </c>
      <c r="BF92" t="s">
        <v>35</v>
      </c>
      <c r="BG92" t="s">
        <v>36</v>
      </c>
      <c r="BH92" t="s">
        <v>37</v>
      </c>
      <c r="BI92" t="s">
        <v>121</v>
      </c>
      <c r="BJ92" t="s">
        <v>97</v>
      </c>
      <c r="BK92" t="s">
        <v>93</v>
      </c>
      <c r="BL92" t="s">
        <v>94</v>
      </c>
      <c r="BM92" t="s">
        <v>44</v>
      </c>
      <c r="BN92" t="s">
        <v>43</v>
      </c>
      <c r="BO92">
        <v>60</v>
      </c>
      <c r="BP92">
        <v>2</v>
      </c>
      <c r="BQ92">
        <v>441000</v>
      </c>
      <c r="BR92">
        <v>23045.823108</v>
      </c>
      <c r="BS92">
        <v>58725.227429</v>
      </c>
      <c r="BT92">
        <v>22710.543656</v>
      </c>
      <c r="BU92">
        <v>138917.810313</v>
      </c>
      <c r="BV92">
        <v>9553.58501</v>
      </c>
      <c r="BW92">
        <v>44014.088706</v>
      </c>
      <c r="BX92">
        <v>53567.673716</v>
      </c>
      <c r="BY92">
        <v>45756.366764</v>
      </c>
      <c r="BZ92">
        <v>251210.711458</v>
      </c>
      <c r="CA92">
        <v>296967.078222</v>
      </c>
      <c r="CB92">
        <v>144032.921778</v>
      </c>
      <c r="CC92">
        <v>0</v>
      </c>
      <c r="CD92">
        <v>149798</v>
      </c>
      <c r="CE92">
        <v>381714.36</v>
      </c>
      <c r="CF92">
        <v>115067</v>
      </c>
      <c r="CG92">
        <v>37985</v>
      </c>
      <c r="CH92">
        <v>902966.67</v>
      </c>
      <c r="CI92">
        <v>2760232</v>
      </c>
      <c r="CJ92">
        <v>580167</v>
      </c>
    </row>
    <row r="93" ht="14.497499999999997" customHeight="1" hidden="0" collapsed="0" outlineLevel="2">
      <c r="B93" s="54" t="s">
        <v>138</v>
      </c>
      <c r="C93" s="55">
        <f>_xlfn.SUMIFS(_CALC_ALLOC!$G$1:$G$349,_CALC_ALLOC!$AS$1:$AS$349,"2027|"&amp;$P$1,_CALC_ALLOC!$B$1:$B$349,"TUNON_LYO",_CALC_ALLOC!$D$1:$D$349,"BAC_TOU",_CALC_ALLOC!$E$1:$E$349,"B2",_CALC_ALLOC!$F$1:$F$349,"ALT")</f>
        <v>39.2</v>
      </c>
      <c r="D93" s="56">
        <f>_xlfn.SUMIFS(_CALC_ALLOC!$I$1:$I$349,_CALC_ALLOC!$AS$1:$AS$349,"2027|"&amp;$P$1,_CALC_ALLOC!$B$1:$B$349,"TUNON_LYO",_CALC_ALLOC!$D$1:$D$349,"BAC_TOU",_CALC_ALLOC!$E$1:$E$349,"B2",_CALC_ALLOC!$F$1:$F$349,"ALT")</f>
        <v>288997.3254</v>
      </c>
      <c r="E93" s="56">
        <f>_xlfn.SUMIFS(_CALC_ALLOC!$AI$1:$AI$349,_CALC_ALLOC!$AS$1:$AS$349,"2027|"&amp;$P$1,_CALC_ALLOC!$B$1:$B$349,"TUNON_LYO",_CALC_ALLOC!$D$1:$D$349,"BAC_TOU",_CALC_ALLOC!$E$1:$E$349,"B2",_CALC_ALLOC!$F$1:$F$349,"ALT")</f>
        <v>24861.441525</v>
      </c>
      <c r="F93" s="56">
        <f>_xlfn.SUMIFS(_CALC_ALLOC!$AJ$1:$AJ$349,_CALC_ALLOC!$AS$1:$AS$349,"2027|"&amp;$P$1,_CALC_ALLOC!$B$1:$B$349,"TUNON_LYO",_CALC_ALLOC!$D$1:$D$349,"BAC_TOU",_CALC_ALLOC!$E$1:$E$349,"B2",_CALC_ALLOC!$F$1:$F$349,"ALT")</f>
        <v>66073.4231733333</v>
      </c>
      <c r="G93" s="56">
        <f>_xlfn.SUMIFS(_CALC_ALLOC!$AK$1:$AK$349,_CALC_ALLOC!$AS$1:$AS$349,"2027|"&amp;$P$1,_CALC_ALLOC!$B$1:$B$349,"TUNON_LYO",_CALC_ALLOC!$D$1:$D$349,"BAC_TOU",_CALC_ALLOC!$E$1:$E$349,"B2",_CALC_ALLOC!$F$1:$F$349,"ALT")</f>
        <v>14419.3265173597</v>
      </c>
      <c r="H93" s="56">
        <f>_xlfn.SUMIFS(_CALC_ALLOC!$AL$1:$AL$349,_CALC_ALLOC!$AS$1:$AS$349,"2027|"&amp;$P$1,_CALC_ALLOC!$B$1:$B$349,"TUNON_LYO",_CALC_ALLOC!$D$1:$D$349,"BAC_TOU",_CALC_ALLOC!$E$1:$E$349,"B2",_CALC_ALLOC!$F$1:$F$349,"ALT")</f>
        <v>129716.542414333</v>
      </c>
      <c r="I93" s="56">
        <f>_xlfn.SUMIFS(_CALC_ALLOC!$AR$1:$AR$349,_CALC_ALLOC!$AS$1:$AS$349,"2027|"&amp;$P$1,_CALC_ALLOC!$B$1:$B$349,"TUNON_LYO",_CALC_ALLOC!$D$1:$D$349,"BAC_TOU",_CALC_ALLOC!$E$1:$E$349,"B2",_CALC_ALLOC!$F$1:$F$349,"ALT")</f>
        <v>9566.77658352766</v>
      </c>
      <c r="J93" s="56">
        <f>_xlfn.SUMIFS(_CALC_ALLOC!$AM$1:$AM$349,_CALC_ALLOC!$AS$1:$AS$349,"2027|"&amp;$P$1,_CALC_ALLOC!$B$1:$B$349,"TUNON_LYO",_CALC_ALLOC!$D$1:$D$349,"BAC_TOU",_CALC_ALLOC!$E$1:$E$349,"B2",_CALC_ALLOC!$F$1:$F$349,"ALT")</f>
        <v>40482.3532298318</v>
      </c>
      <c r="K93" s="57">
        <f t="shared" si="0"/>
        <v>285119.863443385</v>
      </c>
      <c r="L93" s="58">
        <f>_xlfn.SUMIFS(_CALC_ALLOC!$AN$1:$AN$349,_CALC_ALLOC!$AS$1:$AS$349,"2027|"&amp;$P$1,_CALC_ALLOC!$B$1:$B$349,"TUNON_LYO",_CALC_ALLOC!$D$1:$D$349,"BAC_TOU",_CALC_ALLOC!$E$1:$E$349,"B2",_CALC_ALLOC!$F$1:$F$349,"ALT")</f>
        <v>3877.46195661451</v>
      </c>
      <c r="M93" s="59">
        <f t="shared" si="1"/>
        <v>0.0134169475487281</v>
      </c>
      <c r="BF93" t="s">
        <v>35</v>
      </c>
      <c r="BG93" t="s">
        <v>36</v>
      </c>
      <c r="BH93" t="s">
        <v>37</v>
      </c>
      <c r="BI93" t="s">
        <v>121</v>
      </c>
      <c r="BJ93" t="s">
        <v>97</v>
      </c>
      <c r="BK93" t="s">
        <v>93</v>
      </c>
      <c r="BL93" t="s">
        <v>94</v>
      </c>
      <c r="BM93" t="s">
        <v>50</v>
      </c>
      <c r="BN93" t="s">
        <v>43</v>
      </c>
      <c r="BO93">
        <v>59</v>
      </c>
      <c r="BP93">
        <v>2</v>
      </c>
      <c r="BQ93">
        <v>433650</v>
      </c>
      <c r="BR93">
        <v>23045.823108</v>
      </c>
      <c r="BS93">
        <v>58725.227429</v>
      </c>
      <c r="BT93">
        <v>22331.973226</v>
      </c>
      <c r="BU93">
        <v>138917.810313</v>
      </c>
      <c r="BV93">
        <v>9553.58501</v>
      </c>
      <c r="BW93">
        <v>44014.088706</v>
      </c>
      <c r="BX93">
        <v>53567.673716</v>
      </c>
      <c r="BY93">
        <v>45377.796334</v>
      </c>
      <c r="BZ93">
        <v>251210.711458</v>
      </c>
      <c r="CA93">
        <v>296588.507792</v>
      </c>
      <c r="CB93">
        <v>137061.492208</v>
      </c>
      <c r="CC93">
        <v>0</v>
      </c>
      <c r="CD93">
        <v>149798</v>
      </c>
      <c r="CE93">
        <v>381714.36</v>
      </c>
      <c r="CF93">
        <v>115067</v>
      </c>
      <c r="CG93">
        <v>37985</v>
      </c>
      <c r="CH93">
        <v>902966.67</v>
      </c>
      <c r="CI93">
        <v>2760232</v>
      </c>
      <c r="CJ93">
        <v>580167</v>
      </c>
    </row>
    <row r="94" ht="14.497499999999997" customHeight="1" hidden="0" collapsed="0" outlineLevel="2">
      <c r="B94" s="54" t="s">
        <v>139</v>
      </c>
      <c r="C94" s="55">
        <f>_xlfn.SUMIFS(_CALC_ALLOC!$G$1:$G$349,_CALC_ALLOC!$AS$1:$AS$349,"2027|"&amp;$P$1,_CALC_ALLOC!$B$1:$B$349,"TUNON_LYO",_CALC_ALLOC!$D$1:$D$349,"BAC_TOU",_CALC_ALLOC!$E$1:$E$349,"B3",_CALC_ALLOC!$F$1:$F$349,"ALT")</f>
        <v>38.195</v>
      </c>
      <c r="D94" s="56">
        <f>_xlfn.SUMIFS(_CALC_ALLOC!$I$1:$I$349,_CALC_ALLOC!$AS$1:$AS$349,"2027|"&amp;$P$1,_CALC_ALLOC!$B$1:$B$349,"TUNON_LYO",_CALC_ALLOC!$D$1:$D$349,"BAC_TOU",_CALC_ALLOC!$E$1:$E$349,"B3",_CALC_ALLOC!$F$1:$F$349,"ALT")</f>
        <v>281588.082746</v>
      </c>
      <c r="E94" s="56">
        <f>_xlfn.SUMIFS(_CALC_ALLOC!$AI$1:$AI$349,_CALC_ALLOC!$AS$1:$AS$349,"2027|"&amp;$P$1,_CALC_ALLOC!$B$1:$B$349,"TUNON_LYO",_CALC_ALLOC!$D$1:$D$349,"BAC_TOU",_CALC_ALLOC!$E$1:$E$349,"B3",_CALC_ALLOC!$F$1:$F$349,"ALT")</f>
        <v>24861.441525</v>
      </c>
      <c r="F94" s="56">
        <f>_xlfn.SUMIFS(_CALC_ALLOC!$AJ$1:$AJ$349,_CALC_ALLOC!$AS$1:$AS$349,"2027|"&amp;$P$1,_CALC_ALLOC!$B$1:$B$349,"TUNON_LYO",_CALC_ALLOC!$D$1:$D$349,"BAC_TOU",_CALC_ALLOC!$E$1:$E$349,"B3",_CALC_ALLOC!$F$1:$F$349,"ALT")</f>
        <v>66073.4231733333</v>
      </c>
      <c r="G94" s="56">
        <f>_xlfn.SUMIFS(_CALC_ALLOC!$AK$1:$AK$349,_CALC_ALLOC!$AS$1:$AS$349,"2027|"&amp;$P$1,_CALC_ALLOC!$B$1:$B$349,"TUNON_LYO",_CALC_ALLOC!$D$1:$D$349,"BAC_TOU",_CALC_ALLOC!$E$1:$E$349,"B3",_CALC_ALLOC!$F$1:$F$349,"ALT")</f>
        <v>14049.6473553713</v>
      </c>
      <c r="H94" s="56">
        <f>_xlfn.SUMIFS(_CALC_ALLOC!$AL$1:$AL$349,_CALC_ALLOC!$AS$1:$AS$349,"2027|"&amp;$P$1,_CALC_ALLOC!$B$1:$B$349,"TUNON_LYO",_CALC_ALLOC!$D$1:$D$349,"BAC_TOU",_CALC_ALLOC!$E$1:$E$349,"B3",_CALC_ALLOC!$F$1:$F$349,"ALT")</f>
        <v>129716.542414333</v>
      </c>
      <c r="I94" s="56">
        <f>_xlfn.SUMIFS(_CALC_ALLOC!$AR$1:$AR$349,_CALC_ALLOC!$AS$1:$AS$349,"2027|"&amp;$P$1,_CALC_ALLOC!$B$1:$B$349,"TUNON_LYO",_CALC_ALLOC!$D$1:$D$349,"BAC_TOU",_CALC_ALLOC!$E$1:$E$349,"B3",_CALC_ALLOC!$F$1:$F$349,"ALT")</f>
        <v>9566.77658352766</v>
      </c>
      <c r="J94" s="56">
        <f>_xlfn.SUMIFS(_CALC_ALLOC!$AM$1:$AM$349,_CALC_ALLOC!$AS$1:$AS$349,"2027|"&amp;$P$1,_CALC_ALLOC!$B$1:$B$349,"TUNON_LYO",_CALC_ALLOC!$D$1:$D$349,"BAC_TOU",_CALC_ALLOC!$E$1:$E$349,"B3",_CALC_ALLOC!$F$1:$F$349,"ALT")</f>
        <v>40482.3532298318</v>
      </c>
      <c r="K94" s="57">
        <f t="shared" si="0"/>
        <v>284750.184281397</v>
      </c>
      <c r="L94" s="58">
        <f>_xlfn.SUMIFS(_CALC_ALLOC!$AN$1:$AN$349,_CALC_ALLOC!$AS$1:$AS$349,"2027|"&amp;$P$1,_CALC_ALLOC!$B$1:$B$349,"TUNON_LYO",_CALC_ALLOC!$D$1:$D$349,"BAC_TOU",_CALC_ALLOC!$E$1:$E$349,"B3",_CALC_ALLOC!$F$1:$F$349,"ALT")</f>
        <v>-3162.10153539712</v>
      </c>
      <c r="M94" s="59">
        <f t="shared" si="1"/>
        <v>-0.0112295289792126</v>
      </c>
      <c r="BF94" t="s">
        <v>35</v>
      </c>
      <c r="BG94" t="s">
        <v>36</v>
      </c>
      <c r="BH94" t="s">
        <v>37</v>
      </c>
      <c r="BI94" t="s">
        <v>121</v>
      </c>
      <c r="BJ94" t="s">
        <v>97</v>
      </c>
      <c r="BK94" t="s">
        <v>93</v>
      </c>
      <c r="BL94" t="s">
        <v>95</v>
      </c>
      <c r="BM94" t="s">
        <v>71</v>
      </c>
      <c r="BN94" t="s">
        <v>43</v>
      </c>
      <c r="BO94">
        <v>62</v>
      </c>
      <c r="BP94">
        <v>3</v>
      </c>
      <c r="BQ94">
        <v>493830</v>
      </c>
      <c r="BR94">
        <v>30247.661554</v>
      </c>
      <c r="BS94">
        <v>77076.908714</v>
      </c>
      <c r="BT94">
        <v>42460.069449</v>
      </c>
      <c r="BU94">
        <v>208376.715469</v>
      </c>
      <c r="BV94">
        <v>14330.377514</v>
      </c>
      <c r="BW94">
        <v>66021.133059</v>
      </c>
      <c r="BX94">
        <v>80351.510573</v>
      </c>
      <c r="BY94">
        <v>72707.731003</v>
      </c>
      <c r="BZ94">
        <v>365805.134756</v>
      </c>
      <c r="CA94">
        <v>438512.865759</v>
      </c>
      <c r="CB94">
        <v>55317.134241</v>
      </c>
      <c r="CC94">
        <v>62</v>
      </c>
      <c r="CD94">
        <v>149798</v>
      </c>
      <c r="CE94">
        <v>381714.36</v>
      </c>
      <c r="CF94">
        <v>115067</v>
      </c>
      <c r="CG94">
        <v>37985</v>
      </c>
      <c r="CH94">
        <v>902966.67</v>
      </c>
      <c r="CI94">
        <v>2760232</v>
      </c>
      <c r="CJ94">
        <v>580167</v>
      </c>
    </row>
    <row r="95" ht="14.497499999999997" customHeight="1" collapsed="0" outlineLevel="0">
      <c r="B95" s="60" t="s">
        <v>141</v>
      </c>
      <c r="C95" s="61">
        <f>_xlfn.SUMIFS(_CALC_ALLOC!$G$1:$G$349,_CALC_ALLOC!$AS$1:$AS$349,"2027|"&amp;$P$1)</f>
        <v>3253.616848</v>
      </c>
      <c r="D95" s="62">
        <f>_xlfn.SUMIFS(_CALC_ALLOC!$I$1:$I$349,_CALC_ALLOC!$AS$1:$AS$349,"2027|"&amp;$P$1)</f>
        <v>24231703.809425</v>
      </c>
      <c r="E95" s="62">
        <f>_xlfn.SUMIFS(_CALC_ALLOC!$AI$1:$AI$349,_CALC_ALLOC!$AS$1:$AS$349,"2027|"&amp;$P$1)</f>
        <v>1628415.15322</v>
      </c>
      <c r="F95" s="62">
        <f>_xlfn.SUMIFS(_CALC_ALLOC!$AJ$1:$AJ$349,_CALC_ALLOC!$AS$1:$AS$349,"2027|"&amp;$P$1)</f>
        <v>4094580.44944</v>
      </c>
      <c r="G95" s="62">
        <f>_xlfn.SUMIFS(_CALC_ALLOC!$AK$1:$AK$349,_CALC_ALLOC!$AS$1:$AS$349,"2027|"&amp;$P$1)</f>
        <v>1632062.189234</v>
      </c>
      <c r="H95" s="62">
        <f>_xlfn.SUMIFS(_CALC_ALLOC!$AL$1:$AL$349,_CALC_ALLOC!$AS$1:$AS$349,"2027|"&amp;$P$1)</f>
        <v>9045300.563606</v>
      </c>
      <c r="I95" s="62">
        <f>_xlfn.SUMIFS(_CALC_ALLOC!$AR$1:$AR$349,_CALC_ALLOC!$AS$1:$AS$349,"2027|"&amp;$P$1)</f>
        <v>743978.400000001</v>
      </c>
      <c r="J95" s="62">
        <f>_xlfn.SUMIFS(_CALC_ALLOC!$AM$1:$AM$349,_CALC_ALLOC!$AS$1:$AS$349,"2027|"&amp;$P$1)</f>
        <v>2975861.58142</v>
      </c>
      <c r="K95" s="62">
        <f t="shared" si="0"/>
        <v>20120198.33692</v>
      </c>
      <c r="L95" s="62">
        <f>_xlfn.SUMIFS(_CALC_ALLOC!$AN$1:$AN$349,_CALC_ALLOC!$AS$1:$AS$349,"2027|"&amp;$P$1)</f>
        <v>4111505.472505</v>
      </c>
      <c r="M95" s="63">
        <f t="shared" si="1"/>
        <v>0.169674633894535</v>
      </c>
      <c r="BF95" t="s">
        <v>35</v>
      </c>
      <c r="BG95" t="s">
        <v>36</v>
      </c>
      <c r="BH95" t="s">
        <v>37</v>
      </c>
      <c r="BI95" t="s">
        <v>121</v>
      </c>
      <c r="BJ95" t="s">
        <v>97</v>
      </c>
      <c r="BK95" t="s">
        <v>93</v>
      </c>
      <c r="BL95" t="s">
        <v>95</v>
      </c>
      <c r="BM95" t="s">
        <v>72</v>
      </c>
      <c r="BN95" t="s">
        <v>43</v>
      </c>
      <c r="BO95">
        <v>61</v>
      </c>
      <c r="BP95">
        <v>3</v>
      </c>
      <c r="BQ95">
        <v>480375</v>
      </c>
      <c r="BR95">
        <v>30247.661554</v>
      </c>
      <c r="BS95">
        <v>77076.908714</v>
      </c>
      <c r="BT95">
        <v>23088.999019</v>
      </c>
      <c r="BU95">
        <v>208376.715469</v>
      </c>
      <c r="BV95">
        <v>14330.377514</v>
      </c>
      <c r="BW95">
        <v>66021.133059</v>
      </c>
      <c r="BX95">
        <v>80351.510573</v>
      </c>
      <c r="BY95">
        <v>53336.660573</v>
      </c>
      <c r="BZ95">
        <v>365805.134756</v>
      </c>
      <c r="CA95">
        <v>419141.795329</v>
      </c>
      <c r="CB95">
        <v>61233.204671</v>
      </c>
      <c r="CC95">
        <v>0</v>
      </c>
      <c r="CD95">
        <v>149798</v>
      </c>
      <c r="CE95">
        <v>381714.36</v>
      </c>
      <c r="CF95">
        <v>115067</v>
      </c>
      <c r="CG95">
        <v>37985</v>
      </c>
      <c r="CH95">
        <v>902966.67</v>
      </c>
      <c r="CI95">
        <v>2760232</v>
      </c>
      <c r="CJ95">
        <v>580167</v>
      </c>
    </row>
    <row r="96" ht="14.497499999999997" customHeight="1">
      <c r="BF96" t="s">
        <v>35</v>
      </c>
      <c r="BG96" t="s">
        <v>36</v>
      </c>
      <c r="BH96" t="s">
        <v>37</v>
      </c>
      <c r="BI96" t="s">
        <v>121</v>
      </c>
      <c r="BJ96" t="s">
        <v>98</v>
      </c>
      <c r="BK96" t="s">
        <v>93</v>
      </c>
      <c r="BL96" t="s">
        <v>94</v>
      </c>
      <c r="BM96" t="s">
        <v>42</v>
      </c>
      <c r="BN96" t="s">
        <v>67</v>
      </c>
      <c r="BO96">
        <v>57</v>
      </c>
      <c r="BP96">
        <v>2</v>
      </c>
      <c r="BQ96">
        <v>432630</v>
      </c>
      <c r="BR96">
        <v>29420.080375</v>
      </c>
      <c r="BS96">
        <v>70856.808803</v>
      </c>
      <c r="BT96">
        <v>35664.476012</v>
      </c>
      <c r="BU96">
        <v>129791.150833</v>
      </c>
      <c r="BV96">
        <v>9498.57494</v>
      </c>
      <c r="BW96">
        <v>43760.653152</v>
      </c>
      <c r="BX96">
        <v>53259.228092</v>
      </c>
      <c r="BY96">
        <v>65084.556387</v>
      </c>
      <c r="BZ96">
        <v>253907.187728</v>
      </c>
      <c r="CA96">
        <v>318991.744115</v>
      </c>
      <c r="CB96">
        <v>113638.255885</v>
      </c>
      <c r="CC96">
        <v>57</v>
      </c>
      <c r="CD96">
        <v>138275</v>
      </c>
      <c r="CE96">
        <v>333028.5</v>
      </c>
      <c r="CF96">
        <v>104412</v>
      </c>
      <c r="CG96">
        <v>28666</v>
      </c>
      <c r="CH96">
        <v>778750.02</v>
      </c>
      <c r="CI96">
        <v>2760232</v>
      </c>
      <c r="CJ96">
        <v>580167</v>
      </c>
    </row>
    <row r="97" ht="14.497499999999997" customHeight="1">
      <c r="BF97" t="s">
        <v>35</v>
      </c>
      <c r="BG97" t="s">
        <v>36</v>
      </c>
      <c r="BH97" t="s">
        <v>37</v>
      </c>
      <c r="BI97" t="s">
        <v>121</v>
      </c>
      <c r="BJ97" t="s">
        <v>98</v>
      </c>
      <c r="BK97" t="s">
        <v>93</v>
      </c>
      <c r="BL97" t="s">
        <v>94</v>
      </c>
      <c r="BM97" t="s">
        <v>44</v>
      </c>
      <c r="BN97" t="s">
        <v>43</v>
      </c>
      <c r="BO97">
        <v>55</v>
      </c>
      <c r="BP97">
        <v>2</v>
      </c>
      <c r="BQ97">
        <v>385000</v>
      </c>
      <c r="BR97">
        <v>23536.0643</v>
      </c>
      <c r="BS97">
        <v>56685.447042</v>
      </c>
      <c r="BT97">
        <v>20582.946384</v>
      </c>
      <c r="BU97">
        <v>129791.150833</v>
      </c>
      <c r="BV97">
        <v>9498.57494</v>
      </c>
      <c r="BW97">
        <v>43760.653152</v>
      </c>
      <c r="BX97">
        <v>53259.228092</v>
      </c>
      <c r="BY97">
        <v>44119.010684</v>
      </c>
      <c r="BZ97">
        <v>239735.825967</v>
      </c>
      <c r="CA97">
        <v>283854.836651</v>
      </c>
      <c r="CB97">
        <v>101145.163349</v>
      </c>
      <c r="CC97">
        <v>0</v>
      </c>
      <c r="CD97">
        <v>138275</v>
      </c>
      <c r="CE97">
        <v>333028.5</v>
      </c>
      <c r="CF97">
        <v>104412</v>
      </c>
      <c r="CG97">
        <v>28666</v>
      </c>
      <c r="CH97">
        <v>778750.02</v>
      </c>
      <c r="CI97">
        <v>2760232</v>
      </c>
      <c r="CJ97">
        <v>580167</v>
      </c>
    </row>
    <row r="98" ht="14.497499999999997" customHeight="1">
      <c r="BF98" t="s">
        <v>35</v>
      </c>
      <c r="BG98" t="s">
        <v>36</v>
      </c>
      <c r="BH98" t="s">
        <v>37</v>
      </c>
      <c r="BI98" t="s">
        <v>121</v>
      </c>
      <c r="BJ98" t="s">
        <v>98</v>
      </c>
      <c r="BK98" t="s">
        <v>93</v>
      </c>
      <c r="BL98" t="s">
        <v>94</v>
      </c>
      <c r="BM98" t="s">
        <v>50</v>
      </c>
      <c r="BN98" t="s">
        <v>43</v>
      </c>
      <c r="BO98">
        <v>54</v>
      </c>
      <c r="BP98">
        <v>2</v>
      </c>
      <c r="BQ98">
        <v>378000</v>
      </c>
      <c r="BR98">
        <v>23536.0643</v>
      </c>
      <c r="BS98">
        <v>56685.447042</v>
      </c>
      <c r="BT98">
        <v>20208.733776</v>
      </c>
      <c r="BU98">
        <v>129791.150833</v>
      </c>
      <c r="BV98">
        <v>9498.57494</v>
      </c>
      <c r="BW98">
        <v>43760.653152</v>
      </c>
      <c r="BX98">
        <v>53259.228092</v>
      </c>
      <c r="BY98">
        <v>43744.798076</v>
      </c>
      <c r="BZ98">
        <v>239735.825967</v>
      </c>
      <c r="CA98">
        <v>283480.624043</v>
      </c>
      <c r="CB98">
        <v>94519.375957</v>
      </c>
      <c r="CC98">
        <v>0</v>
      </c>
      <c r="CD98">
        <v>138275</v>
      </c>
      <c r="CE98">
        <v>333028.5</v>
      </c>
      <c r="CF98">
        <v>104412</v>
      </c>
      <c r="CG98">
        <v>28666</v>
      </c>
      <c r="CH98">
        <v>778750.02</v>
      </c>
      <c r="CI98">
        <v>2760232</v>
      </c>
      <c r="CJ98">
        <v>580167</v>
      </c>
    </row>
    <row r="99" ht="14.497499999999997" customHeight="1">
      <c r="BF99" t="s">
        <v>35</v>
      </c>
      <c r="BG99" t="s">
        <v>36</v>
      </c>
      <c r="BH99" t="s">
        <v>37</v>
      </c>
      <c r="BI99" t="s">
        <v>121</v>
      </c>
      <c r="BJ99" t="s">
        <v>98</v>
      </c>
      <c r="BK99" t="s">
        <v>93</v>
      </c>
      <c r="BL99" t="s">
        <v>95</v>
      </c>
      <c r="BM99" t="s">
        <v>71</v>
      </c>
      <c r="BN99" t="s">
        <v>43</v>
      </c>
      <c r="BO99">
        <v>57</v>
      </c>
      <c r="BP99">
        <v>3</v>
      </c>
      <c r="BQ99">
        <v>432630</v>
      </c>
      <c r="BR99">
        <v>30891.1881</v>
      </c>
      <c r="BS99">
        <v>74399.899014</v>
      </c>
      <c r="BT99">
        <v>35664.476012</v>
      </c>
      <c r="BU99">
        <v>194687.505</v>
      </c>
      <c r="BV99">
        <v>14247.919401</v>
      </c>
      <c r="BW99">
        <v>65641.242293</v>
      </c>
      <c r="BX99">
        <v>79889.161694</v>
      </c>
      <c r="BY99">
        <v>66555.664112</v>
      </c>
      <c r="BZ99">
        <v>348976.565708</v>
      </c>
      <c r="CA99">
        <v>415532.22982</v>
      </c>
      <c r="CB99">
        <v>17097.77018</v>
      </c>
      <c r="CC99">
        <v>57</v>
      </c>
      <c r="CD99">
        <v>138275</v>
      </c>
      <c r="CE99">
        <v>333028.5</v>
      </c>
      <c r="CF99">
        <v>104412</v>
      </c>
      <c r="CG99">
        <v>28666</v>
      </c>
      <c r="CH99">
        <v>778750.02</v>
      </c>
      <c r="CI99">
        <v>2760232</v>
      </c>
      <c r="CJ99">
        <v>580167</v>
      </c>
    </row>
    <row r="100" ht="14.497499999999997" customHeight="1">
      <c r="BF100" t="s">
        <v>35</v>
      </c>
      <c r="BG100" t="s">
        <v>36</v>
      </c>
      <c r="BH100" t="s">
        <v>37</v>
      </c>
      <c r="BI100" t="s">
        <v>121</v>
      </c>
      <c r="BJ100" t="s">
        <v>98</v>
      </c>
      <c r="BK100" t="s">
        <v>93</v>
      </c>
      <c r="BL100" t="s">
        <v>95</v>
      </c>
      <c r="BM100" t="s">
        <v>72</v>
      </c>
      <c r="BN100" t="s">
        <v>43</v>
      </c>
      <c r="BO100">
        <v>56</v>
      </c>
      <c r="BP100">
        <v>3</v>
      </c>
      <c r="BQ100">
        <v>420000</v>
      </c>
      <c r="BR100">
        <v>30891.1881</v>
      </c>
      <c r="BS100">
        <v>74399.899014</v>
      </c>
      <c r="BT100">
        <v>20957.158992</v>
      </c>
      <c r="BU100">
        <v>194687.505</v>
      </c>
      <c r="BV100">
        <v>14247.919401</v>
      </c>
      <c r="BW100">
        <v>65641.242293</v>
      </c>
      <c r="BX100">
        <v>79889.161694</v>
      </c>
      <c r="BY100">
        <v>51848.347092</v>
      </c>
      <c r="BZ100">
        <v>348976.565708</v>
      </c>
      <c r="CA100">
        <v>400824.9128</v>
      </c>
      <c r="CB100">
        <v>19175.0872</v>
      </c>
      <c r="CC100">
        <v>0</v>
      </c>
      <c r="CD100">
        <v>138275</v>
      </c>
      <c r="CE100">
        <v>333028.5</v>
      </c>
      <c r="CF100">
        <v>104412</v>
      </c>
      <c r="CG100">
        <v>28666</v>
      </c>
      <c r="CH100">
        <v>778750.02</v>
      </c>
      <c r="CI100">
        <v>2760232</v>
      </c>
      <c r="CJ100">
        <v>580167</v>
      </c>
    </row>
    <row r="101" ht="14.497499999999997" customHeight="1">
      <c r="BF101" t="s">
        <v>35</v>
      </c>
      <c r="BG101" t="s">
        <v>36</v>
      </c>
      <c r="BH101" t="s">
        <v>37</v>
      </c>
      <c r="BI101" t="s">
        <v>121</v>
      </c>
      <c r="BJ101" t="s">
        <v>100</v>
      </c>
      <c r="BK101" t="s">
        <v>93</v>
      </c>
      <c r="BL101" t="s">
        <v>94</v>
      </c>
      <c r="BM101" t="s">
        <v>42</v>
      </c>
      <c r="BN101" t="s">
        <v>67</v>
      </c>
      <c r="BO101">
        <v>74</v>
      </c>
      <c r="BP101">
        <v>3</v>
      </c>
      <c r="BQ101">
        <v>628260</v>
      </c>
      <c r="BR101">
        <v>43211</v>
      </c>
      <c r="BS101">
        <v>121216.6025</v>
      </c>
      <c r="BT101">
        <v>58773.503635</v>
      </c>
      <c r="BU101">
        <v>232782.046</v>
      </c>
      <c r="BV101">
        <v>14789.210407</v>
      </c>
      <c r="BW101">
        <v>68135.010898</v>
      </c>
      <c r="BX101">
        <v>82924.221305</v>
      </c>
      <c r="BY101">
        <v>101984.503635</v>
      </c>
      <c r="BZ101">
        <v>436922.869805</v>
      </c>
      <c r="CA101">
        <v>538907.37344</v>
      </c>
      <c r="CB101">
        <v>89352.62656</v>
      </c>
      <c r="CC101">
        <v>74</v>
      </c>
      <c r="CD101">
        <v>172844</v>
      </c>
      <c r="CE101">
        <v>484866.41</v>
      </c>
      <c r="CF101">
        <v>135665</v>
      </c>
      <c r="CG101">
        <v>62082</v>
      </c>
      <c r="CH101">
        <v>1163910.23</v>
      </c>
      <c r="CI101">
        <v>2760232</v>
      </c>
      <c r="CJ101">
        <v>580167</v>
      </c>
    </row>
    <row r="102" ht="14.497499999999997" customHeight="1">
      <c r="BF102" t="s">
        <v>35</v>
      </c>
      <c r="BG102" t="s">
        <v>36</v>
      </c>
      <c r="BH102" t="s">
        <v>37</v>
      </c>
      <c r="BI102" t="s">
        <v>121</v>
      </c>
      <c r="BJ102" t="s">
        <v>100</v>
      </c>
      <c r="BK102" t="s">
        <v>93</v>
      </c>
      <c r="BL102" t="s">
        <v>94</v>
      </c>
      <c r="BM102" t="s">
        <v>44</v>
      </c>
      <c r="BN102" t="s">
        <v>43</v>
      </c>
      <c r="BO102">
        <v>72</v>
      </c>
      <c r="BP102">
        <v>3</v>
      </c>
      <c r="BQ102">
        <v>564480</v>
      </c>
      <c r="BR102">
        <v>34568.8</v>
      </c>
      <c r="BS102">
        <v>96973.282</v>
      </c>
      <c r="BT102">
        <v>26983.090175</v>
      </c>
      <c r="BU102">
        <v>232782.046</v>
      </c>
      <c r="BV102">
        <v>14789.210407</v>
      </c>
      <c r="BW102">
        <v>68135.010898</v>
      </c>
      <c r="BX102">
        <v>82924.221305</v>
      </c>
      <c r="BY102">
        <v>61551.890175</v>
      </c>
      <c r="BZ102">
        <v>412679.549305</v>
      </c>
      <c r="CA102">
        <v>474231.43948</v>
      </c>
      <c r="CB102">
        <v>90248.56052</v>
      </c>
      <c r="CC102">
        <v>0</v>
      </c>
      <c r="CD102">
        <v>172844</v>
      </c>
      <c r="CE102">
        <v>484866.41</v>
      </c>
      <c r="CF102">
        <v>135665</v>
      </c>
      <c r="CG102">
        <v>62082</v>
      </c>
      <c r="CH102">
        <v>1163910.23</v>
      </c>
      <c r="CI102">
        <v>2760232</v>
      </c>
      <c r="CJ102">
        <v>580167</v>
      </c>
    </row>
    <row r="103" ht="14.497499999999997" customHeight="1">
      <c r="BF103" t="s">
        <v>35</v>
      </c>
      <c r="BG103" t="s">
        <v>36</v>
      </c>
      <c r="BH103" t="s">
        <v>37</v>
      </c>
      <c r="BI103" t="s">
        <v>121</v>
      </c>
      <c r="BJ103" t="s">
        <v>100</v>
      </c>
      <c r="BK103" t="s">
        <v>93</v>
      </c>
      <c r="BL103" t="s">
        <v>94</v>
      </c>
      <c r="BM103" t="s">
        <v>50</v>
      </c>
      <c r="BN103" t="s">
        <v>43</v>
      </c>
      <c r="BO103">
        <v>70</v>
      </c>
      <c r="BP103">
        <v>3</v>
      </c>
      <c r="BQ103">
        <v>548800</v>
      </c>
      <c r="BR103">
        <v>34568.8</v>
      </c>
      <c r="BS103">
        <v>96973.282</v>
      </c>
      <c r="BT103">
        <v>26233.54105</v>
      </c>
      <c r="BU103">
        <v>232782.046</v>
      </c>
      <c r="BV103">
        <v>14789.210407</v>
      </c>
      <c r="BW103">
        <v>68135.010898</v>
      </c>
      <c r="BX103">
        <v>82924.221305</v>
      </c>
      <c r="BY103">
        <v>60802.34105</v>
      </c>
      <c r="BZ103">
        <v>412679.549305</v>
      </c>
      <c r="CA103">
        <v>473481.890355</v>
      </c>
      <c r="CB103">
        <v>75318.109645</v>
      </c>
      <c r="CC103">
        <v>0</v>
      </c>
      <c r="CD103">
        <v>172844</v>
      </c>
      <c r="CE103">
        <v>484866.41</v>
      </c>
      <c r="CF103">
        <v>135665</v>
      </c>
      <c r="CG103">
        <v>62082</v>
      </c>
      <c r="CH103">
        <v>1163910.23</v>
      </c>
      <c r="CI103">
        <v>2760232</v>
      </c>
      <c r="CJ103">
        <v>580167</v>
      </c>
    </row>
    <row r="104" ht="14.497499999999997" customHeight="1">
      <c r="BF104" t="s">
        <v>35</v>
      </c>
      <c r="BG104" t="s">
        <v>36</v>
      </c>
      <c r="BH104" t="s">
        <v>37</v>
      </c>
      <c r="BI104" t="s">
        <v>121</v>
      </c>
      <c r="BJ104" t="s">
        <v>100</v>
      </c>
      <c r="BK104" t="s">
        <v>93</v>
      </c>
      <c r="BL104" t="s">
        <v>95</v>
      </c>
      <c r="BM104" t="s">
        <v>71</v>
      </c>
      <c r="BN104" t="s">
        <v>43</v>
      </c>
      <c r="BO104">
        <v>74</v>
      </c>
      <c r="BP104">
        <v>3</v>
      </c>
      <c r="BQ104">
        <v>628260</v>
      </c>
      <c r="BR104">
        <v>30247.7</v>
      </c>
      <c r="BS104">
        <v>84851.62175</v>
      </c>
      <c r="BT104">
        <v>58773.503635</v>
      </c>
      <c r="BU104">
        <v>232782.046</v>
      </c>
      <c r="BV104">
        <v>14789.210407</v>
      </c>
      <c r="BW104">
        <v>68135.010898</v>
      </c>
      <c r="BX104">
        <v>82924.221305</v>
      </c>
      <c r="BY104">
        <v>89021.203635</v>
      </c>
      <c r="BZ104">
        <v>400557.889055</v>
      </c>
      <c r="CA104">
        <v>489579.09269</v>
      </c>
      <c r="CB104">
        <v>138680.90731</v>
      </c>
      <c r="CC104">
        <v>74</v>
      </c>
      <c r="CD104">
        <v>172844</v>
      </c>
      <c r="CE104">
        <v>484866.41</v>
      </c>
      <c r="CF104">
        <v>135665</v>
      </c>
      <c r="CG104">
        <v>62082</v>
      </c>
      <c r="CH104">
        <v>1163910.23</v>
      </c>
      <c r="CI104">
        <v>2760232</v>
      </c>
      <c r="CJ104">
        <v>580167</v>
      </c>
    </row>
    <row r="105" ht="14.497499999999997" customHeight="1">
      <c r="BF105" t="s">
        <v>35</v>
      </c>
      <c r="BG105" t="s">
        <v>36</v>
      </c>
      <c r="BH105" t="s">
        <v>37</v>
      </c>
      <c r="BI105" t="s">
        <v>121</v>
      </c>
      <c r="BJ105" t="s">
        <v>100</v>
      </c>
      <c r="BK105" t="s">
        <v>93</v>
      </c>
      <c r="BL105" t="s">
        <v>95</v>
      </c>
      <c r="BM105" t="s">
        <v>72</v>
      </c>
      <c r="BN105" t="s">
        <v>43</v>
      </c>
      <c r="BO105">
        <v>72</v>
      </c>
      <c r="BP105">
        <v>3</v>
      </c>
      <c r="BQ105">
        <v>604800</v>
      </c>
      <c r="BR105">
        <v>30247.7</v>
      </c>
      <c r="BS105">
        <v>84851.62175</v>
      </c>
      <c r="BT105">
        <v>26983.090175</v>
      </c>
      <c r="BU105">
        <v>232782.046</v>
      </c>
      <c r="BV105">
        <v>14789.210407</v>
      </c>
      <c r="BW105">
        <v>68135.010898</v>
      </c>
      <c r="BX105">
        <v>82924.221305</v>
      </c>
      <c r="BY105">
        <v>57230.790175</v>
      </c>
      <c r="BZ105">
        <v>400557.889055</v>
      </c>
      <c r="CA105">
        <v>457788.67923</v>
      </c>
      <c r="CB105">
        <v>147011.32077</v>
      </c>
      <c r="CC105">
        <v>0</v>
      </c>
      <c r="CD105">
        <v>172844</v>
      </c>
      <c r="CE105">
        <v>484866.41</v>
      </c>
      <c r="CF105">
        <v>135665</v>
      </c>
      <c r="CG105">
        <v>62082</v>
      </c>
      <c r="CH105">
        <v>1163910.23</v>
      </c>
      <c r="CI105">
        <v>2760232</v>
      </c>
      <c r="CJ105">
        <v>580167</v>
      </c>
    </row>
    <row r="106" ht="14.497499999999997" customHeight="1">
      <c r="BF106" t="s">
        <v>35</v>
      </c>
      <c r="BG106" t="s">
        <v>36</v>
      </c>
      <c r="BH106" t="s">
        <v>37</v>
      </c>
      <c r="BI106" t="s">
        <v>121</v>
      </c>
      <c r="BJ106" t="s">
        <v>104</v>
      </c>
      <c r="BK106" t="s">
        <v>105</v>
      </c>
      <c r="BL106" t="s">
        <v>111</v>
      </c>
      <c r="BM106" t="s">
        <v>44</v>
      </c>
      <c r="BN106" t="s">
        <v>43</v>
      </c>
      <c r="BO106">
        <v>33</v>
      </c>
      <c r="BP106">
        <v>2</v>
      </c>
      <c r="BQ106">
        <v>224070</v>
      </c>
      <c r="BR106">
        <v>15580.217562</v>
      </c>
      <c r="BS106">
        <v>29598.33168</v>
      </c>
      <c r="BT106">
        <v>10025.23185</v>
      </c>
      <c r="BU106">
        <v>66715.604</v>
      </c>
      <c r="BV106">
        <v>5958.506131</v>
      </c>
      <c r="BW106">
        <v>31244.255539</v>
      </c>
      <c r="BX106">
        <v>37202.76167</v>
      </c>
      <c r="BY106">
        <v>25605.449412</v>
      </c>
      <c r="BZ106">
        <v>133516.69735</v>
      </c>
      <c r="CA106">
        <v>159122.146762</v>
      </c>
      <c r="CB106">
        <v>64947.853238</v>
      </c>
      <c r="CC106">
        <v>0</v>
      </c>
      <c r="CD106">
        <v>92183</v>
      </c>
      <c r="CE106">
        <v>175123.55</v>
      </c>
      <c r="CF106">
        <v>50430</v>
      </c>
      <c r="CG106">
        <v>19971</v>
      </c>
      <c r="CH106">
        <v>333578.02</v>
      </c>
      <c r="CI106">
        <v>2760232</v>
      </c>
      <c r="CJ106">
        <v>580167</v>
      </c>
    </row>
    <row r="107" ht="14.497499999999997" customHeight="1">
      <c r="BF107" t="s">
        <v>35</v>
      </c>
      <c r="BG107" t="s">
        <v>36</v>
      </c>
      <c r="BH107" t="s">
        <v>37</v>
      </c>
      <c r="BI107" t="s">
        <v>121</v>
      </c>
      <c r="BJ107" t="s">
        <v>104</v>
      </c>
      <c r="BK107" t="s">
        <v>105</v>
      </c>
      <c r="BL107" t="s">
        <v>106</v>
      </c>
      <c r="BM107" t="s">
        <v>107</v>
      </c>
      <c r="BN107" t="s">
        <v>43</v>
      </c>
      <c r="BO107">
        <v>34</v>
      </c>
      <c r="BP107">
        <v>2</v>
      </c>
      <c r="BQ107">
        <v>200940</v>
      </c>
      <c r="BR107">
        <v>22721.081474</v>
      </c>
      <c r="BS107">
        <v>43164.102357</v>
      </c>
      <c r="BT107">
        <v>20314.52217</v>
      </c>
      <c r="BU107">
        <v>66715.604</v>
      </c>
      <c r="BV107">
        <v>5958.506131</v>
      </c>
      <c r="BW107">
        <v>31244.255539</v>
      </c>
      <c r="BX107">
        <v>37202.76167</v>
      </c>
      <c r="BY107">
        <v>43035.603644</v>
      </c>
      <c r="BZ107">
        <v>147082.468027</v>
      </c>
      <c r="CA107">
        <v>190118.071671</v>
      </c>
      <c r="CB107">
        <v>10821.928329</v>
      </c>
      <c r="CC107">
        <v>34</v>
      </c>
      <c r="CD107">
        <v>92183</v>
      </c>
      <c r="CE107">
        <v>175123.55</v>
      </c>
      <c r="CF107">
        <v>50430</v>
      </c>
      <c r="CG107">
        <v>19971</v>
      </c>
      <c r="CH107">
        <v>333578.02</v>
      </c>
      <c r="CI107">
        <v>2760232</v>
      </c>
      <c r="CJ107">
        <v>580167</v>
      </c>
    </row>
    <row r="108" ht="14.497499999999997" customHeight="1">
      <c r="BF108" t="s">
        <v>35</v>
      </c>
      <c r="BG108" t="s">
        <v>36</v>
      </c>
      <c r="BH108" t="s">
        <v>37</v>
      </c>
      <c r="BI108" t="s">
        <v>121</v>
      </c>
      <c r="BJ108" t="s">
        <v>104</v>
      </c>
      <c r="BK108" t="s">
        <v>105</v>
      </c>
      <c r="BL108" t="s">
        <v>106</v>
      </c>
      <c r="BM108" t="s">
        <v>109</v>
      </c>
      <c r="BN108" t="s">
        <v>43</v>
      </c>
      <c r="BO108">
        <v>33</v>
      </c>
      <c r="BP108">
        <v>2</v>
      </c>
      <c r="BQ108">
        <v>192060</v>
      </c>
      <c r="BR108">
        <v>22721.081474</v>
      </c>
      <c r="BS108">
        <v>43164.102357</v>
      </c>
      <c r="BT108">
        <v>10025.23185</v>
      </c>
      <c r="BU108">
        <v>66715.604</v>
      </c>
      <c r="BV108">
        <v>5958.506131</v>
      </c>
      <c r="BW108">
        <v>31244.255539</v>
      </c>
      <c r="BX108">
        <v>37202.76167</v>
      </c>
      <c r="BY108">
        <v>32746.313324</v>
      </c>
      <c r="BZ108">
        <v>147082.468027</v>
      </c>
      <c r="CA108">
        <v>179828.781351</v>
      </c>
      <c r="CB108">
        <v>12231.218649</v>
      </c>
      <c r="CC108">
        <v>0</v>
      </c>
      <c r="CD108">
        <v>92183</v>
      </c>
      <c r="CE108">
        <v>175123.55</v>
      </c>
      <c r="CF108">
        <v>50430</v>
      </c>
      <c r="CG108">
        <v>19971</v>
      </c>
      <c r="CH108">
        <v>333578.02</v>
      </c>
      <c r="CI108">
        <v>2760232</v>
      </c>
      <c r="CJ108">
        <v>580167</v>
      </c>
    </row>
    <row r="109" ht="14.497499999999997" customHeight="1">
      <c r="BF109" t="s">
        <v>35</v>
      </c>
      <c r="BG109" t="s">
        <v>36</v>
      </c>
      <c r="BH109" t="s">
        <v>37</v>
      </c>
      <c r="BI109" t="s">
        <v>121</v>
      </c>
      <c r="BJ109" t="s">
        <v>104</v>
      </c>
      <c r="BK109" t="s">
        <v>105</v>
      </c>
      <c r="BL109" t="s">
        <v>111</v>
      </c>
      <c r="BM109" t="s">
        <v>42</v>
      </c>
      <c r="BN109" t="s">
        <v>43</v>
      </c>
      <c r="BO109">
        <v>34</v>
      </c>
      <c r="BP109">
        <v>2</v>
      </c>
      <c r="BQ109">
        <v>233920</v>
      </c>
      <c r="BR109">
        <v>15580.217562</v>
      </c>
      <c r="BS109">
        <v>29598.33168</v>
      </c>
      <c r="BT109">
        <v>20314.52217</v>
      </c>
      <c r="BU109">
        <v>66715.604</v>
      </c>
      <c r="BV109">
        <v>5958.506131</v>
      </c>
      <c r="BW109">
        <v>31244.255539</v>
      </c>
      <c r="BX109">
        <v>37202.76167</v>
      </c>
      <c r="BY109">
        <v>35894.739732</v>
      </c>
      <c r="BZ109">
        <v>133516.69735</v>
      </c>
      <c r="CA109">
        <v>169411.437082</v>
      </c>
      <c r="CB109">
        <v>64508.562918</v>
      </c>
      <c r="CC109">
        <v>34</v>
      </c>
      <c r="CD109">
        <v>92183</v>
      </c>
      <c r="CE109">
        <v>175123.55</v>
      </c>
      <c r="CF109">
        <v>50430</v>
      </c>
      <c r="CG109">
        <v>19971</v>
      </c>
      <c r="CH109">
        <v>333578.02</v>
      </c>
      <c r="CI109">
        <v>2760232</v>
      </c>
      <c r="CJ109">
        <v>580167</v>
      </c>
    </row>
    <row r="110" ht="14.497499999999997" customHeight="1">
      <c r="BF110" t="s">
        <v>35</v>
      </c>
      <c r="BG110" t="s">
        <v>36</v>
      </c>
      <c r="BH110" t="s">
        <v>37</v>
      </c>
      <c r="BI110" t="s">
        <v>121</v>
      </c>
      <c r="BJ110" t="s">
        <v>104</v>
      </c>
      <c r="BK110" t="s">
        <v>105</v>
      </c>
      <c r="BL110" t="s">
        <v>111</v>
      </c>
      <c r="BM110" t="s">
        <v>50</v>
      </c>
      <c r="BN110" t="s">
        <v>43</v>
      </c>
      <c r="BO110">
        <v>32</v>
      </c>
      <c r="BP110">
        <v>2</v>
      </c>
      <c r="BQ110">
        <v>217280</v>
      </c>
      <c r="BR110">
        <v>15580.217562</v>
      </c>
      <c r="BS110">
        <v>29598.33168</v>
      </c>
      <c r="BT110">
        <v>9721.44153</v>
      </c>
      <c r="BU110">
        <v>66715.604</v>
      </c>
      <c r="BV110">
        <v>5958.506131</v>
      </c>
      <c r="BW110">
        <v>31244.255539</v>
      </c>
      <c r="BX110">
        <v>37202.76167</v>
      </c>
      <c r="BY110">
        <v>25301.659092</v>
      </c>
      <c r="BZ110">
        <v>133516.69735</v>
      </c>
      <c r="CA110">
        <v>158818.356442</v>
      </c>
      <c r="CB110">
        <v>58461.643558</v>
      </c>
      <c r="CC110">
        <v>0</v>
      </c>
      <c r="CD110">
        <v>92183</v>
      </c>
      <c r="CE110">
        <v>175123.55</v>
      </c>
      <c r="CF110">
        <v>50430</v>
      </c>
      <c r="CG110">
        <v>19971</v>
      </c>
      <c r="CH110">
        <v>333578.02</v>
      </c>
      <c r="CI110">
        <v>2760232</v>
      </c>
      <c r="CJ110">
        <v>580167</v>
      </c>
    </row>
    <row r="111" ht="14.497499999999997" customHeight="1">
      <c r="BF111" t="s">
        <v>35</v>
      </c>
      <c r="BG111" t="s">
        <v>36</v>
      </c>
      <c r="BH111" t="s">
        <v>37</v>
      </c>
      <c r="BI111" t="s">
        <v>121</v>
      </c>
      <c r="BJ111" t="s">
        <v>114</v>
      </c>
      <c r="BK111" t="s">
        <v>105</v>
      </c>
      <c r="BL111" t="s">
        <v>111</v>
      </c>
      <c r="BM111" t="s">
        <v>50</v>
      </c>
      <c r="BN111" t="s">
        <v>43</v>
      </c>
      <c r="BO111">
        <v>41</v>
      </c>
      <c r="BP111">
        <v>2</v>
      </c>
      <c r="BQ111">
        <v>301350</v>
      </c>
      <c r="BR111">
        <v>15580.217562</v>
      </c>
      <c r="BS111">
        <v>38579.49733</v>
      </c>
      <c r="BT111">
        <v>12559.550432</v>
      </c>
      <c r="BU111">
        <v>101621.484</v>
      </c>
      <c r="BV111">
        <v>7573.759578</v>
      </c>
      <c r="BW111">
        <v>39714.06162</v>
      </c>
      <c r="BX111">
        <v>47287.821198</v>
      </c>
      <c r="BY111">
        <v>28139.767994</v>
      </c>
      <c r="BZ111">
        <v>187488.802528</v>
      </c>
      <c r="CA111">
        <v>215628.570522</v>
      </c>
      <c r="CB111">
        <v>85721.429478</v>
      </c>
      <c r="CC111">
        <v>0</v>
      </c>
      <c r="CD111">
        <v>92183</v>
      </c>
      <c r="CE111">
        <v>228262.14</v>
      </c>
      <c r="CF111">
        <v>64636</v>
      </c>
      <c r="CG111">
        <v>33284</v>
      </c>
      <c r="CH111">
        <v>508107.42</v>
      </c>
      <c r="CI111">
        <v>2760232</v>
      </c>
      <c r="CJ111">
        <v>580167</v>
      </c>
    </row>
    <row r="112" ht="14.497499999999997" customHeight="1">
      <c r="BF112" t="s">
        <v>35</v>
      </c>
      <c r="BG112" t="s">
        <v>36</v>
      </c>
      <c r="BH112" t="s">
        <v>37</v>
      </c>
      <c r="BI112" t="s">
        <v>121</v>
      </c>
      <c r="BJ112" t="s">
        <v>114</v>
      </c>
      <c r="BK112" t="s">
        <v>105</v>
      </c>
      <c r="BL112" t="s">
        <v>106</v>
      </c>
      <c r="BM112" t="s">
        <v>107</v>
      </c>
      <c r="BN112" t="s">
        <v>43</v>
      </c>
      <c r="BO112">
        <v>43</v>
      </c>
      <c r="BP112">
        <v>2</v>
      </c>
      <c r="BQ112">
        <v>274770</v>
      </c>
      <c r="BR112">
        <v>22721.081474</v>
      </c>
      <c r="BS112">
        <v>56261.595743</v>
      </c>
      <c r="BT112">
        <v>29814.235076</v>
      </c>
      <c r="BU112">
        <v>101621.484</v>
      </c>
      <c r="BV112">
        <v>7573.759578</v>
      </c>
      <c r="BW112">
        <v>39714.06162</v>
      </c>
      <c r="BX112">
        <v>47287.821198</v>
      </c>
      <c r="BY112">
        <v>52535.31655</v>
      </c>
      <c r="BZ112">
        <v>205170.900941</v>
      </c>
      <c r="CA112">
        <v>257706.217491</v>
      </c>
      <c r="CB112">
        <v>17063.782509</v>
      </c>
      <c r="CC112">
        <v>43</v>
      </c>
      <c r="CD112">
        <v>92183</v>
      </c>
      <c r="CE112">
        <v>228262.14</v>
      </c>
      <c r="CF112">
        <v>64636</v>
      </c>
      <c r="CG112">
        <v>33284</v>
      </c>
      <c r="CH112">
        <v>508107.42</v>
      </c>
      <c r="CI112">
        <v>2760232</v>
      </c>
      <c r="CJ112">
        <v>580167</v>
      </c>
    </row>
    <row r="113" ht="14.497499999999997" customHeight="1">
      <c r="BF113" t="s">
        <v>35</v>
      </c>
      <c r="BG113" t="s">
        <v>36</v>
      </c>
      <c r="BH113" t="s">
        <v>37</v>
      </c>
      <c r="BI113" t="s">
        <v>121</v>
      </c>
      <c r="BJ113" t="s">
        <v>114</v>
      </c>
      <c r="BK113" t="s">
        <v>105</v>
      </c>
      <c r="BL113" t="s">
        <v>106</v>
      </c>
      <c r="BM113" t="s">
        <v>109</v>
      </c>
      <c r="BN113" t="s">
        <v>43</v>
      </c>
      <c r="BO113">
        <v>42</v>
      </c>
      <c r="BP113">
        <v>2</v>
      </c>
      <c r="BQ113">
        <v>264600</v>
      </c>
      <c r="BR113">
        <v>22721.081474</v>
      </c>
      <c r="BS113">
        <v>56261.595743</v>
      </c>
      <c r="BT113">
        <v>12865.925072</v>
      </c>
      <c r="BU113">
        <v>101621.484</v>
      </c>
      <c r="BV113">
        <v>7573.759578</v>
      </c>
      <c r="BW113">
        <v>39714.06162</v>
      </c>
      <c r="BX113">
        <v>47287.821198</v>
      </c>
      <c r="BY113">
        <v>35587.006546</v>
      </c>
      <c r="BZ113">
        <v>205170.900941</v>
      </c>
      <c r="CA113">
        <v>240757.907487</v>
      </c>
      <c r="CB113">
        <v>23842.092513</v>
      </c>
      <c r="CC113">
        <v>0</v>
      </c>
      <c r="CD113">
        <v>92183</v>
      </c>
      <c r="CE113">
        <v>228262.14</v>
      </c>
      <c r="CF113">
        <v>64636</v>
      </c>
      <c r="CG113">
        <v>33284</v>
      </c>
      <c r="CH113">
        <v>508107.42</v>
      </c>
      <c r="CI113">
        <v>2760232</v>
      </c>
      <c r="CJ113">
        <v>580167</v>
      </c>
    </row>
    <row r="114" ht="14.497499999999997" customHeight="1">
      <c r="BF114" t="s">
        <v>35</v>
      </c>
      <c r="BG114" t="s">
        <v>36</v>
      </c>
      <c r="BH114" t="s">
        <v>37</v>
      </c>
      <c r="BI114" t="s">
        <v>121</v>
      </c>
      <c r="BJ114" t="s">
        <v>114</v>
      </c>
      <c r="BK114" t="s">
        <v>105</v>
      </c>
      <c r="BL114" t="s">
        <v>111</v>
      </c>
      <c r="BM114" t="s">
        <v>42</v>
      </c>
      <c r="BN114" t="s">
        <v>43</v>
      </c>
      <c r="BO114">
        <v>43</v>
      </c>
      <c r="BP114">
        <v>2</v>
      </c>
      <c r="BQ114">
        <v>319920</v>
      </c>
      <c r="BR114">
        <v>15580.217562</v>
      </c>
      <c r="BS114">
        <v>38579.49733</v>
      </c>
      <c r="BT114">
        <v>29814.235076</v>
      </c>
      <c r="BU114">
        <v>101621.484</v>
      </c>
      <c r="BV114">
        <v>7573.759578</v>
      </c>
      <c r="BW114">
        <v>39714.06162</v>
      </c>
      <c r="BX114">
        <v>47287.821198</v>
      </c>
      <c r="BY114">
        <v>45394.452638</v>
      </c>
      <c r="BZ114">
        <v>187488.802528</v>
      </c>
      <c r="CA114">
        <v>232883.255166</v>
      </c>
      <c r="CB114">
        <v>87036.744834</v>
      </c>
      <c r="CC114">
        <v>43</v>
      </c>
      <c r="CD114">
        <v>92183</v>
      </c>
      <c r="CE114">
        <v>228262.14</v>
      </c>
      <c r="CF114">
        <v>64636</v>
      </c>
      <c r="CG114">
        <v>33284</v>
      </c>
      <c r="CH114">
        <v>508107.42</v>
      </c>
      <c r="CI114">
        <v>2760232</v>
      </c>
      <c r="CJ114">
        <v>580167</v>
      </c>
    </row>
    <row r="115" ht="14.497499999999997" customHeight="1">
      <c r="BF115" t="s">
        <v>35</v>
      </c>
      <c r="BG115" t="s">
        <v>36</v>
      </c>
      <c r="BH115" t="s">
        <v>37</v>
      </c>
      <c r="BI115" t="s">
        <v>121</v>
      </c>
      <c r="BJ115" t="s">
        <v>114</v>
      </c>
      <c r="BK115" t="s">
        <v>105</v>
      </c>
      <c r="BL115" t="s">
        <v>111</v>
      </c>
      <c r="BM115" t="s">
        <v>44</v>
      </c>
      <c r="BN115" t="s">
        <v>43</v>
      </c>
      <c r="BO115">
        <v>42</v>
      </c>
      <c r="BP115">
        <v>2</v>
      </c>
      <c r="BQ115">
        <v>308700</v>
      </c>
      <c r="BR115">
        <v>15580.217562</v>
      </c>
      <c r="BS115">
        <v>38579.49733</v>
      </c>
      <c r="BT115">
        <v>12865.925072</v>
      </c>
      <c r="BU115">
        <v>101621.484</v>
      </c>
      <c r="BV115">
        <v>7573.759578</v>
      </c>
      <c r="BW115">
        <v>39714.06162</v>
      </c>
      <c r="BX115">
        <v>47287.821198</v>
      </c>
      <c r="BY115">
        <v>28446.142634</v>
      </c>
      <c r="BZ115">
        <v>187488.802528</v>
      </c>
      <c r="CA115">
        <v>215934.945162</v>
      </c>
      <c r="CB115">
        <v>92765.054838</v>
      </c>
      <c r="CC115">
        <v>0</v>
      </c>
      <c r="CD115">
        <v>92183</v>
      </c>
      <c r="CE115">
        <v>228262.14</v>
      </c>
      <c r="CF115">
        <v>64636</v>
      </c>
      <c r="CG115">
        <v>33284</v>
      </c>
      <c r="CH115">
        <v>508107.42</v>
      </c>
      <c r="CI115">
        <v>2760232</v>
      </c>
      <c r="CJ115">
        <v>580167</v>
      </c>
    </row>
    <row r="116" ht="14.497499999999997" customHeight="1">
      <c r="BF116" t="s">
        <v>35</v>
      </c>
      <c r="BG116" t="s">
        <v>36</v>
      </c>
      <c r="BH116" t="s">
        <v>37</v>
      </c>
      <c r="BI116" t="s">
        <v>121</v>
      </c>
      <c r="BJ116" t="s">
        <v>116</v>
      </c>
      <c r="BK116" t="s">
        <v>117</v>
      </c>
      <c r="BL116" t="s">
        <v>118</v>
      </c>
      <c r="BM116" t="s">
        <v>42</v>
      </c>
      <c r="BN116" t="s">
        <v>43</v>
      </c>
      <c r="BO116">
        <v>38</v>
      </c>
      <c r="BP116">
        <v>2</v>
      </c>
      <c r="BQ116">
        <v>282720</v>
      </c>
      <c r="BR116">
        <v>23045.643621</v>
      </c>
      <c r="BS116">
        <v>57888.768778</v>
      </c>
      <c r="BT116">
        <v>31360.994784</v>
      </c>
      <c r="BU116">
        <v>116774.116559</v>
      </c>
      <c r="BV116">
        <v>7541.240026</v>
      </c>
      <c r="BW116">
        <v>34820.280359</v>
      </c>
      <c r="BX116">
        <v>42361.520385</v>
      </c>
      <c r="BY116">
        <v>54406.638405</v>
      </c>
      <c r="BZ116">
        <v>217024.405722</v>
      </c>
      <c r="CA116">
        <v>271431.044127</v>
      </c>
      <c r="CB116">
        <v>11288.955873</v>
      </c>
      <c r="CC116">
        <v>38</v>
      </c>
      <c r="CD116">
        <v>69137</v>
      </c>
      <c r="CE116">
        <v>173666.48</v>
      </c>
      <c r="CF116">
        <v>41552</v>
      </c>
      <c r="CG116">
        <v>17136</v>
      </c>
      <c r="CH116">
        <v>350322.7</v>
      </c>
      <c r="CI116">
        <v>2760232</v>
      </c>
      <c r="CJ116">
        <v>580167</v>
      </c>
    </row>
    <row r="117" ht="14.497499999999997" customHeight="1">
      <c r="BF117" t="s">
        <v>35</v>
      </c>
      <c r="BG117" t="s">
        <v>36</v>
      </c>
      <c r="BH117" t="s">
        <v>37</v>
      </c>
      <c r="BI117" t="s">
        <v>121</v>
      </c>
      <c r="BJ117" t="s">
        <v>116</v>
      </c>
      <c r="BK117" t="s">
        <v>117</v>
      </c>
      <c r="BL117" t="s">
        <v>118</v>
      </c>
      <c r="BM117" t="s">
        <v>44</v>
      </c>
      <c r="BN117" t="s">
        <v>43</v>
      </c>
      <c r="BO117">
        <v>37</v>
      </c>
      <c r="BP117">
        <v>2</v>
      </c>
      <c r="BQ117">
        <v>271950</v>
      </c>
      <c r="BR117">
        <v>23045.643621</v>
      </c>
      <c r="BS117">
        <v>57888.768778</v>
      </c>
      <c r="BT117">
        <v>13850.652816</v>
      </c>
      <c r="BU117">
        <v>116774.116559</v>
      </c>
      <c r="BV117">
        <v>7541.240026</v>
      </c>
      <c r="BW117">
        <v>34820.280359</v>
      </c>
      <c r="BX117">
        <v>42361.520385</v>
      </c>
      <c r="BY117">
        <v>36896.296437</v>
      </c>
      <c r="BZ117">
        <v>217024.405722</v>
      </c>
      <c r="CA117">
        <v>253920.702159</v>
      </c>
      <c r="CB117">
        <v>18029.297841</v>
      </c>
      <c r="CC117">
        <v>0</v>
      </c>
      <c r="CD117">
        <v>69137</v>
      </c>
      <c r="CE117">
        <v>173666.48</v>
      </c>
      <c r="CF117">
        <v>41552</v>
      </c>
      <c r="CG117">
        <v>17136</v>
      </c>
      <c r="CH117">
        <v>350322.7</v>
      </c>
      <c r="CI117">
        <v>2760232</v>
      </c>
      <c r="CJ117">
        <v>580167</v>
      </c>
    </row>
    <row r="118" ht="14.497499999999997" customHeight="1">
      <c r="BF118" t="s">
        <v>35</v>
      </c>
      <c r="BG118" t="s">
        <v>36</v>
      </c>
      <c r="BH118" t="s">
        <v>37</v>
      </c>
      <c r="BI118" t="s">
        <v>121</v>
      </c>
      <c r="BJ118" t="s">
        <v>116</v>
      </c>
      <c r="BK118" t="s">
        <v>117</v>
      </c>
      <c r="BL118" t="s">
        <v>118</v>
      </c>
      <c r="BM118" t="s">
        <v>50</v>
      </c>
      <c r="BN118" t="s">
        <v>43</v>
      </c>
      <c r="BO118">
        <v>36</v>
      </c>
      <c r="BP118">
        <v>2</v>
      </c>
      <c r="BQ118">
        <v>264600</v>
      </c>
      <c r="BR118">
        <v>23045.643621</v>
      </c>
      <c r="BS118">
        <v>57888.768778</v>
      </c>
      <c r="BT118">
        <v>13476.310848</v>
      </c>
      <c r="BU118">
        <v>116774.116559</v>
      </c>
      <c r="BV118">
        <v>7541.240026</v>
      </c>
      <c r="BW118">
        <v>34820.280359</v>
      </c>
      <c r="BX118">
        <v>42361.520385</v>
      </c>
      <c r="BY118">
        <v>36521.954469</v>
      </c>
      <c r="BZ118">
        <v>217024.405722</v>
      </c>
      <c r="CA118">
        <v>253546.360191</v>
      </c>
      <c r="CB118">
        <v>11053.639809</v>
      </c>
      <c r="CC118">
        <v>0</v>
      </c>
      <c r="CD118">
        <v>69137</v>
      </c>
      <c r="CE118">
        <v>173666.48</v>
      </c>
      <c r="CF118">
        <v>41552</v>
      </c>
      <c r="CG118">
        <v>17136</v>
      </c>
      <c r="CH118">
        <v>350322.7</v>
      </c>
      <c r="CI118">
        <v>2760232</v>
      </c>
      <c r="CJ118">
        <v>580167</v>
      </c>
    </row>
    <row r="119" ht="14.497499999999997" customHeight="1">
      <c r="BF119" t="s">
        <v>35</v>
      </c>
      <c r="BG119" t="s">
        <v>36</v>
      </c>
      <c r="BH119" t="s">
        <v>37</v>
      </c>
      <c r="BI119" t="s">
        <v>121</v>
      </c>
      <c r="BJ119" t="s">
        <v>119</v>
      </c>
      <c r="BK119" t="s">
        <v>117</v>
      </c>
      <c r="BL119" t="s">
        <v>118</v>
      </c>
      <c r="BM119" t="s">
        <v>42</v>
      </c>
      <c r="BN119" t="s">
        <v>43</v>
      </c>
      <c r="BO119">
        <v>44</v>
      </c>
      <c r="BP119">
        <v>2</v>
      </c>
      <c r="BQ119">
        <v>348920</v>
      </c>
      <c r="BR119">
        <v>23045.643621</v>
      </c>
      <c r="BS119">
        <v>68355.031645</v>
      </c>
      <c r="BT119">
        <v>44207.57585</v>
      </c>
      <c r="BU119">
        <v>153254.466745</v>
      </c>
      <c r="BV119">
        <v>8764.143814</v>
      </c>
      <c r="BW119">
        <v>40466.812309</v>
      </c>
      <c r="BX119">
        <v>49230.956123</v>
      </c>
      <c r="BY119">
        <v>67253.219471</v>
      </c>
      <c r="BZ119">
        <v>270840.454513</v>
      </c>
      <c r="CA119">
        <v>338093.673984</v>
      </c>
      <c r="CB119">
        <v>10826.326016</v>
      </c>
      <c r="CC119">
        <v>44</v>
      </c>
      <c r="CD119">
        <v>69137</v>
      </c>
      <c r="CE119">
        <v>205065.3</v>
      </c>
      <c r="CF119">
        <v>49010</v>
      </c>
      <c r="CG119">
        <v>27491</v>
      </c>
      <c r="CH119">
        <v>459763.86</v>
      </c>
      <c r="CI119">
        <v>2760232</v>
      </c>
      <c r="CJ119">
        <v>580167</v>
      </c>
    </row>
    <row r="120" ht="14.497499999999997" customHeight="1">
      <c r="BF120" t="s">
        <v>35</v>
      </c>
      <c r="BG120" t="s">
        <v>36</v>
      </c>
      <c r="BH120" t="s">
        <v>37</v>
      </c>
      <c r="BI120" t="s">
        <v>121</v>
      </c>
      <c r="BJ120" t="s">
        <v>119</v>
      </c>
      <c r="BK120" t="s">
        <v>117</v>
      </c>
      <c r="BL120" t="s">
        <v>118</v>
      </c>
      <c r="BM120" t="s">
        <v>44</v>
      </c>
      <c r="BN120" t="s">
        <v>43</v>
      </c>
      <c r="BO120">
        <v>43</v>
      </c>
      <c r="BP120">
        <v>2</v>
      </c>
      <c r="BQ120">
        <v>337120</v>
      </c>
      <c r="BR120">
        <v>23045.643621</v>
      </c>
      <c r="BS120">
        <v>68355.031645</v>
      </c>
      <c r="BT120">
        <v>16336.65033</v>
      </c>
      <c r="BU120">
        <v>153254.466745</v>
      </c>
      <c r="BV120">
        <v>8764.143814</v>
      </c>
      <c r="BW120">
        <v>40466.812309</v>
      </c>
      <c r="BX120">
        <v>49230.956123</v>
      </c>
      <c r="BY120">
        <v>39382.293951</v>
      </c>
      <c r="BZ120">
        <v>270840.454513</v>
      </c>
      <c r="CA120">
        <v>310222.748464</v>
      </c>
      <c r="CB120">
        <v>26897.251536</v>
      </c>
      <c r="CC120">
        <v>0</v>
      </c>
      <c r="CD120">
        <v>69137</v>
      </c>
      <c r="CE120">
        <v>205065.3</v>
      </c>
      <c r="CF120">
        <v>49010</v>
      </c>
      <c r="CG120">
        <v>27491</v>
      </c>
      <c r="CH120">
        <v>459763.86</v>
      </c>
      <c r="CI120">
        <v>2760232</v>
      </c>
      <c r="CJ120">
        <v>580167</v>
      </c>
    </row>
    <row r="121" ht="14.497499999999997" customHeight="1">
      <c r="BF121" t="s">
        <v>35</v>
      </c>
      <c r="BG121" t="s">
        <v>36</v>
      </c>
      <c r="BH121" t="s">
        <v>37</v>
      </c>
      <c r="BI121" t="s">
        <v>121</v>
      </c>
      <c r="BJ121" t="s">
        <v>119</v>
      </c>
      <c r="BK121" t="s">
        <v>117</v>
      </c>
      <c r="BL121" t="s">
        <v>118</v>
      </c>
      <c r="BM121" t="s">
        <v>50</v>
      </c>
      <c r="BN121" t="s">
        <v>43</v>
      </c>
      <c r="BO121">
        <v>42</v>
      </c>
      <c r="BP121">
        <v>2</v>
      </c>
      <c r="BQ121">
        <v>329280</v>
      </c>
      <c r="BR121">
        <v>23045.643621</v>
      </c>
      <c r="BS121">
        <v>68355.031645</v>
      </c>
      <c r="BT121">
        <v>15956.72481</v>
      </c>
      <c r="BU121">
        <v>153254.466745</v>
      </c>
      <c r="BV121">
        <v>8764.143814</v>
      </c>
      <c r="BW121">
        <v>40466.812309</v>
      </c>
      <c r="BX121">
        <v>49230.956123</v>
      </c>
      <c r="BY121">
        <v>39002.368431</v>
      </c>
      <c r="BZ121">
        <v>270840.454513</v>
      </c>
      <c r="CA121">
        <v>309842.822944</v>
      </c>
      <c r="CB121">
        <v>19437.177056</v>
      </c>
      <c r="CC121">
        <v>0</v>
      </c>
      <c r="CD121">
        <v>69137</v>
      </c>
      <c r="CE121">
        <v>205065.3</v>
      </c>
      <c r="CF121">
        <v>49010</v>
      </c>
      <c r="CG121">
        <v>27491</v>
      </c>
      <c r="CH121">
        <v>459763.86</v>
      </c>
      <c r="CI121">
        <v>2760232</v>
      </c>
      <c r="CJ121">
        <v>580167</v>
      </c>
    </row>
    <row r="122" ht="14.497499999999997" customHeight="1">
      <c r="BF122" t="s">
        <v>35</v>
      </c>
      <c r="BG122" t="s">
        <v>36</v>
      </c>
      <c r="BH122" t="s">
        <v>37</v>
      </c>
      <c r="BI122" t="s">
        <v>142</v>
      </c>
      <c r="BJ122" t="s">
        <v>39</v>
      </c>
      <c r="BK122" t="s">
        <v>40</v>
      </c>
      <c r="BL122" t="s">
        <v>41</v>
      </c>
      <c r="BM122" t="s">
        <v>42</v>
      </c>
      <c r="BN122" t="s">
        <v>43</v>
      </c>
      <c r="BO122">
        <v>40</v>
      </c>
      <c r="BP122">
        <v>2</v>
      </c>
      <c r="BQ122">
        <v>269600</v>
      </c>
      <c r="BR122">
        <v>24145.975854</v>
      </c>
      <c r="BS122">
        <v>45362.431304</v>
      </c>
      <c r="BT122">
        <v>30061.7458</v>
      </c>
      <c r="BU122">
        <v>91505.848494</v>
      </c>
      <c r="BV122">
        <v>7781.953189</v>
      </c>
      <c r="BW122">
        <v>36219.266412</v>
      </c>
      <c r="BX122">
        <v>44001.219601</v>
      </c>
      <c r="BY122">
        <v>54207.721654</v>
      </c>
      <c r="BZ122">
        <v>180869.499399</v>
      </c>
      <c r="CA122">
        <v>235077.221053</v>
      </c>
      <c r="CB122">
        <v>34522.778947</v>
      </c>
      <c r="CC122">
        <v>40</v>
      </c>
      <c r="CD122">
        <v>72438</v>
      </c>
      <c r="CE122">
        <v>136087.43</v>
      </c>
      <c r="CF122">
        <v>43535</v>
      </c>
      <c r="CG122">
        <v>15178</v>
      </c>
      <c r="CH122">
        <v>274517.82</v>
      </c>
      <c r="CI122">
        <v>2891983</v>
      </c>
      <c r="CJ122">
        <v>676344</v>
      </c>
    </row>
    <row r="123" ht="14.497499999999997" customHeight="1">
      <c r="BF123" t="s">
        <v>35</v>
      </c>
      <c r="BG123" t="s">
        <v>36</v>
      </c>
      <c r="BH123" t="s">
        <v>37</v>
      </c>
      <c r="BI123" t="s">
        <v>142</v>
      </c>
      <c r="BJ123" t="s">
        <v>39</v>
      </c>
      <c r="BK123" t="s">
        <v>40</v>
      </c>
      <c r="BL123" t="s">
        <v>41</v>
      </c>
      <c r="BM123" t="s">
        <v>44</v>
      </c>
      <c r="BN123" t="s">
        <v>43</v>
      </c>
      <c r="BO123">
        <v>39</v>
      </c>
      <c r="BP123">
        <v>2</v>
      </c>
      <c r="BQ123">
        <v>259350</v>
      </c>
      <c r="BR123">
        <v>24145.975854</v>
      </c>
      <c r="BS123">
        <v>45362.431304</v>
      </c>
      <c r="BT123">
        <v>14511.652155</v>
      </c>
      <c r="BU123">
        <v>91505.848494</v>
      </c>
      <c r="BV123">
        <v>7781.953189</v>
      </c>
      <c r="BW123">
        <v>36219.266412</v>
      </c>
      <c r="BX123">
        <v>44001.219601</v>
      </c>
      <c r="BY123">
        <v>38657.628009</v>
      </c>
      <c r="BZ123">
        <v>180869.499399</v>
      </c>
      <c r="CA123">
        <v>219527.127408</v>
      </c>
      <c r="CB123">
        <v>39822.872592</v>
      </c>
      <c r="CC123">
        <v>0</v>
      </c>
      <c r="CD123">
        <v>72438</v>
      </c>
      <c r="CE123">
        <v>136087.43</v>
      </c>
      <c r="CF123">
        <v>43535</v>
      </c>
      <c r="CG123">
        <v>15178</v>
      </c>
      <c r="CH123">
        <v>274517.82</v>
      </c>
      <c r="CI123">
        <v>2891983</v>
      </c>
      <c r="CJ123">
        <v>676344</v>
      </c>
    </row>
    <row r="124" ht="14.497499999999997" customHeight="1">
      <c r="BF124" t="s">
        <v>35</v>
      </c>
      <c r="BG124" t="s">
        <v>36</v>
      </c>
      <c r="BH124" t="s">
        <v>37</v>
      </c>
      <c r="BI124" t="s">
        <v>142</v>
      </c>
      <c r="BJ124" t="s">
        <v>39</v>
      </c>
      <c r="BK124" t="s">
        <v>40</v>
      </c>
      <c r="BL124" t="s">
        <v>41</v>
      </c>
      <c r="BM124" t="s">
        <v>50</v>
      </c>
      <c r="BN124" t="s">
        <v>43</v>
      </c>
      <c r="BO124">
        <v>38</v>
      </c>
      <c r="BP124">
        <v>2</v>
      </c>
      <c r="BQ124">
        <v>252700</v>
      </c>
      <c r="BR124">
        <v>24145.975854</v>
      </c>
      <c r="BS124">
        <v>45362.431304</v>
      </c>
      <c r="BT124">
        <v>14139.55851</v>
      </c>
      <c r="BU124">
        <v>91505.848494</v>
      </c>
      <c r="BV124">
        <v>7781.953189</v>
      </c>
      <c r="BW124">
        <v>36219.266412</v>
      </c>
      <c r="BX124">
        <v>44001.219601</v>
      </c>
      <c r="BY124">
        <v>38285.534364</v>
      </c>
      <c r="BZ124">
        <v>180869.499399</v>
      </c>
      <c r="CA124">
        <v>219155.033763</v>
      </c>
      <c r="CB124">
        <v>33544.966237</v>
      </c>
      <c r="CC124">
        <v>0</v>
      </c>
      <c r="CD124">
        <v>72438</v>
      </c>
      <c r="CE124">
        <v>136087.43</v>
      </c>
      <c r="CF124">
        <v>43535</v>
      </c>
      <c r="CG124">
        <v>15178</v>
      </c>
      <c r="CH124">
        <v>274517.82</v>
      </c>
      <c r="CI124">
        <v>2891983</v>
      </c>
      <c r="CJ124">
        <v>676344</v>
      </c>
    </row>
    <row r="125" ht="14.497499999999997" customHeight="1">
      <c r="BF125" t="s">
        <v>35</v>
      </c>
      <c r="BG125" t="s">
        <v>36</v>
      </c>
      <c r="BH125" t="s">
        <v>37</v>
      </c>
      <c r="BI125" t="s">
        <v>142</v>
      </c>
      <c r="BJ125" t="s">
        <v>53</v>
      </c>
      <c r="BK125" t="s">
        <v>40</v>
      </c>
      <c r="BL125" t="s">
        <v>41</v>
      </c>
      <c r="BM125" t="s">
        <v>42</v>
      </c>
      <c r="BN125" t="s">
        <v>43</v>
      </c>
      <c r="BO125">
        <v>50</v>
      </c>
      <c r="BP125">
        <v>2</v>
      </c>
      <c r="BQ125">
        <v>354500</v>
      </c>
      <c r="BR125">
        <v>24145.975854</v>
      </c>
      <c r="BS125">
        <v>56060.853939</v>
      </c>
      <c r="BT125">
        <v>40364.795958</v>
      </c>
      <c r="BU125">
        <v>129891.026776</v>
      </c>
      <c r="BV125">
        <v>9644.285878</v>
      </c>
      <c r="BW125">
        <v>44887.054846</v>
      </c>
      <c r="BX125">
        <v>54531.340724</v>
      </c>
      <c r="BY125">
        <v>64510.771812</v>
      </c>
      <c r="BZ125">
        <v>240483.221439</v>
      </c>
      <c r="CA125">
        <v>304993.993251</v>
      </c>
      <c r="CB125">
        <v>49506.006749</v>
      </c>
      <c r="CC125">
        <v>50</v>
      </c>
      <c r="CD125">
        <v>72438</v>
      </c>
      <c r="CE125">
        <v>168182.73</v>
      </c>
      <c r="CF125">
        <v>53954</v>
      </c>
      <c r="CG125">
        <v>21760</v>
      </c>
      <c r="CH125">
        <v>389673.47</v>
      </c>
      <c r="CI125">
        <v>2891983</v>
      </c>
      <c r="CJ125">
        <v>676344</v>
      </c>
    </row>
    <row r="126" ht="14.497499999999997" customHeight="1">
      <c r="BF126" t="s">
        <v>35</v>
      </c>
      <c r="BG126" t="s">
        <v>36</v>
      </c>
      <c r="BH126" t="s">
        <v>37</v>
      </c>
      <c r="BI126" t="s">
        <v>142</v>
      </c>
      <c r="BJ126" t="s">
        <v>53</v>
      </c>
      <c r="BK126" t="s">
        <v>40</v>
      </c>
      <c r="BL126" t="s">
        <v>41</v>
      </c>
      <c r="BM126" t="s">
        <v>44</v>
      </c>
      <c r="BN126" t="s">
        <v>43</v>
      </c>
      <c r="BO126">
        <v>48</v>
      </c>
      <c r="BP126">
        <v>2</v>
      </c>
      <c r="BQ126">
        <v>336000</v>
      </c>
      <c r="BR126">
        <v>24145.975854</v>
      </c>
      <c r="BS126">
        <v>56060.853939</v>
      </c>
      <c r="BT126">
        <v>17860.608436</v>
      </c>
      <c r="BU126">
        <v>129891.026776</v>
      </c>
      <c r="BV126">
        <v>9644.285878</v>
      </c>
      <c r="BW126">
        <v>44887.054846</v>
      </c>
      <c r="BX126">
        <v>54531.340724</v>
      </c>
      <c r="BY126">
        <v>42006.58429</v>
      </c>
      <c r="BZ126">
        <v>240483.221439</v>
      </c>
      <c r="CA126">
        <v>282489.805729</v>
      </c>
      <c r="CB126">
        <v>53510.194271</v>
      </c>
      <c r="CC126">
        <v>0</v>
      </c>
      <c r="CD126">
        <v>72438</v>
      </c>
      <c r="CE126">
        <v>168182.73</v>
      </c>
      <c r="CF126">
        <v>53954</v>
      </c>
      <c r="CG126">
        <v>21760</v>
      </c>
      <c r="CH126">
        <v>389673.47</v>
      </c>
      <c r="CI126">
        <v>2891983</v>
      </c>
      <c r="CJ126">
        <v>676344</v>
      </c>
    </row>
    <row r="127" ht="14.497499999999997" customHeight="1">
      <c r="BF127" t="s">
        <v>35</v>
      </c>
      <c r="BG127" t="s">
        <v>36</v>
      </c>
      <c r="BH127" t="s">
        <v>37</v>
      </c>
      <c r="BI127" t="s">
        <v>142</v>
      </c>
      <c r="BJ127" t="s">
        <v>53</v>
      </c>
      <c r="BK127" t="s">
        <v>40</v>
      </c>
      <c r="BL127" t="s">
        <v>41</v>
      </c>
      <c r="BM127" t="s">
        <v>50</v>
      </c>
      <c r="BN127" t="s">
        <v>43</v>
      </c>
      <c r="BO127">
        <v>47</v>
      </c>
      <c r="BP127">
        <v>2</v>
      </c>
      <c r="BQ127">
        <v>329000</v>
      </c>
      <c r="BR127">
        <v>24145.975854</v>
      </c>
      <c r="BS127">
        <v>56060.853939</v>
      </c>
      <c r="BT127">
        <v>17488.487698</v>
      </c>
      <c r="BU127">
        <v>129891.026776</v>
      </c>
      <c r="BV127">
        <v>9644.285878</v>
      </c>
      <c r="BW127">
        <v>44887.054846</v>
      </c>
      <c r="BX127">
        <v>54531.340724</v>
      </c>
      <c r="BY127">
        <v>41634.463552</v>
      </c>
      <c r="BZ127">
        <v>240483.221439</v>
      </c>
      <c r="CA127">
        <v>282117.684991</v>
      </c>
      <c r="CB127">
        <v>46882.315009</v>
      </c>
      <c r="CC127">
        <v>0</v>
      </c>
      <c r="CD127">
        <v>72438</v>
      </c>
      <c r="CE127">
        <v>168182.73</v>
      </c>
      <c r="CF127">
        <v>53954</v>
      </c>
      <c r="CG127">
        <v>21760</v>
      </c>
      <c r="CH127">
        <v>389673.47</v>
      </c>
      <c r="CI127">
        <v>2891983</v>
      </c>
      <c r="CJ127">
        <v>676344</v>
      </c>
    </row>
    <row r="128" ht="14.497499999999997" customHeight="1">
      <c r="BF128" t="s">
        <v>35</v>
      </c>
      <c r="BG128" t="s">
        <v>36</v>
      </c>
      <c r="BH128" t="s">
        <v>37</v>
      </c>
      <c r="BI128" t="s">
        <v>142</v>
      </c>
      <c r="BJ128" t="s">
        <v>62</v>
      </c>
      <c r="BK128" t="s">
        <v>40</v>
      </c>
      <c r="BL128" t="s">
        <v>41</v>
      </c>
      <c r="BM128" t="s">
        <v>42</v>
      </c>
      <c r="BN128" t="s">
        <v>43</v>
      </c>
      <c r="BO128">
        <v>40</v>
      </c>
      <c r="BP128">
        <v>2</v>
      </c>
      <c r="BQ128">
        <v>269600</v>
      </c>
      <c r="BR128">
        <v>24145.975854</v>
      </c>
      <c r="BS128">
        <v>45389.497944</v>
      </c>
      <c r="BT128">
        <v>29816.7458</v>
      </c>
      <c r="BU128">
        <v>91560.448439</v>
      </c>
      <c r="BV128">
        <v>7781.953189</v>
      </c>
      <c r="BW128">
        <v>36219.266412</v>
      </c>
      <c r="BX128">
        <v>44001.219601</v>
      </c>
      <c r="BY128">
        <v>53962.721654</v>
      </c>
      <c r="BZ128">
        <v>180951.165984</v>
      </c>
      <c r="CA128">
        <v>234913.887638</v>
      </c>
      <c r="CB128">
        <v>34686.112362</v>
      </c>
      <c r="CC128">
        <v>40</v>
      </c>
      <c r="CD128">
        <v>72438</v>
      </c>
      <c r="CE128">
        <v>136168.63</v>
      </c>
      <c r="CF128">
        <v>43535</v>
      </c>
      <c r="CG128">
        <v>14933</v>
      </c>
      <c r="CH128">
        <v>274681.62</v>
      </c>
      <c r="CI128">
        <v>2891983</v>
      </c>
      <c r="CJ128">
        <v>676344</v>
      </c>
    </row>
    <row r="129" ht="14.497499999999997" customHeight="1">
      <c r="BF129" t="s">
        <v>35</v>
      </c>
      <c r="BG129" t="s">
        <v>36</v>
      </c>
      <c r="BH129" t="s">
        <v>37</v>
      </c>
      <c r="BI129" t="s">
        <v>142</v>
      </c>
      <c r="BJ129" t="s">
        <v>62</v>
      </c>
      <c r="BK129" t="s">
        <v>40</v>
      </c>
      <c r="BL129" t="s">
        <v>41</v>
      </c>
      <c r="BM129" t="s">
        <v>44</v>
      </c>
      <c r="BN129" t="s">
        <v>43</v>
      </c>
      <c r="BO129">
        <v>39</v>
      </c>
      <c r="BP129">
        <v>2</v>
      </c>
      <c r="BQ129">
        <v>259350</v>
      </c>
      <c r="BR129">
        <v>24145.975854</v>
      </c>
      <c r="BS129">
        <v>45389.497944</v>
      </c>
      <c r="BT129">
        <v>14511.652155</v>
      </c>
      <c r="BU129">
        <v>91560.448439</v>
      </c>
      <c r="BV129">
        <v>7781.953189</v>
      </c>
      <c r="BW129">
        <v>36219.266412</v>
      </c>
      <c r="BX129">
        <v>44001.219601</v>
      </c>
      <c r="BY129">
        <v>38657.628009</v>
      </c>
      <c r="BZ129">
        <v>180951.165984</v>
      </c>
      <c r="CA129">
        <v>219608.793993</v>
      </c>
      <c r="CB129">
        <v>39741.206007</v>
      </c>
      <c r="CC129">
        <v>0</v>
      </c>
      <c r="CD129">
        <v>72438</v>
      </c>
      <c r="CE129">
        <v>136168.63</v>
      </c>
      <c r="CF129">
        <v>43535</v>
      </c>
      <c r="CG129">
        <v>14933</v>
      </c>
      <c r="CH129">
        <v>274681.62</v>
      </c>
      <c r="CI129">
        <v>2891983</v>
      </c>
      <c r="CJ129">
        <v>676344</v>
      </c>
    </row>
    <row r="130" ht="14.497499999999997" customHeight="1">
      <c r="BF130" t="s">
        <v>35</v>
      </c>
      <c r="BG130" t="s">
        <v>36</v>
      </c>
      <c r="BH130" t="s">
        <v>37</v>
      </c>
      <c r="BI130" t="s">
        <v>142</v>
      </c>
      <c r="BJ130" t="s">
        <v>62</v>
      </c>
      <c r="BK130" t="s">
        <v>40</v>
      </c>
      <c r="BL130" t="s">
        <v>41</v>
      </c>
      <c r="BM130" t="s">
        <v>50</v>
      </c>
      <c r="BN130" t="s">
        <v>43</v>
      </c>
      <c r="BO130">
        <v>38</v>
      </c>
      <c r="BP130">
        <v>2</v>
      </c>
      <c r="BQ130">
        <v>252700</v>
      </c>
      <c r="BR130">
        <v>24145.975854</v>
      </c>
      <c r="BS130">
        <v>45389.497944</v>
      </c>
      <c r="BT130">
        <v>14139.55851</v>
      </c>
      <c r="BU130">
        <v>91560.448439</v>
      </c>
      <c r="BV130">
        <v>7781.953189</v>
      </c>
      <c r="BW130">
        <v>36219.266412</v>
      </c>
      <c r="BX130">
        <v>44001.219601</v>
      </c>
      <c r="BY130">
        <v>38285.534364</v>
      </c>
      <c r="BZ130">
        <v>180951.165984</v>
      </c>
      <c r="CA130">
        <v>219236.700348</v>
      </c>
      <c r="CB130">
        <v>33463.299652</v>
      </c>
      <c r="CC130">
        <v>0</v>
      </c>
      <c r="CD130">
        <v>72438</v>
      </c>
      <c r="CE130">
        <v>136168.63</v>
      </c>
      <c r="CF130">
        <v>43535</v>
      </c>
      <c r="CG130">
        <v>14933</v>
      </c>
      <c r="CH130">
        <v>274681.62</v>
      </c>
      <c r="CI130">
        <v>2891983</v>
      </c>
      <c r="CJ130">
        <v>676344</v>
      </c>
    </row>
    <row r="131" ht="14.497499999999997" customHeight="1">
      <c r="BF131" t="s">
        <v>35</v>
      </c>
      <c r="BG131" t="s">
        <v>36</v>
      </c>
      <c r="BH131" t="s">
        <v>37</v>
      </c>
      <c r="BI131" t="s">
        <v>142</v>
      </c>
      <c r="BJ131" t="s">
        <v>64</v>
      </c>
      <c r="BK131" t="s">
        <v>65</v>
      </c>
      <c r="BL131" t="s">
        <v>66</v>
      </c>
      <c r="BM131" t="s">
        <v>42</v>
      </c>
      <c r="BN131" t="s">
        <v>67</v>
      </c>
      <c r="BO131">
        <v>50</v>
      </c>
      <c r="BP131">
        <v>2</v>
      </c>
      <c r="BQ131">
        <v>372000</v>
      </c>
      <c r="BR131">
        <v>30182.25</v>
      </c>
      <c r="BS131">
        <v>71167.2925</v>
      </c>
      <c r="BT131">
        <v>31214.710138</v>
      </c>
      <c r="BU131">
        <v>132767.424</v>
      </c>
      <c r="BV131">
        <v>10845.879611</v>
      </c>
      <c r="BW131">
        <v>45320.641325</v>
      </c>
      <c r="BX131">
        <v>56166.520936</v>
      </c>
      <c r="BY131">
        <v>61396.960138</v>
      </c>
      <c r="BZ131">
        <v>260101.237436</v>
      </c>
      <c r="CA131">
        <v>321498.197574</v>
      </c>
      <c r="CB131">
        <v>50501.802426</v>
      </c>
      <c r="CC131">
        <v>50</v>
      </c>
      <c r="CD131">
        <v>120729</v>
      </c>
      <c r="CE131">
        <v>284669.17</v>
      </c>
      <c r="CF131">
        <v>90791</v>
      </c>
      <c r="CG131">
        <v>25220</v>
      </c>
      <c r="CH131">
        <v>663837.12</v>
      </c>
      <c r="CI131">
        <v>2891983</v>
      </c>
      <c r="CJ131">
        <v>676344</v>
      </c>
    </row>
    <row r="132" ht="14.497499999999997" customHeight="1">
      <c r="BF132" t="s">
        <v>35</v>
      </c>
      <c r="BG132" t="s">
        <v>36</v>
      </c>
      <c r="BH132" t="s">
        <v>37</v>
      </c>
      <c r="BI132" t="s">
        <v>142</v>
      </c>
      <c r="BJ132" t="s">
        <v>64</v>
      </c>
      <c r="BK132" t="s">
        <v>65</v>
      </c>
      <c r="BL132" t="s">
        <v>66</v>
      </c>
      <c r="BM132" t="s">
        <v>44</v>
      </c>
      <c r="BN132" t="s">
        <v>43</v>
      </c>
      <c r="BO132">
        <v>48</v>
      </c>
      <c r="BP132">
        <v>2</v>
      </c>
      <c r="BQ132">
        <v>329280</v>
      </c>
      <c r="BR132">
        <v>24145.8</v>
      </c>
      <c r="BS132">
        <v>56933.834</v>
      </c>
      <c r="BT132">
        <v>17860.496311</v>
      </c>
      <c r="BU132">
        <v>132767.424</v>
      </c>
      <c r="BV132">
        <v>10845.879611</v>
      </c>
      <c r="BW132">
        <v>45320.641325</v>
      </c>
      <c r="BX132">
        <v>56166.520936</v>
      </c>
      <c r="BY132">
        <v>42006.296311</v>
      </c>
      <c r="BZ132">
        <v>245867.778936</v>
      </c>
      <c r="CA132">
        <v>287874.075247</v>
      </c>
      <c r="CB132">
        <v>41405.924753</v>
      </c>
      <c r="CC132">
        <v>0</v>
      </c>
      <c r="CD132">
        <v>120729</v>
      </c>
      <c r="CE132">
        <v>284669.17</v>
      </c>
      <c r="CF132">
        <v>90791</v>
      </c>
      <c r="CG132">
        <v>25220</v>
      </c>
      <c r="CH132">
        <v>663837.12</v>
      </c>
      <c r="CI132">
        <v>2891983</v>
      </c>
      <c r="CJ132">
        <v>676344</v>
      </c>
    </row>
    <row r="133" ht="14.497499999999997" customHeight="1">
      <c r="BF133" t="s">
        <v>35</v>
      </c>
      <c r="BG133" t="s">
        <v>36</v>
      </c>
      <c r="BH133" t="s">
        <v>37</v>
      </c>
      <c r="BI133" t="s">
        <v>142</v>
      </c>
      <c r="BJ133" t="s">
        <v>64</v>
      </c>
      <c r="BK133" t="s">
        <v>65</v>
      </c>
      <c r="BL133" t="s">
        <v>66</v>
      </c>
      <c r="BM133" t="s">
        <v>50</v>
      </c>
      <c r="BN133" t="s">
        <v>43</v>
      </c>
      <c r="BO133">
        <v>47</v>
      </c>
      <c r="BP133">
        <v>2</v>
      </c>
      <c r="BQ133">
        <v>322420</v>
      </c>
      <c r="BR133">
        <v>24145.8</v>
      </c>
      <c r="BS133">
        <v>56933.834</v>
      </c>
      <c r="BT133">
        <v>17488.344002</v>
      </c>
      <c r="BU133">
        <v>132767.424</v>
      </c>
      <c r="BV133">
        <v>10845.879611</v>
      </c>
      <c r="BW133">
        <v>45320.641325</v>
      </c>
      <c r="BX133">
        <v>56166.520936</v>
      </c>
      <c r="BY133">
        <v>41634.144002</v>
      </c>
      <c r="BZ133">
        <v>245867.778936</v>
      </c>
      <c r="CA133">
        <v>287501.922938</v>
      </c>
      <c r="CB133">
        <v>34918.077062</v>
      </c>
      <c r="CC133">
        <v>0</v>
      </c>
      <c r="CD133">
        <v>120729</v>
      </c>
      <c r="CE133">
        <v>284669.17</v>
      </c>
      <c r="CF133">
        <v>90791</v>
      </c>
      <c r="CG133">
        <v>25220</v>
      </c>
      <c r="CH133">
        <v>663837.12</v>
      </c>
      <c r="CI133">
        <v>2891983</v>
      </c>
      <c r="CJ133">
        <v>676344</v>
      </c>
    </row>
    <row r="134" ht="14.497499999999997" customHeight="1">
      <c r="BF134" t="s">
        <v>35</v>
      </c>
      <c r="BG134" t="s">
        <v>36</v>
      </c>
      <c r="BH134" t="s">
        <v>37</v>
      </c>
      <c r="BI134" t="s">
        <v>142</v>
      </c>
      <c r="BJ134" t="s">
        <v>64</v>
      </c>
      <c r="BK134" t="s">
        <v>65</v>
      </c>
      <c r="BL134" t="s">
        <v>70</v>
      </c>
      <c r="BM134" t="s">
        <v>71</v>
      </c>
      <c r="BN134" t="s">
        <v>43</v>
      </c>
      <c r="BO134">
        <v>50</v>
      </c>
      <c r="BP134">
        <v>2</v>
      </c>
      <c r="BQ134">
        <v>372000</v>
      </c>
      <c r="BR134">
        <v>21127.575</v>
      </c>
      <c r="BS134">
        <v>49817.10475</v>
      </c>
      <c r="BT134">
        <v>31214.710138</v>
      </c>
      <c r="BU134">
        <v>132767.424</v>
      </c>
      <c r="BV134">
        <v>10845.879611</v>
      </c>
      <c r="BW134">
        <v>45320.641325</v>
      </c>
      <c r="BX134">
        <v>56166.520936</v>
      </c>
      <c r="BY134">
        <v>52342.285138</v>
      </c>
      <c r="BZ134">
        <v>238751.049686</v>
      </c>
      <c r="CA134">
        <v>291093.334824</v>
      </c>
      <c r="CB134">
        <v>80906.665176</v>
      </c>
      <c r="CC134">
        <v>50</v>
      </c>
      <c r="CD134">
        <v>120729</v>
      </c>
      <c r="CE134">
        <v>284669.17</v>
      </c>
      <c r="CF134">
        <v>90791</v>
      </c>
      <c r="CG134">
        <v>25220</v>
      </c>
      <c r="CH134">
        <v>663837.12</v>
      </c>
      <c r="CI134">
        <v>2891983</v>
      </c>
      <c r="CJ134">
        <v>676344</v>
      </c>
    </row>
    <row r="135" ht="14.497499999999997" customHeight="1">
      <c r="BF135" t="s">
        <v>35</v>
      </c>
      <c r="BG135" t="s">
        <v>36</v>
      </c>
      <c r="BH135" t="s">
        <v>37</v>
      </c>
      <c r="BI135" t="s">
        <v>142</v>
      </c>
      <c r="BJ135" t="s">
        <v>64</v>
      </c>
      <c r="BK135" t="s">
        <v>65</v>
      </c>
      <c r="BL135" t="s">
        <v>70</v>
      </c>
      <c r="BM135" t="s">
        <v>72</v>
      </c>
      <c r="BN135" t="s">
        <v>43</v>
      </c>
      <c r="BO135">
        <v>49</v>
      </c>
      <c r="BP135">
        <v>2</v>
      </c>
      <c r="BQ135">
        <v>360150</v>
      </c>
      <c r="BR135">
        <v>21127.575</v>
      </c>
      <c r="BS135">
        <v>49817.10475</v>
      </c>
      <c r="BT135">
        <v>18232.557829</v>
      </c>
      <c r="BU135">
        <v>132767.424</v>
      </c>
      <c r="BV135">
        <v>10845.879611</v>
      </c>
      <c r="BW135">
        <v>45320.641325</v>
      </c>
      <c r="BX135">
        <v>56166.520936</v>
      </c>
      <c r="BY135">
        <v>39360.132829</v>
      </c>
      <c r="BZ135">
        <v>238751.049686</v>
      </c>
      <c r="CA135">
        <v>278111.182515</v>
      </c>
      <c r="CB135">
        <v>82038.817485</v>
      </c>
      <c r="CC135">
        <v>0</v>
      </c>
      <c r="CD135">
        <v>120729</v>
      </c>
      <c r="CE135">
        <v>284669.17</v>
      </c>
      <c r="CF135">
        <v>90791</v>
      </c>
      <c r="CG135">
        <v>25220</v>
      </c>
      <c r="CH135">
        <v>663837.12</v>
      </c>
      <c r="CI135">
        <v>2891983</v>
      </c>
      <c r="CJ135">
        <v>676344</v>
      </c>
    </row>
    <row r="136" ht="14.497499999999997" customHeight="1">
      <c r="BF136" t="s">
        <v>35</v>
      </c>
      <c r="BG136" t="s">
        <v>36</v>
      </c>
      <c r="BH136" t="s">
        <v>37</v>
      </c>
      <c r="BI136" t="s">
        <v>142</v>
      </c>
      <c r="BJ136" t="s">
        <v>73</v>
      </c>
      <c r="BK136" t="s">
        <v>65</v>
      </c>
      <c r="BL136" t="s">
        <v>66</v>
      </c>
      <c r="BM136" t="s">
        <v>42</v>
      </c>
      <c r="BN136" t="s">
        <v>67</v>
      </c>
      <c r="BO136">
        <v>72</v>
      </c>
      <c r="BP136">
        <v>3</v>
      </c>
      <c r="BQ136">
        <v>611280</v>
      </c>
      <c r="BR136">
        <v>45273.5</v>
      </c>
      <c r="BS136">
        <v>122012.62</v>
      </c>
      <c r="BT136">
        <v>57190.805858</v>
      </c>
      <c r="BU136">
        <v>222607.06</v>
      </c>
      <c r="BV136">
        <v>15735.424562</v>
      </c>
      <c r="BW136">
        <v>65752.115852</v>
      </c>
      <c r="BX136">
        <v>81487.540414</v>
      </c>
      <c r="BY136">
        <v>102464.305858</v>
      </c>
      <c r="BZ136">
        <v>426107.220414</v>
      </c>
      <c r="CA136">
        <v>528571.526272</v>
      </c>
      <c r="CB136">
        <v>82708.473728</v>
      </c>
      <c r="CC136">
        <v>72</v>
      </c>
      <c r="CD136">
        <v>181094</v>
      </c>
      <c r="CE136">
        <v>488050.48</v>
      </c>
      <c r="CF136">
        <v>131722</v>
      </c>
      <c r="CG136">
        <v>60800</v>
      </c>
      <c r="CH136">
        <v>1113035.3</v>
      </c>
      <c r="CI136">
        <v>2891983</v>
      </c>
      <c r="CJ136">
        <v>676344</v>
      </c>
    </row>
    <row r="137" ht="14.497499999999997" customHeight="1">
      <c r="BF137" t="s">
        <v>35</v>
      </c>
      <c r="BG137" t="s">
        <v>36</v>
      </c>
      <c r="BH137" t="s">
        <v>37</v>
      </c>
      <c r="BI137" t="s">
        <v>142</v>
      </c>
      <c r="BJ137" t="s">
        <v>73</v>
      </c>
      <c r="BK137" t="s">
        <v>65</v>
      </c>
      <c r="BL137" t="s">
        <v>66</v>
      </c>
      <c r="BM137" t="s">
        <v>44</v>
      </c>
      <c r="BN137" t="s">
        <v>43</v>
      </c>
      <c r="BO137">
        <v>70</v>
      </c>
      <c r="BP137">
        <v>3</v>
      </c>
      <c r="BQ137">
        <v>548800</v>
      </c>
      <c r="BR137">
        <v>36218.8</v>
      </c>
      <c r="BS137">
        <v>97610.096</v>
      </c>
      <c r="BT137">
        <v>26046.70828</v>
      </c>
      <c r="BU137">
        <v>222607.06</v>
      </c>
      <c r="BV137">
        <v>15735.424562</v>
      </c>
      <c r="BW137">
        <v>65752.115852</v>
      </c>
      <c r="BX137">
        <v>81487.540414</v>
      </c>
      <c r="BY137">
        <v>62265.50828</v>
      </c>
      <c r="BZ137">
        <v>401704.696414</v>
      </c>
      <c r="CA137">
        <v>463970.204694</v>
      </c>
      <c r="CB137">
        <v>84829.795306</v>
      </c>
      <c r="CC137">
        <v>0</v>
      </c>
      <c r="CD137">
        <v>181094</v>
      </c>
      <c r="CE137">
        <v>488050.48</v>
      </c>
      <c r="CF137">
        <v>131722</v>
      </c>
      <c r="CG137">
        <v>60800</v>
      </c>
      <c r="CH137">
        <v>1113035.3</v>
      </c>
      <c r="CI137">
        <v>2891983</v>
      </c>
      <c r="CJ137">
        <v>676344</v>
      </c>
    </row>
    <row r="138" ht="14.497499999999997" customHeight="1">
      <c r="BF138" t="s">
        <v>35</v>
      </c>
      <c r="BG138" t="s">
        <v>36</v>
      </c>
      <c r="BH138" t="s">
        <v>37</v>
      </c>
      <c r="BI138" t="s">
        <v>142</v>
      </c>
      <c r="BJ138" t="s">
        <v>73</v>
      </c>
      <c r="BK138" t="s">
        <v>65</v>
      </c>
      <c r="BL138" t="s">
        <v>66</v>
      </c>
      <c r="BM138" t="s">
        <v>50</v>
      </c>
      <c r="BN138" t="s">
        <v>43</v>
      </c>
      <c r="BO138">
        <v>69</v>
      </c>
      <c r="BP138">
        <v>3</v>
      </c>
      <c r="BQ138">
        <v>540960</v>
      </c>
      <c r="BR138">
        <v>36218.8</v>
      </c>
      <c r="BS138">
        <v>97610.096</v>
      </c>
      <c r="BT138">
        <v>25674.59363</v>
      </c>
      <c r="BU138">
        <v>222607.06</v>
      </c>
      <c r="BV138">
        <v>15735.424562</v>
      </c>
      <c r="BW138">
        <v>65752.115852</v>
      </c>
      <c r="BX138">
        <v>81487.540414</v>
      </c>
      <c r="BY138">
        <v>61893.39363</v>
      </c>
      <c r="BZ138">
        <v>401704.696414</v>
      </c>
      <c r="CA138">
        <v>463598.090044</v>
      </c>
      <c r="CB138">
        <v>77361.909956</v>
      </c>
      <c r="CC138">
        <v>0</v>
      </c>
      <c r="CD138">
        <v>181094</v>
      </c>
      <c r="CE138">
        <v>488050.48</v>
      </c>
      <c r="CF138">
        <v>131722</v>
      </c>
      <c r="CG138">
        <v>60800</v>
      </c>
      <c r="CH138">
        <v>1113035.3</v>
      </c>
      <c r="CI138">
        <v>2891983</v>
      </c>
      <c r="CJ138">
        <v>676344</v>
      </c>
    </row>
    <row r="139" ht="14.497499999999997" customHeight="1">
      <c r="BF139" t="s">
        <v>35</v>
      </c>
      <c r="BG139" t="s">
        <v>36</v>
      </c>
      <c r="BH139" t="s">
        <v>37</v>
      </c>
      <c r="BI139" t="s">
        <v>142</v>
      </c>
      <c r="BJ139" t="s">
        <v>73</v>
      </c>
      <c r="BK139" t="s">
        <v>65</v>
      </c>
      <c r="BL139" t="s">
        <v>70</v>
      </c>
      <c r="BM139" t="s">
        <v>71</v>
      </c>
      <c r="BN139" t="s">
        <v>43</v>
      </c>
      <c r="BO139">
        <v>72</v>
      </c>
      <c r="BP139">
        <v>3</v>
      </c>
      <c r="BQ139">
        <v>611280</v>
      </c>
      <c r="BR139">
        <v>31691.45</v>
      </c>
      <c r="BS139">
        <v>85408.834</v>
      </c>
      <c r="BT139">
        <v>57190.805858</v>
      </c>
      <c r="BU139">
        <v>222607.06</v>
      </c>
      <c r="BV139">
        <v>15735.424562</v>
      </c>
      <c r="BW139">
        <v>65752.115852</v>
      </c>
      <c r="BX139">
        <v>81487.540414</v>
      </c>
      <c r="BY139">
        <v>88882.255858</v>
      </c>
      <c r="BZ139">
        <v>389503.434414</v>
      </c>
      <c r="CA139">
        <v>478385.690272</v>
      </c>
      <c r="CB139">
        <v>132894.309728</v>
      </c>
      <c r="CC139">
        <v>72</v>
      </c>
      <c r="CD139">
        <v>181094</v>
      </c>
      <c r="CE139">
        <v>488050.48</v>
      </c>
      <c r="CF139">
        <v>131722</v>
      </c>
      <c r="CG139">
        <v>60800</v>
      </c>
      <c r="CH139">
        <v>1113035.3</v>
      </c>
      <c r="CI139">
        <v>2891983</v>
      </c>
      <c r="CJ139">
        <v>676344</v>
      </c>
    </row>
    <row r="140" ht="14.497499999999997" customHeight="1">
      <c r="BF140" t="s">
        <v>35</v>
      </c>
      <c r="BG140" t="s">
        <v>36</v>
      </c>
      <c r="BH140" t="s">
        <v>37</v>
      </c>
      <c r="BI140" t="s">
        <v>142</v>
      </c>
      <c r="BJ140" t="s">
        <v>73</v>
      </c>
      <c r="BK140" t="s">
        <v>65</v>
      </c>
      <c r="BL140" t="s">
        <v>70</v>
      </c>
      <c r="BM140" t="s">
        <v>72</v>
      </c>
      <c r="BN140" t="s">
        <v>43</v>
      </c>
      <c r="BO140">
        <v>71</v>
      </c>
      <c r="BP140">
        <v>3</v>
      </c>
      <c r="BQ140">
        <v>596400</v>
      </c>
      <c r="BR140">
        <v>31691.45</v>
      </c>
      <c r="BS140">
        <v>85408.834</v>
      </c>
      <c r="BT140">
        <v>26418.691208</v>
      </c>
      <c r="BU140">
        <v>222607.06</v>
      </c>
      <c r="BV140">
        <v>15735.424562</v>
      </c>
      <c r="BW140">
        <v>65752.115852</v>
      </c>
      <c r="BX140">
        <v>81487.540414</v>
      </c>
      <c r="BY140">
        <v>58110.141208</v>
      </c>
      <c r="BZ140">
        <v>389503.434414</v>
      </c>
      <c r="CA140">
        <v>447613.575622</v>
      </c>
      <c r="CB140">
        <v>148786.424378</v>
      </c>
      <c r="CC140">
        <v>0</v>
      </c>
      <c r="CD140">
        <v>181094</v>
      </c>
      <c r="CE140">
        <v>488050.48</v>
      </c>
      <c r="CF140">
        <v>131722</v>
      </c>
      <c r="CG140">
        <v>60800</v>
      </c>
      <c r="CH140">
        <v>1113035.3</v>
      </c>
      <c r="CI140">
        <v>2891983</v>
      </c>
      <c r="CJ140">
        <v>676344</v>
      </c>
    </row>
    <row r="141" ht="14.497499999999997" customHeight="1">
      <c r="BF141" t="s">
        <v>35</v>
      </c>
      <c r="BG141" t="s">
        <v>36</v>
      </c>
      <c r="BH141" t="s">
        <v>37</v>
      </c>
      <c r="BI141" t="s">
        <v>142</v>
      </c>
      <c r="BJ141" t="s">
        <v>87</v>
      </c>
      <c r="BK141" t="s">
        <v>65</v>
      </c>
      <c r="BL141" t="s">
        <v>66</v>
      </c>
      <c r="BM141" t="s">
        <v>42</v>
      </c>
      <c r="BN141" t="s">
        <v>67</v>
      </c>
      <c r="BO141">
        <v>47</v>
      </c>
      <c r="BP141">
        <v>2</v>
      </c>
      <c r="BQ141">
        <v>342630</v>
      </c>
      <c r="BR141">
        <v>30182.25</v>
      </c>
      <c r="BS141">
        <v>66920.9675</v>
      </c>
      <c r="BT141">
        <v>28529.958702</v>
      </c>
      <c r="BU141">
        <v>120375.282</v>
      </c>
      <c r="BV141">
        <v>10268.007549</v>
      </c>
      <c r="BW141">
        <v>42905.942527</v>
      </c>
      <c r="BX141">
        <v>53173.950076</v>
      </c>
      <c r="BY141">
        <v>58712.208702</v>
      </c>
      <c r="BZ141">
        <v>240470.199576</v>
      </c>
      <c r="CA141">
        <v>299182.408278</v>
      </c>
      <c r="CB141">
        <v>43447.591722</v>
      </c>
      <c r="CC141">
        <v>47</v>
      </c>
      <c r="CD141">
        <v>120729</v>
      </c>
      <c r="CE141">
        <v>267683.87</v>
      </c>
      <c r="CF141">
        <v>85954</v>
      </c>
      <c r="CG141">
        <v>22083</v>
      </c>
      <c r="CH141">
        <v>601876.41</v>
      </c>
      <c r="CI141">
        <v>2891983</v>
      </c>
      <c r="CJ141">
        <v>676344</v>
      </c>
    </row>
    <row r="142" ht="14.497499999999997" customHeight="1">
      <c r="BF142" t="s">
        <v>35</v>
      </c>
      <c r="BG142" t="s">
        <v>36</v>
      </c>
      <c r="BH142" t="s">
        <v>37</v>
      </c>
      <c r="BI142" t="s">
        <v>142</v>
      </c>
      <c r="BJ142" t="s">
        <v>87</v>
      </c>
      <c r="BK142" t="s">
        <v>65</v>
      </c>
      <c r="BL142" t="s">
        <v>66</v>
      </c>
      <c r="BM142" t="s">
        <v>44</v>
      </c>
      <c r="BN142" t="s">
        <v>43</v>
      </c>
      <c r="BO142">
        <v>46</v>
      </c>
      <c r="BP142">
        <v>2</v>
      </c>
      <c r="BQ142">
        <v>309120</v>
      </c>
      <c r="BR142">
        <v>24145.8</v>
      </c>
      <c r="BS142">
        <v>53536.774</v>
      </c>
      <c r="BT142">
        <v>17116.363836</v>
      </c>
      <c r="BU142">
        <v>120375.282</v>
      </c>
      <c r="BV142">
        <v>10268.007549</v>
      </c>
      <c r="BW142">
        <v>42905.942527</v>
      </c>
      <c r="BX142">
        <v>53173.950076</v>
      </c>
      <c r="BY142">
        <v>41262.163836</v>
      </c>
      <c r="BZ142">
        <v>227086.006076</v>
      </c>
      <c r="CA142">
        <v>268348.169912</v>
      </c>
      <c r="CB142">
        <v>40771.830088</v>
      </c>
      <c r="CC142">
        <v>0</v>
      </c>
      <c r="CD142">
        <v>120729</v>
      </c>
      <c r="CE142">
        <v>267683.87</v>
      </c>
      <c r="CF142">
        <v>85954</v>
      </c>
      <c r="CG142">
        <v>22083</v>
      </c>
      <c r="CH142">
        <v>601876.41</v>
      </c>
      <c r="CI142">
        <v>2891983</v>
      </c>
      <c r="CJ142">
        <v>676344</v>
      </c>
    </row>
    <row r="143" ht="14.497499999999997" customHeight="1">
      <c r="BF143" t="s">
        <v>35</v>
      </c>
      <c r="BG143" t="s">
        <v>36</v>
      </c>
      <c r="BH143" t="s">
        <v>37</v>
      </c>
      <c r="BI143" t="s">
        <v>142</v>
      </c>
      <c r="BJ143" t="s">
        <v>87</v>
      </c>
      <c r="BK143" t="s">
        <v>65</v>
      </c>
      <c r="BL143" t="s">
        <v>66</v>
      </c>
      <c r="BM143" t="s">
        <v>50</v>
      </c>
      <c r="BN143" t="s">
        <v>43</v>
      </c>
      <c r="BO143">
        <v>45</v>
      </c>
      <c r="BP143">
        <v>2</v>
      </c>
      <c r="BQ143">
        <v>302400</v>
      </c>
      <c r="BR143">
        <v>24145.8</v>
      </c>
      <c r="BS143">
        <v>53536.774</v>
      </c>
      <c r="BT143">
        <v>16744.26897</v>
      </c>
      <c r="BU143">
        <v>120375.282</v>
      </c>
      <c r="BV143">
        <v>10268.007549</v>
      </c>
      <c r="BW143">
        <v>42905.942527</v>
      </c>
      <c r="BX143">
        <v>53173.950076</v>
      </c>
      <c r="BY143">
        <v>40890.06897</v>
      </c>
      <c r="BZ143">
        <v>227086.006076</v>
      </c>
      <c r="CA143">
        <v>267976.075046</v>
      </c>
      <c r="CB143">
        <v>34423.924954</v>
      </c>
      <c r="CC143">
        <v>0</v>
      </c>
      <c r="CD143">
        <v>120729</v>
      </c>
      <c r="CE143">
        <v>267683.87</v>
      </c>
      <c r="CF143">
        <v>85954</v>
      </c>
      <c r="CG143">
        <v>22083</v>
      </c>
      <c r="CH143">
        <v>601876.41</v>
      </c>
      <c r="CI143">
        <v>2891983</v>
      </c>
      <c r="CJ143">
        <v>676344</v>
      </c>
    </row>
    <row r="144" ht="14.497499999999997" customHeight="1">
      <c r="BF144" t="s">
        <v>35</v>
      </c>
      <c r="BG144" t="s">
        <v>36</v>
      </c>
      <c r="BH144" t="s">
        <v>37</v>
      </c>
      <c r="BI144" t="s">
        <v>142</v>
      </c>
      <c r="BJ144" t="s">
        <v>87</v>
      </c>
      <c r="BK144" t="s">
        <v>65</v>
      </c>
      <c r="BL144" t="s">
        <v>70</v>
      </c>
      <c r="BM144" t="s">
        <v>71</v>
      </c>
      <c r="BN144" t="s">
        <v>43</v>
      </c>
      <c r="BO144">
        <v>47</v>
      </c>
      <c r="BP144">
        <v>2</v>
      </c>
      <c r="BQ144">
        <v>342630</v>
      </c>
      <c r="BR144">
        <v>21127.575</v>
      </c>
      <c r="BS144">
        <v>46844.67725</v>
      </c>
      <c r="BT144">
        <v>28529.958702</v>
      </c>
      <c r="BU144">
        <v>120375.282</v>
      </c>
      <c r="BV144">
        <v>10268.007549</v>
      </c>
      <c r="BW144">
        <v>42905.942527</v>
      </c>
      <c r="BX144">
        <v>53173.950076</v>
      </c>
      <c r="BY144">
        <v>49657.533702</v>
      </c>
      <c r="BZ144">
        <v>220393.909326</v>
      </c>
      <c r="CA144">
        <v>270051.443028</v>
      </c>
      <c r="CB144">
        <v>72578.556972</v>
      </c>
      <c r="CC144">
        <v>47</v>
      </c>
      <c r="CD144">
        <v>120729</v>
      </c>
      <c r="CE144">
        <v>267683.87</v>
      </c>
      <c r="CF144">
        <v>85954</v>
      </c>
      <c r="CG144">
        <v>22083</v>
      </c>
      <c r="CH144">
        <v>601876.41</v>
      </c>
      <c r="CI144">
        <v>2891983</v>
      </c>
      <c r="CJ144">
        <v>676344</v>
      </c>
    </row>
    <row r="145" ht="14.497499999999997" customHeight="1">
      <c r="BF145" t="s">
        <v>35</v>
      </c>
      <c r="BG145" t="s">
        <v>36</v>
      </c>
      <c r="BH145" t="s">
        <v>37</v>
      </c>
      <c r="BI145" t="s">
        <v>142</v>
      </c>
      <c r="BJ145" t="s">
        <v>87</v>
      </c>
      <c r="BK145" t="s">
        <v>65</v>
      </c>
      <c r="BL145" t="s">
        <v>70</v>
      </c>
      <c r="BM145" t="s">
        <v>72</v>
      </c>
      <c r="BN145" t="s">
        <v>43</v>
      </c>
      <c r="BO145">
        <v>46</v>
      </c>
      <c r="BP145">
        <v>2</v>
      </c>
      <c r="BQ145">
        <v>331200</v>
      </c>
      <c r="BR145">
        <v>21127.575</v>
      </c>
      <c r="BS145">
        <v>46844.67725</v>
      </c>
      <c r="BT145">
        <v>17116.363836</v>
      </c>
      <c r="BU145">
        <v>120375.282</v>
      </c>
      <c r="BV145">
        <v>10268.007549</v>
      </c>
      <c r="BW145">
        <v>42905.942527</v>
      </c>
      <c r="BX145">
        <v>53173.950076</v>
      </c>
      <c r="BY145">
        <v>38243.938836</v>
      </c>
      <c r="BZ145">
        <v>220393.909326</v>
      </c>
      <c r="CA145">
        <v>258637.848162</v>
      </c>
      <c r="CB145">
        <v>72562.151838</v>
      </c>
      <c r="CC145">
        <v>0</v>
      </c>
      <c r="CD145">
        <v>120729</v>
      </c>
      <c r="CE145">
        <v>267683.87</v>
      </c>
      <c r="CF145">
        <v>85954</v>
      </c>
      <c r="CG145">
        <v>22083</v>
      </c>
      <c r="CH145">
        <v>601876.41</v>
      </c>
      <c r="CI145">
        <v>2891983</v>
      </c>
      <c r="CJ145">
        <v>676344</v>
      </c>
    </row>
    <row r="146" ht="14.497499999999997" customHeight="1">
      <c r="BF146" t="s">
        <v>35</v>
      </c>
      <c r="BG146" t="s">
        <v>36</v>
      </c>
      <c r="BH146" t="s">
        <v>37</v>
      </c>
      <c r="BI146" t="s">
        <v>142</v>
      </c>
      <c r="BJ146" t="s">
        <v>92</v>
      </c>
      <c r="BK146" t="s">
        <v>93</v>
      </c>
      <c r="BL146" t="s">
        <v>94</v>
      </c>
      <c r="BM146" t="s">
        <v>42</v>
      </c>
      <c r="BN146" t="s">
        <v>67</v>
      </c>
      <c r="BO146">
        <v>51</v>
      </c>
      <c r="BP146">
        <v>2</v>
      </c>
      <c r="BQ146">
        <v>375615</v>
      </c>
      <c r="BR146">
        <v>30182.25</v>
      </c>
      <c r="BS146">
        <v>70084.2725</v>
      </c>
      <c r="BT146">
        <v>31438.389988</v>
      </c>
      <c r="BU146">
        <v>132547.764</v>
      </c>
      <c r="BV146">
        <v>11169.564459</v>
      </c>
      <c r="BW146">
        <v>46249.228759</v>
      </c>
      <c r="BX146">
        <v>57418.793218</v>
      </c>
      <c r="BY146">
        <v>61620.639988</v>
      </c>
      <c r="BZ146">
        <v>260050.829718</v>
      </c>
      <c r="CA146">
        <v>321671.469706</v>
      </c>
      <c r="CB146">
        <v>53943.530294</v>
      </c>
      <c r="CC146">
        <v>51</v>
      </c>
      <c r="CD146">
        <v>120729</v>
      </c>
      <c r="CE146">
        <v>280337.09</v>
      </c>
      <c r="CF146">
        <v>92652</v>
      </c>
      <c r="CG146">
        <v>24923</v>
      </c>
      <c r="CH146">
        <v>662738.82</v>
      </c>
      <c r="CI146">
        <v>2891983</v>
      </c>
      <c r="CJ146">
        <v>676344</v>
      </c>
    </row>
    <row r="147" ht="14.497499999999997" customHeight="1">
      <c r="BF147" t="s">
        <v>35</v>
      </c>
      <c r="BG147" t="s">
        <v>36</v>
      </c>
      <c r="BH147" t="s">
        <v>37</v>
      </c>
      <c r="BI147" t="s">
        <v>142</v>
      </c>
      <c r="BJ147" t="s">
        <v>92</v>
      </c>
      <c r="BK147" t="s">
        <v>93</v>
      </c>
      <c r="BL147" t="s">
        <v>94</v>
      </c>
      <c r="BM147" t="s">
        <v>44</v>
      </c>
      <c r="BN147" t="s">
        <v>43</v>
      </c>
      <c r="BO147">
        <v>49</v>
      </c>
      <c r="BP147">
        <v>2</v>
      </c>
      <c r="BQ147">
        <v>332710</v>
      </c>
      <c r="BR147">
        <v>24145.8</v>
      </c>
      <c r="BS147">
        <v>56067.418</v>
      </c>
      <c r="BT147">
        <v>18232.709124</v>
      </c>
      <c r="BU147">
        <v>132547.764</v>
      </c>
      <c r="BV147">
        <v>11169.564459</v>
      </c>
      <c r="BW147">
        <v>46249.228759</v>
      </c>
      <c r="BX147">
        <v>57418.793218</v>
      </c>
      <c r="BY147">
        <v>42378.509124</v>
      </c>
      <c r="BZ147">
        <v>246033.975218</v>
      </c>
      <c r="CA147">
        <v>288412.484342</v>
      </c>
      <c r="CB147">
        <v>44297.515658</v>
      </c>
      <c r="CC147">
        <v>0</v>
      </c>
      <c r="CD147">
        <v>120729</v>
      </c>
      <c r="CE147">
        <v>280337.09</v>
      </c>
      <c r="CF147">
        <v>92652</v>
      </c>
      <c r="CG147">
        <v>24923</v>
      </c>
      <c r="CH147">
        <v>662738.82</v>
      </c>
      <c r="CI147">
        <v>2891983</v>
      </c>
      <c r="CJ147">
        <v>676344</v>
      </c>
    </row>
    <row r="148" ht="14.497499999999997" customHeight="1">
      <c r="BF148" t="s">
        <v>35</v>
      </c>
      <c r="BG148" t="s">
        <v>36</v>
      </c>
      <c r="BH148" t="s">
        <v>37</v>
      </c>
      <c r="BI148" t="s">
        <v>142</v>
      </c>
      <c r="BJ148" t="s">
        <v>92</v>
      </c>
      <c r="BK148" t="s">
        <v>93</v>
      </c>
      <c r="BL148" t="s">
        <v>94</v>
      </c>
      <c r="BM148" t="s">
        <v>50</v>
      </c>
      <c r="BN148" t="s">
        <v>43</v>
      </c>
      <c r="BO148">
        <v>48</v>
      </c>
      <c r="BP148">
        <v>2</v>
      </c>
      <c r="BQ148">
        <v>325920</v>
      </c>
      <c r="BR148">
        <v>24145.8</v>
      </c>
      <c r="BS148">
        <v>56067.418</v>
      </c>
      <c r="BT148">
        <v>17860.618692</v>
      </c>
      <c r="BU148">
        <v>132547.764</v>
      </c>
      <c r="BV148">
        <v>11169.564459</v>
      </c>
      <c r="BW148">
        <v>46249.228759</v>
      </c>
      <c r="BX148">
        <v>57418.793218</v>
      </c>
      <c r="BY148">
        <v>42006.418692</v>
      </c>
      <c r="BZ148">
        <v>246033.975218</v>
      </c>
      <c r="CA148">
        <v>288040.39391</v>
      </c>
      <c r="CB148">
        <v>37879.60609</v>
      </c>
      <c r="CC148">
        <v>0</v>
      </c>
      <c r="CD148">
        <v>120729</v>
      </c>
      <c r="CE148">
        <v>280337.09</v>
      </c>
      <c r="CF148">
        <v>92652</v>
      </c>
      <c r="CG148">
        <v>24923</v>
      </c>
      <c r="CH148">
        <v>662738.82</v>
      </c>
      <c r="CI148">
        <v>2891983</v>
      </c>
      <c r="CJ148">
        <v>676344</v>
      </c>
    </row>
    <row r="149" ht="14.497499999999997" customHeight="1">
      <c r="BF149" t="s">
        <v>35</v>
      </c>
      <c r="BG149" t="s">
        <v>36</v>
      </c>
      <c r="BH149" t="s">
        <v>37</v>
      </c>
      <c r="BI149" t="s">
        <v>142</v>
      </c>
      <c r="BJ149" t="s">
        <v>92</v>
      </c>
      <c r="BK149" t="s">
        <v>93</v>
      </c>
      <c r="BL149" t="s">
        <v>95</v>
      </c>
      <c r="BM149" t="s">
        <v>71</v>
      </c>
      <c r="BN149" t="s">
        <v>43</v>
      </c>
      <c r="BO149">
        <v>51</v>
      </c>
      <c r="BP149">
        <v>2</v>
      </c>
      <c r="BQ149">
        <v>375615</v>
      </c>
      <c r="BR149">
        <v>21127.575</v>
      </c>
      <c r="BS149">
        <v>49058.99075</v>
      </c>
      <c r="BT149">
        <v>31438.389988</v>
      </c>
      <c r="BU149">
        <v>132547.764</v>
      </c>
      <c r="BV149">
        <v>11169.564459</v>
      </c>
      <c r="BW149">
        <v>46249.228759</v>
      </c>
      <c r="BX149">
        <v>57418.793218</v>
      </c>
      <c r="BY149">
        <v>52565.964988</v>
      </c>
      <c r="BZ149">
        <v>239025.547968</v>
      </c>
      <c r="CA149">
        <v>291591.512956</v>
      </c>
      <c r="CB149">
        <v>84023.487044</v>
      </c>
      <c r="CC149">
        <v>51</v>
      </c>
      <c r="CD149">
        <v>120729</v>
      </c>
      <c r="CE149">
        <v>280337.09</v>
      </c>
      <c r="CF149">
        <v>92652</v>
      </c>
      <c r="CG149">
        <v>24923</v>
      </c>
      <c r="CH149">
        <v>662738.82</v>
      </c>
      <c r="CI149">
        <v>2891983</v>
      </c>
      <c r="CJ149">
        <v>676344</v>
      </c>
    </row>
    <row r="150" ht="14.497499999999997" customHeight="1">
      <c r="BF150" t="s">
        <v>35</v>
      </c>
      <c r="BG150" t="s">
        <v>36</v>
      </c>
      <c r="BH150" t="s">
        <v>37</v>
      </c>
      <c r="BI150" t="s">
        <v>142</v>
      </c>
      <c r="BJ150" t="s">
        <v>92</v>
      </c>
      <c r="BK150" t="s">
        <v>93</v>
      </c>
      <c r="BL150" t="s">
        <v>95</v>
      </c>
      <c r="BM150" t="s">
        <v>72</v>
      </c>
      <c r="BN150" t="s">
        <v>43</v>
      </c>
      <c r="BO150">
        <v>50</v>
      </c>
      <c r="BP150">
        <v>2</v>
      </c>
      <c r="BQ150">
        <v>363750</v>
      </c>
      <c r="BR150">
        <v>21127.575</v>
      </c>
      <c r="BS150">
        <v>49058.99075</v>
      </c>
      <c r="BT150">
        <v>18604.799556</v>
      </c>
      <c r="BU150">
        <v>132547.764</v>
      </c>
      <c r="BV150">
        <v>11169.564459</v>
      </c>
      <c r="BW150">
        <v>46249.228759</v>
      </c>
      <c r="BX150">
        <v>57418.793218</v>
      </c>
      <c r="BY150">
        <v>39732.374556</v>
      </c>
      <c r="BZ150">
        <v>239025.547968</v>
      </c>
      <c r="CA150">
        <v>278757.922524</v>
      </c>
      <c r="CB150">
        <v>84992.077476</v>
      </c>
      <c r="CC150">
        <v>0</v>
      </c>
      <c r="CD150">
        <v>120729</v>
      </c>
      <c r="CE150">
        <v>280337.09</v>
      </c>
      <c r="CF150">
        <v>92652</v>
      </c>
      <c r="CG150">
        <v>24923</v>
      </c>
      <c r="CH150">
        <v>662738.82</v>
      </c>
      <c r="CI150">
        <v>2891983</v>
      </c>
      <c r="CJ150">
        <v>676344</v>
      </c>
    </row>
    <row r="151" ht="14.497499999999997" customHeight="1">
      <c r="BF151" t="s">
        <v>35</v>
      </c>
      <c r="BG151" t="s">
        <v>36</v>
      </c>
      <c r="BH151" t="s">
        <v>37</v>
      </c>
      <c r="BI151" t="s">
        <v>142</v>
      </c>
      <c r="BJ151" t="s">
        <v>97</v>
      </c>
      <c r="BK151" t="s">
        <v>93</v>
      </c>
      <c r="BL151" t="s">
        <v>94</v>
      </c>
      <c r="BM151" t="s">
        <v>42</v>
      </c>
      <c r="BN151" t="s">
        <v>67</v>
      </c>
      <c r="BO151">
        <v>66</v>
      </c>
      <c r="BP151">
        <v>3</v>
      </c>
      <c r="BQ151">
        <v>525690</v>
      </c>
      <c r="BR151">
        <v>45273.377028</v>
      </c>
      <c r="BS151">
        <v>115440.015281</v>
      </c>
      <c r="BT151">
        <v>45449.729977</v>
      </c>
      <c r="BU151">
        <v>218464.295382</v>
      </c>
      <c r="BV151">
        <v>16769.864589</v>
      </c>
      <c r="BW151">
        <v>69438.097298</v>
      </c>
      <c r="BX151">
        <v>86207.961887</v>
      </c>
      <c r="BY151">
        <v>90723.107005</v>
      </c>
      <c r="BZ151">
        <v>420112.27255</v>
      </c>
      <c r="CA151">
        <v>510835.379555</v>
      </c>
      <c r="CB151">
        <v>14854.620445</v>
      </c>
      <c r="CC151">
        <v>66</v>
      </c>
      <c r="CD151">
        <v>156948</v>
      </c>
      <c r="CE151">
        <v>400192.8</v>
      </c>
      <c r="CF151">
        <v>120559</v>
      </c>
      <c r="CG151">
        <v>41783</v>
      </c>
      <c r="CH151">
        <v>946679.56</v>
      </c>
      <c r="CI151">
        <v>2891983</v>
      </c>
      <c r="CJ151">
        <v>676344</v>
      </c>
    </row>
    <row r="152" ht="14.497499999999997" customHeight="1">
      <c r="BF152" t="s">
        <v>35</v>
      </c>
      <c r="BG152" t="s">
        <v>36</v>
      </c>
      <c r="BH152" t="s">
        <v>37</v>
      </c>
      <c r="BI152" t="s">
        <v>142</v>
      </c>
      <c r="BJ152" t="s">
        <v>97</v>
      </c>
      <c r="BK152" t="s">
        <v>93</v>
      </c>
      <c r="BL152" t="s">
        <v>94</v>
      </c>
      <c r="BM152" t="s">
        <v>44</v>
      </c>
      <c r="BN152" t="s">
        <v>43</v>
      </c>
      <c r="BO152">
        <v>64</v>
      </c>
      <c r="BP152">
        <v>2</v>
      </c>
      <c r="BQ152">
        <v>470400</v>
      </c>
      <c r="BR152">
        <v>24145.822008</v>
      </c>
      <c r="BS152">
        <v>61568.061509</v>
      </c>
      <c r="BT152">
        <v>23814.01927</v>
      </c>
      <c r="BU152">
        <v>145642.863588</v>
      </c>
      <c r="BV152">
        <v>11179.909726</v>
      </c>
      <c r="BW152">
        <v>46292.064865</v>
      </c>
      <c r="BX152">
        <v>57471.974591</v>
      </c>
      <c r="BY152">
        <v>47959.841278</v>
      </c>
      <c r="BZ152">
        <v>264682.899688</v>
      </c>
      <c r="CA152">
        <v>312642.740966</v>
      </c>
      <c r="CB152">
        <v>157757.259034</v>
      </c>
      <c r="CC152">
        <v>0</v>
      </c>
      <c r="CD152">
        <v>156948</v>
      </c>
      <c r="CE152">
        <v>400192.8</v>
      </c>
      <c r="CF152">
        <v>120559</v>
      </c>
      <c r="CG152">
        <v>41783</v>
      </c>
      <c r="CH152">
        <v>946679.56</v>
      </c>
      <c r="CI152">
        <v>2891983</v>
      </c>
      <c r="CJ152">
        <v>676344</v>
      </c>
    </row>
    <row r="153" ht="14.497499999999997" customHeight="1">
      <c r="BF153" t="s">
        <v>35</v>
      </c>
      <c r="BG153" t="s">
        <v>36</v>
      </c>
      <c r="BH153" t="s">
        <v>37</v>
      </c>
      <c r="BI153" t="s">
        <v>142</v>
      </c>
      <c r="BJ153" t="s">
        <v>97</v>
      </c>
      <c r="BK153" t="s">
        <v>93</v>
      </c>
      <c r="BL153" t="s">
        <v>94</v>
      </c>
      <c r="BM153" t="s">
        <v>50</v>
      </c>
      <c r="BN153" t="s">
        <v>43</v>
      </c>
      <c r="BO153">
        <v>63</v>
      </c>
      <c r="BP153">
        <v>2</v>
      </c>
      <c r="BQ153">
        <v>463050</v>
      </c>
      <c r="BR153">
        <v>24145.822008</v>
      </c>
      <c r="BS153">
        <v>61568.061509</v>
      </c>
      <c r="BT153">
        <v>23441.974196</v>
      </c>
      <c r="BU153">
        <v>145642.863588</v>
      </c>
      <c r="BV153">
        <v>11179.909726</v>
      </c>
      <c r="BW153">
        <v>46292.064865</v>
      </c>
      <c r="BX153">
        <v>57471.974591</v>
      </c>
      <c r="BY153">
        <v>47587.796204</v>
      </c>
      <c r="BZ153">
        <v>264682.899688</v>
      </c>
      <c r="CA153">
        <v>312270.695892</v>
      </c>
      <c r="CB153">
        <v>150779.304108</v>
      </c>
      <c r="CC153">
        <v>0</v>
      </c>
      <c r="CD153">
        <v>156948</v>
      </c>
      <c r="CE153">
        <v>400192.8</v>
      </c>
      <c r="CF153">
        <v>120559</v>
      </c>
      <c r="CG153">
        <v>41783</v>
      </c>
      <c r="CH153">
        <v>946679.56</v>
      </c>
      <c r="CI153">
        <v>2891983</v>
      </c>
      <c r="CJ153">
        <v>676344</v>
      </c>
    </row>
    <row r="154" ht="14.497499999999997" customHeight="1">
      <c r="BF154" t="s">
        <v>35</v>
      </c>
      <c r="BG154" t="s">
        <v>36</v>
      </c>
      <c r="BH154" t="s">
        <v>37</v>
      </c>
      <c r="BI154" t="s">
        <v>142</v>
      </c>
      <c r="BJ154" t="s">
        <v>97</v>
      </c>
      <c r="BK154" t="s">
        <v>93</v>
      </c>
      <c r="BL154" t="s">
        <v>95</v>
      </c>
      <c r="BM154" t="s">
        <v>71</v>
      </c>
      <c r="BN154" t="s">
        <v>43</v>
      </c>
      <c r="BO154">
        <v>66</v>
      </c>
      <c r="BP154">
        <v>3</v>
      </c>
      <c r="BQ154">
        <v>525690</v>
      </c>
      <c r="BR154">
        <v>31691.411004</v>
      </c>
      <c r="BS154">
        <v>80808.130754</v>
      </c>
      <c r="BT154">
        <v>45449.729977</v>
      </c>
      <c r="BU154">
        <v>218464.295382</v>
      </c>
      <c r="BV154">
        <v>16769.864589</v>
      </c>
      <c r="BW154">
        <v>69438.097298</v>
      </c>
      <c r="BX154">
        <v>86207.961887</v>
      </c>
      <c r="BY154">
        <v>77141.140981</v>
      </c>
      <c r="BZ154">
        <v>385480.388023</v>
      </c>
      <c r="CA154">
        <v>462621.529004</v>
      </c>
      <c r="CB154">
        <v>63068.470996</v>
      </c>
      <c r="CC154">
        <v>66</v>
      </c>
      <c r="CD154">
        <v>156948</v>
      </c>
      <c r="CE154">
        <v>400192.8</v>
      </c>
      <c r="CF154">
        <v>120559</v>
      </c>
      <c r="CG154">
        <v>41783</v>
      </c>
      <c r="CH154">
        <v>946679.56</v>
      </c>
      <c r="CI154">
        <v>2891983</v>
      </c>
      <c r="CJ154">
        <v>676344</v>
      </c>
    </row>
    <row r="155" ht="14.497499999999997" customHeight="1">
      <c r="BF155" t="s">
        <v>35</v>
      </c>
      <c r="BG155" t="s">
        <v>36</v>
      </c>
      <c r="BH155" t="s">
        <v>37</v>
      </c>
      <c r="BI155" t="s">
        <v>142</v>
      </c>
      <c r="BJ155" t="s">
        <v>97</v>
      </c>
      <c r="BK155" t="s">
        <v>93</v>
      </c>
      <c r="BL155" t="s">
        <v>95</v>
      </c>
      <c r="BM155" t="s">
        <v>72</v>
      </c>
      <c r="BN155" t="s">
        <v>43</v>
      </c>
      <c r="BO155">
        <v>65</v>
      </c>
      <c r="BP155">
        <v>3</v>
      </c>
      <c r="BQ155">
        <v>511875</v>
      </c>
      <c r="BR155">
        <v>31691.411004</v>
      </c>
      <c r="BS155">
        <v>80808.130754</v>
      </c>
      <c r="BT155">
        <v>24186.184903</v>
      </c>
      <c r="BU155">
        <v>218464.295382</v>
      </c>
      <c r="BV155">
        <v>16769.864589</v>
      </c>
      <c r="BW155">
        <v>69438.097298</v>
      </c>
      <c r="BX155">
        <v>86207.961887</v>
      </c>
      <c r="BY155">
        <v>55877.595907</v>
      </c>
      <c r="BZ155">
        <v>385480.388023</v>
      </c>
      <c r="CA155">
        <v>441357.98393</v>
      </c>
      <c r="CB155">
        <v>70517.01607</v>
      </c>
      <c r="CC155">
        <v>0</v>
      </c>
      <c r="CD155">
        <v>156948</v>
      </c>
      <c r="CE155">
        <v>400192.8</v>
      </c>
      <c r="CF155">
        <v>120559</v>
      </c>
      <c r="CG155">
        <v>41783</v>
      </c>
      <c r="CH155">
        <v>946679.56</v>
      </c>
      <c r="CI155">
        <v>2891983</v>
      </c>
      <c r="CJ155">
        <v>676344</v>
      </c>
    </row>
    <row r="156" ht="14.497499999999997" customHeight="1">
      <c r="BF156" t="s">
        <v>35</v>
      </c>
      <c r="BG156" t="s">
        <v>36</v>
      </c>
      <c r="BH156" t="s">
        <v>37</v>
      </c>
      <c r="BI156" t="s">
        <v>142</v>
      </c>
      <c r="BJ156" t="s">
        <v>98</v>
      </c>
      <c r="BK156" t="s">
        <v>93</v>
      </c>
      <c r="BL156" t="s">
        <v>94</v>
      </c>
      <c r="BM156" t="s">
        <v>42</v>
      </c>
      <c r="BN156" t="s">
        <v>67</v>
      </c>
      <c r="BO156">
        <v>60</v>
      </c>
      <c r="BP156">
        <v>2</v>
      </c>
      <c r="BQ156">
        <v>455400</v>
      </c>
      <c r="BR156">
        <v>30824.329375</v>
      </c>
      <c r="BS156">
        <v>73244.861886</v>
      </c>
      <c r="BT156">
        <v>38092.145076</v>
      </c>
      <c r="BU156">
        <v>134165.151671</v>
      </c>
      <c r="BV156">
        <v>10990.102119</v>
      </c>
      <c r="BW156">
        <v>45506.138479</v>
      </c>
      <c r="BX156">
        <v>56496.240598</v>
      </c>
      <c r="BY156">
        <v>68916.474451</v>
      </c>
      <c r="BZ156">
        <v>263906.254155</v>
      </c>
      <c r="CA156">
        <v>332822.728606</v>
      </c>
      <c r="CB156">
        <v>122577.271394</v>
      </c>
      <c r="CC156">
        <v>60</v>
      </c>
      <c r="CD156">
        <v>144875</v>
      </c>
      <c r="CE156">
        <v>344252.4</v>
      </c>
      <c r="CF156">
        <v>109396</v>
      </c>
      <c r="CG156">
        <v>31533</v>
      </c>
      <c r="CH156">
        <v>804994.13</v>
      </c>
      <c r="CI156">
        <v>2891983</v>
      </c>
      <c r="CJ156">
        <v>676344</v>
      </c>
    </row>
    <row r="157" ht="14.497499999999997" customHeight="1">
      <c r="BF157" t="s">
        <v>35</v>
      </c>
      <c r="BG157" t="s">
        <v>36</v>
      </c>
      <c r="BH157" t="s">
        <v>37</v>
      </c>
      <c r="BI157" t="s">
        <v>142</v>
      </c>
      <c r="BJ157" t="s">
        <v>98</v>
      </c>
      <c r="BK157" t="s">
        <v>93</v>
      </c>
      <c r="BL157" t="s">
        <v>94</v>
      </c>
      <c r="BM157" t="s">
        <v>44</v>
      </c>
      <c r="BN157" t="s">
        <v>43</v>
      </c>
      <c r="BO157">
        <v>58</v>
      </c>
      <c r="BP157">
        <v>2</v>
      </c>
      <c r="BQ157">
        <v>406000</v>
      </c>
      <c r="BR157">
        <v>24659.4635</v>
      </c>
      <c r="BS157">
        <v>58595.889509</v>
      </c>
      <c r="BT157">
        <v>21581.424088</v>
      </c>
      <c r="BU157">
        <v>134165.151671</v>
      </c>
      <c r="BV157">
        <v>10990.102119</v>
      </c>
      <c r="BW157">
        <v>45506.138479</v>
      </c>
      <c r="BX157">
        <v>56496.240598</v>
      </c>
      <c r="BY157">
        <v>46240.887588</v>
      </c>
      <c r="BZ157">
        <v>249257.281778</v>
      </c>
      <c r="CA157">
        <v>295498.169366</v>
      </c>
      <c r="CB157">
        <v>110501.830634</v>
      </c>
      <c r="CC157">
        <v>0</v>
      </c>
      <c r="CD157">
        <v>144875</v>
      </c>
      <c r="CE157">
        <v>344252.4</v>
      </c>
      <c r="CF157">
        <v>109396</v>
      </c>
      <c r="CG157">
        <v>31533</v>
      </c>
      <c r="CH157">
        <v>804994.13</v>
      </c>
      <c r="CI157">
        <v>2891983</v>
      </c>
      <c r="CJ157">
        <v>676344</v>
      </c>
    </row>
    <row r="158" ht="14.497499999999997" customHeight="1">
      <c r="BF158" t="s">
        <v>35</v>
      </c>
      <c r="BG158" t="s">
        <v>36</v>
      </c>
      <c r="BH158" t="s">
        <v>37</v>
      </c>
      <c r="BI158" t="s">
        <v>142</v>
      </c>
      <c r="BJ158" t="s">
        <v>98</v>
      </c>
      <c r="BK158" t="s">
        <v>93</v>
      </c>
      <c r="BL158" t="s">
        <v>94</v>
      </c>
      <c r="BM158" t="s">
        <v>50</v>
      </c>
      <c r="BN158" t="s">
        <v>43</v>
      </c>
      <c r="BO158">
        <v>57</v>
      </c>
      <c r="BP158">
        <v>2</v>
      </c>
      <c r="BQ158">
        <v>399000</v>
      </c>
      <c r="BR158">
        <v>24659.4635</v>
      </c>
      <c r="BS158">
        <v>58595.889509</v>
      </c>
      <c r="BT158">
        <v>21209.368292</v>
      </c>
      <c r="BU158">
        <v>134165.151671</v>
      </c>
      <c r="BV158">
        <v>10990.102119</v>
      </c>
      <c r="BW158">
        <v>45506.138479</v>
      </c>
      <c r="BX158">
        <v>56496.240598</v>
      </c>
      <c r="BY158">
        <v>45868.831792</v>
      </c>
      <c r="BZ158">
        <v>249257.281778</v>
      </c>
      <c r="CA158">
        <v>295126.11357</v>
      </c>
      <c r="CB158">
        <v>103873.88643</v>
      </c>
      <c r="CC158">
        <v>0</v>
      </c>
      <c r="CD158">
        <v>144875</v>
      </c>
      <c r="CE158">
        <v>344252.4</v>
      </c>
      <c r="CF158">
        <v>109396</v>
      </c>
      <c r="CG158">
        <v>31533</v>
      </c>
      <c r="CH158">
        <v>804994.13</v>
      </c>
      <c r="CI158">
        <v>2891983</v>
      </c>
      <c r="CJ158">
        <v>676344</v>
      </c>
    </row>
    <row r="159" ht="14.497499999999997" customHeight="1">
      <c r="BF159" t="s">
        <v>35</v>
      </c>
      <c r="BG159" t="s">
        <v>36</v>
      </c>
      <c r="BH159" t="s">
        <v>37</v>
      </c>
      <c r="BI159" t="s">
        <v>142</v>
      </c>
      <c r="BJ159" t="s">
        <v>98</v>
      </c>
      <c r="BK159" t="s">
        <v>93</v>
      </c>
      <c r="BL159" t="s">
        <v>95</v>
      </c>
      <c r="BM159" t="s">
        <v>71</v>
      </c>
      <c r="BN159" t="s">
        <v>43</v>
      </c>
      <c r="BO159">
        <v>60</v>
      </c>
      <c r="BP159">
        <v>3</v>
      </c>
      <c r="BQ159">
        <v>455400</v>
      </c>
      <c r="BR159">
        <v>32365.6545</v>
      </c>
      <c r="BS159">
        <v>76907.36317</v>
      </c>
      <c r="BT159">
        <v>38092.145076</v>
      </c>
      <c r="BU159">
        <v>201248.5325</v>
      </c>
      <c r="BV159">
        <v>16485.21912</v>
      </c>
      <c r="BW159">
        <v>68259.480756</v>
      </c>
      <c r="BX159">
        <v>84744.699876</v>
      </c>
      <c r="BY159">
        <v>70457.799576</v>
      </c>
      <c r="BZ159">
        <v>362900.595546</v>
      </c>
      <c r="CA159">
        <v>433358.395122</v>
      </c>
      <c r="CB159">
        <v>22041.604878</v>
      </c>
      <c r="CC159">
        <v>60</v>
      </c>
      <c r="CD159">
        <v>144875</v>
      </c>
      <c r="CE159">
        <v>344252.4</v>
      </c>
      <c r="CF159">
        <v>109396</v>
      </c>
      <c r="CG159">
        <v>31533</v>
      </c>
      <c r="CH159">
        <v>804994.13</v>
      </c>
      <c r="CI159">
        <v>2891983</v>
      </c>
      <c r="CJ159">
        <v>676344</v>
      </c>
    </row>
    <row r="160" ht="14.497499999999997" customHeight="1">
      <c r="BF160" t="s">
        <v>35</v>
      </c>
      <c r="BG160" t="s">
        <v>36</v>
      </c>
      <c r="BH160" t="s">
        <v>37</v>
      </c>
      <c r="BI160" t="s">
        <v>142</v>
      </c>
      <c r="BJ160" t="s">
        <v>98</v>
      </c>
      <c r="BK160" t="s">
        <v>93</v>
      </c>
      <c r="BL160" t="s">
        <v>95</v>
      </c>
      <c r="BM160" t="s">
        <v>72</v>
      </c>
      <c r="BN160" t="s">
        <v>43</v>
      </c>
      <c r="BO160">
        <v>59</v>
      </c>
      <c r="BP160">
        <v>3</v>
      </c>
      <c r="BQ160">
        <v>442500</v>
      </c>
      <c r="BR160">
        <v>32365.6545</v>
      </c>
      <c r="BS160">
        <v>76907.36317</v>
      </c>
      <c r="BT160">
        <v>21953.58928</v>
      </c>
      <c r="BU160">
        <v>201248.5325</v>
      </c>
      <c r="BV160">
        <v>16485.21912</v>
      </c>
      <c r="BW160">
        <v>68259.480756</v>
      </c>
      <c r="BX160">
        <v>84744.699876</v>
      </c>
      <c r="BY160">
        <v>54319.24378</v>
      </c>
      <c r="BZ160">
        <v>362900.595546</v>
      </c>
      <c r="CA160">
        <v>417219.839326</v>
      </c>
      <c r="CB160">
        <v>25280.160674</v>
      </c>
      <c r="CC160">
        <v>0</v>
      </c>
      <c r="CD160">
        <v>144875</v>
      </c>
      <c r="CE160">
        <v>344252.4</v>
      </c>
      <c r="CF160">
        <v>109396</v>
      </c>
      <c r="CG160">
        <v>31533</v>
      </c>
      <c r="CH160">
        <v>804994.13</v>
      </c>
      <c r="CI160">
        <v>2891983</v>
      </c>
      <c r="CJ160">
        <v>676344</v>
      </c>
    </row>
    <row r="161" ht="14.497499999999997" customHeight="1">
      <c r="BF161" t="s">
        <v>35</v>
      </c>
      <c r="BG161" t="s">
        <v>36</v>
      </c>
      <c r="BH161" t="s">
        <v>37</v>
      </c>
      <c r="BI161" t="s">
        <v>142</v>
      </c>
      <c r="BJ161" t="s">
        <v>100</v>
      </c>
      <c r="BK161" t="s">
        <v>93</v>
      </c>
      <c r="BL161" t="s">
        <v>94</v>
      </c>
      <c r="BM161" t="s">
        <v>42</v>
      </c>
      <c r="BN161" t="s">
        <v>67</v>
      </c>
      <c r="BO161">
        <v>78</v>
      </c>
      <c r="BP161">
        <v>3</v>
      </c>
      <c r="BQ161">
        <v>662220</v>
      </c>
      <c r="BR161">
        <v>45273.5</v>
      </c>
      <c r="BS161">
        <v>125515.74</v>
      </c>
      <c r="BT161">
        <v>63168.78232</v>
      </c>
      <c r="BU161">
        <v>241037.706</v>
      </c>
      <c r="BV161">
        <v>17135.641091</v>
      </c>
      <c r="BW161">
        <v>70952.648843</v>
      </c>
      <c r="BX161">
        <v>88088.289934</v>
      </c>
      <c r="BY161">
        <v>108442.28232</v>
      </c>
      <c r="BZ161">
        <v>454641.735934</v>
      </c>
      <c r="CA161">
        <v>563084.018254</v>
      </c>
      <c r="CB161">
        <v>99135.981746</v>
      </c>
      <c r="CC161">
        <v>78</v>
      </c>
      <c r="CD161">
        <v>181094</v>
      </c>
      <c r="CE161">
        <v>502062.96</v>
      </c>
      <c r="CF161">
        <v>142140</v>
      </c>
      <c r="CG161">
        <v>68291</v>
      </c>
      <c r="CH161">
        <v>1205188.53</v>
      </c>
      <c r="CI161">
        <v>2891983</v>
      </c>
      <c r="CJ161">
        <v>676344</v>
      </c>
    </row>
    <row r="162" ht="14.497499999999997" customHeight="1">
      <c r="BF162" t="s">
        <v>35</v>
      </c>
      <c r="BG162" t="s">
        <v>36</v>
      </c>
      <c r="BH162" t="s">
        <v>37</v>
      </c>
      <c r="BI162" t="s">
        <v>142</v>
      </c>
      <c r="BJ162" t="s">
        <v>100</v>
      </c>
      <c r="BK162" t="s">
        <v>93</v>
      </c>
      <c r="BL162" t="s">
        <v>94</v>
      </c>
      <c r="BM162" t="s">
        <v>44</v>
      </c>
      <c r="BN162" t="s">
        <v>43</v>
      </c>
      <c r="BO162">
        <v>76</v>
      </c>
      <c r="BP162">
        <v>3</v>
      </c>
      <c r="BQ162">
        <v>595840</v>
      </c>
      <c r="BR162">
        <v>36218.8</v>
      </c>
      <c r="BS162">
        <v>100412.592</v>
      </c>
      <c r="BT162">
        <v>28279.03728</v>
      </c>
      <c r="BU162">
        <v>241037.706</v>
      </c>
      <c r="BV162">
        <v>17135.641091</v>
      </c>
      <c r="BW162">
        <v>70952.648843</v>
      </c>
      <c r="BX162">
        <v>88088.289934</v>
      </c>
      <c r="BY162">
        <v>64497.83728</v>
      </c>
      <c r="BZ162">
        <v>429538.587934</v>
      </c>
      <c r="CA162">
        <v>494036.425214</v>
      </c>
      <c r="CB162">
        <v>101803.574786</v>
      </c>
      <c r="CC162">
        <v>0</v>
      </c>
      <c r="CD162">
        <v>181094</v>
      </c>
      <c r="CE162">
        <v>502062.96</v>
      </c>
      <c r="CF162">
        <v>142140</v>
      </c>
      <c r="CG162">
        <v>68291</v>
      </c>
      <c r="CH162">
        <v>1205188.53</v>
      </c>
      <c r="CI162">
        <v>2891983</v>
      </c>
      <c r="CJ162">
        <v>676344</v>
      </c>
    </row>
    <row r="163" ht="14.497499999999997" customHeight="1">
      <c r="BF163" t="s">
        <v>35</v>
      </c>
      <c r="BG163" t="s">
        <v>36</v>
      </c>
      <c r="BH163" t="s">
        <v>37</v>
      </c>
      <c r="BI163" t="s">
        <v>142</v>
      </c>
      <c r="BJ163" t="s">
        <v>100</v>
      </c>
      <c r="BK163" t="s">
        <v>93</v>
      </c>
      <c r="BL163" t="s">
        <v>94</v>
      </c>
      <c r="BM163" t="s">
        <v>50</v>
      </c>
      <c r="BN163" t="s">
        <v>43</v>
      </c>
      <c r="BO163">
        <v>74</v>
      </c>
      <c r="BP163">
        <v>3</v>
      </c>
      <c r="BQ163">
        <v>580160</v>
      </c>
      <c r="BR163">
        <v>36218.8</v>
      </c>
      <c r="BS163">
        <v>100412.592</v>
      </c>
      <c r="BT163">
        <v>27534.93438</v>
      </c>
      <c r="BU163">
        <v>241037.706</v>
      </c>
      <c r="BV163">
        <v>17135.641091</v>
      </c>
      <c r="BW163">
        <v>70952.648843</v>
      </c>
      <c r="BX163">
        <v>88088.289934</v>
      </c>
      <c r="BY163">
        <v>63753.73438</v>
      </c>
      <c r="BZ163">
        <v>429538.587934</v>
      </c>
      <c r="CA163">
        <v>493292.322314</v>
      </c>
      <c r="CB163">
        <v>86867.677686</v>
      </c>
      <c r="CC163">
        <v>0</v>
      </c>
      <c r="CD163">
        <v>181094</v>
      </c>
      <c r="CE163">
        <v>502062.96</v>
      </c>
      <c r="CF163">
        <v>142140</v>
      </c>
      <c r="CG163">
        <v>68291</v>
      </c>
      <c r="CH163">
        <v>1205188.53</v>
      </c>
      <c r="CI163">
        <v>2891983</v>
      </c>
      <c r="CJ163">
        <v>676344</v>
      </c>
    </row>
    <row r="164" ht="14.497499999999997" customHeight="1">
      <c r="BF164" t="s">
        <v>35</v>
      </c>
      <c r="BG164" t="s">
        <v>36</v>
      </c>
      <c r="BH164" t="s">
        <v>37</v>
      </c>
      <c r="BI164" t="s">
        <v>142</v>
      </c>
      <c r="BJ164" t="s">
        <v>100</v>
      </c>
      <c r="BK164" t="s">
        <v>93</v>
      </c>
      <c r="BL164" t="s">
        <v>95</v>
      </c>
      <c r="BM164" t="s">
        <v>71</v>
      </c>
      <c r="BN164" t="s">
        <v>43</v>
      </c>
      <c r="BO164">
        <v>78</v>
      </c>
      <c r="BP164">
        <v>3</v>
      </c>
      <c r="BQ164">
        <v>662220</v>
      </c>
      <c r="BR164">
        <v>31691.45</v>
      </c>
      <c r="BS164">
        <v>87861.018</v>
      </c>
      <c r="BT164">
        <v>63168.78232</v>
      </c>
      <c r="BU164">
        <v>241037.706</v>
      </c>
      <c r="BV164">
        <v>17135.641091</v>
      </c>
      <c r="BW164">
        <v>70952.648843</v>
      </c>
      <c r="BX164">
        <v>88088.289934</v>
      </c>
      <c r="BY164">
        <v>94860.23232</v>
      </c>
      <c r="BZ164">
        <v>416987.013934</v>
      </c>
      <c r="CA164">
        <v>511847.246254</v>
      </c>
      <c r="CB164">
        <v>150372.753746</v>
      </c>
      <c r="CC164">
        <v>78</v>
      </c>
      <c r="CD164">
        <v>181094</v>
      </c>
      <c r="CE164">
        <v>502062.96</v>
      </c>
      <c r="CF164">
        <v>142140</v>
      </c>
      <c r="CG164">
        <v>68291</v>
      </c>
      <c r="CH164">
        <v>1205188.53</v>
      </c>
      <c r="CI164">
        <v>2891983</v>
      </c>
      <c r="CJ164">
        <v>676344</v>
      </c>
    </row>
    <row r="165" ht="14.497499999999997" customHeight="1">
      <c r="BF165" t="s">
        <v>35</v>
      </c>
      <c r="BG165" t="s">
        <v>36</v>
      </c>
      <c r="BH165" t="s">
        <v>37</v>
      </c>
      <c r="BI165" t="s">
        <v>142</v>
      </c>
      <c r="BJ165" t="s">
        <v>100</v>
      </c>
      <c r="BK165" t="s">
        <v>93</v>
      </c>
      <c r="BL165" t="s">
        <v>95</v>
      </c>
      <c r="BM165" t="s">
        <v>72</v>
      </c>
      <c r="BN165" t="s">
        <v>43</v>
      </c>
      <c r="BO165">
        <v>76</v>
      </c>
      <c r="BP165">
        <v>3</v>
      </c>
      <c r="BQ165">
        <v>638400</v>
      </c>
      <c r="BR165">
        <v>31691.45</v>
      </c>
      <c r="BS165">
        <v>87861.018</v>
      </c>
      <c r="BT165">
        <v>28279.03728</v>
      </c>
      <c r="BU165">
        <v>241037.706</v>
      </c>
      <c r="BV165">
        <v>17135.641091</v>
      </c>
      <c r="BW165">
        <v>70952.648843</v>
      </c>
      <c r="BX165">
        <v>88088.289934</v>
      </c>
      <c r="BY165">
        <v>59970.48728</v>
      </c>
      <c r="BZ165">
        <v>416987.013934</v>
      </c>
      <c r="CA165">
        <v>476957.501214</v>
      </c>
      <c r="CB165">
        <v>161442.498786</v>
      </c>
      <c r="CC165">
        <v>0</v>
      </c>
      <c r="CD165">
        <v>181094</v>
      </c>
      <c r="CE165">
        <v>502062.96</v>
      </c>
      <c r="CF165">
        <v>142140</v>
      </c>
      <c r="CG165">
        <v>68291</v>
      </c>
      <c r="CH165">
        <v>1205188.53</v>
      </c>
      <c r="CI165">
        <v>2891983</v>
      </c>
      <c r="CJ165">
        <v>676344</v>
      </c>
    </row>
    <row r="166" ht="14.497499999999997" customHeight="1">
      <c r="BF166" t="s">
        <v>35</v>
      </c>
      <c r="BG166" t="s">
        <v>36</v>
      </c>
      <c r="BH166" t="s">
        <v>37</v>
      </c>
      <c r="BI166" t="s">
        <v>142</v>
      </c>
      <c r="BJ166" t="s">
        <v>104</v>
      </c>
      <c r="BK166" t="s">
        <v>105</v>
      </c>
      <c r="BL166" t="s">
        <v>106</v>
      </c>
      <c r="BM166" t="s">
        <v>107</v>
      </c>
      <c r="BN166" t="s">
        <v>43</v>
      </c>
      <c r="BO166">
        <v>36</v>
      </c>
      <c r="BP166">
        <v>2</v>
      </c>
      <c r="BQ166">
        <v>212760</v>
      </c>
      <c r="BR166">
        <v>23805.584674</v>
      </c>
      <c r="BS166">
        <v>45045.419635</v>
      </c>
      <c r="BT166">
        <v>21791.74871</v>
      </c>
      <c r="BU166">
        <v>69623.282</v>
      </c>
      <c r="BV166">
        <v>6938.927201</v>
      </c>
      <c r="BW166">
        <v>32690.191607</v>
      </c>
      <c r="BX166">
        <v>39629.118808</v>
      </c>
      <c r="BY166">
        <v>45597.333384</v>
      </c>
      <c r="BZ166">
        <v>154297.820443</v>
      </c>
      <c r="CA166">
        <v>199895.153827</v>
      </c>
      <c r="CB166">
        <v>12864.846173</v>
      </c>
      <c r="CC166">
        <v>36</v>
      </c>
      <c r="CD166">
        <v>96583</v>
      </c>
      <c r="CE166">
        <v>182756.35</v>
      </c>
      <c r="CF166">
        <v>52838</v>
      </c>
      <c r="CG166">
        <v>21968</v>
      </c>
      <c r="CH166">
        <v>348116.41</v>
      </c>
      <c r="CI166">
        <v>2891983</v>
      </c>
      <c r="CJ166">
        <v>676344</v>
      </c>
    </row>
    <row r="167" ht="14.497499999999997" customHeight="1">
      <c r="BF167" t="s">
        <v>35</v>
      </c>
      <c r="BG167" t="s">
        <v>36</v>
      </c>
      <c r="BH167" t="s">
        <v>37</v>
      </c>
      <c r="BI167" t="s">
        <v>142</v>
      </c>
      <c r="BJ167" t="s">
        <v>104</v>
      </c>
      <c r="BK167" t="s">
        <v>105</v>
      </c>
      <c r="BL167" t="s">
        <v>106</v>
      </c>
      <c r="BM167" t="s">
        <v>109</v>
      </c>
      <c r="BN167" t="s">
        <v>43</v>
      </c>
      <c r="BO167">
        <v>35</v>
      </c>
      <c r="BP167">
        <v>2</v>
      </c>
      <c r="BQ167">
        <v>203700</v>
      </c>
      <c r="BR167">
        <v>23805.584674</v>
      </c>
      <c r="BS167">
        <v>45045.419635</v>
      </c>
      <c r="BT167">
        <v>10507.523194</v>
      </c>
      <c r="BU167">
        <v>69623.282</v>
      </c>
      <c r="BV167">
        <v>6938.927201</v>
      </c>
      <c r="BW167">
        <v>32690.191607</v>
      </c>
      <c r="BX167">
        <v>39629.118808</v>
      </c>
      <c r="BY167">
        <v>34313.107868</v>
      </c>
      <c r="BZ167">
        <v>154297.820443</v>
      </c>
      <c r="CA167">
        <v>188610.928311</v>
      </c>
      <c r="CB167">
        <v>15089.071689</v>
      </c>
      <c r="CC167">
        <v>0</v>
      </c>
      <c r="CD167">
        <v>96583</v>
      </c>
      <c r="CE167">
        <v>182756.35</v>
      </c>
      <c r="CF167">
        <v>52838</v>
      </c>
      <c r="CG167">
        <v>21968</v>
      </c>
      <c r="CH167">
        <v>348116.41</v>
      </c>
      <c r="CI167">
        <v>2891983</v>
      </c>
      <c r="CJ167">
        <v>676344</v>
      </c>
    </row>
    <row r="168" ht="14.497499999999997" customHeight="1">
      <c r="BF168" t="s">
        <v>35</v>
      </c>
      <c r="BG168" t="s">
        <v>36</v>
      </c>
      <c r="BH168" t="s">
        <v>37</v>
      </c>
      <c r="BI168" t="s">
        <v>142</v>
      </c>
      <c r="BJ168" t="s">
        <v>104</v>
      </c>
      <c r="BK168" t="s">
        <v>105</v>
      </c>
      <c r="BL168" t="s">
        <v>111</v>
      </c>
      <c r="BM168" t="s">
        <v>42</v>
      </c>
      <c r="BN168" t="s">
        <v>43</v>
      </c>
      <c r="BO168">
        <v>36</v>
      </c>
      <c r="BP168">
        <v>2</v>
      </c>
      <c r="BQ168">
        <v>247680</v>
      </c>
      <c r="BR168">
        <v>16323.879162</v>
      </c>
      <c r="BS168">
        <v>30888.381739</v>
      </c>
      <c r="BT168">
        <v>21791.74871</v>
      </c>
      <c r="BU168">
        <v>69623.282</v>
      </c>
      <c r="BV168">
        <v>6938.927201</v>
      </c>
      <c r="BW168">
        <v>32690.191607</v>
      </c>
      <c r="BX168">
        <v>39629.118808</v>
      </c>
      <c r="BY168">
        <v>38115.627872</v>
      </c>
      <c r="BZ168">
        <v>140140.782547</v>
      </c>
      <c r="CA168">
        <v>178256.410419</v>
      </c>
      <c r="CB168">
        <v>69423.589581</v>
      </c>
      <c r="CC168">
        <v>36</v>
      </c>
      <c r="CD168">
        <v>96583</v>
      </c>
      <c r="CE168">
        <v>182756.35</v>
      </c>
      <c r="CF168">
        <v>52838</v>
      </c>
      <c r="CG168">
        <v>21968</v>
      </c>
      <c r="CH168">
        <v>348116.41</v>
      </c>
      <c r="CI168">
        <v>2891983</v>
      </c>
      <c r="CJ168">
        <v>676344</v>
      </c>
    </row>
    <row r="169" ht="14.497499999999997" customHeight="1">
      <c r="BF169" t="s">
        <v>35</v>
      </c>
      <c r="BG169" t="s">
        <v>36</v>
      </c>
      <c r="BH169" t="s">
        <v>37</v>
      </c>
      <c r="BI169" t="s">
        <v>142</v>
      </c>
      <c r="BJ169" t="s">
        <v>104</v>
      </c>
      <c r="BK169" t="s">
        <v>105</v>
      </c>
      <c r="BL169" t="s">
        <v>111</v>
      </c>
      <c r="BM169" t="s">
        <v>44</v>
      </c>
      <c r="BN169" t="s">
        <v>43</v>
      </c>
      <c r="BO169">
        <v>35</v>
      </c>
      <c r="BP169">
        <v>2</v>
      </c>
      <c r="BQ169">
        <v>237650</v>
      </c>
      <c r="BR169">
        <v>16323.879162</v>
      </c>
      <c r="BS169">
        <v>30888.381739</v>
      </c>
      <c r="BT169">
        <v>10507.523194</v>
      </c>
      <c r="BU169">
        <v>69623.282</v>
      </c>
      <c r="BV169">
        <v>6938.927201</v>
      </c>
      <c r="BW169">
        <v>32690.191607</v>
      </c>
      <c r="BX169">
        <v>39629.118808</v>
      </c>
      <c r="BY169">
        <v>26831.402356</v>
      </c>
      <c r="BZ169">
        <v>140140.782547</v>
      </c>
      <c r="CA169">
        <v>166972.184903</v>
      </c>
      <c r="CB169">
        <v>70677.815097</v>
      </c>
      <c r="CC169">
        <v>0</v>
      </c>
      <c r="CD169">
        <v>96583</v>
      </c>
      <c r="CE169">
        <v>182756.35</v>
      </c>
      <c r="CF169">
        <v>52838</v>
      </c>
      <c r="CG169">
        <v>21968</v>
      </c>
      <c r="CH169">
        <v>348116.41</v>
      </c>
      <c r="CI169">
        <v>2891983</v>
      </c>
      <c r="CJ169">
        <v>676344</v>
      </c>
    </row>
    <row r="170" ht="14.497499999999997" customHeight="1">
      <c r="BF170" t="s">
        <v>35</v>
      </c>
      <c r="BG170" t="s">
        <v>36</v>
      </c>
      <c r="BH170" t="s">
        <v>37</v>
      </c>
      <c r="BI170" t="s">
        <v>142</v>
      </c>
      <c r="BJ170" t="s">
        <v>104</v>
      </c>
      <c r="BK170" t="s">
        <v>105</v>
      </c>
      <c r="BL170" t="s">
        <v>111</v>
      </c>
      <c r="BM170" t="s">
        <v>50</v>
      </c>
      <c r="BN170" t="s">
        <v>43</v>
      </c>
      <c r="BO170">
        <v>34</v>
      </c>
      <c r="BP170">
        <v>2</v>
      </c>
      <c r="BQ170">
        <v>230860</v>
      </c>
      <c r="BR170">
        <v>16323.879162</v>
      </c>
      <c r="BS170">
        <v>30888.381739</v>
      </c>
      <c r="BT170">
        <v>10207.297678</v>
      </c>
      <c r="BU170">
        <v>69623.282</v>
      </c>
      <c r="BV170">
        <v>6938.927201</v>
      </c>
      <c r="BW170">
        <v>32690.191607</v>
      </c>
      <c r="BX170">
        <v>39629.118808</v>
      </c>
      <c r="BY170">
        <v>26531.17684</v>
      </c>
      <c r="BZ170">
        <v>140140.782547</v>
      </c>
      <c r="CA170">
        <v>166671.959387</v>
      </c>
      <c r="CB170">
        <v>64188.040613</v>
      </c>
      <c r="CC170">
        <v>0</v>
      </c>
      <c r="CD170">
        <v>96583</v>
      </c>
      <c r="CE170">
        <v>182756.35</v>
      </c>
      <c r="CF170">
        <v>52838</v>
      </c>
      <c r="CG170">
        <v>21968</v>
      </c>
      <c r="CH170">
        <v>348116.41</v>
      </c>
      <c r="CI170">
        <v>2891983</v>
      </c>
      <c r="CJ170">
        <v>676344</v>
      </c>
    </row>
    <row r="171" ht="14.497499999999997" customHeight="1">
      <c r="BF171" t="s">
        <v>35</v>
      </c>
      <c r="BG171" t="s">
        <v>36</v>
      </c>
      <c r="BH171" t="s">
        <v>37</v>
      </c>
      <c r="BI171" t="s">
        <v>142</v>
      </c>
      <c r="BJ171" t="s">
        <v>114</v>
      </c>
      <c r="BK171" t="s">
        <v>105</v>
      </c>
      <c r="BL171" t="s">
        <v>111</v>
      </c>
      <c r="BM171" t="s">
        <v>50</v>
      </c>
      <c r="BN171" t="s">
        <v>43</v>
      </c>
      <c r="BO171">
        <v>44</v>
      </c>
      <c r="BP171">
        <v>2</v>
      </c>
      <c r="BQ171">
        <v>323400</v>
      </c>
      <c r="BR171">
        <v>16323.879162</v>
      </c>
      <c r="BS171">
        <v>40784.548622</v>
      </c>
      <c r="BT171">
        <v>13184.79618</v>
      </c>
      <c r="BU171">
        <v>107429.642</v>
      </c>
      <c r="BV171">
        <v>8910.231708</v>
      </c>
      <c r="BW171">
        <v>41977.264406</v>
      </c>
      <c r="BX171">
        <v>50887.496114</v>
      </c>
      <c r="BY171">
        <v>29508.675342</v>
      </c>
      <c r="BZ171">
        <v>199101.686736</v>
      </c>
      <c r="CA171">
        <v>228610.362078</v>
      </c>
      <c r="CB171">
        <v>94789.637922</v>
      </c>
      <c r="CC171">
        <v>0</v>
      </c>
      <c r="CD171">
        <v>96583</v>
      </c>
      <c r="CE171">
        <v>241308.7</v>
      </c>
      <c r="CF171">
        <v>67722</v>
      </c>
      <c r="CG171">
        <v>36612</v>
      </c>
      <c r="CH171">
        <v>537148.21</v>
      </c>
      <c r="CI171">
        <v>2891983</v>
      </c>
      <c r="CJ171">
        <v>676344</v>
      </c>
    </row>
    <row r="172" ht="14.497499999999997" customHeight="1">
      <c r="BF172" t="s">
        <v>35</v>
      </c>
      <c r="BG172" t="s">
        <v>36</v>
      </c>
      <c r="BH172" t="s">
        <v>37</v>
      </c>
      <c r="BI172" t="s">
        <v>142</v>
      </c>
      <c r="BJ172" t="s">
        <v>114</v>
      </c>
      <c r="BK172" t="s">
        <v>105</v>
      </c>
      <c r="BL172" t="s">
        <v>111</v>
      </c>
      <c r="BM172" t="s">
        <v>44</v>
      </c>
      <c r="BN172" t="s">
        <v>43</v>
      </c>
      <c r="BO172">
        <v>45</v>
      </c>
      <c r="BP172">
        <v>2</v>
      </c>
      <c r="BQ172">
        <v>330750</v>
      </c>
      <c r="BR172">
        <v>16323.879162</v>
      </c>
      <c r="BS172">
        <v>40784.548622</v>
      </c>
      <c r="BT172">
        <v>13484.46603</v>
      </c>
      <c r="BU172">
        <v>107429.642</v>
      </c>
      <c r="BV172">
        <v>8910.231708</v>
      </c>
      <c r="BW172">
        <v>41977.264406</v>
      </c>
      <c r="BX172">
        <v>50887.496114</v>
      </c>
      <c r="BY172">
        <v>29808.345192</v>
      </c>
      <c r="BZ172">
        <v>199101.686736</v>
      </c>
      <c r="CA172">
        <v>228910.031928</v>
      </c>
      <c r="CB172">
        <v>101839.968072</v>
      </c>
      <c r="CC172">
        <v>0</v>
      </c>
      <c r="CD172">
        <v>96583</v>
      </c>
      <c r="CE172">
        <v>241308.7</v>
      </c>
      <c r="CF172">
        <v>67722</v>
      </c>
      <c r="CG172">
        <v>36612</v>
      </c>
      <c r="CH172">
        <v>537148.21</v>
      </c>
      <c r="CI172">
        <v>2891983</v>
      </c>
      <c r="CJ172">
        <v>676344</v>
      </c>
    </row>
    <row r="173" ht="14.497499999999997" customHeight="1">
      <c r="BF173" t="s">
        <v>35</v>
      </c>
      <c r="BG173" t="s">
        <v>36</v>
      </c>
      <c r="BH173" t="s">
        <v>37</v>
      </c>
      <c r="BI173" t="s">
        <v>142</v>
      </c>
      <c r="BJ173" t="s">
        <v>114</v>
      </c>
      <c r="BK173" t="s">
        <v>105</v>
      </c>
      <c r="BL173" t="s">
        <v>106</v>
      </c>
      <c r="BM173" t="s">
        <v>107</v>
      </c>
      <c r="BN173" t="s">
        <v>43</v>
      </c>
      <c r="BO173">
        <v>46</v>
      </c>
      <c r="BP173">
        <v>2</v>
      </c>
      <c r="BQ173">
        <v>293940</v>
      </c>
      <c r="BR173">
        <v>23805.584674</v>
      </c>
      <c r="BS173">
        <v>59477.285759</v>
      </c>
      <c r="BT173">
        <v>32090.068158</v>
      </c>
      <c r="BU173">
        <v>107429.642</v>
      </c>
      <c r="BV173">
        <v>8910.231708</v>
      </c>
      <c r="BW173">
        <v>41977.264406</v>
      </c>
      <c r="BX173">
        <v>50887.496114</v>
      </c>
      <c r="BY173">
        <v>55895.652832</v>
      </c>
      <c r="BZ173">
        <v>217794.423873</v>
      </c>
      <c r="CA173">
        <v>273690.076705</v>
      </c>
      <c r="CB173">
        <v>20249.923295</v>
      </c>
      <c r="CC173">
        <v>46</v>
      </c>
      <c r="CD173">
        <v>96583</v>
      </c>
      <c r="CE173">
        <v>241308.7</v>
      </c>
      <c r="CF173">
        <v>67722</v>
      </c>
      <c r="CG173">
        <v>36612</v>
      </c>
      <c r="CH173">
        <v>537148.21</v>
      </c>
      <c r="CI173">
        <v>2891983</v>
      </c>
      <c r="CJ173">
        <v>676344</v>
      </c>
    </row>
    <row r="174" ht="14.497499999999997" customHeight="1">
      <c r="BF174" t="s">
        <v>35</v>
      </c>
      <c r="BG174" t="s">
        <v>36</v>
      </c>
      <c r="BH174" t="s">
        <v>37</v>
      </c>
      <c r="BI174" t="s">
        <v>142</v>
      </c>
      <c r="BJ174" t="s">
        <v>114</v>
      </c>
      <c r="BK174" t="s">
        <v>105</v>
      </c>
      <c r="BL174" t="s">
        <v>106</v>
      </c>
      <c r="BM174" t="s">
        <v>109</v>
      </c>
      <c r="BN174" t="s">
        <v>43</v>
      </c>
      <c r="BO174">
        <v>45</v>
      </c>
      <c r="BP174">
        <v>2</v>
      </c>
      <c r="BQ174">
        <v>283500</v>
      </c>
      <c r="BR174">
        <v>23805.584674</v>
      </c>
      <c r="BS174">
        <v>59477.285759</v>
      </c>
      <c r="BT174">
        <v>13484.46603</v>
      </c>
      <c r="BU174">
        <v>107429.642</v>
      </c>
      <c r="BV174">
        <v>8910.231708</v>
      </c>
      <c r="BW174">
        <v>41977.264406</v>
      </c>
      <c r="BX174">
        <v>50887.496114</v>
      </c>
      <c r="BY174">
        <v>37290.050704</v>
      </c>
      <c r="BZ174">
        <v>217794.423873</v>
      </c>
      <c r="CA174">
        <v>255084.474577</v>
      </c>
      <c r="CB174">
        <v>28415.525423</v>
      </c>
      <c r="CC174">
        <v>0</v>
      </c>
      <c r="CD174">
        <v>96583</v>
      </c>
      <c r="CE174">
        <v>241308.7</v>
      </c>
      <c r="CF174">
        <v>67722</v>
      </c>
      <c r="CG174">
        <v>36612</v>
      </c>
      <c r="CH174">
        <v>537148.21</v>
      </c>
      <c r="CI174">
        <v>2891983</v>
      </c>
      <c r="CJ174">
        <v>676344</v>
      </c>
    </row>
    <row r="175" ht="14.497499999999997" customHeight="1">
      <c r="BF175" t="s">
        <v>35</v>
      </c>
      <c r="BG175" t="s">
        <v>36</v>
      </c>
      <c r="BH175" t="s">
        <v>37</v>
      </c>
      <c r="BI175" t="s">
        <v>142</v>
      </c>
      <c r="BJ175" t="s">
        <v>114</v>
      </c>
      <c r="BK175" t="s">
        <v>105</v>
      </c>
      <c r="BL175" t="s">
        <v>111</v>
      </c>
      <c r="BM175" t="s">
        <v>42</v>
      </c>
      <c r="BN175" t="s">
        <v>43</v>
      </c>
      <c r="BO175">
        <v>46</v>
      </c>
      <c r="BP175">
        <v>2</v>
      </c>
      <c r="BQ175">
        <v>342240</v>
      </c>
      <c r="BR175">
        <v>16323.879162</v>
      </c>
      <c r="BS175">
        <v>40784.548622</v>
      </c>
      <c r="BT175">
        <v>32090.068158</v>
      </c>
      <c r="BU175">
        <v>107429.642</v>
      </c>
      <c r="BV175">
        <v>8910.231708</v>
      </c>
      <c r="BW175">
        <v>41977.264406</v>
      </c>
      <c r="BX175">
        <v>50887.496114</v>
      </c>
      <c r="BY175">
        <v>48413.94732</v>
      </c>
      <c r="BZ175">
        <v>199101.686736</v>
      </c>
      <c r="CA175">
        <v>247515.634056</v>
      </c>
      <c r="CB175">
        <v>94724.365944</v>
      </c>
      <c r="CC175">
        <v>46</v>
      </c>
      <c r="CD175">
        <v>96583</v>
      </c>
      <c r="CE175">
        <v>241308.7</v>
      </c>
      <c r="CF175">
        <v>67722</v>
      </c>
      <c r="CG175">
        <v>36612</v>
      </c>
      <c r="CH175">
        <v>537148.21</v>
      </c>
      <c r="CI175">
        <v>2891983</v>
      </c>
      <c r="CJ175">
        <v>676344</v>
      </c>
    </row>
    <row r="176" ht="14.497499999999997" customHeight="1">
      <c r="BF176" t="s">
        <v>35</v>
      </c>
      <c r="BG176" t="s">
        <v>36</v>
      </c>
      <c r="BH176" t="s">
        <v>37</v>
      </c>
      <c r="BI176" t="s">
        <v>142</v>
      </c>
      <c r="BJ176" t="s">
        <v>116</v>
      </c>
      <c r="BK176" t="s">
        <v>117</v>
      </c>
      <c r="BL176" t="s">
        <v>118</v>
      </c>
      <c r="BM176" t="s">
        <v>42</v>
      </c>
      <c r="BN176" t="s">
        <v>43</v>
      </c>
      <c r="BO176">
        <v>40</v>
      </c>
      <c r="BP176">
        <v>2</v>
      </c>
      <c r="BQ176">
        <v>297600</v>
      </c>
      <c r="BR176">
        <v>24145.975854</v>
      </c>
      <c r="BS176">
        <v>61982.511351</v>
      </c>
      <c r="BT176">
        <v>33733.7458</v>
      </c>
      <c r="BU176">
        <v>125032.7283</v>
      </c>
      <c r="BV176">
        <v>8731.009332</v>
      </c>
      <c r="BW176">
        <v>36219.253174</v>
      </c>
      <c r="BX176">
        <v>44950.262506</v>
      </c>
      <c r="BY176">
        <v>57879.721654</v>
      </c>
      <c r="BZ176">
        <v>231965.502157</v>
      </c>
      <c r="CA176">
        <v>289845.223811</v>
      </c>
      <c r="CB176">
        <v>7754.776189</v>
      </c>
      <c r="CC176">
        <v>40</v>
      </c>
      <c r="CD176">
        <v>72438</v>
      </c>
      <c r="CE176">
        <v>185947.72</v>
      </c>
      <c r="CF176">
        <v>43535</v>
      </c>
      <c r="CG176">
        <v>18850</v>
      </c>
      <c r="CH176">
        <v>375098.56</v>
      </c>
      <c r="CI176">
        <v>2891983</v>
      </c>
      <c r="CJ176">
        <v>676344</v>
      </c>
    </row>
    <row r="177" ht="14.497499999999997" customHeight="1">
      <c r="BF177" t="s">
        <v>35</v>
      </c>
      <c r="BG177" t="s">
        <v>36</v>
      </c>
      <c r="BH177" t="s">
        <v>37</v>
      </c>
      <c r="BI177" t="s">
        <v>142</v>
      </c>
      <c r="BJ177" t="s">
        <v>116</v>
      </c>
      <c r="BK177" t="s">
        <v>117</v>
      </c>
      <c r="BL177" t="s">
        <v>118</v>
      </c>
      <c r="BM177" t="s">
        <v>44</v>
      </c>
      <c r="BN177" t="s">
        <v>43</v>
      </c>
      <c r="BO177">
        <v>39</v>
      </c>
      <c r="BP177">
        <v>2</v>
      </c>
      <c r="BQ177">
        <v>286650</v>
      </c>
      <c r="BR177">
        <v>24145.975854</v>
      </c>
      <c r="BS177">
        <v>61982.511351</v>
      </c>
      <c r="BT177">
        <v>14511.652155</v>
      </c>
      <c r="BU177">
        <v>125032.7283</v>
      </c>
      <c r="BV177">
        <v>8731.009332</v>
      </c>
      <c r="BW177">
        <v>36219.253174</v>
      </c>
      <c r="BX177">
        <v>44950.262506</v>
      </c>
      <c r="BY177">
        <v>38657.628009</v>
      </c>
      <c r="BZ177">
        <v>231965.502157</v>
      </c>
      <c r="CA177">
        <v>270623.130166</v>
      </c>
      <c r="CB177">
        <v>16026.869834</v>
      </c>
      <c r="CC177">
        <v>0</v>
      </c>
      <c r="CD177">
        <v>72438</v>
      </c>
      <c r="CE177">
        <v>185947.72</v>
      </c>
      <c r="CF177">
        <v>43535</v>
      </c>
      <c r="CG177">
        <v>18850</v>
      </c>
      <c r="CH177">
        <v>375098.56</v>
      </c>
      <c r="CI177">
        <v>2891983</v>
      </c>
      <c r="CJ177">
        <v>676344</v>
      </c>
    </row>
    <row r="178" ht="14.497499999999997" customHeight="1">
      <c r="BF178" t="s">
        <v>35</v>
      </c>
      <c r="BG178" t="s">
        <v>36</v>
      </c>
      <c r="BH178" t="s">
        <v>37</v>
      </c>
      <c r="BI178" t="s">
        <v>142</v>
      </c>
      <c r="BJ178" t="s">
        <v>116</v>
      </c>
      <c r="BK178" t="s">
        <v>117</v>
      </c>
      <c r="BL178" t="s">
        <v>118</v>
      </c>
      <c r="BM178" t="s">
        <v>50</v>
      </c>
      <c r="BN178" t="s">
        <v>43</v>
      </c>
      <c r="BO178">
        <v>38</v>
      </c>
      <c r="BP178">
        <v>2</v>
      </c>
      <c r="BQ178">
        <v>279300</v>
      </c>
      <c r="BR178">
        <v>24145.975854</v>
      </c>
      <c r="BS178">
        <v>61982.511351</v>
      </c>
      <c r="BT178">
        <v>14139.55851</v>
      </c>
      <c r="BU178">
        <v>125032.7283</v>
      </c>
      <c r="BV178">
        <v>8731.009332</v>
      </c>
      <c r="BW178">
        <v>36219.253174</v>
      </c>
      <c r="BX178">
        <v>44950.262506</v>
      </c>
      <c r="BY178">
        <v>38285.534364</v>
      </c>
      <c r="BZ178">
        <v>231965.502157</v>
      </c>
      <c r="CA178">
        <v>270251.036521</v>
      </c>
      <c r="CB178">
        <v>9048.963479</v>
      </c>
      <c r="CC178">
        <v>0</v>
      </c>
      <c r="CD178">
        <v>72438</v>
      </c>
      <c r="CE178">
        <v>185947.72</v>
      </c>
      <c r="CF178">
        <v>43535</v>
      </c>
      <c r="CG178">
        <v>18850</v>
      </c>
      <c r="CH178">
        <v>375098.56</v>
      </c>
      <c r="CI178">
        <v>2891983</v>
      </c>
      <c r="CJ178">
        <v>676344</v>
      </c>
    </row>
    <row r="179" ht="14.497499999999997" customHeight="1">
      <c r="BF179" t="s">
        <v>35</v>
      </c>
      <c r="BG179" t="s">
        <v>36</v>
      </c>
      <c r="BH179" t="s">
        <v>37</v>
      </c>
      <c r="BI179" t="s">
        <v>142</v>
      </c>
      <c r="BJ179" t="s">
        <v>119</v>
      </c>
      <c r="BK179" t="s">
        <v>117</v>
      </c>
      <c r="BL179" t="s">
        <v>118</v>
      </c>
      <c r="BM179" t="s">
        <v>42</v>
      </c>
      <c r="BN179" t="s">
        <v>43</v>
      </c>
      <c r="BO179">
        <v>47</v>
      </c>
      <c r="BP179">
        <v>2</v>
      </c>
      <c r="BQ179">
        <v>372710</v>
      </c>
      <c r="BR179">
        <v>24145.975854</v>
      </c>
      <c r="BS179">
        <v>74456.428877</v>
      </c>
      <c r="BT179">
        <v>47728.391071</v>
      </c>
      <c r="BU179">
        <v>166933.896399</v>
      </c>
      <c r="BV179">
        <v>10298.116498</v>
      </c>
      <c r="BW179">
        <v>42720.156914</v>
      </c>
      <c r="BX179">
        <v>53018.273412</v>
      </c>
      <c r="BY179">
        <v>71874.366925</v>
      </c>
      <c r="BZ179">
        <v>294408.598688</v>
      </c>
      <c r="CA179">
        <v>366282.965613</v>
      </c>
      <c r="CB179">
        <v>6427.034387</v>
      </c>
      <c r="CC179">
        <v>47</v>
      </c>
      <c r="CD179">
        <v>72438</v>
      </c>
      <c r="CE179">
        <v>223369.51</v>
      </c>
      <c r="CF179">
        <v>51349</v>
      </c>
      <c r="CG179">
        <v>30240</v>
      </c>
      <c r="CH179">
        <v>500802.19</v>
      </c>
      <c r="CI179">
        <v>2891983</v>
      </c>
      <c r="CJ179">
        <v>676344</v>
      </c>
    </row>
    <row r="180" ht="14.497499999999997" customHeight="1">
      <c r="BF180" t="s">
        <v>35</v>
      </c>
      <c r="BG180" t="s">
        <v>36</v>
      </c>
      <c r="BH180" t="s">
        <v>37</v>
      </c>
      <c r="BI180" t="s">
        <v>142</v>
      </c>
      <c r="BJ180" t="s">
        <v>119</v>
      </c>
      <c r="BK180" t="s">
        <v>117</v>
      </c>
      <c r="BL180" t="s">
        <v>118</v>
      </c>
      <c r="BM180" t="s">
        <v>44</v>
      </c>
      <c r="BN180" t="s">
        <v>43</v>
      </c>
      <c r="BO180">
        <v>46</v>
      </c>
      <c r="BP180">
        <v>2</v>
      </c>
      <c r="BQ180">
        <v>360640</v>
      </c>
      <c r="BR180">
        <v>24145.975854</v>
      </c>
      <c r="BS180">
        <v>74456.428877</v>
      </c>
      <c r="BT180">
        <v>17116.316217</v>
      </c>
      <c r="BU180">
        <v>166933.896399</v>
      </c>
      <c r="BV180">
        <v>10298.116498</v>
      </c>
      <c r="BW180">
        <v>42720.156914</v>
      </c>
      <c r="BX180">
        <v>53018.273412</v>
      </c>
      <c r="BY180">
        <v>41262.292071</v>
      </c>
      <c r="BZ180">
        <v>294408.598688</v>
      </c>
      <c r="CA180">
        <v>335670.890759</v>
      </c>
      <c r="CB180">
        <v>24969.109241</v>
      </c>
      <c r="CC180">
        <v>0</v>
      </c>
      <c r="CD180">
        <v>72438</v>
      </c>
      <c r="CE180">
        <v>223369.51</v>
      </c>
      <c r="CF180">
        <v>51349</v>
      </c>
      <c r="CG180">
        <v>30240</v>
      </c>
      <c r="CH180">
        <v>500802.19</v>
      </c>
      <c r="CI180">
        <v>2891983</v>
      </c>
      <c r="CJ180">
        <v>676344</v>
      </c>
    </row>
    <row r="181" ht="14.497499999999997" customHeight="1">
      <c r="BF181" t="s">
        <v>35</v>
      </c>
      <c r="BG181" t="s">
        <v>36</v>
      </c>
      <c r="BH181" t="s">
        <v>37</v>
      </c>
      <c r="BI181" t="s">
        <v>142</v>
      </c>
      <c r="BJ181" t="s">
        <v>119</v>
      </c>
      <c r="BK181" t="s">
        <v>117</v>
      </c>
      <c r="BL181" t="s">
        <v>118</v>
      </c>
      <c r="BM181" t="s">
        <v>50</v>
      </c>
      <c r="BN181" t="s">
        <v>43</v>
      </c>
      <c r="BO181">
        <v>45</v>
      </c>
      <c r="BP181">
        <v>2</v>
      </c>
      <c r="BQ181">
        <v>352800</v>
      </c>
      <c r="BR181">
        <v>24145.975854</v>
      </c>
      <c r="BS181">
        <v>74456.428877</v>
      </c>
      <c r="BT181">
        <v>16744.190014</v>
      </c>
      <c r="BU181">
        <v>166933.896399</v>
      </c>
      <c r="BV181">
        <v>10298.116498</v>
      </c>
      <c r="BW181">
        <v>42720.156914</v>
      </c>
      <c r="BX181">
        <v>53018.273412</v>
      </c>
      <c r="BY181">
        <v>40890.165868</v>
      </c>
      <c r="BZ181">
        <v>294408.598688</v>
      </c>
      <c r="CA181">
        <v>335298.764556</v>
      </c>
      <c r="CB181">
        <v>17501.235444</v>
      </c>
      <c r="CC181">
        <v>0</v>
      </c>
      <c r="CD181">
        <v>72438</v>
      </c>
      <c r="CE181">
        <v>223369.51</v>
      </c>
      <c r="CF181">
        <v>51349</v>
      </c>
      <c r="CG181">
        <v>30240</v>
      </c>
      <c r="CH181">
        <v>500802.19</v>
      </c>
      <c r="CI181">
        <v>2891983</v>
      </c>
      <c r="CJ181">
        <v>676344</v>
      </c>
    </row>
    <row r="182" ht="14.497499999999997" customHeight="1">
      <c r="BF182" t="s">
        <v>35</v>
      </c>
      <c r="BG182" t="s">
        <v>2</v>
      </c>
      <c r="BH182" t="s">
        <v>37</v>
      </c>
      <c r="BI182" t="s">
        <v>143</v>
      </c>
      <c r="BJ182" t="s">
        <v>39</v>
      </c>
      <c r="BK182" t="s">
        <v>40</v>
      </c>
      <c r="BL182" t="s">
        <v>41</v>
      </c>
      <c r="BM182" t="s">
        <v>42</v>
      </c>
      <c r="BN182" t="s">
        <v>43</v>
      </c>
      <c r="BO182">
        <v>44.737599</v>
      </c>
      <c r="BP182">
        <v>2</v>
      </c>
      <c r="BQ182">
        <v>302351.043627</v>
      </c>
      <c r="BR182">
        <v>24861.416664</v>
      </c>
      <c r="BS182">
        <v>48356.35177</v>
      </c>
      <c r="BT182">
        <v>32811.747806</v>
      </c>
      <c r="BU182">
        <v>94933.626046</v>
      </c>
      <c r="BV182">
        <v>8544.051324</v>
      </c>
      <c r="BW182">
        <v>37235.150178</v>
      </c>
      <c r="BX182">
        <v>45779.201502</v>
      </c>
      <c r="BY182">
        <v>57673.16447</v>
      </c>
      <c r="BZ182">
        <v>189069.179318</v>
      </c>
      <c r="CA182">
        <v>246742.343788</v>
      </c>
      <c r="CB182">
        <v>55608.699839</v>
      </c>
      <c r="CC182">
        <v>44.737599</v>
      </c>
      <c r="CD182">
        <v>74584.324575</v>
      </c>
      <c r="CE182">
        <v>145069.20038</v>
      </c>
      <c r="CF182">
        <v>44824.934018</v>
      </c>
      <c r="CG182">
        <v>16392.24</v>
      </c>
      <c r="CH182">
        <v>284801.162938</v>
      </c>
      <c r="CI182">
        <v>2975861.58142</v>
      </c>
      <c r="CJ182">
        <v>743978.4</v>
      </c>
    </row>
    <row r="183" ht="14.497499999999997" customHeight="1">
      <c r="BF183" t="s">
        <v>35</v>
      </c>
      <c r="BG183" t="s">
        <v>2</v>
      </c>
      <c r="BH183" t="s">
        <v>37</v>
      </c>
      <c r="BI183" t="s">
        <v>143</v>
      </c>
      <c r="BJ183" t="s">
        <v>39</v>
      </c>
      <c r="BK183" t="s">
        <v>40</v>
      </c>
      <c r="BL183" t="s">
        <v>41</v>
      </c>
      <c r="BM183" t="s">
        <v>44</v>
      </c>
      <c r="BN183" t="s">
        <v>43</v>
      </c>
      <c r="BO183">
        <v>39.2</v>
      </c>
      <c r="BP183">
        <v>2</v>
      </c>
      <c r="BQ183">
        <v>261398.1734</v>
      </c>
      <c r="BR183">
        <v>24861.416664</v>
      </c>
      <c r="BS183">
        <v>48356.35177</v>
      </c>
      <c r="BT183">
        <v>14387.100472</v>
      </c>
      <c r="BU183">
        <v>94933.626046</v>
      </c>
      <c r="BV183">
        <v>8544.051324</v>
      </c>
      <c r="BW183">
        <v>37235.150178</v>
      </c>
      <c r="BX183">
        <v>45779.201502</v>
      </c>
      <c r="BY183">
        <v>39248.517136</v>
      </c>
      <c r="BZ183">
        <v>189069.179318</v>
      </c>
      <c r="CA183">
        <v>228317.696454</v>
      </c>
      <c r="CB183">
        <v>33080.476946</v>
      </c>
      <c r="CC183">
        <v>0</v>
      </c>
      <c r="CD183">
        <v>74584.324575</v>
      </c>
      <c r="CE183">
        <v>145069.20038</v>
      </c>
      <c r="CF183">
        <v>44824.934018</v>
      </c>
      <c r="CG183">
        <v>16392.24</v>
      </c>
      <c r="CH183">
        <v>284801.162938</v>
      </c>
      <c r="CI183">
        <v>2975861.58142</v>
      </c>
      <c r="CJ183">
        <v>743978.4</v>
      </c>
    </row>
    <row r="184" ht="14.497499999999997" customHeight="1">
      <c r="BF184" t="s">
        <v>35</v>
      </c>
      <c r="BG184" t="s">
        <v>2</v>
      </c>
      <c r="BH184" t="s">
        <v>37</v>
      </c>
      <c r="BI184" t="s">
        <v>143</v>
      </c>
      <c r="BJ184" t="s">
        <v>39</v>
      </c>
      <c r="BK184" t="s">
        <v>40</v>
      </c>
      <c r="BL184" t="s">
        <v>41</v>
      </c>
      <c r="BM184" t="s">
        <v>50</v>
      </c>
      <c r="BN184" t="s">
        <v>43</v>
      </c>
      <c r="BO184">
        <v>38.195</v>
      </c>
      <c r="BP184">
        <v>2</v>
      </c>
      <c r="BQ184">
        <v>254696.511046</v>
      </c>
      <c r="BR184">
        <v>24861.416664</v>
      </c>
      <c r="BS184">
        <v>48356.35177</v>
      </c>
      <c r="BT184">
        <v>14018.23609</v>
      </c>
      <c r="BU184">
        <v>94933.626046</v>
      </c>
      <c r="BV184">
        <v>8544.051324</v>
      </c>
      <c r="BW184">
        <v>37235.150178</v>
      </c>
      <c r="BX184">
        <v>45779.201502</v>
      </c>
      <c r="BY184">
        <v>38879.652754</v>
      </c>
      <c r="BZ184">
        <v>189069.179318</v>
      </c>
      <c r="CA184">
        <v>227948.832072</v>
      </c>
      <c r="CB184">
        <v>26747.678974</v>
      </c>
      <c r="CC184">
        <v>0</v>
      </c>
      <c r="CD184">
        <v>74584.324575</v>
      </c>
      <c r="CE184">
        <v>145069.20038</v>
      </c>
      <c r="CF184">
        <v>44824.934018</v>
      </c>
      <c r="CG184">
        <v>16392.24</v>
      </c>
      <c r="CH184">
        <v>284801.162938</v>
      </c>
      <c r="CI184">
        <v>2975861.58142</v>
      </c>
      <c r="CJ184">
        <v>743978.4</v>
      </c>
    </row>
    <row r="185" ht="14.497499999999997" customHeight="1">
      <c r="BF185" t="s">
        <v>35</v>
      </c>
      <c r="BG185" t="s">
        <v>2</v>
      </c>
      <c r="BH185" t="s">
        <v>37</v>
      </c>
      <c r="BI185" t="s">
        <v>143</v>
      </c>
      <c r="BJ185" t="s">
        <v>53</v>
      </c>
      <c r="BK185" t="s">
        <v>40</v>
      </c>
      <c r="BL185" t="s">
        <v>41</v>
      </c>
      <c r="BM185" t="s">
        <v>42</v>
      </c>
      <c r="BN185" t="s">
        <v>43</v>
      </c>
      <c r="BO185">
        <v>55.832531</v>
      </c>
      <c r="BP185">
        <v>2</v>
      </c>
      <c r="BQ185">
        <v>396929.37515</v>
      </c>
      <c r="BR185">
        <v>24861.416664</v>
      </c>
      <c r="BS185">
        <v>59760.870299</v>
      </c>
      <c r="BT185">
        <v>43997.671319</v>
      </c>
      <c r="BU185">
        <v>135129.425383</v>
      </c>
      <c r="BV185">
        <v>10586.105742</v>
      </c>
      <c r="BW185">
        <v>46134.46504</v>
      </c>
      <c r="BX185">
        <v>56720.570782</v>
      </c>
      <c r="BY185">
        <v>68859.087983</v>
      </c>
      <c r="BZ185">
        <v>251610.866464</v>
      </c>
      <c r="CA185">
        <v>320469.954447</v>
      </c>
      <c r="CB185">
        <v>76459.420703</v>
      </c>
      <c r="CC185">
        <v>55.832531</v>
      </c>
      <c r="CD185">
        <v>74584.324575</v>
      </c>
      <c r="CE185">
        <v>179282.79018</v>
      </c>
      <c r="CF185">
        <v>55552.647065</v>
      </c>
      <c r="CG185">
        <v>23500.8</v>
      </c>
      <c r="CH185">
        <v>405388.681538</v>
      </c>
      <c r="CI185">
        <v>2975861.58142</v>
      </c>
      <c r="CJ185">
        <v>743978.4</v>
      </c>
    </row>
    <row r="186" ht="14.497499999999997" customHeight="1">
      <c r="BF186" t="s">
        <v>35</v>
      </c>
      <c r="BG186" t="s">
        <v>2</v>
      </c>
      <c r="BH186" t="s">
        <v>37</v>
      </c>
      <c r="BI186" t="s">
        <v>143</v>
      </c>
      <c r="BJ186" t="s">
        <v>53</v>
      </c>
      <c r="BK186" t="s">
        <v>40</v>
      </c>
      <c r="BL186" t="s">
        <v>41</v>
      </c>
      <c r="BM186" t="s">
        <v>44</v>
      </c>
      <c r="BN186" t="s">
        <v>43</v>
      </c>
      <c r="BO186">
        <v>48.25</v>
      </c>
      <c r="BP186">
        <v>2</v>
      </c>
      <c r="BQ186">
        <v>338680.50125</v>
      </c>
      <c r="BR186">
        <v>24861.416664</v>
      </c>
      <c r="BS186">
        <v>59760.870299</v>
      </c>
      <c r="BT186">
        <v>17713.23928</v>
      </c>
      <c r="BU186">
        <v>135129.425383</v>
      </c>
      <c r="BV186">
        <v>10586.105742</v>
      </c>
      <c r="BW186">
        <v>46134.46504</v>
      </c>
      <c r="BX186">
        <v>56720.570782</v>
      </c>
      <c r="BY186">
        <v>42574.655944</v>
      </c>
      <c r="BZ186">
        <v>251610.866464</v>
      </c>
      <c r="CA186">
        <v>294185.522408</v>
      </c>
      <c r="CB186">
        <v>44494.978842</v>
      </c>
      <c r="CC186">
        <v>0</v>
      </c>
      <c r="CD186">
        <v>74584.324575</v>
      </c>
      <c r="CE186">
        <v>179282.79018</v>
      </c>
      <c r="CF186">
        <v>55552.647065</v>
      </c>
      <c r="CG186">
        <v>23500.8</v>
      </c>
      <c r="CH186">
        <v>405388.681538</v>
      </c>
      <c r="CI186">
        <v>2975861.58142</v>
      </c>
      <c r="CJ186">
        <v>743978.4</v>
      </c>
    </row>
    <row r="187" ht="14.497499999999997" customHeight="1">
      <c r="BF187" t="s">
        <v>35</v>
      </c>
      <c r="BG187" t="s">
        <v>2</v>
      </c>
      <c r="BH187" t="s">
        <v>37</v>
      </c>
      <c r="BI187" t="s">
        <v>143</v>
      </c>
      <c r="BJ187" t="s">
        <v>53</v>
      </c>
      <c r="BK187" t="s">
        <v>40</v>
      </c>
      <c r="BL187" t="s">
        <v>41</v>
      </c>
      <c r="BM187" t="s">
        <v>50</v>
      </c>
      <c r="BN187" t="s">
        <v>43</v>
      </c>
      <c r="BO187">
        <v>47.24</v>
      </c>
      <c r="BP187">
        <v>2</v>
      </c>
      <c r="BQ187">
        <v>331591.0234</v>
      </c>
      <c r="BR187">
        <v>24861.416664</v>
      </c>
      <c r="BS187">
        <v>59760.870299</v>
      </c>
      <c r="BT187">
        <v>17342.425361</v>
      </c>
      <c r="BU187">
        <v>135129.425383</v>
      </c>
      <c r="BV187">
        <v>10586.105742</v>
      </c>
      <c r="BW187">
        <v>46134.46504</v>
      </c>
      <c r="BX187">
        <v>56720.570782</v>
      </c>
      <c r="BY187">
        <v>42203.842025</v>
      </c>
      <c r="BZ187">
        <v>251610.866464</v>
      </c>
      <c r="CA187">
        <v>293814.708489</v>
      </c>
      <c r="CB187">
        <v>37776.314911</v>
      </c>
      <c r="CC187">
        <v>0</v>
      </c>
      <c r="CD187">
        <v>74584.324575</v>
      </c>
      <c r="CE187">
        <v>179282.79018</v>
      </c>
      <c r="CF187">
        <v>55552.647065</v>
      </c>
      <c r="CG187">
        <v>23500.8</v>
      </c>
      <c r="CH187">
        <v>405388.681538</v>
      </c>
      <c r="CI187">
        <v>2975861.58142</v>
      </c>
      <c r="CJ187">
        <v>743978.4</v>
      </c>
    </row>
    <row r="188" ht="14.497499999999997" customHeight="1">
      <c r="BF188" t="s">
        <v>35</v>
      </c>
      <c r="BG188" t="s">
        <v>2</v>
      </c>
      <c r="BH188" t="s">
        <v>37</v>
      </c>
      <c r="BI188" t="s">
        <v>143</v>
      </c>
      <c r="BJ188" t="s">
        <v>62</v>
      </c>
      <c r="BK188" t="s">
        <v>40</v>
      </c>
      <c r="BL188" t="s">
        <v>41</v>
      </c>
      <c r="BM188" t="s">
        <v>42</v>
      </c>
      <c r="BN188" t="s">
        <v>43</v>
      </c>
      <c r="BO188">
        <v>44.726592</v>
      </c>
      <c r="BP188">
        <v>2</v>
      </c>
      <c r="BQ188">
        <v>302276.65479</v>
      </c>
      <c r="BR188">
        <v>24861.416664</v>
      </c>
      <c r="BS188">
        <v>48385.204808</v>
      </c>
      <c r="BT188">
        <v>32544.592784</v>
      </c>
      <c r="BU188">
        <v>94990.271412</v>
      </c>
      <c r="BV188">
        <v>8543.276466</v>
      </c>
      <c r="BW188">
        <v>37231.773333</v>
      </c>
      <c r="BX188">
        <v>45775.049799</v>
      </c>
      <c r="BY188">
        <v>57406.009448</v>
      </c>
      <c r="BZ188">
        <v>189150.526019</v>
      </c>
      <c r="CA188">
        <v>246556.535467</v>
      </c>
      <c r="CB188">
        <v>55720.119323</v>
      </c>
      <c r="CC188">
        <v>44.726592</v>
      </c>
      <c r="CD188">
        <v>74584.324575</v>
      </c>
      <c r="CE188">
        <v>145155.75958</v>
      </c>
      <c r="CF188">
        <v>44824.934018</v>
      </c>
      <c r="CG188">
        <v>16127.64</v>
      </c>
      <c r="CH188">
        <v>284971.099207</v>
      </c>
      <c r="CI188">
        <v>2975861.58142</v>
      </c>
      <c r="CJ188">
        <v>743978.4</v>
      </c>
    </row>
    <row r="189" ht="14.497499999999997" customHeight="1">
      <c r="BF189" t="s">
        <v>35</v>
      </c>
      <c r="BG189" t="s">
        <v>2</v>
      </c>
      <c r="BH189" t="s">
        <v>37</v>
      </c>
      <c r="BI189" t="s">
        <v>143</v>
      </c>
      <c r="BJ189" t="s">
        <v>62</v>
      </c>
      <c r="BK189" t="s">
        <v>40</v>
      </c>
      <c r="BL189" t="s">
        <v>41</v>
      </c>
      <c r="BM189" t="s">
        <v>44</v>
      </c>
      <c r="BN189" t="s">
        <v>43</v>
      </c>
      <c r="BO189">
        <v>39.2</v>
      </c>
      <c r="BP189">
        <v>2</v>
      </c>
      <c r="BQ189">
        <v>261398.1734</v>
      </c>
      <c r="BR189">
        <v>24861.416664</v>
      </c>
      <c r="BS189">
        <v>48385.204808</v>
      </c>
      <c r="BT189">
        <v>14388.400395</v>
      </c>
      <c r="BU189">
        <v>94990.271412</v>
      </c>
      <c r="BV189">
        <v>8543.276466</v>
      </c>
      <c r="BW189">
        <v>37231.773333</v>
      </c>
      <c r="BX189">
        <v>45775.049799</v>
      </c>
      <c r="BY189">
        <v>39249.817059</v>
      </c>
      <c r="BZ189">
        <v>189150.526019</v>
      </c>
      <c r="CA189">
        <v>228400.343078</v>
      </c>
      <c r="CB189">
        <v>32997.830322</v>
      </c>
      <c r="CC189">
        <v>0</v>
      </c>
      <c r="CD189">
        <v>74584.324575</v>
      </c>
      <c r="CE189">
        <v>145155.75958</v>
      </c>
      <c r="CF189">
        <v>44824.934018</v>
      </c>
      <c r="CG189">
        <v>16127.64</v>
      </c>
      <c r="CH189">
        <v>284971.099207</v>
      </c>
      <c r="CI189">
        <v>2975861.58142</v>
      </c>
      <c r="CJ189">
        <v>743978.4</v>
      </c>
    </row>
    <row r="190" ht="14.497499999999997" customHeight="1">
      <c r="BF190" t="s">
        <v>35</v>
      </c>
      <c r="BG190" t="s">
        <v>2</v>
      </c>
      <c r="BH190" t="s">
        <v>37</v>
      </c>
      <c r="BI190" t="s">
        <v>143</v>
      </c>
      <c r="BJ190" t="s">
        <v>62</v>
      </c>
      <c r="BK190" t="s">
        <v>40</v>
      </c>
      <c r="BL190" t="s">
        <v>41</v>
      </c>
      <c r="BM190" t="s">
        <v>50</v>
      </c>
      <c r="BN190" t="s">
        <v>43</v>
      </c>
      <c r="BO190">
        <v>38.195</v>
      </c>
      <c r="BP190">
        <v>2</v>
      </c>
      <c r="BQ190">
        <v>254696.511046</v>
      </c>
      <c r="BR190">
        <v>24861.416664</v>
      </c>
      <c r="BS190">
        <v>48385.204808</v>
      </c>
      <c r="BT190">
        <v>14019.536013</v>
      </c>
      <c r="BU190">
        <v>94990.271412</v>
      </c>
      <c r="BV190">
        <v>8543.276466</v>
      </c>
      <c r="BW190">
        <v>37231.773333</v>
      </c>
      <c r="BX190">
        <v>45775.049799</v>
      </c>
      <c r="BY190">
        <v>38880.952677</v>
      </c>
      <c r="BZ190">
        <v>189150.526019</v>
      </c>
      <c r="CA190">
        <v>228031.478696</v>
      </c>
      <c r="CB190">
        <v>26665.03235</v>
      </c>
      <c r="CC190">
        <v>0</v>
      </c>
      <c r="CD190">
        <v>74584.324575</v>
      </c>
      <c r="CE190">
        <v>145155.75958</v>
      </c>
      <c r="CF190">
        <v>44824.934018</v>
      </c>
      <c r="CG190">
        <v>16127.64</v>
      </c>
      <c r="CH190">
        <v>284971.099207</v>
      </c>
      <c r="CI190">
        <v>2975861.58142</v>
      </c>
      <c r="CJ190">
        <v>743978.4</v>
      </c>
    </row>
    <row r="191" ht="14.497499999999997" customHeight="1">
      <c r="BF191" t="s">
        <v>35</v>
      </c>
      <c r="BG191" t="s">
        <v>2</v>
      </c>
      <c r="BH191" t="s">
        <v>37</v>
      </c>
      <c r="BI191" t="s">
        <v>143</v>
      </c>
      <c r="BJ191" t="s">
        <v>64</v>
      </c>
      <c r="BK191" t="s">
        <v>65</v>
      </c>
      <c r="BL191" t="s">
        <v>66</v>
      </c>
      <c r="BM191" t="s">
        <v>42</v>
      </c>
      <c r="BN191" t="s">
        <v>67</v>
      </c>
      <c r="BO191">
        <v>54.601406</v>
      </c>
      <c r="BP191">
        <v>2</v>
      </c>
      <c r="BQ191">
        <v>407572.863954</v>
      </c>
      <c r="BR191">
        <v>31076.544499</v>
      </c>
      <c r="BS191">
        <v>75864.333805</v>
      </c>
      <c r="BT191">
        <v>33487.261379</v>
      </c>
      <c r="BU191">
        <v>138138.310356</v>
      </c>
      <c r="BV191">
        <v>11943.305594</v>
      </c>
      <c r="BW191">
        <v>46661.858225</v>
      </c>
      <c r="BX191">
        <v>58605.163819</v>
      </c>
      <c r="BY191">
        <v>64563.805878</v>
      </c>
      <c r="BZ191">
        <v>272607.80798</v>
      </c>
      <c r="CA191">
        <v>337171.613858</v>
      </c>
      <c r="CB191">
        <v>70401.250096</v>
      </c>
      <c r="CC191">
        <v>54.601406</v>
      </c>
      <c r="CD191">
        <v>124306.177995</v>
      </c>
      <c r="CE191">
        <v>303457.33522</v>
      </c>
      <c r="CF191">
        <v>93481.120579</v>
      </c>
      <c r="CG191">
        <v>27237.6</v>
      </c>
      <c r="CH191">
        <v>690691.551778</v>
      </c>
      <c r="CI191">
        <v>2975861.58142</v>
      </c>
      <c r="CJ191">
        <v>743978.4</v>
      </c>
    </row>
    <row r="192" ht="14.497499999999997" customHeight="1">
      <c r="BF192" t="s">
        <v>35</v>
      </c>
      <c r="BG192" t="s">
        <v>2</v>
      </c>
      <c r="BH192" t="s">
        <v>37</v>
      </c>
      <c r="BI192" t="s">
        <v>143</v>
      </c>
      <c r="BJ192" t="s">
        <v>64</v>
      </c>
      <c r="BK192" t="s">
        <v>65</v>
      </c>
      <c r="BL192" t="s">
        <v>66</v>
      </c>
      <c r="BM192" t="s">
        <v>44</v>
      </c>
      <c r="BN192" t="s">
        <v>43</v>
      </c>
      <c r="BO192">
        <v>48.25</v>
      </c>
      <c r="BP192">
        <v>2</v>
      </c>
      <c r="BQ192">
        <v>332098.868325</v>
      </c>
      <c r="BR192">
        <v>24861.235599</v>
      </c>
      <c r="BS192">
        <v>60691.467044</v>
      </c>
      <c r="BT192">
        <v>17682.047439</v>
      </c>
      <c r="BU192">
        <v>138138.310356</v>
      </c>
      <c r="BV192">
        <v>11943.305594</v>
      </c>
      <c r="BW192">
        <v>46661.858225</v>
      </c>
      <c r="BX192">
        <v>58605.163819</v>
      </c>
      <c r="BY192">
        <v>42543.283038</v>
      </c>
      <c r="BZ192">
        <v>257434.941219</v>
      </c>
      <c r="CA192">
        <v>299978.224257</v>
      </c>
      <c r="CB192">
        <v>32120.644068</v>
      </c>
      <c r="CC192">
        <v>0</v>
      </c>
      <c r="CD192">
        <v>124306.177995</v>
      </c>
      <c r="CE192">
        <v>303457.33522</v>
      </c>
      <c r="CF192">
        <v>93481.120579</v>
      </c>
      <c r="CG192">
        <v>27237.6</v>
      </c>
      <c r="CH192">
        <v>690691.551778</v>
      </c>
      <c r="CI192">
        <v>2975861.58142</v>
      </c>
      <c r="CJ192">
        <v>743978.4</v>
      </c>
    </row>
    <row r="193" ht="14.497499999999997" customHeight="1">
      <c r="BF193" t="s">
        <v>35</v>
      </c>
      <c r="BG193" t="s">
        <v>2</v>
      </c>
      <c r="BH193" t="s">
        <v>37</v>
      </c>
      <c r="BI193" t="s">
        <v>143</v>
      </c>
      <c r="BJ193" t="s">
        <v>64</v>
      </c>
      <c r="BK193" t="s">
        <v>65</v>
      </c>
      <c r="BL193" t="s">
        <v>66</v>
      </c>
      <c r="BM193" t="s">
        <v>50</v>
      </c>
      <c r="BN193" t="s">
        <v>43</v>
      </c>
      <c r="BO193">
        <v>47.24</v>
      </c>
      <c r="BP193">
        <v>2</v>
      </c>
      <c r="BQ193">
        <v>325147.161444</v>
      </c>
      <c r="BR193">
        <v>24861.235599</v>
      </c>
      <c r="BS193">
        <v>60691.467044</v>
      </c>
      <c r="BT193">
        <v>17311.862201</v>
      </c>
      <c r="BU193">
        <v>138138.310356</v>
      </c>
      <c r="BV193">
        <v>11943.305594</v>
      </c>
      <c r="BW193">
        <v>46661.858225</v>
      </c>
      <c r="BX193">
        <v>58605.163819</v>
      </c>
      <c r="BY193">
        <v>42173.0978</v>
      </c>
      <c r="BZ193">
        <v>257434.941219</v>
      </c>
      <c r="CA193">
        <v>299608.039019</v>
      </c>
      <c r="CB193">
        <v>25539.122425</v>
      </c>
      <c r="CC193">
        <v>0</v>
      </c>
      <c r="CD193">
        <v>124306.177995</v>
      </c>
      <c r="CE193">
        <v>303457.33522</v>
      </c>
      <c r="CF193">
        <v>93481.120579</v>
      </c>
      <c r="CG193">
        <v>27237.6</v>
      </c>
      <c r="CH193">
        <v>690691.551778</v>
      </c>
      <c r="CI193">
        <v>2975861.58142</v>
      </c>
      <c r="CJ193">
        <v>743978.4</v>
      </c>
    </row>
    <row r="194" ht="14.497499999999997" customHeight="1">
      <c r="BF194" t="s">
        <v>35</v>
      </c>
      <c r="BG194" t="s">
        <v>2</v>
      </c>
      <c r="BH194" t="s">
        <v>37</v>
      </c>
      <c r="BI194" t="s">
        <v>143</v>
      </c>
      <c r="BJ194" t="s">
        <v>64</v>
      </c>
      <c r="BK194" t="s">
        <v>65</v>
      </c>
      <c r="BL194" t="s">
        <v>70</v>
      </c>
      <c r="BM194" t="s">
        <v>71</v>
      </c>
      <c r="BN194" t="s">
        <v>43</v>
      </c>
      <c r="BO194">
        <v>55.745236</v>
      </c>
      <c r="BP194">
        <v>2</v>
      </c>
      <c r="BQ194">
        <v>416110.997001</v>
      </c>
      <c r="BR194">
        <v>21753.581149</v>
      </c>
      <c r="BS194">
        <v>53105.033664</v>
      </c>
      <c r="BT194">
        <v>34188.748448</v>
      </c>
      <c r="BU194">
        <v>138138.310356</v>
      </c>
      <c r="BV194">
        <v>11943.305594</v>
      </c>
      <c r="BW194">
        <v>46661.858225</v>
      </c>
      <c r="BX194">
        <v>58605.163819</v>
      </c>
      <c r="BY194">
        <v>55942.329597</v>
      </c>
      <c r="BZ194">
        <v>249848.507839</v>
      </c>
      <c r="CA194">
        <v>305790.837436</v>
      </c>
      <c r="CB194">
        <v>110320.159565</v>
      </c>
      <c r="CC194">
        <v>55.745236</v>
      </c>
      <c r="CD194">
        <v>124306.177995</v>
      </c>
      <c r="CE194">
        <v>303457.33522</v>
      </c>
      <c r="CF194">
        <v>93481.120579</v>
      </c>
      <c r="CG194">
        <v>27237.6</v>
      </c>
      <c r="CH194">
        <v>690691.551778</v>
      </c>
      <c r="CI194">
        <v>2975861.58142</v>
      </c>
      <c r="CJ194">
        <v>743978.4</v>
      </c>
    </row>
    <row r="195" ht="14.497499999999997" customHeight="1">
      <c r="BF195" t="s">
        <v>35</v>
      </c>
      <c r="BG195" t="s">
        <v>2</v>
      </c>
      <c r="BH195" t="s">
        <v>37</v>
      </c>
      <c r="BI195" t="s">
        <v>143</v>
      </c>
      <c r="BJ195" t="s">
        <v>64</v>
      </c>
      <c r="BK195" t="s">
        <v>65</v>
      </c>
      <c r="BL195" t="s">
        <v>70</v>
      </c>
      <c r="BM195" t="s">
        <v>72</v>
      </c>
      <c r="BN195" t="s">
        <v>43</v>
      </c>
      <c r="BO195">
        <v>49.25</v>
      </c>
      <c r="BP195">
        <v>2</v>
      </c>
      <c r="BQ195">
        <v>363194.728313</v>
      </c>
      <c r="BR195">
        <v>21753.581149</v>
      </c>
      <c r="BS195">
        <v>53105.033664</v>
      </c>
      <c r="BT195">
        <v>18048.493431</v>
      </c>
      <c r="BU195">
        <v>138138.310356</v>
      </c>
      <c r="BV195">
        <v>11943.305594</v>
      </c>
      <c r="BW195">
        <v>46661.858225</v>
      </c>
      <c r="BX195">
        <v>58605.163819</v>
      </c>
      <c r="BY195">
        <v>39802.07458</v>
      </c>
      <c r="BZ195">
        <v>249848.507839</v>
      </c>
      <c r="CA195">
        <v>289650.582419</v>
      </c>
      <c r="CB195">
        <v>73544.145894</v>
      </c>
      <c r="CC195">
        <v>0</v>
      </c>
      <c r="CD195">
        <v>124306.177995</v>
      </c>
      <c r="CE195">
        <v>303457.33522</v>
      </c>
      <c r="CF195">
        <v>93481.120579</v>
      </c>
      <c r="CG195">
        <v>27237.6</v>
      </c>
      <c r="CH195">
        <v>690691.551778</v>
      </c>
      <c r="CI195">
        <v>2975861.58142</v>
      </c>
      <c r="CJ195">
        <v>743978.4</v>
      </c>
    </row>
    <row r="196" ht="14.497499999999997" customHeight="1">
      <c r="BF196" t="s">
        <v>35</v>
      </c>
      <c r="BG196" t="s">
        <v>2</v>
      </c>
      <c r="BH196" t="s">
        <v>37</v>
      </c>
      <c r="BI196" t="s">
        <v>143</v>
      </c>
      <c r="BJ196" t="s">
        <v>73</v>
      </c>
      <c r="BK196" t="s">
        <v>65</v>
      </c>
      <c r="BL196" t="s">
        <v>66</v>
      </c>
      <c r="BM196" t="s">
        <v>42</v>
      </c>
      <c r="BN196" t="s">
        <v>67</v>
      </c>
      <c r="BO196">
        <v>78.323408</v>
      </c>
      <c r="BP196">
        <v>3</v>
      </c>
      <c r="BQ196">
        <v>667159.885872</v>
      </c>
      <c r="BR196">
        <v>46614.945452</v>
      </c>
      <c r="BS196">
        <v>130065.45292</v>
      </c>
      <c r="BT196">
        <v>61252.7876</v>
      </c>
      <c r="BU196">
        <v>231516.014631</v>
      </c>
      <c r="BV196">
        <v>17293.313276</v>
      </c>
      <c r="BW196">
        <v>67564.053013</v>
      </c>
      <c r="BX196">
        <v>84857.366289</v>
      </c>
      <c r="BY196">
        <v>107867.733052</v>
      </c>
      <c r="BZ196">
        <v>446438.83384</v>
      </c>
      <c r="CA196">
        <v>554306.566892</v>
      </c>
      <c r="CB196">
        <v>112853.31898</v>
      </c>
      <c r="CC196">
        <v>78.323408</v>
      </c>
      <c r="CD196">
        <v>186459.781808</v>
      </c>
      <c r="CE196">
        <v>520261.81168</v>
      </c>
      <c r="CF196">
        <v>135624.898557</v>
      </c>
      <c r="CG196">
        <v>65664</v>
      </c>
      <c r="CH196">
        <v>1157580.073157</v>
      </c>
      <c r="CI196">
        <v>2975861.58142</v>
      </c>
      <c r="CJ196">
        <v>743978.4</v>
      </c>
    </row>
    <row r="197" ht="14.497499999999997" customHeight="1">
      <c r="BF197" t="s">
        <v>35</v>
      </c>
      <c r="BG197" t="s">
        <v>2</v>
      </c>
      <c r="BH197" t="s">
        <v>37</v>
      </c>
      <c r="BI197" t="s">
        <v>143</v>
      </c>
      <c r="BJ197" t="s">
        <v>73</v>
      </c>
      <c r="BK197" t="s">
        <v>65</v>
      </c>
      <c r="BL197" t="s">
        <v>66</v>
      </c>
      <c r="BM197" t="s">
        <v>44</v>
      </c>
      <c r="BN197" t="s">
        <v>43</v>
      </c>
      <c r="BO197">
        <v>70.36</v>
      </c>
      <c r="BP197">
        <v>3</v>
      </c>
      <c r="BQ197">
        <v>553462.060704</v>
      </c>
      <c r="BR197">
        <v>37291.956362</v>
      </c>
      <c r="BS197">
        <v>104052.362336</v>
      </c>
      <c r="BT197">
        <v>25835.865051</v>
      </c>
      <c r="BU197">
        <v>231516.014631</v>
      </c>
      <c r="BV197">
        <v>17293.313276</v>
      </c>
      <c r="BW197">
        <v>67564.053013</v>
      </c>
      <c r="BX197">
        <v>84857.366289</v>
      </c>
      <c r="BY197">
        <v>63127.821413</v>
      </c>
      <c r="BZ197">
        <v>420425.743256</v>
      </c>
      <c r="CA197">
        <v>483553.564669</v>
      </c>
      <c r="CB197">
        <v>69908.496035</v>
      </c>
      <c r="CC197">
        <v>0</v>
      </c>
      <c r="CD197">
        <v>186459.781808</v>
      </c>
      <c r="CE197">
        <v>520261.81168</v>
      </c>
      <c r="CF197">
        <v>135624.898557</v>
      </c>
      <c r="CG197">
        <v>65664</v>
      </c>
      <c r="CH197">
        <v>1157580.073157</v>
      </c>
      <c r="CI197">
        <v>2975861.58142</v>
      </c>
      <c r="CJ197">
        <v>743978.4</v>
      </c>
    </row>
    <row r="198" ht="14.497499999999997" customHeight="1">
      <c r="BF198" t="s">
        <v>35</v>
      </c>
      <c r="BG198" t="s">
        <v>2</v>
      </c>
      <c r="BH198" t="s">
        <v>37</v>
      </c>
      <c r="BI198" t="s">
        <v>143</v>
      </c>
      <c r="BJ198" t="s">
        <v>73</v>
      </c>
      <c r="BK198" t="s">
        <v>65</v>
      </c>
      <c r="BL198" t="s">
        <v>66</v>
      </c>
      <c r="BM198" t="s">
        <v>50</v>
      </c>
      <c r="BN198" t="s">
        <v>43</v>
      </c>
      <c r="BO198">
        <v>69.35</v>
      </c>
      <c r="BP198">
        <v>3</v>
      </c>
      <c r="BQ198">
        <v>545517.25284</v>
      </c>
      <c r="BR198">
        <v>37291.956362</v>
      </c>
      <c r="BS198">
        <v>104052.362336</v>
      </c>
      <c r="BT198">
        <v>25465.066578</v>
      </c>
      <c r="BU198">
        <v>231516.014631</v>
      </c>
      <c r="BV198">
        <v>17293.313276</v>
      </c>
      <c r="BW198">
        <v>67564.053013</v>
      </c>
      <c r="BX198">
        <v>84857.366289</v>
      </c>
      <c r="BY198">
        <v>62757.02294</v>
      </c>
      <c r="BZ198">
        <v>420425.743256</v>
      </c>
      <c r="CA198">
        <v>483182.766196</v>
      </c>
      <c r="CB198">
        <v>62334.486644</v>
      </c>
      <c r="CC198">
        <v>0</v>
      </c>
      <c r="CD198">
        <v>186459.781808</v>
      </c>
      <c r="CE198">
        <v>520261.81168</v>
      </c>
      <c r="CF198">
        <v>135624.898557</v>
      </c>
      <c r="CG198">
        <v>65664</v>
      </c>
      <c r="CH198">
        <v>1157580.073157</v>
      </c>
      <c r="CI198">
        <v>2975861.58142</v>
      </c>
      <c r="CJ198">
        <v>743978.4</v>
      </c>
    </row>
    <row r="199" ht="14.497499999999997" customHeight="1">
      <c r="BF199" t="s">
        <v>35</v>
      </c>
      <c r="BG199" t="s">
        <v>2</v>
      </c>
      <c r="BH199" t="s">
        <v>37</v>
      </c>
      <c r="BI199" t="s">
        <v>143</v>
      </c>
      <c r="BJ199" t="s">
        <v>73</v>
      </c>
      <c r="BK199" t="s">
        <v>65</v>
      </c>
      <c r="BL199" t="s">
        <v>70</v>
      </c>
      <c r="BM199" t="s">
        <v>71</v>
      </c>
      <c r="BN199" t="s">
        <v>43</v>
      </c>
      <c r="BO199">
        <v>79.958935</v>
      </c>
      <c r="BP199">
        <v>3</v>
      </c>
      <c r="BQ199">
        <v>681091.327755</v>
      </c>
      <c r="BR199">
        <v>32630.461816</v>
      </c>
      <c r="BS199">
        <v>91045.817044</v>
      </c>
      <c r="BT199">
        <v>62531.840763</v>
      </c>
      <c r="BU199">
        <v>231516.014631</v>
      </c>
      <c r="BV199">
        <v>17293.313276</v>
      </c>
      <c r="BW199">
        <v>67564.053013</v>
      </c>
      <c r="BX199">
        <v>84857.366289</v>
      </c>
      <c r="BY199">
        <v>95162.302579</v>
      </c>
      <c r="BZ199">
        <v>407419.197964</v>
      </c>
      <c r="CA199">
        <v>502581.500543</v>
      </c>
      <c r="CB199">
        <v>178509.827212</v>
      </c>
      <c r="CC199">
        <v>79.958935</v>
      </c>
      <c r="CD199">
        <v>186459.781808</v>
      </c>
      <c r="CE199">
        <v>520261.81168</v>
      </c>
      <c r="CF199">
        <v>135624.898557</v>
      </c>
      <c r="CG199">
        <v>65664</v>
      </c>
      <c r="CH199">
        <v>1157580.073157</v>
      </c>
      <c r="CI199">
        <v>2975861.58142</v>
      </c>
      <c r="CJ199">
        <v>743978.4</v>
      </c>
    </row>
    <row r="200" ht="14.497499999999997" customHeight="1">
      <c r="BF200" t="s">
        <v>35</v>
      </c>
      <c r="BG200" t="s">
        <v>2</v>
      </c>
      <c r="BH200" t="s">
        <v>37</v>
      </c>
      <c r="BI200" t="s">
        <v>143</v>
      </c>
      <c r="BJ200" t="s">
        <v>73</v>
      </c>
      <c r="BK200" t="s">
        <v>65</v>
      </c>
      <c r="BL200" t="s">
        <v>70</v>
      </c>
      <c r="BM200" t="s">
        <v>72</v>
      </c>
      <c r="BN200" t="s">
        <v>43</v>
      </c>
      <c r="BO200">
        <v>71.36</v>
      </c>
      <c r="BP200">
        <v>3</v>
      </c>
      <c r="BQ200">
        <v>601423.07904</v>
      </c>
      <c r="BR200">
        <v>32630.461816</v>
      </c>
      <c r="BS200">
        <v>91045.817044</v>
      </c>
      <c r="BT200">
        <v>26203.137276</v>
      </c>
      <c r="BU200">
        <v>231516.014631</v>
      </c>
      <c r="BV200">
        <v>17293.313276</v>
      </c>
      <c r="BW200">
        <v>67564.053013</v>
      </c>
      <c r="BX200">
        <v>84857.366289</v>
      </c>
      <c r="BY200">
        <v>58833.599092</v>
      </c>
      <c r="BZ200">
        <v>407419.197964</v>
      </c>
      <c r="CA200">
        <v>466252.797056</v>
      </c>
      <c r="CB200">
        <v>135170.281984</v>
      </c>
      <c r="CC200">
        <v>0</v>
      </c>
      <c r="CD200">
        <v>186459.781808</v>
      </c>
      <c r="CE200">
        <v>520261.81168</v>
      </c>
      <c r="CF200">
        <v>135624.898557</v>
      </c>
      <c r="CG200">
        <v>65664</v>
      </c>
      <c r="CH200">
        <v>1157580.073157</v>
      </c>
      <c r="CI200">
        <v>2975861.58142</v>
      </c>
      <c r="CJ200">
        <v>743978.4</v>
      </c>
    </row>
    <row r="201" ht="14.497499999999997" customHeight="1">
      <c r="BF201" t="s">
        <v>35</v>
      </c>
      <c r="BG201" t="s">
        <v>2</v>
      </c>
      <c r="BH201" t="s">
        <v>37</v>
      </c>
      <c r="BI201" t="s">
        <v>143</v>
      </c>
      <c r="BJ201" t="s">
        <v>87</v>
      </c>
      <c r="BK201" t="s">
        <v>65</v>
      </c>
      <c r="BL201" t="s">
        <v>66</v>
      </c>
      <c r="BM201" t="s">
        <v>42</v>
      </c>
      <c r="BN201" t="s">
        <v>67</v>
      </c>
      <c r="BO201">
        <v>51.351967</v>
      </c>
      <c r="BP201">
        <v>2</v>
      </c>
      <c r="BQ201">
        <v>375588.902862</v>
      </c>
      <c r="BR201">
        <v>31076.544499</v>
      </c>
      <c r="BS201">
        <v>71337.751355</v>
      </c>
      <c r="BT201">
        <v>30620.977389</v>
      </c>
      <c r="BU201">
        <v>125159.088605</v>
      </c>
      <c r="BV201">
        <v>11306.294699</v>
      </c>
      <c r="BW201">
        <v>44173.090619</v>
      </c>
      <c r="BX201">
        <v>55479.385318</v>
      </c>
      <c r="BY201">
        <v>61697.521888</v>
      </c>
      <c r="BZ201">
        <v>251976.225278</v>
      </c>
      <c r="CA201">
        <v>313673.747166</v>
      </c>
      <c r="CB201">
        <v>61915.155696</v>
      </c>
      <c r="CC201">
        <v>51.351967</v>
      </c>
      <c r="CD201">
        <v>124306.177995</v>
      </c>
      <c r="CE201">
        <v>285351.00542</v>
      </c>
      <c r="CF201">
        <v>88500.801162</v>
      </c>
      <c r="CG201">
        <v>23849.64</v>
      </c>
      <c r="CH201">
        <v>625795.443026</v>
      </c>
      <c r="CI201">
        <v>2975861.58142</v>
      </c>
      <c r="CJ201">
        <v>743978.4</v>
      </c>
    </row>
    <row r="202" ht="14.497499999999997" customHeight="1">
      <c r="BF202" t="s">
        <v>35</v>
      </c>
      <c r="BG202" t="s">
        <v>2</v>
      </c>
      <c r="BH202" t="s">
        <v>37</v>
      </c>
      <c r="BI202" t="s">
        <v>143</v>
      </c>
      <c r="BJ202" t="s">
        <v>87</v>
      </c>
      <c r="BK202" t="s">
        <v>65</v>
      </c>
      <c r="BL202" t="s">
        <v>66</v>
      </c>
      <c r="BM202" t="s">
        <v>44</v>
      </c>
      <c r="BN202" t="s">
        <v>43</v>
      </c>
      <c r="BO202">
        <v>46.235</v>
      </c>
      <c r="BP202">
        <v>2</v>
      </c>
      <c r="BQ202">
        <v>311735.381832</v>
      </c>
      <c r="BR202">
        <v>24861.235599</v>
      </c>
      <c r="BS202">
        <v>57070.201084</v>
      </c>
      <c r="BT202">
        <v>16944.717394</v>
      </c>
      <c r="BU202">
        <v>125159.088605</v>
      </c>
      <c r="BV202">
        <v>11306.294699</v>
      </c>
      <c r="BW202">
        <v>44173.090619</v>
      </c>
      <c r="BX202">
        <v>55479.385318</v>
      </c>
      <c r="BY202">
        <v>41805.952993</v>
      </c>
      <c r="BZ202">
        <v>237708.675007</v>
      </c>
      <c r="CA202">
        <v>279514.628</v>
      </c>
      <c r="CB202">
        <v>32220.753832</v>
      </c>
      <c r="CC202">
        <v>0</v>
      </c>
      <c r="CD202">
        <v>124306.177995</v>
      </c>
      <c r="CE202">
        <v>285351.00542</v>
      </c>
      <c r="CF202">
        <v>88500.801162</v>
      </c>
      <c r="CG202">
        <v>23849.64</v>
      </c>
      <c r="CH202">
        <v>625795.443026</v>
      </c>
      <c r="CI202">
        <v>2975861.58142</v>
      </c>
      <c r="CJ202">
        <v>743978.4</v>
      </c>
    </row>
    <row r="203" ht="14.497499999999997" customHeight="1">
      <c r="BF203" t="s">
        <v>35</v>
      </c>
      <c r="BG203" t="s">
        <v>2</v>
      </c>
      <c r="BH203" t="s">
        <v>37</v>
      </c>
      <c r="BI203" t="s">
        <v>143</v>
      </c>
      <c r="BJ203" t="s">
        <v>87</v>
      </c>
      <c r="BK203" t="s">
        <v>65</v>
      </c>
      <c r="BL203" t="s">
        <v>66</v>
      </c>
      <c r="BM203" t="s">
        <v>50</v>
      </c>
      <c r="BN203" t="s">
        <v>43</v>
      </c>
      <c r="BO203">
        <v>45.23</v>
      </c>
      <c r="BP203">
        <v>2</v>
      </c>
      <c r="BQ203">
        <v>304959.258576</v>
      </c>
      <c r="BR203">
        <v>24861.235599</v>
      </c>
      <c r="BS203">
        <v>57070.201084</v>
      </c>
      <c r="BT203">
        <v>16576.377059</v>
      </c>
      <c r="BU203">
        <v>125159.088605</v>
      </c>
      <c r="BV203">
        <v>11306.294699</v>
      </c>
      <c r="BW203">
        <v>44173.090619</v>
      </c>
      <c r="BX203">
        <v>55479.385318</v>
      </c>
      <c r="BY203">
        <v>41437.612658</v>
      </c>
      <c r="BZ203">
        <v>237708.675007</v>
      </c>
      <c r="CA203">
        <v>279146.287665</v>
      </c>
      <c r="CB203">
        <v>25812.970911</v>
      </c>
      <c r="CC203">
        <v>0</v>
      </c>
      <c r="CD203">
        <v>124306.177995</v>
      </c>
      <c r="CE203">
        <v>285351.00542</v>
      </c>
      <c r="CF203">
        <v>88500.801162</v>
      </c>
      <c r="CG203">
        <v>23849.64</v>
      </c>
      <c r="CH203">
        <v>625795.443026</v>
      </c>
      <c r="CI203">
        <v>2975861.58142</v>
      </c>
      <c r="CJ203">
        <v>743978.4</v>
      </c>
    </row>
    <row r="204" ht="14.497499999999997" customHeight="1">
      <c r="BF204" t="s">
        <v>35</v>
      </c>
      <c r="BG204" t="s">
        <v>2</v>
      </c>
      <c r="BH204" t="s">
        <v>37</v>
      </c>
      <c r="BI204" t="s">
        <v>143</v>
      </c>
      <c r="BJ204" t="s">
        <v>87</v>
      </c>
      <c r="BK204" t="s">
        <v>65</v>
      </c>
      <c r="BL204" t="s">
        <v>70</v>
      </c>
      <c r="BM204" t="s">
        <v>71</v>
      </c>
      <c r="BN204" t="s">
        <v>43</v>
      </c>
      <c r="BO204">
        <v>52.42939</v>
      </c>
      <c r="BP204">
        <v>2</v>
      </c>
      <c r="BQ204">
        <v>383469.187613</v>
      </c>
      <c r="BR204">
        <v>21753.581149</v>
      </c>
      <c r="BS204">
        <v>49936.425949</v>
      </c>
      <c r="BT204">
        <v>31263.451076</v>
      </c>
      <c r="BU204">
        <v>125159.088605</v>
      </c>
      <c r="BV204">
        <v>11306.294699</v>
      </c>
      <c r="BW204">
        <v>44173.090619</v>
      </c>
      <c r="BX204">
        <v>55479.385318</v>
      </c>
      <c r="BY204">
        <v>53017.032225</v>
      </c>
      <c r="BZ204">
        <v>230574.899872</v>
      </c>
      <c r="CA204">
        <v>283591.932097</v>
      </c>
      <c r="CB204">
        <v>99877.255516</v>
      </c>
      <c r="CC204">
        <v>52.42939</v>
      </c>
      <c r="CD204">
        <v>124306.177995</v>
      </c>
      <c r="CE204">
        <v>285351.00542</v>
      </c>
      <c r="CF204">
        <v>88500.801162</v>
      </c>
      <c r="CG204">
        <v>23849.64</v>
      </c>
      <c r="CH204">
        <v>625795.443026</v>
      </c>
      <c r="CI204">
        <v>2975861.58142</v>
      </c>
      <c r="CJ204">
        <v>743978.4</v>
      </c>
    </row>
    <row r="205" ht="14.497499999999997" customHeight="1">
      <c r="BF205" t="s">
        <v>35</v>
      </c>
      <c r="BG205" t="s">
        <v>2</v>
      </c>
      <c r="BH205" t="s">
        <v>37</v>
      </c>
      <c r="BI205" t="s">
        <v>143</v>
      </c>
      <c r="BJ205" t="s">
        <v>87</v>
      </c>
      <c r="BK205" t="s">
        <v>65</v>
      </c>
      <c r="BL205" t="s">
        <v>70</v>
      </c>
      <c r="BM205" t="s">
        <v>72</v>
      </c>
      <c r="BN205" t="s">
        <v>43</v>
      </c>
      <c r="BO205">
        <v>46.235</v>
      </c>
      <c r="BP205">
        <v>2</v>
      </c>
      <c r="BQ205">
        <v>334002.19482</v>
      </c>
      <c r="BR205">
        <v>21753.581149</v>
      </c>
      <c r="BS205">
        <v>49936.425949</v>
      </c>
      <c r="BT205">
        <v>16944.717394</v>
      </c>
      <c r="BU205">
        <v>125159.088605</v>
      </c>
      <c r="BV205">
        <v>11306.294699</v>
      </c>
      <c r="BW205">
        <v>44173.090619</v>
      </c>
      <c r="BX205">
        <v>55479.385318</v>
      </c>
      <c r="BY205">
        <v>38698.298543</v>
      </c>
      <c r="BZ205">
        <v>230574.899872</v>
      </c>
      <c r="CA205">
        <v>269273.198415</v>
      </c>
      <c r="CB205">
        <v>64728.996405</v>
      </c>
      <c r="CC205">
        <v>0</v>
      </c>
      <c r="CD205">
        <v>124306.177995</v>
      </c>
      <c r="CE205">
        <v>285351.00542</v>
      </c>
      <c r="CF205">
        <v>88500.801162</v>
      </c>
      <c r="CG205">
        <v>23849.64</v>
      </c>
      <c r="CH205">
        <v>625795.443026</v>
      </c>
      <c r="CI205">
        <v>2975861.58142</v>
      </c>
      <c r="CJ205">
        <v>743978.4</v>
      </c>
    </row>
    <row r="206" ht="14.497499999999997" customHeight="1">
      <c r="BF206" t="s">
        <v>35</v>
      </c>
      <c r="BG206" t="s">
        <v>2</v>
      </c>
      <c r="BH206" t="s">
        <v>37</v>
      </c>
      <c r="BI206" t="s">
        <v>143</v>
      </c>
      <c r="BJ206" t="s">
        <v>92</v>
      </c>
      <c r="BK206" t="s">
        <v>93</v>
      </c>
      <c r="BL206" t="s">
        <v>94</v>
      </c>
      <c r="BM206" t="s">
        <v>42</v>
      </c>
      <c r="BN206" t="s">
        <v>67</v>
      </c>
      <c r="BO206">
        <v>55.74675</v>
      </c>
      <c r="BP206">
        <v>2</v>
      </c>
      <c r="BQ206">
        <v>411986.15422</v>
      </c>
      <c r="BR206">
        <v>31076.544499</v>
      </c>
      <c r="BS206">
        <v>74709.834485</v>
      </c>
      <c r="BT206">
        <v>33741.20864</v>
      </c>
      <c r="BU206">
        <v>137944.302785</v>
      </c>
      <c r="BV206">
        <v>12306.590042</v>
      </c>
      <c r="BW206">
        <v>47635.864045</v>
      </c>
      <c r="BX206">
        <v>59942.454087</v>
      </c>
      <c r="BY206">
        <v>64817.753139</v>
      </c>
      <c r="BZ206">
        <v>272596.591357</v>
      </c>
      <c r="CA206">
        <v>337414.344496</v>
      </c>
      <c r="CB206">
        <v>74571.809724</v>
      </c>
      <c r="CC206">
        <v>55.74675</v>
      </c>
      <c r="CD206">
        <v>124306.177995</v>
      </c>
      <c r="CE206">
        <v>298839.33794</v>
      </c>
      <c r="CF206">
        <v>95397.261665</v>
      </c>
      <c r="CG206">
        <v>26916.84</v>
      </c>
      <c r="CH206">
        <v>689721.513923</v>
      </c>
      <c r="CI206">
        <v>2975861.58142</v>
      </c>
      <c r="CJ206">
        <v>743978.4</v>
      </c>
    </row>
    <row r="207" ht="14.497499999999997" customHeight="1">
      <c r="BF207" t="s">
        <v>35</v>
      </c>
      <c r="BG207" t="s">
        <v>2</v>
      </c>
      <c r="BH207" t="s">
        <v>37</v>
      </c>
      <c r="BI207" t="s">
        <v>143</v>
      </c>
      <c r="BJ207" t="s">
        <v>92</v>
      </c>
      <c r="BK207" t="s">
        <v>93</v>
      </c>
      <c r="BL207" t="s">
        <v>94</v>
      </c>
      <c r="BM207" t="s">
        <v>44</v>
      </c>
      <c r="BN207" t="s">
        <v>43</v>
      </c>
      <c r="BO207">
        <v>49.255</v>
      </c>
      <c r="BP207">
        <v>2</v>
      </c>
      <c r="BQ207">
        <v>335605.306246</v>
      </c>
      <c r="BR207">
        <v>24861.235599</v>
      </c>
      <c r="BS207">
        <v>59767.867588</v>
      </c>
      <c r="BT207">
        <v>18043.628866</v>
      </c>
      <c r="BU207">
        <v>137944.302785</v>
      </c>
      <c r="BV207">
        <v>12306.590042</v>
      </c>
      <c r="BW207">
        <v>47635.864045</v>
      </c>
      <c r="BX207">
        <v>59942.454087</v>
      </c>
      <c r="BY207">
        <v>42904.864465</v>
      </c>
      <c r="BZ207">
        <v>257654.62446</v>
      </c>
      <c r="CA207">
        <v>300559.488925</v>
      </c>
      <c r="CB207">
        <v>35045.817321</v>
      </c>
      <c r="CC207">
        <v>0</v>
      </c>
      <c r="CD207">
        <v>124306.177995</v>
      </c>
      <c r="CE207">
        <v>298839.33794</v>
      </c>
      <c r="CF207">
        <v>95397.261665</v>
      </c>
      <c r="CG207">
        <v>26916.84</v>
      </c>
      <c r="CH207">
        <v>689721.513923</v>
      </c>
      <c r="CI207">
        <v>2975861.58142</v>
      </c>
      <c r="CJ207">
        <v>743978.4</v>
      </c>
    </row>
    <row r="208" ht="14.497499999999997" customHeight="1">
      <c r="BF208" t="s">
        <v>35</v>
      </c>
      <c r="BG208" t="s">
        <v>2</v>
      </c>
      <c r="BH208" t="s">
        <v>37</v>
      </c>
      <c r="BI208" t="s">
        <v>143</v>
      </c>
      <c r="BJ208" t="s">
        <v>92</v>
      </c>
      <c r="BK208" t="s">
        <v>93</v>
      </c>
      <c r="BL208" t="s">
        <v>94</v>
      </c>
      <c r="BM208" t="s">
        <v>50</v>
      </c>
      <c r="BN208" t="s">
        <v>43</v>
      </c>
      <c r="BO208">
        <v>48.245</v>
      </c>
      <c r="BP208">
        <v>2</v>
      </c>
      <c r="BQ208">
        <v>328723.540754</v>
      </c>
      <c r="BR208">
        <v>24861.235599</v>
      </c>
      <c r="BS208">
        <v>59767.867588</v>
      </c>
      <c r="BT208">
        <v>17673.678285</v>
      </c>
      <c r="BU208">
        <v>137944.302785</v>
      </c>
      <c r="BV208">
        <v>12306.590042</v>
      </c>
      <c r="BW208">
        <v>47635.864045</v>
      </c>
      <c r="BX208">
        <v>59942.454087</v>
      </c>
      <c r="BY208">
        <v>42534.913884</v>
      </c>
      <c r="BZ208">
        <v>257654.62446</v>
      </c>
      <c r="CA208">
        <v>300189.538344</v>
      </c>
      <c r="CB208">
        <v>28534.00241</v>
      </c>
      <c r="CC208">
        <v>0</v>
      </c>
      <c r="CD208">
        <v>124306.177995</v>
      </c>
      <c r="CE208">
        <v>298839.33794</v>
      </c>
      <c r="CF208">
        <v>95397.261665</v>
      </c>
      <c r="CG208">
        <v>26916.84</v>
      </c>
      <c r="CH208">
        <v>689721.513923</v>
      </c>
      <c r="CI208">
        <v>2975861.58142</v>
      </c>
      <c r="CJ208">
        <v>743978.4</v>
      </c>
    </row>
    <row r="209" ht="14.497499999999997" customHeight="1">
      <c r="BF209" t="s">
        <v>35</v>
      </c>
      <c r="BG209" t="s">
        <v>2</v>
      </c>
      <c r="BH209" t="s">
        <v>37</v>
      </c>
      <c r="BI209" t="s">
        <v>143</v>
      </c>
      <c r="BJ209" t="s">
        <v>92</v>
      </c>
      <c r="BK209" t="s">
        <v>93</v>
      </c>
      <c r="BL209" t="s">
        <v>95</v>
      </c>
      <c r="BM209" t="s">
        <v>71</v>
      </c>
      <c r="BN209" t="s">
        <v>43</v>
      </c>
      <c r="BO209">
        <v>56.91006</v>
      </c>
      <c r="BP209">
        <v>2</v>
      </c>
      <c r="BQ209">
        <v>420583.383889</v>
      </c>
      <c r="BR209">
        <v>21753.581149</v>
      </c>
      <c r="BS209">
        <v>52296.88414</v>
      </c>
      <c r="BT209">
        <v>34445.318415</v>
      </c>
      <c r="BU209">
        <v>137944.302785</v>
      </c>
      <c r="BV209">
        <v>12306.590042</v>
      </c>
      <c r="BW209">
        <v>47635.864045</v>
      </c>
      <c r="BX209">
        <v>59942.454087</v>
      </c>
      <c r="BY209">
        <v>56198.899564</v>
      </c>
      <c r="BZ209">
        <v>250183.641012</v>
      </c>
      <c r="CA209">
        <v>306382.540576</v>
      </c>
      <c r="CB209">
        <v>114200.843313</v>
      </c>
      <c r="CC209">
        <v>56.91006</v>
      </c>
      <c r="CD209">
        <v>124306.177995</v>
      </c>
      <c r="CE209">
        <v>298839.33794</v>
      </c>
      <c r="CF209">
        <v>95397.261665</v>
      </c>
      <c r="CG209">
        <v>26916.84</v>
      </c>
      <c r="CH209">
        <v>689721.513923</v>
      </c>
      <c r="CI209">
        <v>2975861.58142</v>
      </c>
      <c r="CJ209">
        <v>743978.4</v>
      </c>
    </row>
    <row r="210" ht="14.497499999999997" customHeight="1">
      <c r="BF210" t="s">
        <v>35</v>
      </c>
      <c r="BG210" t="s">
        <v>2</v>
      </c>
      <c r="BH210" t="s">
        <v>37</v>
      </c>
      <c r="BI210" t="s">
        <v>143</v>
      </c>
      <c r="BJ210" t="s">
        <v>92</v>
      </c>
      <c r="BK210" t="s">
        <v>93</v>
      </c>
      <c r="BL210" t="s">
        <v>95</v>
      </c>
      <c r="BM210" t="s">
        <v>72</v>
      </c>
      <c r="BN210" t="s">
        <v>43</v>
      </c>
      <c r="BO210">
        <v>50.255</v>
      </c>
      <c r="BP210">
        <v>2</v>
      </c>
      <c r="BQ210">
        <v>366877.430835</v>
      </c>
      <c r="BR210">
        <v>21753.581149</v>
      </c>
      <c r="BS210">
        <v>52296.88414</v>
      </c>
      <c r="BT210">
        <v>18409.954351</v>
      </c>
      <c r="BU210">
        <v>137944.302785</v>
      </c>
      <c r="BV210">
        <v>12306.590042</v>
      </c>
      <c r="BW210">
        <v>47635.864045</v>
      </c>
      <c r="BX210">
        <v>59942.454087</v>
      </c>
      <c r="BY210">
        <v>40163.5355</v>
      </c>
      <c r="BZ210">
        <v>250183.641012</v>
      </c>
      <c r="CA210">
        <v>290347.176512</v>
      </c>
      <c r="CB210">
        <v>76530.254323</v>
      </c>
      <c r="CC210">
        <v>0</v>
      </c>
      <c r="CD210">
        <v>124306.177995</v>
      </c>
      <c r="CE210">
        <v>298839.33794</v>
      </c>
      <c r="CF210">
        <v>95397.261665</v>
      </c>
      <c r="CG210">
        <v>26916.84</v>
      </c>
      <c r="CH210">
        <v>689721.513923</v>
      </c>
      <c r="CI210">
        <v>2975861.58142</v>
      </c>
      <c r="CJ210">
        <v>743978.4</v>
      </c>
    </row>
    <row r="211" ht="14.497499999999997" customHeight="1">
      <c r="BF211" t="s">
        <v>35</v>
      </c>
      <c r="BG211" t="s">
        <v>2</v>
      </c>
      <c r="BH211" t="s">
        <v>37</v>
      </c>
      <c r="BI211" t="s">
        <v>143</v>
      </c>
      <c r="BJ211" t="s">
        <v>97</v>
      </c>
      <c r="BK211" t="s">
        <v>93</v>
      </c>
      <c r="BL211" t="s">
        <v>94</v>
      </c>
      <c r="BM211" t="s">
        <v>42</v>
      </c>
      <c r="BN211" t="s">
        <v>67</v>
      </c>
      <c r="BO211">
        <v>72.005855</v>
      </c>
      <c r="BP211">
        <v>3</v>
      </c>
      <c r="BQ211">
        <v>575499.955531</v>
      </c>
      <c r="BR211">
        <v>46614.818836</v>
      </c>
      <c r="BS211">
        <v>123059.056289</v>
      </c>
      <c r="BT211">
        <v>48734.504991</v>
      </c>
      <c r="BU211">
        <v>227361.435796</v>
      </c>
      <c r="BV211">
        <v>18457.881181</v>
      </c>
      <c r="BW211">
        <v>71446.039519</v>
      </c>
      <c r="BX211">
        <v>89903.9207</v>
      </c>
      <c r="BY211">
        <v>95349.323827</v>
      </c>
      <c r="BZ211">
        <v>440324.412785</v>
      </c>
      <c r="CA211">
        <v>535673.736612</v>
      </c>
      <c r="CB211">
        <v>39826.218919</v>
      </c>
      <c r="CC211">
        <v>72.005855</v>
      </c>
      <c r="CD211">
        <v>161598.340283</v>
      </c>
      <c r="CE211">
        <v>426605.5248</v>
      </c>
      <c r="CF211">
        <v>124131.140927</v>
      </c>
      <c r="CG211">
        <v>45125.64</v>
      </c>
      <c r="CH211">
        <v>985233.873682</v>
      </c>
      <c r="CI211">
        <v>2975861.58142</v>
      </c>
      <c r="CJ211">
        <v>743978.4</v>
      </c>
    </row>
    <row r="212" ht="14.497499999999997" customHeight="1">
      <c r="BF212" t="s">
        <v>35</v>
      </c>
      <c r="BG212" t="s">
        <v>2</v>
      </c>
      <c r="BH212" t="s">
        <v>37</v>
      </c>
      <c r="BI212" t="s">
        <v>143</v>
      </c>
      <c r="BJ212" t="s">
        <v>97</v>
      </c>
      <c r="BK212" t="s">
        <v>93</v>
      </c>
      <c r="BL212" t="s">
        <v>94</v>
      </c>
      <c r="BM212" t="s">
        <v>44</v>
      </c>
      <c r="BN212" t="s">
        <v>43</v>
      </c>
      <c r="BO212">
        <v>64.33</v>
      </c>
      <c r="BP212">
        <v>2</v>
      </c>
      <c r="BQ212">
        <v>474470.93274</v>
      </c>
      <c r="BR212">
        <v>24861.258259</v>
      </c>
      <c r="BS212">
        <v>65631.553568</v>
      </c>
      <c r="BT212">
        <v>23590.502677</v>
      </c>
      <c r="BU212">
        <v>151574.29053</v>
      </c>
      <c r="BV212">
        <v>12305.254121</v>
      </c>
      <c r="BW212">
        <v>47630.693012</v>
      </c>
      <c r="BX212">
        <v>59935.947133</v>
      </c>
      <c r="BY212">
        <v>48451.760936</v>
      </c>
      <c r="BZ212">
        <v>277141.791231</v>
      </c>
      <c r="CA212">
        <v>325593.552167</v>
      </c>
      <c r="CB212">
        <v>148877.380573</v>
      </c>
      <c r="CC212">
        <v>0</v>
      </c>
      <c r="CD212">
        <v>161598.340283</v>
      </c>
      <c r="CE212">
        <v>426605.5248</v>
      </c>
      <c r="CF212">
        <v>124131.140927</v>
      </c>
      <c r="CG212">
        <v>45125.64</v>
      </c>
      <c r="CH212">
        <v>985233.873682</v>
      </c>
      <c r="CI212">
        <v>2975861.58142</v>
      </c>
      <c r="CJ212">
        <v>743978.4</v>
      </c>
    </row>
    <row r="213" ht="14.497499999999997" customHeight="1">
      <c r="BF213" t="s">
        <v>35</v>
      </c>
      <c r="BG213" t="s">
        <v>2</v>
      </c>
      <c r="BH213" t="s">
        <v>37</v>
      </c>
      <c r="BI213" t="s">
        <v>143</v>
      </c>
      <c r="BJ213" t="s">
        <v>97</v>
      </c>
      <c r="BK213" t="s">
        <v>93</v>
      </c>
      <c r="BL213" t="s">
        <v>94</v>
      </c>
      <c r="BM213" t="s">
        <v>50</v>
      </c>
      <c r="BN213" t="s">
        <v>43</v>
      </c>
      <c r="BO213">
        <v>63.32</v>
      </c>
      <c r="BP213">
        <v>2</v>
      </c>
      <c r="BQ213">
        <v>467021.59896</v>
      </c>
      <c r="BR213">
        <v>24861.258259</v>
      </c>
      <c r="BS213">
        <v>65631.553568</v>
      </c>
      <c r="BT213">
        <v>23220.095353</v>
      </c>
      <c r="BU213">
        <v>151574.29053</v>
      </c>
      <c r="BV213">
        <v>12305.254121</v>
      </c>
      <c r="BW213">
        <v>47630.693012</v>
      </c>
      <c r="BX213">
        <v>59935.947133</v>
      </c>
      <c r="BY213">
        <v>48081.353612</v>
      </c>
      <c r="BZ213">
        <v>277141.791231</v>
      </c>
      <c r="CA213">
        <v>325223.144843</v>
      </c>
      <c r="CB213">
        <v>141798.454117</v>
      </c>
      <c r="CC213">
        <v>0</v>
      </c>
      <c r="CD213">
        <v>161598.340283</v>
      </c>
      <c r="CE213">
        <v>426605.5248</v>
      </c>
      <c r="CF213">
        <v>124131.140927</v>
      </c>
      <c r="CG213">
        <v>45125.64</v>
      </c>
      <c r="CH213">
        <v>985233.873682</v>
      </c>
      <c r="CI213">
        <v>2975861.58142</v>
      </c>
      <c r="CJ213">
        <v>743978.4</v>
      </c>
    </row>
    <row r="214" ht="14.497499999999997" customHeight="1">
      <c r="BF214" t="s">
        <v>35</v>
      </c>
      <c r="BG214" t="s">
        <v>2</v>
      </c>
      <c r="BH214" t="s">
        <v>37</v>
      </c>
      <c r="BI214" t="s">
        <v>143</v>
      </c>
      <c r="BJ214" t="s">
        <v>97</v>
      </c>
      <c r="BK214" t="s">
        <v>93</v>
      </c>
      <c r="BL214" t="s">
        <v>95</v>
      </c>
      <c r="BM214" t="s">
        <v>71</v>
      </c>
      <c r="BN214" t="s">
        <v>43</v>
      </c>
      <c r="BO214">
        <v>73.512347</v>
      </c>
      <c r="BP214">
        <v>3</v>
      </c>
      <c r="BQ214">
        <v>587540.449725</v>
      </c>
      <c r="BR214">
        <v>32630.421665</v>
      </c>
      <c r="BS214">
        <v>86141.467384</v>
      </c>
      <c r="BT214">
        <v>49754.19845</v>
      </c>
      <c r="BU214">
        <v>227361.435796</v>
      </c>
      <c r="BV214">
        <v>18457.881181</v>
      </c>
      <c r="BW214">
        <v>71446.039519</v>
      </c>
      <c r="BX214">
        <v>89903.9207</v>
      </c>
      <c r="BY214">
        <v>82384.620115</v>
      </c>
      <c r="BZ214">
        <v>403406.82388</v>
      </c>
      <c r="CA214">
        <v>485791.443995</v>
      </c>
      <c r="CB214">
        <v>101749.00573</v>
      </c>
      <c r="CC214">
        <v>73.512347</v>
      </c>
      <c r="CD214">
        <v>161598.340283</v>
      </c>
      <c r="CE214">
        <v>426605.5248</v>
      </c>
      <c r="CF214">
        <v>124131.140927</v>
      </c>
      <c r="CG214">
        <v>45125.64</v>
      </c>
      <c r="CH214">
        <v>985233.873682</v>
      </c>
      <c r="CI214">
        <v>2975861.58142</v>
      </c>
      <c r="CJ214">
        <v>743978.4</v>
      </c>
    </row>
    <row r="215" ht="14.497499999999997" customHeight="1">
      <c r="BF215" t="s">
        <v>35</v>
      </c>
      <c r="BG215" t="s">
        <v>2</v>
      </c>
      <c r="BH215" t="s">
        <v>37</v>
      </c>
      <c r="BI215" t="s">
        <v>143</v>
      </c>
      <c r="BJ215" t="s">
        <v>97</v>
      </c>
      <c r="BK215" t="s">
        <v>93</v>
      </c>
      <c r="BL215" t="s">
        <v>95</v>
      </c>
      <c r="BM215" t="s">
        <v>72</v>
      </c>
      <c r="BN215" t="s">
        <v>43</v>
      </c>
      <c r="BO215">
        <v>65.33</v>
      </c>
      <c r="BP215">
        <v>3</v>
      </c>
      <c r="BQ215">
        <v>516264.11865</v>
      </c>
      <c r="BR215">
        <v>32630.421665</v>
      </c>
      <c r="BS215">
        <v>86141.467384</v>
      </c>
      <c r="BT215">
        <v>23957.186068</v>
      </c>
      <c r="BU215">
        <v>227361.435796</v>
      </c>
      <c r="BV215">
        <v>18457.881181</v>
      </c>
      <c r="BW215">
        <v>71446.039519</v>
      </c>
      <c r="BX215">
        <v>89903.9207</v>
      </c>
      <c r="BY215">
        <v>56587.607733</v>
      </c>
      <c r="BZ215">
        <v>403406.82388</v>
      </c>
      <c r="CA215">
        <v>459994.431613</v>
      </c>
      <c r="CB215">
        <v>56269.687037</v>
      </c>
      <c r="CC215">
        <v>0</v>
      </c>
      <c r="CD215">
        <v>161598.340283</v>
      </c>
      <c r="CE215">
        <v>426605.5248</v>
      </c>
      <c r="CF215">
        <v>124131.140927</v>
      </c>
      <c r="CG215">
        <v>45125.64</v>
      </c>
      <c r="CH215">
        <v>985233.873682</v>
      </c>
      <c r="CI215">
        <v>2975861.58142</v>
      </c>
      <c r="CJ215">
        <v>743978.4</v>
      </c>
    </row>
    <row r="216" ht="14.497499999999997" customHeight="1">
      <c r="BF216" t="s">
        <v>35</v>
      </c>
      <c r="BG216" t="s">
        <v>2</v>
      </c>
      <c r="BH216" t="s">
        <v>37</v>
      </c>
      <c r="BI216" t="s">
        <v>143</v>
      </c>
      <c r="BJ216" t="s">
        <v>98</v>
      </c>
      <c r="BK216" t="s">
        <v>93</v>
      </c>
      <c r="BL216" t="s">
        <v>94</v>
      </c>
      <c r="BM216" t="s">
        <v>42</v>
      </c>
      <c r="BN216" t="s">
        <v>67</v>
      </c>
      <c r="BO216">
        <v>65.539302</v>
      </c>
      <c r="BP216">
        <v>2</v>
      </c>
      <c r="BQ216">
        <v>499153.877962</v>
      </c>
      <c r="BR216">
        <v>31737.648567</v>
      </c>
      <c r="BS216">
        <v>78079.02277</v>
      </c>
      <c r="BT216">
        <v>40870.351448</v>
      </c>
      <c r="BU216">
        <v>139599.649628</v>
      </c>
      <c r="BV216">
        <v>12103.706531</v>
      </c>
      <c r="BW216">
        <v>46850.550541</v>
      </c>
      <c r="BX216">
        <v>58954.257072</v>
      </c>
      <c r="BY216">
        <v>72608.000015</v>
      </c>
      <c r="BZ216">
        <v>276632.92947</v>
      </c>
      <c r="CA216">
        <v>349240.929485</v>
      </c>
      <c r="CB216">
        <v>149912.948477</v>
      </c>
      <c r="CC216">
        <v>65.539302</v>
      </c>
      <c r="CD216">
        <v>149167.619521</v>
      </c>
      <c r="CE216">
        <v>366973.0584</v>
      </c>
      <c r="CF216">
        <v>112637.383297</v>
      </c>
      <c r="CG216">
        <v>34055.64</v>
      </c>
      <c r="CH216">
        <v>837601.248173</v>
      </c>
      <c r="CI216">
        <v>2975861.58142</v>
      </c>
      <c r="CJ216">
        <v>743978.4</v>
      </c>
    </row>
    <row r="217" ht="14.497499999999997" customHeight="1">
      <c r="BF217" t="s">
        <v>35</v>
      </c>
      <c r="BG217" t="s">
        <v>2</v>
      </c>
      <c r="BH217" t="s">
        <v>37</v>
      </c>
      <c r="BI217" t="s">
        <v>143</v>
      </c>
      <c r="BJ217" t="s">
        <v>98</v>
      </c>
      <c r="BK217" t="s">
        <v>93</v>
      </c>
      <c r="BL217" t="s">
        <v>94</v>
      </c>
      <c r="BM217" t="s">
        <v>44</v>
      </c>
      <c r="BN217" t="s">
        <v>43</v>
      </c>
      <c r="BO217">
        <v>58.3</v>
      </c>
      <c r="BP217">
        <v>2</v>
      </c>
      <c r="BQ217">
        <v>409520.188</v>
      </c>
      <c r="BR217">
        <v>25390.118854</v>
      </c>
      <c r="BS217">
        <v>62463.218216</v>
      </c>
      <c r="BT217">
        <v>21366.185238</v>
      </c>
      <c r="BU217">
        <v>139599.649628</v>
      </c>
      <c r="BV217">
        <v>12103.706531</v>
      </c>
      <c r="BW217">
        <v>46850.550541</v>
      </c>
      <c r="BX217">
        <v>58954.257072</v>
      </c>
      <c r="BY217">
        <v>46756.304092</v>
      </c>
      <c r="BZ217">
        <v>261017.124916</v>
      </c>
      <c r="CA217">
        <v>307773.429008</v>
      </c>
      <c r="CB217">
        <v>101746.758992</v>
      </c>
      <c r="CC217">
        <v>0</v>
      </c>
      <c r="CD217">
        <v>149167.619521</v>
      </c>
      <c r="CE217">
        <v>366973.0584</v>
      </c>
      <c r="CF217">
        <v>112637.383297</v>
      </c>
      <c r="CG217">
        <v>34055.64</v>
      </c>
      <c r="CH217">
        <v>837601.248173</v>
      </c>
      <c r="CI217">
        <v>2975861.58142</v>
      </c>
      <c r="CJ217">
        <v>743978.4</v>
      </c>
    </row>
    <row r="218" ht="14.497499999999997" customHeight="1">
      <c r="BF218" t="s">
        <v>35</v>
      </c>
      <c r="BG218" t="s">
        <v>2</v>
      </c>
      <c r="BH218" t="s">
        <v>37</v>
      </c>
      <c r="BI218" t="s">
        <v>143</v>
      </c>
      <c r="BJ218" t="s">
        <v>98</v>
      </c>
      <c r="BK218" t="s">
        <v>93</v>
      </c>
      <c r="BL218" t="s">
        <v>94</v>
      </c>
      <c r="BM218" t="s">
        <v>50</v>
      </c>
      <c r="BN218" t="s">
        <v>43</v>
      </c>
      <c r="BO218">
        <v>57.29</v>
      </c>
      <c r="BP218">
        <v>2</v>
      </c>
      <c r="BQ218">
        <v>402425.5844</v>
      </c>
      <c r="BR218">
        <v>25390.118854</v>
      </c>
      <c r="BS218">
        <v>62463.218216</v>
      </c>
      <c r="BT218">
        <v>20996.058796</v>
      </c>
      <c r="BU218">
        <v>139599.649628</v>
      </c>
      <c r="BV218">
        <v>12103.706531</v>
      </c>
      <c r="BW218">
        <v>46850.550541</v>
      </c>
      <c r="BX218">
        <v>58954.257072</v>
      </c>
      <c r="BY218">
        <v>46386.17765</v>
      </c>
      <c r="BZ218">
        <v>261017.124916</v>
      </c>
      <c r="CA218">
        <v>307403.302566</v>
      </c>
      <c r="CB218">
        <v>95022.281834</v>
      </c>
      <c r="CC218">
        <v>0</v>
      </c>
      <c r="CD218">
        <v>149167.619521</v>
      </c>
      <c r="CE218">
        <v>366973.0584</v>
      </c>
      <c r="CF218">
        <v>112637.383297</v>
      </c>
      <c r="CG218">
        <v>34055.64</v>
      </c>
      <c r="CH218">
        <v>837601.248173</v>
      </c>
      <c r="CI218">
        <v>2975861.58142</v>
      </c>
      <c r="CJ218">
        <v>743978.4</v>
      </c>
    </row>
    <row r="219" ht="14.497499999999997" customHeight="1">
      <c r="BF219" t="s">
        <v>35</v>
      </c>
      <c r="BG219" t="s">
        <v>2</v>
      </c>
      <c r="BH219" t="s">
        <v>37</v>
      </c>
      <c r="BI219" t="s">
        <v>143</v>
      </c>
      <c r="BJ219" t="s">
        <v>98</v>
      </c>
      <c r="BK219" t="s">
        <v>93</v>
      </c>
      <c r="BL219" t="s">
        <v>95</v>
      </c>
      <c r="BM219" t="s">
        <v>71</v>
      </c>
      <c r="BN219" t="s">
        <v>43</v>
      </c>
      <c r="BO219">
        <v>66.913655</v>
      </c>
      <c r="BP219">
        <v>3</v>
      </c>
      <c r="BQ219">
        <v>509621.087846</v>
      </c>
      <c r="BR219">
        <v>33324.642871</v>
      </c>
      <c r="BS219">
        <v>81983.249139</v>
      </c>
      <c r="BT219">
        <v>41727.461202</v>
      </c>
      <c r="BU219">
        <v>209400.312043</v>
      </c>
      <c r="BV219">
        <v>18155.63242</v>
      </c>
      <c r="BW219">
        <v>70276.106916</v>
      </c>
      <c r="BX219">
        <v>88431.739336</v>
      </c>
      <c r="BY219">
        <v>75052.104073</v>
      </c>
      <c r="BZ219">
        <v>379815.300518</v>
      </c>
      <c r="CA219">
        <v>454867.404591</v>
      </c>
      <c r="CB219">
        <v>54753.683255</v>
      </c>
      <c r="CC219">
        <v>66.913655</v>
      </c>
      <c r="CD219">
        <v>149167.619521</v>
      </c>
      <c r="CE219">
        <v>366973.0584</v>
      </c>
      <c r="CF219">
        <v>112637.383297</v>
      </c>
      <c r="CG219">
        <v>34055.64</v>
      </c>
      <c r="CH219">
        <v>837601.248173</v>
      </c>
      <c r="CI219">
        <v>2975861.58142</v>
      </c>
      <c r="CJ219">
        <v>743978.4</v>
      </c>
    </row>
    <row r="220" ht="14.497499999999997" customHeight="1">
      <c r="BF220" t="s">
        <v>35</v>
      </c>
      <c r="BG220" t="s">
        <v>2</v>
      </c>
      <c r="BH220" t="s">
        <v>37</v>
      </c>
      <c r="BI220" t="s">
        <v>143</v>
      </c>
      <c r="BJ220" t="s">
        <v>98</v>
      </c>
      <c r="BK220" t="s">
        <v>93</v>
      </c>
      <c r="BL220" t="s">
        <v>95</v>
      </c>
      <c r="BM220" t="s">
        <v>72</v>
      </c>
      <c r="BN220" t="s">
        <v>43</v>
      </c>
      <c r="BO220">
        <v>59.3</v>
      </c>
      <c r="BP220">
        <v>3</v>
      </c>
      <c r="BQ220">
        <v>446297.73</v>
      </c>
      <c r="BR220">
        <v>33324.642871</v>
      </c>
      <c r="BS220">
        <v>81983.249139</v>
      </c>
      <c r="BT220">
        <v>21732.707283</v>
      </c>
      <c r="BU220">
        <v>209400.312043</v>
      </c>
      <c r="BV220">
        <v>18155.63242</v>
      </c>
      <c r="BW220">
        <v>70276.106916</v>
      </c>
      <c r="BX220">
        <v>88431.739336</v>
      </c>
      <c r="BY220">
        <v>55057.350154</v>
      </c>
      <c r="BZ220">
        <v>379815.300518</v>
      </c>
      <c r="CA220">
        <v>434872.650672</v>
      </c>
      <c r="CB220">
        <v>11425.079328</v>
      </c>
      <c r="CC220">
        <v>0</v>
      </c>
      <c r="CD220">
        <v>149167.619521</v>
      </c>
      <c r="CE220">
        <v>366973.0584</v>
      </c>
      <c r="CF220">
        <v>112637.383297</v>
      </c>
      <c r="CG220">
        <v>34055.64</v>
      </c>
      <c r="CH220">
        <v>837601.248173</v>
      </c>
      <c r="CI220">
        <v>2975861.58142</v>
      </c>
      <c r="CJ220">
        <v>743978.4</v>
      </c>
    </row>
    <row r="221" ht="14.497499999999997" customHeight="1">
      <c r="BF221" t="s">
        <v>35</v>
      </c>
      <c r="BG221" t="s">
        <v>2</v>
      </c>
      <c r="BH221" t="s">
        <v>37</v>
      </c>
      <c r="BI221" t="s">
        <v>143</v>
      </c>
      <c r="BJ221" t="s">
        <v>100</v>
      </c>
      <c r="BK221" t="s">
        <v>93</v>
      </c>
      <c r="BL221" t="s">
        <v>94</v>
      </c>
      <c r="BM221" t="s">
        <v>42</v>
      </c>
      <c r="BN221" t="s">
        <v>67</v>
      </c>
      <c r="BO221">
        <v>84.920597</v>
      </c>
      <c r="BP221">
        <v>3</v>
      </c>
      <c r="BQ221">
        <v>723458.267422</v>
      </c>
      <c r="BR221">
        <v>46614.945452</v>
      </c>
      <c r="BS221">
        <v>133799.77884</v>
      </c>
      <c r="BT221">
        <v>67659.778317</v>
      </c>
      <c r="BU221">
        <v>250920.476084</v>
      </c>
      <c r="BV221">
        <v>18845.809336</v>
      </c>
      <c r="BW221">
        <v>72947.616543</v>
      </c>
      <c r="BX221">
        <v>91793.425879</v>
      </c>
      <c r="BY221">
        <v>114274.723769</v>
      </c>
      <c r="BZ221">
        <v>476513.680803</v>
      </c>
      <c r="CA221">
        <v>590788.404572</v>
      </c>
      <c r="CB221">
        <v>132669.86285</v>
      </c>
      <c r="CC221">
        <v>84.920597</v>
      </c>
      <c r="CD221">
        <v>186459.781808</v>
      </c>
      <c r="CE221">
        <v>535199.11536</v>
      </c>
      <c r="CF221">
        <v>146351.581975</v>
      </c>
      <c r="CG221">
        <v>73754.28</v>
      </c>
      <c r="CH221">
        <v>1254602.380422</v>
      </c>
      <c r="CI221">
        <v>2975861.58142</v>
      </c>
      <c r="CJ221">
        <v>743978.4</v>
      </c>
    </row>
    <row r="222" ht="14.497499999999997" customHeight="1">
      <c r="BF222" t="s">
        <v>35</v>
      </c>
      <c r="BG222" t="s">
        <v>2</v>
      </c>
      <c r="BH222" t="s">
        <v>37</v>
      </c>
      <c r="BI222" t="s">
        <v>143</v>
      </c>
      <c r="BJ222" t="s">
        <v>100</v>
      </c>
      <c r="BK222" t="s">
        <v>93</v>
      </c>
      <c r="BL222" t="s">
        <v>94</v>
      </c>
      <c r="BM222" t="s">
        <v>44</v>
      </c>
      <c r="BN222" t="s">
        <v>43</v>
      </c>
      <c r="BO222">
        <v>76.39</v>
      </c>
      <c r="BP222">
        <v>3</v>
      </c>
      <c r="BQ222">
        <v>600981.763648</v>
      </c>
      <c r="BR222">
        <v>37291.956362</v>
      </c>
      <c r="BS222">
        <v>107039.823072</v>
      </c>
      <c r="BT222">
        <v>28034.81634</v>
      </c>
      <c r="BU222">
        <v>250920.476084</v>
      </c>
      <c r="BV222">
        <v>18845.809336</v>
      </c>
      <c r="BW222">
        <v>72947.616543</v>
      </c>
      <c r="BX222">
        <v>91793.425879</v>
      </c>
      <c r="BY222">
        <v>65326.772702</v>
      </c>
      <c r="BZ222">
        <v>449753.725035</v>
      </c>
      <c r="CA222">
        <v>515080.497737</v>
      </c>
      <c r="CB222">
        <v>85901.265911</v>
      </c>
      <c r="CC222">
        <v>0</v>
      </c>
      <c r="CD222">
        <v>186459.781808</v>
      </c>
      <c r="CE222">
        <v>535199.11536</v>
      </c>
      <c r="CF222">
        <v>146351.581975</v>
      </c>
      <c r="CG222">
        <v>73754.28</v>
      </c>
      <c r="CH222">
        <v>1254602.380422</v>
      </c>
      <c r="CI222">
        <v>2975861.58142</v>
      </c>
      <c r="CJ222">
        <v>743978.4</v>
      </c>
    </row>
    <row r="223" ht="14.497499999999997" customHeight="1">
      <c r="BF223" t="s">
        <v>35</v>
      </c>
      <c r="BG223" t="s">
        <v>2</v>
      </c>
      <c r="BH223" t="s">
        <v>37</v>
      </c>
      <c r="BI223" t="s">
        <v>143</v>
      </c>
      <c r="BJ223" t="s">
        <v>100</v>
      </c>
      <c r="BK223" t="s">
        <v>93</v>
      </c>
      <c r="BL223" t="s">
        <v>94</v>
      </c>
      <c r="BM223" t="s">
        <v>50</v>
      </c>
      <c r="BN223" t="s">
        <v>43</v>
      </c>
      <c r="BO223">
        <v>74.38</v>
      </c>
      <c r="BP223">
        <v>3</v>
      </c>
      <c r="BQ223">
        <v>585168.524416</v>
      </c>
      <c r="BR223">
        <v>37291.956362</v>
      </c>
      <c r="BS223">
        <v>107039.823072</v>
      </c>
      <c r="BT223">
        <v>27297.058015</v>
      </c>
      <c r="BU223">
        <v>250920.476084</v>
      </c>
      <c r="BV223">
        <v>18845.809336</v>
      </c>
      <c r="BW223">
        <v>72947.616543</v>
      </c>
      <c r="BX223">
        <v>91793.425879</v>
      </c>
      <c r="BY223">
        <v>64589.014377</v>
      </c>
      <c r="BZ223">
        <v>449753.725035</v>
      </c>
      <c r="CA223">
        <v>514342.739412</v>
      </c>
      <c r="CB223">
        <v>70825.785004</v>
      </c>
      <c r="CC223">
        <v>0</v>
      </c>
      <c r="CD223">
        <v>186459.781808</v>
      </c>
      <c r="CE223">
        <v>535199.11536</v>
      </c>
      <c r="CF223">
        <v>146351.581975</v>
      </c>
      <c r="CG223">
        <v>73754.28</v>
      </c>
      <c r="CH223">
        <v>1254602.380422</v>
      </c>
      <c r="CI223">
        <v>2975861.58142</v>
      </c>
      <c r="CJ223">
        <v>743978.4</v>
      </c>
    </row>
    <row r="224" ht="14.497499999999997" customHeight="1">
      <c r="BF224" t="s">
        <v>35</v>
      </c>
      <c r="BG224" t="s">
        <v>2</v>
      </c>
      <c r="BH224" t="s">
        <v>37</v>
      </c>
      <c r="BI224" t="s">
        <v>143</v>
      </c>
      <c r="BJ224" t="s">
        <v>100</v>
      </c>
      <c r="BK224" t="s">
        <v>93</v>
      </c>
      <c r="BL224" t="s">
        <v>95</v>
      </c>
      <c r="BM224" t="s">
        <v>71</v>
      </c>
      <c r="BN224" t="s">
        <v>43</v>
      </c>
      <c r="BO224">
        <v>86.70186</v>
      </c>
      <c r="BP224">
        <v>3</v>
      </c>
      <c r="BQ224">
        <v>738633.260172</v>
      </c>
      <c r="BR224">
        <v>32630.461816</v>
      </c>
      <c r="BS224">
        <v>93659.845188</v>
      </c>
      <c r="BT224">
        <v>69079.026506</v>
      </c>
      <c r="BU224">
        <v>250920.476084</v>
      </c>
      <c r="BV224">
        <v>18845.809336</v>
      </c>
      <c r="BW224">
        <v>72947.616543</v>
      </c>
      <c r="BX224">
        <v>91793.425879</v>
      </c>
      <c r="BY224">
        <v>101709.488322</v>
      </c>
      <c r="BZ224">
        <v>436373.747151</v>
      </c>
      <c r="CA224">
        <v>538083.235473</v>
      </c>
      <c r="CB224">
        <v>200550.024699</v>
      </c>
      <c r="CC224">
        <v>86.70186</v>
      </c>
      <c r="CD224">
        <v>186459.781808</v>
      </c>
      <c r="CE224">
        <v>535199.11536</v>
      </c>
      <c r="CF224">
        <v>146351.581975</v>
      </c>
      <c r="CG224">
        <v>73754.28</v>
      </c>
      <c r="CH224">
        <v>1254602.380422</v>
      </c>
      <c r="CI224">
        <v>2975861.58142</v>
      </c>
      <c r="CJ224">
        <v>743978.4</v>
      </c>
    </row>
    <row r="225" ht="14.497499999999997" customHeight="1">
      <c r="BF225" t="s">
        <v>35</v>
      </c>
      <c r="BG225" t="s">
        <v>2</v>
      </c>
      <c r="BH225" t="s">
        <v>37</v>
      </c>
      <c r="BI225" t="s">
        <v>143</v>
      </c>
      <c r="BJ225" t="s">
        <v>100</v>
      </c>
      <c r="BK225" t="s">
        <v>93</v>
      </c>
      <c r="BL225" t="s">
        <v>95</v>
      </c>
      <c r="BM225" t="s">
        <v>72</v>
      </c>
      <c r="BN225" t="s">
        <v>43</v>
      </c>
      <c r="BO225">
        <v>76.39</v>
      </c>
      <c r="BP225">
        <v>3</v>
      </c>
      <c r="BQ225">
        <v>643909.03248</v>
      </c>
      <c r="BR225">
        <v>32630.461816</v>
      </c>
      <c r="BS225">
        <v>93659.845188</v>
      </c>
      <c r="BT225">
        <v>28034.81634</v>
      </c>
      <c r="BU225">
        <v>250920.476084</v>
      </c>
      <c r="BV225">
        <v>18845.809336</v>
      </c>
      <c r="BW225">
        <v>72947.616543</v>
      </c>
      <c r="BX225">
        <v>91793.425879</v>
      </c>
      <c r="BY225">
        <v>60665.278156</v>
      </c>
      <c r="BZ225">
        <v>436373.747151</v>
      </c>
      <c r="CA225">
        <v>497039.025307</v>
      </c>
      <c r="CB225">
        <v>146870.007173</v>
      </c>
      <c r="CC225">
        <v>0</v>
      </c>
      <c r="CD225">
        <v>186459.781808</v>
      </c>
      <c r="CE225">
        <v>535199.11536</v>
      </c>
      <c r="CF225">
        <v>146351.581975</v>
      </c>
      <c r="CG225">
        <v>73754.28</v>
      </c>
      <c r="CH225">
        <v>1254602.380422</v>
      </c>
      <c r="CI225">
        <v>2975861.58142</v>
      </c>
      <c r="CJ225">
        <v>743978.4</v>
      </c>
    </row>
    <row r="226" ht="14.497499999999997" customHeight="1">
      <c r="BF226" t="s">
        <v>35</v>
      </c>
      <c r="BG226" t="s">
        <v>2</v>
      </c>
      <c r="BH226" t="s">
        <v>37</v>
      </c>
      <c r="BI226" t="s">
        <v>143</v>
      </c>
      <c r="BJ226" t="s">
        <v>104</v>
      </c>
      <c r="BK226" t="s">
        <v>105</v>
      </c>
      <c r="BL226" t="s">
        <v>106</v>
      </c>
      <c r="BM226" t="s">
        <v>107</v>
      </c>
      <c r="BN226" t="s">
        <v>43</v>
      </c>
      <c r="BO226">
        <v>40.09082</v>
      </c>
      <c r="BP226">
        <v>2</v>
      </c>
      <c r="BQ226">
        <v>237545.733774</v>
      </c>
      <c r="BR226">
        <v>24510.939756</v>
      </c>
      <c r="BS226">
        <v>48018.417331</v>
      </c>
      <c r="BT226">
        <v>23670.418641</v>
      </c>
      <c r="BU226">
        <v>72140.223442</v>
      </c>
      <c r="BV226">
        <v>7653.88707</v>
      </c>
      <c r="BW226">
        <v>33789.329783</v>
      </c>
      <c r="BX226">
        <v>41443.216853</v>
      </c>
      <c r="BY226">
        <v>48181.358397</v>
      </c>
      <c r="BZ226">
        <v>161601.857626</v>
      </c>
      <c r="CA226">
        <v>209783.216023</v>
      </c>
      <c r="CB226">
        <v>27762.517751</v>
      </c>
      <c r="CC226">
        <v>40.09082</v>
      </c>
      <c r="CD226">
        <v>99444.73647</v>
      </c>
      <c r="CE226">
        <v>194818.2691</v>
      </c>
      <c r="CF226">
        <v>54403.580192</v>
      </c>
      <c r="CG226">
        <v>23725.44</v>
      </c>
      <c r="CH226">
        <v>360701.117209</v>
      </c>
      <c r="CI226">
        <v>2975861.58142</v>
      </c>
      <c r="CJ226">
        <v>743978.4</v>
      </c>
    </row>
    <row r="227" ht="14.497499999999997" customHeight="1">
      <c r="BF227" t="s">
        <v>35</v>
      </c>
      <c r="BG227" t="s">
        <v>2</v>
      </c>
      <c r="BH227" t="s">
        <v>37</v>
      </c>
      <c r="BI227" t="s">
        <v>143</v>
      </c>
      <c r="BJ227" t="s">
        <v>104</v>
      </c>
      <c r="BK227" t="s">
        <v>105</v>
      </c>
      <c r="BL227" t="s">
        <v>106</v>
      </c>
      <c r="BM227" t="s">
        <v>109</v>
      </c>
      <c r="BN227" t="s">
        <v>43</v>
      </c>
      <c r="BO227">
        <v>35.18</v>
      </c>
      <c r="BP227">
        <v>2</v>
      </c>
      <c r="BQ227">
        <v>205281.991236</v>
      </c>
      <c r="BR227">
        <v>24510.939756</v>
      </c>
      <c r="BS227">
        <v>48018.417331</v>
      </c>
      <c r="BT227">
        <v>10361.325058</v>
      </c>
      <c r="BU227">
        <v>72140.223442</v>
      </c>
      <c r="BV227">
        <v>7653.88707</v>
      </c>
      <c r="BW227">
        <v>33789.329783</v>
      </c>
      <c r="BX227">
        <v>41443.216853</v>
      </c>
      <c r="BY227">
        <v>34872.264814</v>
      </c>
      <c r="BZ227">
        <v>161601.857626</v>
      </c>
      <c r="CA227">
        <v>196474.12244</v>
      </c>
      <c r="CB227">
        <v>8807.868796</v>
      </c>
      <c r="CC227">
        <v>0</v>
      </c>
      <c r="CD227">
        <v>99444.73647</v>
      </c>
      <c r="CE227">
        <v>194818.2691</v>
      </c>
      <c r="CF227">
        <v>54403.580192</v>
      </c>
      <c r="CG227">
        <v>23725.44</v>
      </c>
      <c r="CH227">
        <v>360701.117209</v>
      </c>
      <c r="CI227">
        <v>2975861.58142</v>
      </c>
      <c r="CJ227">
        <v>743978.4</v>
      </c>
    </row>
    <row r="228" ht="14.497499999999997" customHeight="1">
      <c r="BF228" t="s">
        <v>35</v>
      </c>
      <c r="BG228" t="s">
        <v>2</v>
      </c>
      <c r="BH228" t="s">
        <v>37</v>
      </c>
      <c r="BI228" t="s">
        <v>143</v>
      </c>
      <c r="BJ228" t="s">
        <v>104</v>
      </c>
      <c r="BK228" t="s">
        <v>105</v>
      </c>
      <c r="BL228" t="s">
        <v>111</v>
      </c>
      <c r="BM228" t="s">
        <v>42</v>
      </c>
      <c r="BN228" t="s">
        <v>43</v>
      </c>
      <c r="BO228">
        <v>40.09082</v>
      </c>
      <c r="BP228">
        <v>2</v>
      </c>
      <c r="BQ228">
        <v>276535.327103</v>
      </c>
      <c r="BR228">
        <v>16807.55269</v>
      </c>
      <c r="BS228">
        <v>32927.014934</v>
      </c>
      <c r="BT228">
        <v>23670.418641</v>
      </c>
      <c r="BU228">
        <v>72140.223442</v>
      </c>
      <c r="BV228">
        <v>7653.88707</v>
      </c>
      <c r="BW228">
        <v>33789.329783</v>
      </c>
      <c r="BX228">
        <v>41443.216853</v>
      </c>
      <c r="BY228">
        <v>40477.971331</v>
      </c>
      <c r="BZ228">
        <v>146510.455229</v>
      </c>
      <c r="CA228">
        <v>186988.42656</v>
      </c>
      <c r="CB228">
        <v>89546.900543</v>
      </c>
      <c r="CC228">
        <v>40.09082</v>
      </c>
      <c r="CD228">
        <v>99444.73647</v>
      </c>
      <c r="CE228">
        <v>194818.2691</v>
      </c>
      <c r="CF228">
        <v>54403.580192</v>
      </c>
      <c r="CG228">
        <v>23725.44</v>
      </c>
      <c r="CH228">
        <v>360701.117209</v>
      </c>
      <c r="CI228">
        <v>2975861.58142</v>
      </c>
      <c r="CJ228">
        <v>743978.4</v>
      </c>
    </row>
    <row r="229" ht="14.497499999999997" customHeight="1">
      <c r="BF229" t="s">
        <v>35</v>
      </c>
      <c r="BG229" t="s">
        <v>2</v>
      </c>
      <c r="BH229" t="s">
        <v>37</v>
      </c>
      <c r="BI229" t="s">
        <v>143</v>
      </c>
      <c r="BJ229" t="s">
        <v>104</v>
      </c>
      <c r="BK229" t="s">
        <v>105</v>
      </c>
      <c r="BL229" t="s">
        <v>111</v>
      </c>
      <c r="BM229" t="s">
        <v>44</v>
      </c>
      <c r="BN229" t="s">
        <v>43</v>
      </c>
      <c r="BO229">
        <v>35.18</v>
      </c>
      <c r="BP229">
        <v>2</v>
      </c>
      <c r="BQ229">
        <v>239495.656442</v>
      </c>
      <c r="BR229">
        <v>16807.55269</v>
      </c>
      <c r="BS229">
        <v>32927.014934</v>
      </c>
      <c r="BT229">
        <v>10361.325058</v>
      </c>
      <c r="BU229">
        <v>72140.223442</v>
      </c>
      <c r="BV229">
        <v>7653.88707</v>
      </c>
      <c r="BW229">
        <v>33789.329783</v>
      </c>
      <c r="BX229">
        <v>41443.216853</v>
      </c>
      <c r="BY229">
        <v>27168.877748</v>
      </c>
      <c r="BZ229">
        <v>146510.455229</v>
      </c>
      <c r="CA229">
        <v>173679.332977</v>
      </c>
      <c r="CB229">
        <v>65816.323465</v>
      </c>
      <c r="CC229">
        <v>0</v>
      </c>
      <c r="CD229">
        <v>99444.73647</v>
      </c>
      <c r="CE229">
        <v>194818.2691</v>
      </c>
      <c r="CF229">
        <v>54403.580192</v>
      </c>
      <c r="CG229">
        <v>23725.44</v>
      </c>
      <c r="CH229">
        <v>360701.117209</v>
      </c>
      <c r="CI229">
        <v>2975861.58142</v>
      </c>
      <c r="CJ229">
        <v>743978.4</v>
      </c>
    </row>
    <row r="230" ht="14.497499999999997" customHeight="1">
      <c r="BF230" t="s">
        <v>35</v>
      </c>
      <c r="BG230" t="s">
        <v>2</v>
      </c>
      <c r="BH230" t="s">
        <v>37</v>
      </c>
      <c r="BI230" t="s">
        <v>143</v>
      </c>
      <c r="BJ230" t="s">
        <v>104</v>
      </c>
      <c r="BK230" t="s">
        <v>105</v>
      </c>
      <c r="BL230" t="s">
        <v>111</v>
      </c>
      <c r="BM230" t="s">
        <v>50</v>
      </c>
      <c r="BN230" t="s">
        <v>43</v>
      </c>
      <c r="BO230">
        <v>34.175</v>
      </c>
      <c r="BP230">
        <v>2</v>
      </c>
      <c r="BQ230">
        <v>232653.895933</v>
      </c>
      <c r="BR230">
        <v>16807.55269</v>
      </c>
      <c r="BS230">
        <v>32927.014934</v>
      </c>
      <c r="BT230">
        <v>10065.369582</v>
      </c>
      <c r="BU230">
        <v>72140.223442</v>
      </c>
      <c r="BV230">
        <v>7653.88707</v>
      </c>
      <c r="BW230">
        <v>33789.329783</v>
      </c>
      <c r="BX230">
        <v>41443.216853</v>
      </c>
      <c r="BY230">
        <v>26872.922272</v>
      </c>
      <c r="BZ230">
        <v>146510.455229</v>
      </c>
      <c r="CA230">
        <v>173383.377501</v>
      </c>
      <c r="CB230">
        <v>59270.518432</v>
      </c>
      <c r="CC230">
        <v>0</v>
      </c>
      <c r="CD230">
        <v>99444.73647</v>
      </c>
      <c r="CE230">
        <v>194818.2691</v>
      </c>
      <c r="CF230">
        <v>54403.580192</v>
      </c>
      <c r="CG230">
        <v>23725.44</v>
      </c>
      <c r="CH230">
        <v>360701.117209</v>
      </c>
      <c r="CI230">
        <v>2975861.58142</v>
      </c>
      <c r="CJ230">
        <v>743978.4</v>
      </c>
    </row>
    <row r="231" ht="14.497499999999997" customHeight="1">
      <c r="BF231" t="s">
        <v>35</v>
      </c>
      <c r="BG231" t="s">
        <v>2</v>
      </c>
      <c r="BH231" t="s">
        <v>37</v>
      </c>
      <c r="BI231" t="s">
        <v>143</v>
      </c>
      <c r="BJ231" t="s">
        <v>114</v>
      </c>
      <c r="BK231" t="s">
        <v>105</v>
      </c>
      <c r="BL231" t="s">
        <v>111</v>
      </c>
      <c r="BM231" t="s">
        <v>50</v>
      </c>
      <c r="BN231" t="s">
        <v>43</v>
      </c>
      <c r="BO231">
        <v>44.225</v>
      </c>
      <c r="BP231">
        <v>2</v>
      </c>
      <c r="BQ231">
        <v>325902.140288</v>
      </c>
      <c r="BR231">
        <v>16807.55269</v>
      </c>
      <c r="BS231">
        <v>43476.328831</v>
      </c>
      <c r="BT231">
        <v>13014.42302</v>
      </c>
      <c r="BU231">
        <v>111677.370451</v>
      </c>
      <c r="BV231">
        <v>9818.13059</v>
      </c>
      <c r="BW231">
        <v>43343.73493</v>
      </c>
      <c r="BX231">
        <v>53161.86552</v>
      </c>
      <c r="BY231">
        <v>29821.97571</v>
      </c>
      <c r="BZ231">
        <v>208315.564802</v>
      </c>
      <c r="CA231">
        <v>238137.540512</v>
      </c>
      <c r="CB231">
        <v>87764.599776</v>
      </c>
      <c r="CC231">
        <v>0</v>
      </c>
      <c r="CD231">
        <v>99444.73647</v>
      </c>
      <c r="CE231">
        <v>257235.0742</v>
      </c>
      <c r="CF231">
        <v>69728.590365</v>
      </c>
      <c r="CG231">
        <v>39540.96</v>
      </c>
      <c r="CH231">
        <v>558386.852255</v>
      </c>
      <c r="CI231">
        <v>2975861.58142</v>
      </c>
      <c r="CJ231">
        <v>743978.4</v>
      </c>
    </row>
    <row r="232" ht="14.497499999999997" customHeight="1">
      <c r="BF232" t="s">
        <v>35</v>
      </c>
      <c r="BG232" t="s">
        <v>2</v>
      </c>
      <c r="BH232" t="s">
        <v>37</v>
      </c>
      <c r="BI232" t="s">
        <v>143</v>
      </c>
      <c r="BJ232" t="s">
        <v>114</v>
      </c>
      <c r="BK232" t="s">
        <v>105</v>
      </c>
      <c r="BL232" t="s">
        <v>111</v>
      </c>
      <c r="BM232" t="s">
        <v>44</v>
      </c>
      <c r="BN232" t="s">
        <v>43</v>
      </c>
      <c r="BO232">
        <v>45.23</v>
      </c>
      <c r="BP232">
        <v>2</v>
      </c>
      <c r="BQ232">
        <v>333308.169705</v>
      </c>
      <c r="BR232">
        <v>16807.55269</v>
      </c>
      <c r="BS232">
        <v>43476.328831</v>
      </c>
      <c r="BT232">
        <v>13310.2117</v>
      </c>
      <c r="BU232">
        <v>111677.370451</v>
      </c>
      <c r="BV232">
        <v>9818.13059</v>
      </c>
      <c r="BW232">
        <v>43343.73493</v>
      </c>
      <c r="BX232">
        <v>53161.86552</v>
      </c>
      <c r="BY232">
        <v>30117.76439</v>
      </c>
      <c r="BZ232">
        <v>208315.564802</v>
      </c>
      <c r="CA232">
        <v>238433.329192</v>
      </c>
      <c r="CB232">
        <v>94874.840513</v>
      </c>
      <c r="CC232">
        <v>0</v>
      </c>
      <c r="CD232">
        <v>99444.73647</v>
      </c>
      <c r="CE232">
        <v>257235.0742</v>
      </c>
      <c r="CF232">
        <v>69728.590365</v>
      </c>
      <c r="CG232">
        <v>39540.96</v>
      </c>
      <c r="CH232">
        <v>558386.852255</v>
      </c>
      <c r="CI232">
        <v>2975861.58142</v>
      </c>
      <c r="CJ232">
        <v>743978.4</v>
      </c>
    </row>
    <row r="233" ht="14.497499999999997" customHeight="1">
      <c r="BF233" t="s">
        <v>35</v>
      </c>
      <c r="BG233" t="s">
        <v>2</v>
      </c>
      <c r="BH233" t="s">
        <v>37</v>
      </c>
      <c r="BI233" t="s">
        <v>143</v>
      </c>
      <c r="BJ233" t="s">
        <v>114</v>
      </c>
      <c r="BK233" t="s">
        <v>105</v>
      </c>
      <c r="BL233" t="s">
        <v>106</v>
      </c>
      <c r="BM233" t="s">
        <v>107</v>
      </c>
      <c r="BN233" t="s">
        <v>43</v>
      </c>
      <c r="BO233">
        <v>51.131266</v>
      </c>
      <c r="BP233">
        <v>2</v>
      </c>
      <c r="BQ233">
        <v>327569.541147</v>
      </c>
      <c r="BR233">
        <v>24510.939756</v>
      </c>
      <c r="BS233">
        <v>63402.786619</v>
      </c>
      <c r="BT233">
        <v>34817.282243</v>
      </c>
      <c r="BU233">
        <v>111677.370451</v>
      </c>
      <c r="BV233">
        <v>9818.13059</v>
      </c>
      <c r="BW233">
        <v>43343.73493</v>
      </c>
      <c r="BX233">
        <v>53161.86552</v>
      </c>
      <c r="BY233">
        <v>59328.221999</v>
      </c>
      <c r="BZ233">
        <v>228242.02259</v>
      </c>
      <c r="CA233">
        <v>287570.244589</v>
      </c>
      <c r="CB233">
        <v>39999.296558</v>
      </c>
      <c r="CC233">
        <v>51.131266</v>
      </c>
      <c r="CD233">
        <v>99444.73647</v>
      </c>
      <c r="CE233">
        <v>257235.0742</v>
      </c>
      <c r="CF233">
        <v>69728.590365</v>
      </c>
      <c r="CG233">
        <v>39540.96</v>
      </c>
      <c r="CH233">
        <v>558386.852255</v>
      </c>
      <c r="CI233">
        <v>2975861.58142</v>
      </c>
      <c r="CJ233">
        <v>743978.4</v>
      </c>
    </row>
    <row r="234" ht="14.497499999999997" customHeight="1">
      <c r="BF234" t="s">
        <v>35</v>
      </c>
      <c r="BG234" t="s">
        <v>2</v>
      </c>
      <c r="BH234" t="s">
        <v>37</v>
      </c>
      <c r="BI234" t="s">
        <v>143</v>
      </c>
      <c r="BJ234" t="s">
        <v>114</v>
      </c>
      <c r="BK234" t="s">
        <v>105</v>
      </c>
      <c r="BL234" t="s">
        <v>106</v>
      </c>
      <c r="BM234" t="s">
        <v>109</v>
      </c>
      <c r="BN234" t="s">
        <v>43</v>
      </c>
      <c r="BO234">
        <v>45.23</v>
      </c>
      <c r="BP234">
        <v>2</v>
      </c>
      <c r="BQ234">
        <v>285692.71689</v>
      </c>
      <c r="BR234">
        <v>24510.939756</v>
      </c>
      <c r="BS234">
        <v>63402.786619</v>
      </c>
      <c r="BT234">
        <v>13310.2117</v>
      </c>
      <c r="BU234">
        <v>111677.370451</v>
      </c>
      <c r="BV234">
        <v>9818.13059</v>
      </c>
      <c r="BW234">
        <v>43343.73493</v>
      </c>
      <c r="BX234">
        <v>53161.86552</v>
      </c>
      <c r="BY234">
        <v>37821.151456</v>
      </c>
      <c r="BZ234">
        <v>228242.02259</v>
      </c>
      <c r="CA234">
        <v>266063.174046</v>
      </c>
      <c r="CB234">
        <v>19629.542844</v>
      </c>
      <c r="CC234">
        <v>0</v>
      </c>
      <c r="CD234">
        <v>99444.73647</v>
      </c>
      <c r="CE234">
        <v>257235.0742</v>
      </c>
      <c r="CF234">
        <v>69728.590365</v>
      </c>
      <c r="CG234">
        <v>39540.96</v>
      </c>
      <c r="CH234">
        <v>558386.852255</v>
      </c>
      <c r="CI234">
        <v>2975861.58142</v>
      </c>
      <c r="CJ234">
        <v>743978.4</v>
      </c>
    </row>
    <row r="235" ht="14.497499999999997" customHeight="1">
      <c r="BF235" t="s">
        <v>35</v>
      </c>
      <c r="BG235" t="s">
        <v>2</v>
      </c>
      <c r="BH235" t="s">
        <v>37</v>
      </c>
      <c r="BI235" t="s">
        <v>143</v>
      </c>
      <c r="BJ235" t="s">
        <v>114</v>
      </c>
      <c r="BK235" t="s">
        <v>105</v>
      </c>
      <c r="BL235" t="s">
        <v>111</v>
      </c>
      <c r="BM235" t="s">
        <v>42</v>
      </c>
      <c r="BN235" t="s">
        <v>43</v>
      </c>
      <c r="BO235">
        <v>51.131266</v>
      </c>
      <c r="BP235">
        <v>2</v>
      </c>
      <c r="BQ235">
        <v>381397.495681</v>
      </c>
      <c r="BR235">
        <v>16807.55269</v>
      </c>
      <c r="BS235">
        <v>43476.328831</v>
      </c>
      <c r="BT235">
        <v>34817.282243</v>
      </c>
      <c r="BU235">
        <v>111677.370451</v>
      </c>
      <c r="BV235">
        <v>9818.13059</v>
      </c>
      <c r="BW235">
        <v>43343.73493</v>
      </c>
      <c r="BX235">
        <v>53161.86552</v>
      </c>
      <c r="BY235">
        <v>51624.834933</v>
      </c>
      <c r="BZ235">
        <v>208315.564802</v>
      </c>
      <c r="CA235">
        <v>259940.399735</v>
      </c>
      <c r="CB235">
        <v>121457.095946</v>
      </c>
      <c r="CC235">
        <v>51.131266</v>
      </c>
      <c r="CD235">
        <v>99444.73647</v>
      </c>
      <c r="CE235">
        <v>257235.0742</v>
      </c>
      <c r="CF235">
        <v>69728.590365</v>
      </c>
      <c r="CG235">
        <v>39540.96</v>
      </c>
      <c r="CH235">
        <v>558386.852255</v>
      </c>
      <c r="CI235">
        <v>2975861.58142</v>
      </c>
      <c r="CJ235">
        <v>743978.4</v>
      </c>
    </row>
    <row r="236" ht="14.497499999999997" customHeight="1">
      <c r="BF236" t="s">
        <v>35</v>
      </c>
      <c r="BG236" t="s">
        <v>2</v>
      </c>
      <c r="BH236" t="s">
        <v>37</v>
      </c>
      <c r="BI236" t="s">
        <v>143</v>
      </c>
      <c r="BJ236" t="s">
        <v>116</v>
      </c>
      <c r="BK236" t="s">
        <v>117</v>
      </c>
      <c r="BL236" t="s">
        <v>118</v>
      </c>
      <c r="BM236" t="s">
        <v>42</v>
      </c>
      <c r="BN236" t="s">
        <v>43</v>
      </c>
      <c r="BO236">
        <v>44.464881</v>
      </c>
      <c r="BP236">
        <v>2</v>
      </c>
      <c r="BQ236">
        <v>331813.872025</v>
      </c>
      <c r="BR236">
        <v>24861.416664</v>
      </c>
      <c r="BS236">
        <v>66073.3571</v>
      </c>
      <c r="BT236">
        <v>36713.946049</v>
      </c>
      <c r="BU236">
        <v>129716.412698</v>
      </c>
      <c r="BV236">
        <v>9566.719342</v>
      </c>
      <c r="BW236">
        <v>37151.782512</v>
      </c>
      <c r="BX236">
        <v>46718.501854</v>
      </c>
      <c r="BY236">
        <v>61575.362713</v>
      </c>
      <c r="BZ236">
        <v>242508.271652</v>
      </c>
      <c r="CA236">
        <v>304083.634365</v>
      </c>
      <c r="CB236">
        <v>27730.23766</v>
      </c>
      <c r="CC236">
        <v>44.464881</v>
      </c>
      <c r="CD236">
        <v>74584.324575</v>
      </c>
      <c r="CE236">
        <v>198220.26952</v>
      </c>
      <c r="CF236">
        <v>44824.934018</v>
      </c>
      <c r="CG236">
        <v>20358</v>
      </c>
      <c r="CH236">
        <v>389149.627243</v>
      </c>
      <c r="CI236">
        <v>2975861.58142</v>
      </c>
      <c r="CJ236">
        <v>743978.4</v>
      </c>
    </row>
    <row r="237" ht="14.497499999999997" customHeight="1">
      <c r="BF237" t="s">
        <v>35</v>
      </c>
      <c r="BG237" t="s">
        <v>2</v>
      </c>
      <c r="BH237" t="s">
        <v>37</v>
      </c>
      <c r="BI237" t="s">
        <v>143</v>
      </c>
      <c r="BJ237" t="s">
        <v>116</v>
      </c>
      <c r="BK237" t="s">
        <v>117</v>
      </c>
      <c r="BL237" t="s">
        <v>118</v>
      </c>
      <c r="BM237" t="s">
        <v>44</v>
      </c>
      <c r="BN237" t="s">
        <v>43</v>
      </c>
      <c r="BO237">
        <v>39.2</v>
      </c>
      <c r="BP237">
        <v>2</v>
      </c>
      <c r="BQ237">
        <v>288997.3254</v>
      </c>
      <c r="BR237">
        <v>24861.416664</v>
      </c>
      <c r="BS237">
        <v>66073.3571</v>
      </c>
      <c r="BT237">
        <v>14419.284775</v>
      </c>
      <c r="BU237">
        <v>129716.412698</v>
      </c>
      <c r="BV237">
        <v>9566.719342</v>
      </c>
      <c r="BW237">
        <v>37151.782512</v>
      </c>
      <c r="BX237">
        <v>46718.501854</v>
      </c>
      <c r="BY237">
        <v>39280.701439</v>
      </c>
      <c r="BZ237">
        <v>242508.271652</v>
      </c>
      <c r="CA237">
        <v>281788.973091</v>
      </c>
      <c r="CB237">
        <v>7208.352309</v>
      </c>
      <c r="CC237">
        <v>0</v>
      </c>
      <c r="CD237">
        <v>74584.324575</v>
      </c>
      <c r="CE237">
        <v>198220.26952</v>
      </c>
      <c r="CF237">
        <v>44824.934018</v>
      </c>
      <c r="CG237">
        <v>20358</v>
      </c>
      <c r="CH237">
        <v>389149.627243</v>
      </c>
      <c r="CI237">
        <v>2975861.58142</v>
      </c>
      <c r="CJ237">
        <v>743978.4</v>
      </c>
    </row>
    <row r="238" ht="14.497499999999997" customHeight="1">
      <c r="BF238" t="s">
        <v>35</v>
      </c>
      <c r="BG238" t="s">
        <v>2</v>
      </c>
      <c r="BH238" t="s">
        <v>37</v>
      </c>
      <c r="BI238" t="s">
        <v>143</v>
      </c>
      <c r="BJ238" t="s">
        <v>116</v>
      </c>
      <c r="BK238" t="s">
        <v>117</v>
      </c>
      <c r="BL238" t="s">
        <v>118</v>
      </c>
      <c r="BM238" t="s">
        <v>50</v>
      </c>
      <c r="BN238" t="s">
        <v>43</v>
      </c>
      <c r="BO238">
        <v>38.195</v>
      </c>
      <c r="BP238">
        <v>2</v>
      </c>
      <c r="BQ238">
        <v>281588.082746</v>
      </c>
      <c r="BR238">
        <v>24861.416664</v>
      </c>
      <c r="BS238">
        <v>66073.3571</v>
      </c>
      <c r="BT238">
        <v>14049.613544</v>
      </c>
      <c r="BU238">
        <v>129716.412698</v>
      </c>
      <c r="BV238">
        <v>9566.719342</v>
      </c>
      <c r="BW238">
        <v>37151.782512</v>
      </c>
      <c r="BX238">
        <v>46718.501854</v>
      </c>
      <c r="BY238">
        <v>38911.030208</v>
      </c>
      <c r="BZ238">
        <v>242508.271652</v>
      </c>
      <c r="CA238">
        <v>281419.30186</v>
      </c>
      <c r="CB238">
        <v>168.780886</v>
      </c>
      <c r="CC238">
        <v>0</v>
      </c>
      <c r="CD238">
        <v>74584.324575</v>
      </c>
      <c r="CE238">
        <v>198220.26952</v>
      </c>
      <c r="CF238">
        <v>44824.934018</v>
      </c>
      <c r="CG238">
        <v>20358</v>
      </c>
      <c r="CH238">
        <v>389149.627243</v>
      </c>
      <c r="CI238">
        <v>2975861.58142</v>
      </c>
      <c r="CJ238">
        <v>743978.4</v>
      </c>
    </row>
    <row r="239" ht="14.497499999999997" customHeight="1">
      <c r="BF239" t="s">
        <v>35</v>
      </c>
      <c r="BG239" t="s">
        <v>2</v>
      </c>
      <c r="BH239" t="s">
        <v>37</v>
      </c>
      <c r="BI239" t="s">
        <v>143</v>
      </c>
      <c r="BJ239" t="s">
        <v>119</v>
      </c>
      <c r="BK239" t="s">
        <v>117</v>
      </c>
      <c r="BL239" t="s">
        <v>118</v>
      </c>
      <c r="BM239" t="s">
        <v>42</v>
      </c>
      <c r="BN239" t="s">
        <v>43</v>
      </c>
      <c r="BO239">
        <v>52.095305</v>
      </c>
      <c r="BP239">
        <v>2</v>
      </c>
      <c r="BQ239">
        <v>414359.429447</v>
      </c>
      <c r="BR239">
        <v>24861.416664</v>
      </c>
      <c r="BS239">
        <v>79370.553183</v>
      </c>
      <c r="BT239">
        <v>51844.833031</v>
      </c>
      <c r="BU239">
        <v>173558.472793</v>
      </c>
      <c r="BV239">
        <v>11270.338018</v>
      </c>
      <c r="BW239">
        <v>43767.683771</v>
      </c>
      <c r="BX239">
        <v>55038.021789</v>
      </c>
      <c r="BY239">
        <v>76706.249695</v>
      </c>
      <c r="BZ239">
        <v>307967.047765</v>
      </c>
      <c r="CA239">
        <v>384673.29746</v>
      </c>
      <c r="CB239">
        <v>29686.131987</v>
      </c>
      <c r="CC239">
        <v>52.095305</v>
      </c>
      <c r="CD239">
        <v>74584.324575</v>
      </c>
      <c r="CE239">
        <v>238111.89766</v>
      </c>
      <c r="CF239">
        <v>52870.461396</v>
      </c>
      <c r="CG239">
        <v>32659.2</v>
      </c>
      <c r="CH239">
        <v>520675.939055</v>
      </c>
      <c r="CI239">
        <v>2975861.58142</v>
      </c>
      <c r="CJ239">
        <v>743978.4</v>
      </c>
    </row>
    <row r="240" ht="14.497499999999997" customHeight="1">
      <c r="BF240" t="s">
        <v>35</v>
      </c>
      <c r="BG240" t="s">
        <v>2</v>
      </c>
      <c r="BH240" t="s">
        <v>37</v>
      </c>
      <c r="BI240" t="s">
        <v>143</v>
      </c>
      <c r="BJ240" t="s">
        <v>119</v>
      </c>
      <c r="BK240" t="s">
        <v>117</v>
      </c>
      <c r="BL240" t="s">
        <v>118</v>
      </c>
      <c r="BM240" t="s">
        <v>44</v>
      </c>
      <c r="BN240" t="s">
        <v>43</v>
      </c>
      <c r="BO240">
        <v>46.235</v>
      </c>
      <c r="BP240">
        <v>2</v>
      </c>
      <c r="BQ240">
        <v>363586.158908</v>
      </c>
      <c r="BR240">
        <v>24861.416664</v>
      </c>
      <c r="BS240">
        <v>79370.553183</v>
      </c>
      <c r="BT240">
        <v>17027.407927</v>
      </c>
      <c r="BU240">
        <v>173558.472793</v>
      </c>
      <c r="BV240">
        <v>11270.338018</v>
      </c>
      <c r="BW240">
        <v>43767.683771</v>
      </c>
      <c r="BX240">
        <v>55038.021789</v>
      </c>
      <c r="BY240">
        <v>41888.824591</v>
      </c>
      <c r="BZ240">
        <v>307967.047765</v>
      </c>
      <c r="CA240">
        <v>349855.872356</v>
      </c>
      <c r="CB240">
        <v>13730.286552</v>
      </c>
      <c r="CC240">
        <v>0</v>
      </c>
      <c r="CD240">
        <v>74584.324575</v>
      </c>
      <c r="CE240">
        <v>238111.89766</v>
      </c>
      <c r="CF240">
        <v>52870.461396</v>
      </c>
      <c r="CG240">
        <v>32659.2</v>
      </c>
      <c r="CH240">
        <v>520675.939055</v>
      </c>
      <c r="CI240">
        <v>2975861.58142</v>
      </c>
      <c r="CJ240">
        <v>743978.4</v>
      </c>
    </row>
    <row r="241" ht="14.497499999999997" customHeight="1">
      <c r="BF241" t="s">
        <v>35</v>
      </c>
      <c r="BG241" t="s">
        <v>2</v>
      </c>
      <c r="BH241" t="s">
        <v>37</v>
      </c>
      <c r="BI241" t="s">
        <v>143</v>
      </c>
      <c r="BJ241" t="s">
        <v>119</v>
      </c>
      <c r="BK241" t="s">
        <v>117</v>
      </c>
      <c r="BL241" t="s">
        <v>118</v>
      </c>
      <c r="BM241" t="s">
        <v>50</v>
      </c>
      <c r="BN241" t="s">
        <v>43</v>
      </c>
      <c r="BO241">
        <v>45.23</v>
      </c>
      <c r="BP241">
        <v>2</v>
      </c>
      <c r="BQ241">
        <v>355682.966744</v>
      </c>
      <c r="BR241">
        <v>24861.416664</v>
      </c>
      <c r="BS241">
        <v>79370.553183</v>
      </c>
      <c r="BT241">
        <v>16657.314697</v>
      </c>
      <c r="BU241">
        <v>173558.472793</v>
      </c>
      <c r="BV241">
        <v>11270.338018</v>
      </c>
      <c r="BW241">
        <v>43767.683771</v>
      </c>
      <c r="BX241">
        <v>55038.021789</v>
      </c>
      <c r="BY241">
        <v>41518.731361</v>
      </c>
      <c r="BZ241">
        <v>307967.047765</v>
      </c>
      <c r="CA241">
        <v>349485.779126</v>
      </c>
      <c r="CB241">
        <v>6197.187618</v>
      </c>
      <c r="CC241">
        <v>0</v>
      </c>
      <c r="CD241">
        <v>74584.324575</v>
      </c>
      <c r="CE241">
        <v>238111.89766</v>
      </c>
      <c r="CF241">
        <v>52870.461396</v>
      </c>
      <c r="CG241">
        <v>32659.2</v>
      </c>
      <c r="CH241">
        <v>520675.939055</v>
      </c>
      <c r="CI241">
        <v>2975861.58142</v>
      </c>
      <c r="CJ241">
        <v>743978.4</v>
      </c>
    </row>
    <row r="242" ht="14.497499999999997" customHeight="1">
      <c r="BF242" t="s">
        <v>35</v>
      </c>
      <c r="BG242" t="s">
        <v>144</v>
      </c>
      <c r="BH242" t="s">
        <v>37</v>
      </c>
      <c r="BI242" t="s">
        <v>143</v>
      </c>
      <c r="BJ242" t="s">
        <v>39</v>
      </c>
      <c r="BK242" t="s">
        <v>40</v>
      </c>
      <c r="BL242" t="s">
        <v>41</v>
      </c>
      <c r="BM242" t="s">
        <v>42</v>
      </c>
      <c r="BN242" t="s">
        <v>43</v>
      </c>
      <c r="BO242">
        <v>52.169789</v>
      </c>
      <c r="BP242">
        <v>2</v>
      </c>
      <c r="BQ242">
        <v>363159.77033</v>
      </c>
      <c r="BR242">
        <v>27188.655907</v>
      </c>
      <c r="BS242">
        <v>47657.770328</v>
      </c>
      <c r="BT242">
        <v>37073.51251</v>
      </c>
      <c r="BU242">
        <v>92366.628018</v>
      </c>
      <c r="BV242">
        <v>8880.114186</v>
      </c>
      <c r="BW242">
        <v>36200.547753</v>
      </c>
      <c r="BX242">
        <v>45080.661939</v>
      </c>
      <c r="BY242">
        <v>64262.168417</v>
      </c>
      <c r="BZ242">
        <v>185105.060285</v>
      </c>
      <c r="CA242">
        <v>249367.228702</v>
      </c>
      <c r="CB242">
        <v>113792.541628</v>
      </c>
      <c r="CC242">
        <v>52.169789</v>
      </c>
      <c r="CD242">
        <v>81566.049288</v>
      </c>
      <c r="CE242">
        <v>142973.453958</v>
      </c>
      <c r="CF242">
        <v>49020.927631</v>
      </c>
      <c r="CG242">
        <v>17454.7</v>
      </c>
      <c r="CH242">
        <v>277100.161154</v>
      </c>
      <c r="CI242">
        <v>2894009.992738</v>
      </c>
      <c r="CJ242">
        <v>777795.6</v>
      </c>
    </row>
    <row r="243" ht="14.497499999999997" customHeight="1">
      <c r="BF243" t="s">
        <v>35</v>
      </c>
      <c r="BG243" t="s">
        <v>144</v>
      </c>
      <c r="BH243" t="s">
        <v>37</v>
      </c>
      <c r="BI243" t="s">
        <v>143</v>
      </c>
      <c r="BJ243" t="s">
        <v>39</v>
      </c>
      <c r="BK243" t="s">
        <v>40</v>
      </c>
      <c r="BL243" t="s">
        <v>41</v>
      </c>
      <c r="BM243" t="s">
        <v>44</v>
      </c>
      <c r="BN243" t="s">
        <v>43</v>
      </c>
      <c r="BO243">
        <v>39.6</v>
      </c>
      <c r="BP243">
        <v>2</v>
      </c>
      <c r="BQ243">
        <v>272096.055</v>
      </c>
      <c r="BR243">
        <v>27188.655907</v>
      </c>
      <c r="BS243">
        <v>47657.770328</v>
      </c>
      <c r="BT243">
        <v>14891.871521</v>
      </c>
      <c r="BU243">
        <v>92366.628018</v>
      </c>
      <c r="BV243">
        <v>8880.114186</v>
      </c>
      <c r="BW243">
        <v>36200.547753</v>
      </c>
      <c r="BX243">
        <v>45080.661939</v>
      </c>
      <c r="BY243">
        <v>42080.527428</v>
      </c>
      <c r="BZ243">
        <v>185105.060285</v>
      </c>
      <c r="CA243">
        <v>227185.587713</v>
      </c>
      <c r="CB243">
        <v>44910.467287</v>
      </c>
      <c r="CC243">
        <v>0</v>
      </c>
      <c r="CD243">
        <v>81566.049288</v>
      </c>
      <c r="CE243">
        <v>142973.453958</v>
      </c>
      <c r="CF243">
        <v>49020.927631</v>
      </c>
      <c r="CG243">
        <v>17454.7</v>
      </c>
      <c r="CH243">
        <v>277100.161154</v>
      </c>
      <c r="CI243">
        <v>2894009.992738</v>
      </c>
      <c r="CJ243">
        <v>777795.6</v>
      </c>
    </row>
    <row r="244" ht="14.497499999999997" customHeight="1">
      <c r="BF244" t="s">
        <v>35</v>
      </c>
      <c r="BG244" t="s">
        <v>144</v>
      </c>
      <c r="BH244" t="s">
        <v>37</v>
      </c>
      <c r="BI244" t="s">
        <v>143</v>
      </c>
      <c r="BJ244" t="s">
        <v>39</v>
      </c>
      <c r="BK244" t="s">
        <v>40</v>
      </c>
      <c r="BL244" t="s">
        <v>41</v>
      </c>
      <c r="BM244" t="s">
        <v>50</v>
      </c>
      <c r="BN244" t="s">
        <v>43</v>
      </c>
      <c r="BO244">
        <v>38.585</v>
      </c>
      <c r="BP244">
        <v>2</v>
      </c>
      <c r="BQ244">
        <v>265121.875813</v>
      </c>
      <c r="BR244">
        <v>27188.655907</v>
      </c>
      <c r="BS244">
        <v>47657.770328</v>
      </c>
      <c r="BT244">
        <v>14510.145558</v>
      </c>
      <c r="BU244">
        <v>92366.628018</v>
      </c>
      <c r="BV244">
        <v>8880.114186</v>
      </c>
      <c r="BW244">
        <v>36200.547753</v>
      </c>
      <c r="BX244">
        <v>45080.661939</v>
      </c>
      <c r="BY244">
        <v>41698.801465</v>
      </c>
      <c r="BZ244">
        <v>185105.060285</v>
      </c>
      <c r="CA244">
        <v>226803.86175</v>
      </c>
      <c r="CB244">
        <v>38318.014063</v>
      </c>
      <c r="CC244">
        <v>0</v>
      </c>
      <c r="CD244">
        <v>81566.049288</v>
      </c>
      <c r="CE244">
        <v>142973.453958</v>
      </c>
      <c r="CF244">
        <v>49020.927631</v>
      </c>
      <c r="CG244">
        <v>17454.7</v>
      </c>
      <c r="CH244">
        <v>277100.161154</v>
      </c>
      <c r="CI244">
        <v>2894009.992738</v>
      </c>
      <c r="CJ244">
        <v>777795.6</v>
      </c>
    </row>
    <row r="245" ht="14.497499999999997" customHeight="1">
      <c r="BF245" t="s">
        <v>35</v>
      </c>
      <c r="BG245" t="s">
        <v>144</v>
      </c>
      <c r="BH245" t="s">
        <v>37</v>
      </c>
      <c r="BI245" t="s">
        <v>143</v>
      </c>
      <c r="BJ245" t="s">
        <v>53</v>
      </c>
      <c r="BK245" t="s">
        <v>40</v>
      </c>
      <c r="BL245" t="s">
        <v>41</v>
      </c>
      <c r="BM245" t="s">
        <v>42</v>
      </c>
      <c r="BN245" t="s">
        <v>43</v>
      </c>
      <c r="BO245">
        <v>65.044833</v>
      </c>
      <c r="BP245">
        <v>2</v>
      </c>
      <c r="BQ245">
        <v>476307.050851</v>
      </c>
      <c r="BR245">
        <v>27188.655907</v>
      </c>
      <c r="BS245">
        <v>58897.533148</v>
      </c>
      <c r="BT245">
        <v>49490.203686</v>
      </c>
      <c r="BU245">
        <v>131647.632756</v>
      </c>
      <c r="BV245">
        <v>11002.822571</v>
      </c>
      <c r="BW245">
        <v>44853.950701</v>
      </c>
      <c r="BX245">
        <v>55856.773272</v>
      </c>
      <c r="BY245">
        <v>76678.859593</v>
      </c>
      <c r="BZ245">
        <v>246401.939176</v>
      </c>
      <c r="CA245">
        <v>323080.798769</v>
      </c>
      <c r="CB245">
        <v>153226.252082</v>
      </c>
      <c r="CC245">
        <v>65.044833</v>
      </c>
      <c r="CD245">
        <v>81566.049288</v>
      </c>
      <c r="CE245">
        <v>176692.776138</v>
      </c>
      <c r="CF245">
        <v>60752.845513</v>
      </c>
      <c r="CG245">
        <v>25024</v>
      </c>
      <c r="CH245">
        <v>394943.29321</v>
      </c>
      <c r="CI245">
        <v>2894009.992738</v>
      </c>
      <c r="CJ245">
        <v>777795.6</v>
      </c>
    </row>
    <row r="246" ht="14.497499999999997" customHeight="1">
      <c r="BF246" t="s">
        <v>35</v>
      </c>
      <c r="BG246" t="s">
        <v>144</v>
      </c>
      <c r="BH246" t="s">
        <v>37</v>
      </c>
      <c r="BI246" t="s">
        <v>143</v>
      </c>
      <c r="BJ246" t="s">
        <v>53</v>
      </c>
      <c r="BK246" t="s">
        <v>40</v>
      </c>
      <c r="BL246" t="s">
        <v>41</v>
      </c>
      <c r="BM246" t="s">
        <v>44</v>
      </c>
      <c r="BN246" t="s">
        <v>43</v>
      </c>
      <c r="BO246">
        <v>48.75</v>
      </c>
      <c r="BP246">
        <v>2</v>
      </c>
      <c r="BQ246">
        <v>352596.5625</v>
      </c>
      <c r="BR246">
        <v>27188.655907</v>
      </c>
      <c r="BS246">
        <v>58897.533148</v>
      </c>
      <c r="BT246">
        <v>18336.970608</v>
      </c>
      <c r="BU246">
        <v>131647.632756</v>
      </c>
      <c r="BV246">
        <v>11002.822571</v>
      </c>
      <c r="BW246">
        <v>44853.950701</v>
      </c>
      <c r="BX246">
        <v>55856.773272</v>
      </c>
      <c r="BY246">
        <v>45525.626515</v>
      </c>
      <c r="BZ246">
        <v>246401.939176</v>
      </c>
      <c r="CA246">
        <v>291927.565691</v>
      </c>
      <c r="CB246">
        <v>60668.996809</v>
      </c>
      <c r="CC246">
        <v>0</v>
      </c>
      <c r="CD246">
        <v>81566.049288</v>
      </c>
      <c r="CE246">
        <v>176692.776138</v>
      </c>
      <c r="CF246">
        <v>60752.845513</v>
      </c>
      <c r="CG246">
        <v>25024</v>
      </c>
      <c r="CH246">
        <v>394943.29321</v>
      </c>
      <c r="CI246">
        <v>2894009.992738</v>
      </c>
      <c r="CJ246">
        <v>777795.6</v>
      </c>
    </row>
    <row r="247" ht="14.497499999999997" customHeight="1">
      <c r="BF247" t="s">
        <v>35</v>
      </c>
      <c r="BG247" t="s">
        <v>144</v>
      </c>
      <c r="BH247" t="s">
        <v>37</v>
      </c>
      <c r="BI247" t="s">
        <v>143</v>
      </c>
      <c r="BJ247" t="s">
        <v>53</v>
      </c>
      <c r="BK247" t="s">
        <v>40</v>
      </c>
      <c r="BL247" t="s">
        <v>41</v>
      </c>
      <c r="BM247" t="s">
        <v>50</v>
      </c>
      <c r="BN247" t="s">
        <v>43</v>
      </c>
      <c r="BO247">
        <v>47.72</v>
      </c>
      <c r="BP247">
        <v>2</v>
      </c>
      <c r="BQ247">
        <v>345146.83</v>
      </c>
      <c r="BR247">
        <v>27188.655907</v>
      </c>
      <c r="BS247">
        <v>58897.533148</v>
      </c>
      <c r="BT247">
        <v>17949.549713</v>
      </c>
      <c r="BU247">
        <v>131647.632756</v>
      </c>
      <c r="BV247">
        <v>11002.822571</v>
      </c>
      <c r="BW247">
        <v>44853.950701</v>
      </c>
      <c r="BX247">
        <v>55856.773272</v>
      </c>
      <c r="BY247">
        <v>45138.20562</v>
      </c>
      <c r="BZ247">
        <v>246401.939176</v>
      </c>
      <c r="CA247">
        <v>291540.144796</v>
      </c>
      <c r="CB247">
        <v>53606.685204</v>
      </c>
      <c r="CC247">
        <v>0</v>
      </c>
      <c r="CD247">
        <v>81566.049288</v>
      </c>
      <c r="CE247">
        <v>176692.776138</v>
      </c>
      <c r="CF247">
        <v>60752.845513</v>
      </c>
      <c r="CG247">
        <v>25024</v>
      </c>
      <c r="CH247">
        <v>394943.29321</v>
      </c>
      <c r="CI247">
        <v>2894009.992738</v>
      </c>
      <c r="CJ247">
        <v>777795.6</v>
      </c>
    </row>
    <row r="248" ht="14.497499999999997" customHeight="1">
      <c r="BF248" t="s">
        <v>35</v>
      </c>
      <c r="BG248" t="s">
        <v>144</v>
      </c>
      <c r="BH248" t="s">
        <v>37</v>
      </c>
      <c r="BI248" t="s">
        <v>143</v>
      </c>
      <c r="BJ248" t="s">
        <v>62</v>
      </c>
      <c r="BK248" t="s">
        <v>40</v>
      </c>
      <c r="BL248" t="s">
        <v>41</v>
      </c>
      <c r="BM248" t="s">
        <v>42</v>
      </c>
      <c r="BN248" t="s">
        <v>43</v>
      </c>
      <c r="BO248">
        <v>52.13929</v>
      </c>
      <c r="BP248">
        <v>2</v>
      </c>
      <c r="BQ248">
        <v>362947.46336</v>
      </c>
      <c r="BR248">
        <v>27188.655907</v>
      </c>
      <c r="BS248">
        <v>47686.20654</v>
      </c>
      <c r="BT248">
        <v>36784.89958</v>
      </c>
      <c r="BU248">
        <v>92421.741698</v>
      </c>
      <c r="BV248">
        <v>8878.043391</v>
      </c>
      <c r="BW248">
        <v>36192.105981</v>
      </c>
      <c r="BX248">
        <v>45070.149372</v>
      </c>
      <c r="BY248">
        <v>63973.555487</v>
      </c>
      <c r="BZ248">
        <v>185178.09761</v>
      </c>
      <c r="CA248">
        <v>249151.653097</v>
      </c>
      <c r="CB248">
        <v>113795.810263</v>
      </c>
      <c r="CC248">
        <v>52.13929</v>
      </c>
      <c r="CD248">
        <v>81566.049288</v>
      </c>
      <c r="CE248">
        <v>143058.762678</v>
      </c>
      <c r="CF248">
        <v>49020.927631</v>
      </c>
      <c r="CG248">
        <v>17172.95</v>
      </c>
      <c r="CH248">
        <v>277265.50236</v>
      </c>
      <c r="CI248">
        <v>2894009.992738</v>
      </c>
      <c r="CJ248">
        <v>777795.6</v>
      </c>
    </row>
    <row r="249" ht="14.497499999999997" customHeight="1">
      <c r="BF249" t="s">
        <v>35</v>
      </c>
      <c r="BG249" t="s">
        <v>144</v>
      </c>
      <c r="BH249" t="s">
        <v>37</v>
      </c>
      <c r="BI249" t="s">
        <v>143</v>
      </c>
      <c r="BJ249" t="s">
        <v>62</v>
      </c>
      <c r="BK249" t="s">
        <v>40</v>
      </c>
      <c r="BL249" t="s">
        <v>41</v>
      </c>
      <c r="BM249" t="s">
        <v>44</v>
      </c>
      <c r="BN249" t="s">
        <v>43</v>
      </c>
      <c r="BO249">
        <v>39.6</v>
      </c>
      <c r="BP249">
        <v>2</v>
      </c>
      <c r="BQ249">
        <v>272096.055</v>
      </c>
      <c r="BR249">
        <v>27188.655907</v>
      </c>
      <c r="BS249">
        <v>47686.20654</v>
      </c>
      <c r="BT249">
        <v>14895.352007</v>
      </c>
      <c r="BU249">
        <v>92421.741698</v>
      </c>
      <c r="BV249">
        <v>8878.043391</v>
      </c>
      <c r="BW249">
        <v>36192.105981</v>
      </c>
      <c r="BX249">
        <v>45070.149372</v>
      </c>
      <c r="BY249">
        <v>42084.007914</v>
      </c>
      <c r="BZ249">
        <v>185178.09761</v>
      </c>
      <c r="CA249">
        <v>227262.105524</v>
      </c>
      <c r="CB249">
        <v>44833.949476</v>
      </c>
      <c r="CC249">
        <v>0</v>
      </c>
      <c r="CD249">
        <v>81566.049288</v>
      </c>
      <c r="CE249">
        <v>143058.762678</v>
      </c>
      <c r="CF249">
        <v>49020.927631</v>
      </c>
      <c r="CG249">
        <v>17172.95</v>
      </c>
      <c r="CH249">
        <v>277265.50236</v>
      </c>
      <c r="CI249">
        <v>2894009.992738</v>
      </c>
      <c r="CJ249">
        <v>777795.6</v>
      </c>
    </row>
    <row r="250" ht="14.497499999999997" customHeight="1">
      <c r="BF250" t="s">
        <v>35</v>
      </c>
      <c r="BG250" t="s">
        <v>144</v>
      </c>
      <c r="BH250" t="s">
        <v>37</v>
      </c>
      <c r="BI250" t="s">
        <v>143</v>
      </c>
      <c r="BJ250" t="s">
        <v>62</v>
      </c>
      <c r="BK250" t="s">
        <v>40</v>
      </c>
      <c r="BL250" t="s">
        <v>41</v>
      </c>
      <c r="BM250" t="s">
        <v>50</v>
      </c>
      <c r="BN250" t="s">
        <v>43</v>
      </c>
      <c r="BO250">
        <v>38.585</v>
      </c>
      <c r="BP250">
        <v>2</v>
      </c>
      <c r="BQ250">
        <v>265121.875813</v>
      </c>
      <c r="BR250">
        <v>27188.655907</v>
      </c>
      <c r="BS250">
        <v>47686.20654</v>
      </c>
      <c r="BT250">
        <v>14513.577023</v>
      </c>
      <c r="BU250">
        <v>92421.741698</v>
      </c>
      <c r="BV250">
        <v>8878.043391</v>
      </c>
      <c r="BW250">
        <v>36192.105981</v>
      </c>
      <c r="BX250">
        <v>45070.149372</v>
      </c>
      <c r="BY250">
        <v>41702.23293</v>
      </c>
      <c r="BZ250">
        <v>185178.09761</v>
      </c>
      <c r="CA250">
        <v>226880.33054</v>
      </c>
      <c r="CB250">
        <v>38241.545273</v>
      </c>
      <c r="CC250">
        <v>0</v>
      </c>
      <c r="CD250">
        <v>81566.049288</v>
      </c>
      <c r="CE250">
        <v>143058.762678</v>
      </c>
      <c r="CF250">
        <v>49020.927631</v>
      </c>
      <c r="CG250">
        <v>17172.95</v>
      </c>
      <c r="CH250">
        <v>277265.50236</v>
      </c>
      <c r="CI250">
        <v>2894009.992738</v>
      </c>
      <c r="CJ250">
        <v>777795.6</v>
      </c>
    </row>
    <row r="251" ht="14.497499999999997" customHeight="1">
      <c r="BF251" t="s">
        <v>35</v>
      </c>
      <c r="BG251" t="s">
        <v>144</v>
      </c>
      <c r="BH251" t="s">
        <v>37</v>
      </c>
      <c r="BI251" t="s">
        <v>143</v>
      </c>
      <c r="BJ251" t="s">
        <v>64</v>
      </c>
      <c r="BK251" t="s">
        <v>65</v>
      </c>
      <c r="BL251" t="s">
        <v>66</v>
      </c>
      <c r="BM251" t="s">
        <v>42</v>
      </c>
      <c r="BN251" t="s">
        <v>67</v>
      </c>
      <c r="BO251">
        <v>61.251994</v>
      </c>
      <c r="BP251">
        <v>2</v>
      </c>
      <c r="BQ251">
        <v>473835.472135</v>
      </c>
      <c r="BR251">
        <v>33985.572367</v>
      </c>
      <c r="BS251">
        <v>74768.357501</v>
      </c>
      <c r="BT251">
        <v>37107.964109</v>
      </c>
      <c r="BU251">
        <v>134586.580373</v>
      </c>
      <c r="BV251">
        <v>12501.674109</v>
      </c>
      <c r="BW251">
        <v>45353.695928</v>
      </c>
      <c r="BX251">
        <v>57855.370037</v>
      </c>
      <c r="BY251">
        <v>71093.536476</v>
      </c>
      <c r="BZ251">
        <v>267210.307911</v>
      </c>
      <c r="CA251">
        <v>338303.844387</v>
      </c>
      <c r="CB251">
        <v>135531.627748</v>
      </c>
      <c r="CC251">
        <v>61.251994</v>
      </c>
      <c r="CD251">
        <v>135942.289468</v>
      </c>
      <c r="CE251">
        <v>299073.430002</v>
      </c>
      <c r="CF251">
        <v>102231.745505</v>
      </c>
      <c r="CG251">
        <v>29003</v>
      </c>
      <c r="CH251">
        <v>672932.901864</v>
      </c>
      <c r="CI251">
        <v>2894009.992738</v>
      </c>
      <c r="CJ251">
        <v>777795.6</v>
      </c>
    </row>
    <row r="252" ht="14.497499999999997" customHeight="1">
      <c r="BF252" t="s">
        <v>35</v>
      </c>
      <c r="BG252" t="s">
        <v>144</v>
      </c>
      <c r="BH252" t="s">
        <v>37</v>
      </c>
      <c r="BI252" t="s">
        <v>143</v>
      </c>
      <c r="BJ252" t="s">
        <v>64</v>
      </c>
      <c r="BK252" t="s">
        <v>65</v>
      </c>
      <c r="BL252" t="s">
        <v>66</v>
      </c>
      <c r="BM252" t="s">
        <v>44</v>
      </c>
      <c r="BN252" t="s">
        <v>43</v>
      </c>
      <c r="BO252">
        <v>48.75</v>
      </c>
      <c r="BP252">
        <v>2</v>
      </c>
      <c r="BQ252">
        <v>347885.60625</v>
      </c>
      <c r="BR252">
        <v>27188.457894</v>
      </c>
      <c r="BS252">
        <v>59814.686</v>
      </c>
      <c r="BT252">
        <v>18309.910083</v>
      </c>
      <c r="BU252">
        <v>134586.580373</v>
      </c>
      <c r="BV252">
        <v>12501.674109</v>
      </c>
      <c r="BW252">
        <v>45353.695928</v>
      </c>
      <c r="BX252">
        <v>57855.370037</v>
      </c>
      <c r="BY252">
        <v>45498.367977</v>
      </c>
      <c r="BZ252">
        <v>252256.63641</v>
      </c>
      <c r="CA252">
        <v>297755.004387</v>
      </c>
      <c r="CB252">
        <v>50130.601863</v>
      </c>
      <c r="CC252">
        <v>0</v>
      </c>
      <c r="CD252">
        <v>135942.289468</v>
      </c>
      <c r="CE252">
        <v>299073.430002</v>
      </c>
      <c r="CF252">
        <v>102231.745505</v>
      </c>
      <c r="CG252">
        <v>29003</v>
      </c>
      <c r="CH252">
        <v>672932.901864</v>
      </c>
      <c r="CI252">
        <v>2894009.992738</v>
      </c>
      <c r="CJ252">
        <v>777795.6</v>
      </c>
    </row>
    <row r="253" ht="14.497499999999997" customHeight="1">
      <c r="BF253" t="s">
        <v>35</v>
      </c>
      <c r="BG253" t="s">
        <v>144</v>
      </c>
      <c r="BH253" t="s">
        <v>37</v>
      </c>
      <c r="BI253" t="s">
        <v>143</v>
      </c>
      <c r="BJ253" t="s">
        <v>64</v>
      </c>
      <c r="BK253" t="s">
        <v>65</v>
      </c>
      <c r="BL253" t="s">
        <v>66</v>
      </c>
      <c r="BM253" t="s">
        <v>50</v>
      </c>
      <c r="BN253" t="s">
        <v>43</v>
      </c>
      <c r="BO253">
        <v>47.72</v>
      </c>
      <c r="BP253">
        <v>2</v>
      </c>
      <c r="BQ253">
        <v>340535.4078</v>
      </c>
      <c r="BR253">
        <v>27188.457894</v>
      </c>
      <c r="BS253">
        <v>59814.686</v>
      </c>
      <c r="BT253">
        <v>17923.065158</v>
      </c>
      <c r="BU253">
        <v>134586.580373</v>
      </c>
      <c r="BV253">
        <v>12501.674109</v>
      </c>
      <c r="BW253">
        <v>45353.695928</v>
      </c>
      <c r="BX253">
        <v>57855.370037</v>
      </c>
      <c r="BY253">
        <v>45111.523052</v>
      </c>
      <c r="BZ253">
        <v>252256.63641</v>
      </c>
      <c r="CA253">
        <v>297368.159462</v>
      </c>
      <c r="CB253">
        <v>43167.248338</v>
      </c>
      <c r="CC253">
        <v>0</v>
      </c>
      <c r="CD253">
        <v>135942.289468</v>
      </c>
      <c r="CE253">
        <v>299073.430002</v>
      </c>
      <c r="CF253">
        <v>102231.745505</v>
      </c>
      <c r="CG253">
        <v>29003</v>
      </c>
      <c r="CH253">
        <v>672932.901864</v>
      </c>
      <c r="CI253">
        <v>2894009.992738</v>
      </c>
      <c r="CJ253">
        <v>777795.6</v>
      </c>
    </row>
    <row r="254" ht="14.497499999999997" customHeight="1">
      <c r="BF254" t="s">
        <v>35</v>
      </c>
      <c r="BG254" t="s">
        <v>144</v>
      </c>
      <c r="BH254" t="s">
        <v>37</v>
      </c>
      <c r="BI254" t="s">
        <v>143</v>
      </c>
      <c r="BJ254" t="s">
        <v>64</v>
      </c>
      <c r="BK254" t="s">
        <v>65</v>
      </c>
      <c r="BL254" t="s">
        <v>70</v>
      </c>
      <c r="BM254" t="s">
        <v>71</v>
      </c>
      <c r="BN254" t="s">
        <v>43</v>
      </c>
      <c r="BO254">
        <v>64.718264</v>
      </c>
      <c r="BP254">
        <v>2</v>
      </c>
      <c r="BQ254">
        <v>500649.973586</v>
      </c>
      <c r="BR254">
        <v>23789.900657</v>
      </c>
      <c r="BS254">
        <v>52337.85025</v>
      </c>
      <c r="BT254">
        <v>39207.960939</v>
      </c>
      <c r="BU254">
        <v>134586.580373</v>
      </c>
      <c r="BV254">
        <v>12501.674109</v>
      </c>
      <c r="BW254">
        <v>45353.695928</v>
      </c>
      <c r="BX254">
        <v>57855.370037</v>
      </c>
      <c r="BY254">
        <v>62997.861596</v>
      </c>
      <c r="BZ254">
        <v>244779.80066</v>
      </c>
      <c r="CA254">
        <v>307777.662256</v>
      </c>
      <c r="CB254">
        <v>192872.31133</v>
      </c>
      <c r="CC254">
        <v>64.718264</v>
      </c>
      <c r="CD254">
        <v>135942.289468</v>
      </c>
      <c r="CE254">
        <v>299073.430002</v>
      </c>
      <c r="CF254">
        <v>102231.745505</v>
      </c>
      <c r="CG254">
        <v>29003</v>
      </c>
      <c r="CH254">
        <v>672932.901864</v>
      </c>
      <c r="CI254">
        <v>2894009.992738</v>
      </c>
      <c r="CJ254">
        <v>777795.6</v>
      </c>
    </row>
    <row r="255" ht="14.497499999999997" customHeight="1">
      <c r="BF255" t="s">
        <v>35</v>
      </c>
      <c r="BG255" t="s">
        <v>144</v>
      </c>
      <c r="BH255" t="s">
        <v>37</v>
      </c>
      <c r="BI255" t="s">
        <v>143</v>
      </c>
      <c r="BJ255" t="s">
        <v>64</v>
      </c>
      <c r="BK255" t="s">
        <v>65</v>
      </c>
      <c r="BL255" t="s">
        <v>70</v>
      </c>
      <c r="BM255" t="s">
        <v>72</v>
      </c>
      <c r="BN255" t="s">
        <v>43</v>
      </c>
      <c r="BO255">
        <v>49.75</v>
      </c>
      <c r="BP255">
        <v>2</v>
      </c>
      <c r="BQ255">
        <v>380380.415625</v>
      </c>
      <c r="BR255">
        <v>23789.900657</v>
      </c>
      <c r="BS255">
        <v>52337.85025</v>
      </c>
      <c r="BT255">
        <v>18685.509516</v>
      </c>
      <c r="BU255">
        <v>134586.580373</v>
      </c>
      <c r="BV255">
        <v>12501.674109</v>
      </c>
      <c r="BW255">
        <v>45353.695928</v>
      </c>
      <c r="BX255">
        <v>57855.370037</v>
      </c>
      <c r="BY255">
        <v>42475.410173</v>
      </c>
      <c r="BZ255">
        <v>244779.80066</v>
      </c>
      <c r="CA255">
        <v>287255.210833</v>
      </c>
      <c r="CB255">
        <v>93125.204792</v>
      </c>
      <c r="CC255">
        <v>0</v>
      </c>
      <c r="CD255">
        <v>135942.289468</v>
      </c>
      <c r="CE255">
        <v>299073.430002</v>
      </c>
      <c r="CF255">
        <v>102231.745505</v>
      </c>
      <c r="CG255">
        <v>29003</v>
      </c>
      <c r="CH255">
        <v>672932.901864</v>
      </c>
      <c r="CI255">
        <v>2894009.992738</v>
      </c>
      <c r="CJ255">
        <v>777795.6</v>
      </c>
    </row>
    <row r="256" ht="14.497499999999997" customHeight="1">
      <c r="BF256" t="s">
        <v>35</v>
      </c>
      <c r="BG256" t="s">
        <v>144</v>
      </c>
      <c r="BH256" t="s">
        <v>37</v>
      </c>
      <c r="BI256" t="s">
        <v>143</v>
      </c>
      <c r="BJ256" t="s">
        <v>73</v>
      </c>
      <c r="BK256" t="s">
        <v>65</v>
      </c>
      <c r="BL256" t="s">
        <v>66</v>
      </c>
      <c r="BM256" t="s">
        <v>42</v>
      </c>
      <c r="BN256" t="s">
        <v>67</v>
      </c>
      <c r="BO256">
        <v>87.741234</v>
      </c>
      <c r="BP256">
        <v>3</v>
      </c>
      <c r="BQ256">
        <v>774588.387875</v>
      </c>
      <c r="BR256">
        <v>50978.499302</v>
      </c>
      <c r="BS256">
        <v>128186.458572</v>
      </c>
      <c r="BT256">
        <v>67060.175956</v>
      </c>
      <c r="BU256">
        <v>225519.104474</v>
      </c>
      <c r="BV256">
        <v>18080.089919</v>
      </c>
      <c r="BW256">
        <v>65591.127505</v>
      </c>
      <c r="BX256">
        <v>83671.217424</v>
      </c>
      <c r="BY256">
        <v>118038.675258</v>
      </c>
      <c r="BZ256">
        <v>437376.78047</v>
      </c>
      <c r="CA256">
        <v>555415.455728</v>
      </c>
      <c r="CB256">
        <v>219172.932147</v>
      </c>
      <c r="CC256">
        <v>87.741234</v>
      </c>
      <c r="CD256">
        <v>203913.997208</v>
      </c>
      <c r="CE256">
        <v>512745.834288</v>
      </c>
      <c r="CF256">
        <v>148320.538174</v>
      </c>
      <c r="CG256">
        <v>69920</v>
      </c>
      <c r="CH256">
        <v>1127595.522368</v>
      </c>
      <c r="CI256">
        <v>2894009.992738</v>
      </c>
      <c r="CJ256">
        <v>777795.6</v>
      </c>
    </row>
    <row r="257" ht="14.497499999999997" customHeight="1">
      <c r="BF257" t="s">
        <v>35</v>
      </c>
      <c r="BG257" t="s">
        <v>144</v>
      </c>
      <c r="BH257" t="s">
        <v>37</v>
      </c>
      <c r="BI257" t="s">
        <v>143</v>
      </c>
      <c r="BJ257" t="s">
        <v>73</v>
      </c>
      <c r="BK257" t="s">
        <v>65</v>
      </c>
      <c r="BL257" t="s">
        <v>66</v>
      </c>
      <c r="BM257" t="s">
        <v>44</v>
      </c>
      <c r="BN257" t="s">
        <v>43</v>
      </c>
      <c r="BO257">
        <v>71.08</v>
      </c>
      <c r="BP257">
        <v>3</v>
      </c>
      <c r="BQ257">
        <v>579697.2048</v>
      </c>
      <c r="BR257">
        <v>40782.799442</v>
      </c>
      <c r="BS257">
        <v>102549.166858</v>
      </c>
      <c r="BT257">
        <v>26781.942937</v>
      </c>
      <c r="BU257">
        <v>225519.104474</v>
      </c>
      <c r="BV257">
        <v>18080.089919</v>
      </c>
      <c r="BW257">
        <v>65591.127505</v>
      </c>
      <c r="BX257">
        <v>83671.217424</v>
      </c>
      <c r="BY257">
        <v>67564.742379</v>
      </c>
      <c r="BZ257">
        <v>411739.488756</v>
      </c>
      <c r="CA257">
        <v>479304.231135</v>
      </c>
      <c r="CB257">
        <v>100392.973665</v>
      </c>
      <c r="CC257">
        <v>0</v>
      </c>
      <c r="CD257">
        <v>203913.997208</v>
      </c>
      <c r="CE257">
        <v>512745.834288</v>
      </c>
      <c r="CF257">
        <v>148320.538174</v>
      </c>
      <c r="CG257">
        <v>69920</v>
      </c>
      <c r="CH257">
        <v>1127595.522368</v>
      </c>
      <c r="CI257">
        <v>2894009.992738</v>
      </c>
      <c r="CJ257">
        <v>777795.6</v>
      </c>
    </row>
    <row r="258" ht="14.497499999999997" customHeight="1">
      <c r="BF258" t="s">
        <v>35</v>
      </c>
      <c r="BG258" t="s">
        <v>144</v>
      </c>
      <c r="BH258" t="s">
        <v>37</v>
      </c>
      <c r="BI258" t="s">
        <v>143</v>
      </c>
      <c r="BJ258" t="s">
        <v>73</v>
      </c>
      <c r="BK258" t="s">
        <v>65</v>
      </c>
      <c r="BL258" t="s">
        <v>66</v>
      </c>
      <c r="BM258" t="s">
        <v>50</v>
      </c>
      <c r="BN258" t="s">
        <v>43</v>
      </c>
      <c r="BO258">
        <v>70.05</v>
      </c>
      <c r="BP258">
        <v>3</v>
      </c>
      <c r="BQ258">
        <v>571296.978</v>
      </c>
      <c r="BR258">
        <v>40782.799442</v>
      </c>
      <c r="BS258">
        <v>102549.166858</v>
      </c>
      <c r="BT258">
        <v>26393.936409</v>
      </c>
      <c r="BU258">
        <v>225519.104474</v>
      </c>
      <c r="BV258">
        <v>18080.089919</v>
      </c>
      <c r="BW258">
        <v>65591.127505</v>
      </c>
      <c r="BX258">
        <v>83671.217424</v>
      </c>
      <c r="BY258">
        <v>67176.735851</v>
      </c>
      <c r="BZ258">
        <v>411739.488756</v>
      </c>
      <c r="CA258">
        <v>478916.224607</v>
      </c>
      <c r="CB258">
        <v>92380.753393</v>
      </c>
      <c r="CC258">
        <v>0</v>
      </c>
      <c r="CD258">
        <v>203913.997208</v>
      </c>
      <c r="CE258">
        <v>512745.834288</v>
      </c>
      <c r="CF258">
        <v>148320.538174</v>
      </c>
      <c r="CG258">
        <v>69920</v>
      </c>
      <c r="CH258">
        <v>1127595.522368</v>
      </c>
      <c r="CI258">
        <v>2894009.992738</v>
      </c>
      <c r="CJ258">
        <v>777795.6</v>
      </c>
    </row>
    <row r="259" ht="14.497499999999997" customHeight="1">
      <c r="BF259" t="s">
        <v>35</v>
      </c>
      <c r="BG259" t="s">
        <v>144</v>
      </c>
      <c r="BH259" t="s">
        <v>37</v>
      </c>
      <c r="BI259" t="s">
        <v>143</v>
      </c>
      <c r="BJ259" t="s">
        <v>73</v>
      </c>
      <c r="BK259" t="s">
        <v>65</v>
      </c>
      <c r="BL259" t="s">
        <v>70</v>
      </c>
      <c r="BM259" t="s">
        <v>71</v>
      </c>
      <c r="BN259" t="s">
        <v>43</v>
      </c>
      <c r="BO259">
        <v>92.693456</v>
      </c>
      <c r="BP259">
        <v>3</v>
      </c>
      <c r="BQ259">
        <v>818307.098914</v>
      </c>
      <c r="BR259">
        <v>35684.949511</v>
      </c>
      <c r="BS259">
        <v>89730.521</v>
      </c>
      <c r="BT259">
        <v>70845.142566</v>
      </c>
      <c r="BU259">
        <v>225519.104474</v>
      </c>
      <c r="BV259">
        <v>18080.089919</v>
      </c>
      <c r="BW259">
        <v>65591.127505</v>
      </c>
      <c r="BX259">
        <v>83671.217424</v>
      </c>
      <c r="BY259">
        <v>106530.092077</v>
      </c>
      <c r="BZ259">
        <v>398920.842898</v>
      </c>
      <c r="CA259">
        <v>505450.934975</v>
      </c>
      <c r="CB259">
        <v>312856.163939</v>
      </c>
      <c r="CC259">
        <v>92.693456</v>
      </c>
      <c r="CD259">
        <v>203913.997208</v>
      </c>
      <c r="CE259">
        <v>512745.834288</v>
      </c>
      <c r="CF259">
        <v>148320.538174</v>
      </c>
      <c r="CG259">
        <v>69920</v>
      </c>
      <c r="CH259">
        <v>1127595.522368</v>
      </c>
      <c r="CI259">
        <v>2894009.992738</v>
      </c>
      <c r="CJ259">
        <v>777795.6</v>
      </c>
    </row>
    <row r="260" ht="14.497499999999997" customHeight="1">
      <c r="BF260" t="s">
        <v>35</v>
      </c>
      <c r="BG260" t="s">
        <v>144</v>
      </c>
      <c r="BH260" t="s">
        <v>37</v>
      </c>
      <c r="BI260" t="s">
        <v>143</v>
      </c>
      <c r="BJ260" t="s">
        <v>73</v>
      </c>
      <c r="BK260" t="s">
        <v>65</v>
      </c>
      <c r="BL260" t="s">
        <v>70</v>
      </c>
      <c r="BM260" t="s">
        <v>72</v>
      </c>
      <c r="BN260" t="s">
        <v>43</v>
      </c>
      <c r="BO260">
        <v>72.08</v>
      </c>
      <c r="BP260">
        <v>3</v>
      </c>
      <c r="BQ260">
        <v>629842.248</v>
      </c>
      <c r="BR260">
        <v>35684.949511</v>
      </c>
      <c r="BS260">
        <v>89730.521</v>
      </c>
      <c r="BT260">
        <v>27158.825425</v>
      </c>
      <c r="BU260">
        <v>225519.104474</v>
      </c>
      <c r="BV260">
        <v>18080.089919</v>
      </c>
      <c r="BW260">
        <v>65591.127505</v>
      </c>
      <c r="BX260">
        <v>83671.217424</v>
      </c>
      <c r="BY260">
        <v>62843.774936</v>
      </c>
      <c r="BZ260">
        <v>398920.842898</v>
      </c>
      <c r="CA260">
        <v>461764.617834</v>
      </c>
      <c r="CB260">
        <v>168077.630166</v>
      </c>
      <c r="CC260">
        <v>0</v>
      </c>
      <c r="CD260">
        <v>203913.997208</v>
      </c>
      <c r="CE260">
        <v>512745.834288</v>
      </c>
      <c r="CF260">
        <v>148320.538174</v>
      </c>
      <c r="CG260">
        <v>69920</v>
      </c>
      <c r="CH260">
        <v>1127595.522368</v>
      </c>
      <c r="CI260">
        <v>2894009.992738</v>
      </c>
      <c r="CJ260">
        <v>777795.6</v>
      </c>
    </row>
    <row r="261" ht="14.497499999999997" customHeight="1">
      <c r="BF261" t="s">
        <v>35</v>
      </c>
      <c r="BG261" t="s">
        <v>144</v>
      </c>
      <c r="BH261" t="s">
        <v>37</v>
      </c>
      <c r="BI261" t="s">
        <v>143</v>
      </c>
      <c r="BJ261" t="s">
        <v>87</v>
      </c>
      <c r="BK261" t="s">
        <v>65</v>
      </c>
      <c r="BL261" t="s">
        <v>66</v>
      </c>
      <c r="BM261" t="s">
        <v>42</v>
      </c>
      <c r="BN261" t="s">
        <v>67</v>
      </c>
      <c r="BO261">
        <v>57.616994</v>
      </c>
      <c r="BP261">
        <v>2</v>
      </c>
      <c r="BQ261">
        <v>436725.291121</v>
      </c>
      <c r="BR261">
        <v>33985.572367</v>
      </c>
      <c r="BS261">
        <v>70307.168456</v>
      </c>
      <c r="BT261">
        <v>33995.681203</v>
      </c>
      <c r="BU261">
        <v>121901.58205</v>
      </c>
      <c r="BV261">
        <v>11831.500772</v>
      </c>
      <c r="BW261">
        <v>42922.434522</v>
      </c>
      <c r="BX261">
        <v>54753.935294</v>
      </c>
      <c r="BY261">
        <v>67981.25357</v>
      </c>
      <c r="BZ261">
        <v>246962.6858</v>
      </c>
      <c r="CA261">
        <v>314943.93937</v>
      </c>
      <c r="CB261">
        <v>121781.351751</v>
      </c>
      <c r="CC261">
        <v>57.616994</v>
      </c>
      <c r="CD261">
        <v>135942.289468</v>
      </c>
      <c r="CE261">
        <v>281228.673822</v>
      </c>
      <c r="CF261">
        <v>96785.225993</v>
      </c>
      <c r="CG261">
        <v>25395.45</v>
      </c>
      <c r="CH261">
        <v>609507.91025</v>
      </c>
      <c r="CI261">
        <v>2894009.992738</v>
      </c>
      <c r="CJ261">
        <v>777795.6</v>
      </c>
    </row>
    <row r="262" ht="14.497499999999997" customHeight="1">
      <c r="BF262" t="s">
        <v>35</v>
      </c>
      <c r="BG262" t="s">
        <v>144</v>
      </c>
      <c r="BH262" t="s">
        <v>37</v>
      </c>
      <c r="BI262" t="s">
        <v>143</v>
      </c>
      <c r="BJ262" t="s">
        <v>87</v>
      </c>
      <c r="BK262" t="s">
        <v>65</v>
      </c>
      <c r="BL262" t="s">
        <v>66</v>
      </c>
      <c r="BM262" t="s">
        <v>44</v>
      </c>
      <c r="BN262" t="s">
        <v>43</v>
      </c>
      <c r="BO262">
        <v>46.705</v>
      </c>
      <c r="BP262">
        <v>2</v>
      </c>
      <c r="BQ262">
        <v>326490.3684</v>
      </c>
      <c r="BR262">
        <v>27188.457894</v>
      </c>
      <c r="BS262">
        <v>56245.734764</v>
      </c>
      <c r="BT262">
        <v>17547.935754</v>
      </c>
      <c r="BU262">
        <v>121901.58205</v>
      </c>
      <c r="BV262">
        <v>11831.500772</v>
      </c>
      <c r="BW262">
        <v>42922.434522</v>
      </c>
      <c r="BX262">
        <v>54753.935294</v>
      </c>
      <c r="BY262">
        <v>44736.393648</v>
      </c>
      <c r="BZ262">
        <v>232901.252108</v>
      </c>
      <c r="CA262">
        <v>277637.645756</v>
      </c>
      <c r="CB262">
        <v>48852.722644</v>
      </c>
      <c r="CC262">
        <v>0</v>
      </c>
      <c r="CD262">
        <v>135942.289468</v>
      </c>
      <c r="CE262">
        <v>281228.673822</v>
      </c>
      <c r="CF262">
        <v>96785.225993</v>
      </c>
      <c r="CG262">
        <v>25395.45</v>
      </c>
      <c r="CH262">
        <v>609507.91025</v>
      </c>
      <c r="CI262">
        <v>2894009.992738</v>
      </c>
      <c r="CJ262">
        <v>777795.6</v>
      </c>
    </row>
    <row r="263" ht="14.497499999999997" customHeight="1">
      <c r="BF263" t="s">
        <v>35</v>
      </c>
      <c r="BG263" t="s">
        <v>144</v>
      </c>
      <c r="BH263" t="s">
        <v>37</v>
      </c>
      <c r="BI263" t="s">
        <v>143</v>
      </c>
      <c r="BJ263" t="s">
        <v>87</v>
      </c>
      <c r="BK263" t="s">
        <v>65</v>
      </c>
      <c r="BL263" t="s">
        <v>66</v>
      </c>
      <c r="BM263" t="s">
        <v>50</v>
      </c>
      <c r="BN263" t="s">
        <v>43</v>
      </c>
      <c r="BO263">
        <v>45.69</v>
      </c>
      <c r="BP263">
        <v>2</v>
      </c>
      <c r="BQ263">
        <v>319395.0312</v>
      </c>
      <c r="BR263">
        <v>27188.457894</v>
      </c>
      <c r="BS263">
        <v>56245.734764</v>
      </c>
      <c r="BT263">
        <v>17166.601964</v>
      </c>
      <c r="BU263">
        <v>121901.58205</v>
      </c>
      <c r="BV263">
        <v>11831.500772</v>
      </c>
      <c r="BW263">
        <v>42922.434522</v>
      </c>
      <c r="BX263">
        <v>54753.935294</v>
      </c>
      <c r="BY263">
        <v>44355.059858</v>
      </c>
      <c r="BZ263">
        <v>232901.252108</v>
      </c>
      <c r="CA263">
        <v>277256.311966</v>
      </c>
      <c r="CB263">
        <v>42138.719234</v>
      </c>
      <c r="CC263">
        <v>0</v>
      </c>
      <c r="CD263">
        <v>135942.289468</v>
      </c>
      <c r="CE263">
        <v>281228.673822</v>
      </c>
      <c r="CF263">
        <v>96785.225993</v>
      </c>
      <c r="CG263">
        <v>25395.45</v>
      </c>
      <c r="CH263">
        <v>609507.91025</v>
      </c>
      <c r="CI263">
        <v>2894009.992738</v>
      </c>
      <c r="CJ263">
        <v>777795.6</v>
      </c>
    </row>
    <row r="264" ht="14.497499999999997" customHeight="1">
      <c r="BF264" t="s">
        <v>35</v>
      </c>
      <c r="BG264" t="s">
        <v>144</v>
      </c>
      <c r="BH264" t="s">
        <v>37</v>
      </c>
      <c r="BI264" t="s">
        <v>143</v>
      </c>
      <c r="BJ264" t="s">
        <v>87</v>
      </c>
      <c r="BK264" t="s">
        <v>65</v>
      </c>
      <c r="BL264" t="s">
        <v>70</v>
      </c>
      <c r="BM264" t="s">
        <v>71</v>
      </c>
      <c r="BN264" t="s">
        <v>43</v>
      </c>
      <c r="BO264">
        <v>60.882193</v>
      </c>
      <c r="BP264">
        <v>2</v>
      </c>
      <c r="BQ264">
        <v>461474.846501</v>
      </c>
      <c r="BR264">
        <v>23789.900657</v>
      </c>
      <c r="BS264">
        <v>49215.017919</v>
      </c>
      <c r="BT264">
        <v>35922.205567</v>
      </c>
      <c r="BU264">
        <v>121901.58205</v>
      </c>
      <c r="BV264">
        <v>11831.500772</v>
      </c>
      <c r="BW264">
        <v>42922.434522</v>
      </c>
      <c r="BX264">
        <v>54753.935294</v>
      </c>
      <c r="BY264">
        <v>59712.106224</v>
      </c>
      <c r="BZ264">
        <v>225870.535263</v>
      </c>
      <c r="CA264">
        <v>285582.641487</v>
      </c>
      <c r="CB264">
        <v>175892.205014</v>
      </c>
      <c r="CC264">
        <v>60.882193</v>
      </c>
      <c r="CD264">
        <v>135942.289468</v>
      </c>
      <c r="CE264">
        <v>281228.673822</v>
      </c>
      <c r="CF264">
        <v>96785.225993</v>
      </c>
      <c r="CG264">
        <v>25395.45</v>
      </c>
      <c r="CH264">
        <v>609507.91025</v>
      </c>
      <c r="CI264">
        <v>2894009.992738</v>
      </c>
      <c r="CJ264">
        <v>777795.6</v>
      </c>
    </row>
    <row r="265" ht="14.497499999999997" customHeight="1">
      <c r="BF265" t="s">
        <v>35</v>
      </c>
      <c r="BG265" t="s">
        <v>144</v>
      </c>
      <c r="BH265" t="s">
        <v>37</v>
      </c>
      <c r="BI265" t="s">
        <v>143</v>
      </c>
      <c r="BJ265" t="s">
        <v>87</v>
      </c>
      <c r="BK265" t="s">
        <v>65</v>
      </c>
      <c r="BL265" t="s">
        <v>70</v>
      </c>
      <c r="BM265" t="s">
        <v>72</v>
      </c>
      <c r="BN265" t="s">
        <v>43</v>
      </c>
      <c r="BO265">
        <v>46.705</v>
      </c>
      <c r="BP265">
        <v>2</v>
      </c>
      <c r="BQ265">
        <v>349811.109</v>
      </c>
      <c r="BR265">
        <v>23789.900657</v>
      </c>
      <c r="BS265">
        <v>49215.017919</v>
      </c>
      <c r="BT265">
        <v>17547.935754</v>
      </c>
      <c r="BU265">
        <v>121901.58205</v>
      </c>
      <c r="BV265">
        <v>11831.500772</v>
      </c>
      <c r="BW265">
        <v>42922.434522</v>
      </c>
      <c r="BX265">
        <v>54753.935294</v>
      </c>
      <c r="BY265">
        <v>41337.836411</v>
      </c>
      <c r="BZ265">
        <v>225870.535263</v>
      </c>
      <c r="CA265">
        <v>267208.371674</v>
      </c>
      <c r="CB265">
        <v>82602.737326</v>
      </c>
      <c r="CC265">
        <v>0</v>
      </c>
      <c r="CD265">
        <v>135942.289468</v>
      </c>
      <c r="CE265">
        <v>281228.673822</v>
      </c>
      <c r="CF265">
        <v>96785.225993</v>
      </c>
      <c r="CG265">
        <v>25395.45</v>
      </c>
      <c r="CH265">
        <v>609507.91025</v>
      </c>
      <c r="CI265">
        <v>2894009.992738</v>
      </c>
      <c r="CJ265">
        <v>777795.6</v>
      </c>
    </row>
    <row r="266" ht="14.497499999999997" customHeight="1">
      <c r="BF266" t="s">
        <v>35</v>
      </c>
      <c r="BG266" t="s">
        <v>144</v>
      </c>
      <c r="BH266" t="s">
        <v>37</v>
      </c>
      <c r="BI266" t="s">
        <v>143</v>
      </c>
      <c r="BJ266" t="s">
        <v>92</v>
      </c>
      <c r="BK266" t="s">
        <v>93</v>
      </c>
      <c r="BL266" t="s">
        <v>94</v>
      </c>
      <c r="BM266" t="s">
        <v>42</v>
      </c>
      <c r="BN266" t="s">
        <v>67</v>
      </c>
      <c r="BO266">
        <v>62.592963</v>
      </c>
      <c r="BP266">
        <v>2</v>
      </c>
      <c r="BQ266">
        <v>480122.45234</v>
      </c>
      <c r="BR266">
        <v>33985.572367</v>
      </c>
      <c r="BS266">
        <v>73630.536689</v>
      </c>
      <c r="BT266">
        <v>37428.867925</v>
      </c>
      <c r="BU266">
        <v>134413.464821</v>
      </c>
      <c r="BV266">
        <v>12907.149154</v>
      </c>
      <c r="BW266">
        <v>46318.803231</v>
      </c>
      <c r="BX266">
        <v>59225.952385</v>
      </c>
      <c r="BY266">
        <v>71414.440292</v>
      </c>
      <c r="BZ266">
        <v>267269.953895</v>
      </c>
      <c r="CA266">
        <v>338684.394187</v>
      </c>
      <c r="CB266">
        <v>141438.058153</v>
      </c>
      <c r="CC266">
        <v>62.592963</v>
      </c>
      <c r="CD266">
        <v>135942.289468</v>
      </c>
      <c r="CE266">
        <v>294522.146754</v>
      </c>
      <c r="CF266">
        <v>104327.253632</v>
      </c>
      <c r="CG266">
        <v>28661.45</v>
      </c>
      <c r="CH266">
        <v>672067.324105</v>
      </c>
      <c r="CI266">
        <v>2894009.992738</v>
      </c>
      <c r="CJ266">
        <v>777795.6</v>
      </c>
    </row>
    <row r="267" ht="14.497499999999997" customHeight="1">
      <c r="BF267" t="s">
        <v>35</v>
      </c>
      <c r="BG267" t="s">
        <v>144</v>
      </c>
      <c r="BH267" t="s">
        <v>37</v>
      </c>
      <c r="BI267" t="s">
        <v>143</v>
      </c>
      <c r="BJ267" t="s">
        <v>92</v>
      </c>
      <c r="BK267" t="s">
        <v>93</v>
      </c>
      <c r="BL267" t="s">
        <v>94</v>
      </c>
      <c r="BM267" t="s">
        <v>44</v>
      </c>
      <c r="BN267" t="s">
        <v>43</v>
      </c>
      <c r="BO267">
        <v>49.765</v>
      </c>
      <c r="BP267">
        <v>2</v>
      </c>
      <c r="BQ267">
        <v>352096.3327</v>
      </c>
      <c r="BR267">
        <v>27188.457894</v>
      </c>
      <c r="BS267">
        <v>58904.429351</v>
      </c>
      <c r="BT267">
        <v>18676.8736</v>
      </c>
      <c r="BU267">
        <v>134413.464821</v>
      </c>
      <c r="BV267">
        <v>12907.149154</v>
      </c>
      <c r="BW267">
        <v>46318.803231</v>
      </c>
      <c r="BX267">
        <v>59225.952385</v>
      </c>
      <c r="BY267">
        <v>45865.331494</v>
      </c>
      <c r="BZ267">
        <v>252543.846557</v>
      </c>
      <c r="CA267">
        <v>298409.178051</v>
      </c>
      <c r="CB267">
        <v>53687.154649</v>
      </c>
      <c r="CC267">
        <v>0</v>
      </c>
      <c r="CD267">
        <v>135942.289468</v>
      </c>
      <c r="CE267">
        <v>294522.146754</v>
      </c>
      <c r="CF267">
        <v>104327.253632</v>
      </c>
      <c r="CG267">
        <v>28661.45</v>
      </c>
      <c r="CH267">
        <v>672067.324105</v>
      </c>
      <c r="CI267">
        <v>2894009.992738</v>
      </c>
      <c r="CJ267">
        <v>777795.6</v>
      </c>
    </row>
    <row r="268" ht="14.497499999999997" customHeight="1">
      <c r="BF268" t="s">
        <v>35</v>
      </c>
      <c r="BG268" t="s">
        <v>144</v>
      </c>
      <c r="BH268" t="s">
        <v>37</v>
      </c>
      <c r="BI268" t="s">
        <v>143</v>
      </c>
      <c r="BJ268" t="s">
        <v>92</v>
      </c>
      <c r="BK268" t="s">
        <v>93</v>
      </c>
      <c r="BL268" t="s">
        <v>94</v>
      </c>
      <c r="BM268" t="s">
        <v>50</v>
      </c>
      <c r="BN268" t="s">
        <v>43</v>
      </c>
      <c r="BO268">
        <v>48.735</v>
      </c>
      <c r="BP268">
        <v>2</v>
      </c>
      <c r="BQ268">
        <v>344808.8973</v>
      </c>
      <c r="BR268">
        <v>27188.457894</v>
      </c>
      <c r="BS268">
        <v>58904.429351</v>
      </c>
      <c r="BT268">
        <v>18290.341125</v>
      </c>
      <c r="BU268">
        <v>134413.464821</v>
      </c>
      <c r="BV268">
        <v>12907.149154</v>
      </c>
      <c r="BW268">
        <v>46318.803231</v>
      </c>
      <c r="BX268">
        <v>59225.952385</v>
      </c>
      <c r="BY268">
        <v>45478.799019</v>
      </c>
      <c r="BZ268">
        <v>252543.846557</v>
      </c>
      <c r="CA268">
        <v>298022.645576</v>
      </c>
      <c r="CB268">
        <v>46786.251724</v>
      </c>
      <c r="CC268">
        <v>0</v>
      </c>
      <c r="CD268">
        <v>135942.289468</v>
      </c>
      <c r="CE268">
        <v>294522.146754</v>
      </c>
      <c r="CF268">
        <v>104327.253632</v>
      </c>
      <c r="CG268">
        <v>28661.45</v>
      </c>
      <c r="CH268">
        <v>672067.324105</v>
      </c>
      <c r="CI268">
        <v>2894009.992738</v>
      </c>
      <c r="CJ268">
        <v>777795.6</v>
      </c>
    </row>
    <row r="269" ht="14.497499999999997" customHeight="1">
      <c r="BF269" t="s">
        <v>35</v>
      </c>
      <c r="BG269" t="s">
        <v>144</v>
      </c>
      <c r="BH269" t="s">
        <v>37</v>
      </c>
      <c r="BI269" t="s">
        <v>143</v>
      </c>
      <c r="BJ269" t="s">
        <v>92</v>
      </c>
      <c r="BK269" t="s">
        <v>93</v>
      </c>
      <c r="BL269" t="s">
        <v>95</v>
      </c>
      <c r="BM269" t="s">
        <v>71</v>
      </c>
      <c r="BN269" t="s">
        <v>43</v>
      </c>
      <c r="BO269">
        <v>66.123869</v>
      </c>
      <c r="BP269">
        <v>2</v>
      </c>
      <c r="BQ269">
        <v>507206.443358</v>
      </c>
      <c r="BR269">
        <v>23789.900657</v>
      </c>
      <c r="BS269">
        <v>51541.375682</v>
      </c>
      <c r="BT269">
        <v>39540.244936</v>
      </c>
      <c r="BU269">
        <v>134413.464821</v>
      </c>
      <c r="BV269">
        <v>12907.149154</v>
      </c>
      <c r="BW269">
        <v>46318.803231</v>
      </c>
      <c r="BX269">
        <v>59225.952385</v>
      </c>
      <c r="BY269">
        <v>63330.145593</v>
      </c>
      <c r="BZ269">
        <v>245180.792888</v>
      </c>
      <c r="CA269">
        <v>308510.938481</v>
      </c>
      <c r="CB269">
        <v>198695.504877</v>
      </c>
      <c r="CC269">
        <v>66.123869</v>
      </c>
      <c r="CD269">
        <v>135942.289468</v>
      </c>
      <c r="CE269">
        <v>294522.146754</v>
      </c>
      <c r="CF269">
        <v>104327.253632</v>
      </c>
      <c r="CG269">
        <v>28661.45</v>
      </c>
      <c r="CH269">
        <v>672067.324105</v>
      </c>
      <c r="CI269">
        <v>2894009.992738</v>
      </c>
      <c r="CJ269">
        <v>777795.6</v>
      </c>
    </row>
    <row r="270" ht="14.497499999999997" customHeight="1">
      <c r="BF270" t="s">
        <v>35</v>
      </c>
      <c r="BG270" t="s">
        <v>144</v>
      </c>
      <c r="BH270" t="s">
        <v>37</v>
      </c>
      <c r="BI270" t="s">
        <v>143</v>
      </c>
      <c r="BJ270" t="s">
        <v>92</v>
      </c>
      <c r="BK270" t="s">
        <v>93</v>
      </c>
      <c r="BL270" t="s">
        <v>95</v>
      </c>
      <c r="BM270" t="s">
        <v>72</v>
      </c>
      <c r="BN270" t="s">
        <v>43</v>
      </c>
      <c r="BO270">
        <v>50.765</v>
      </c>
      <c r="BP270">
        <v>2</v>
      </c>
      <c r="BQ270">
        <v>384826.62075</v>
      </c>
      <c r="BR270">
        <v>23789.900657</v>
      </c>
      <c r="BS270">
        <v>51541.375682</v>
      </c>
      <c r="BT270">
        <v>19052.138731</v>
      </c>
      <c r="BU270">
        <v>134413.464821</v>
      </c>
      <c r="BV270">
        <v>12907.149154</v>
      </c>
      <c r="BW270">
        <v>46318.803231</v>
      </c>
      <c r="BX270">
        <v>59225.952385</v>
      </c>
      <c r="BY270">
        <v>42842.039388</v>
      </c>
      <c r="BZ270">
        <v>245180.792888</v>
      </c>
      <c r="CA270">
        <v>288022.832276</v>
      </c>
      <c r="CB270">
        <v>96803.788474</v>
      </c>
      <c r="CC270">
        <v>0</v>
      </c>
      <c r="CD270">
        <v>135942.289468</v>
      </c>
      <c r="CE270">
        <v>294522.146754</v>
      </c>
      <c r="CF270">
        <v>104327.253632</v>
      </c>
      <c r="CG270">
        <v>28661.45</v>
      </c>
      <c r="CH270">
        <v>672067.324105</v>
      </c>
      <c r="CI270">
        <v>2894009.992738</v>
      </c>
      <c r="CJ270">
        <v>777795.6</v>
      </c>
    </row>
    <row r="271" ht="14.497499999999997" customHeight="1">
      <c r="BF271" t="s">
        <v>35</v>
      </c>
      <c r="BG271" t="s">
        <v>144</v>
      </c>
      <c r="BH271" t="s">
        <v>37</v>
      </c>
      <c r="BI271" t="s">
        <v>143</v>
      </c>
      <c r="BJ271" t="s">
        <v>97</v>
      </c>
      <c r="BK271" t="s">
        <v>93</v>
      </c>
      <c r="BL271" t="s">
        <v>94</v>
      </c>
      <c r="BM271" t="s">
        <v>42</v>
      </c>
      <c r="BN271" t="s">
        <v>67</v>
      </c>
      <c r="BO271">
        <v>80.804742</v>
      </c>
      <c r="BP271">
        <v>3</v>
      </c>
      <c r="BQ271">
        <v>670335.938447</v>
      </c>
      <c r="BR271">
        <v>50978.360834</v>
      </c>
      <c r="BS271">
        <v>121281.280054</v>
      </c>
      <c r="BT271">
        <v>53740.561065</v>
      </c>
      <c r="BU271">
        <v>221543.064779</v>
      </c>
      <c r="BV271">
        <v>19346.836712</v>
      </c>
      <c r="BW271">
        <v>69428.369669</v>
      </c>
      <c r="BX271">
        <v>88775.206381</v>
      </c>
      <c r="BY271">
        <v>104718.921899</v>
      </c>
      <c r="BZ271">
        <v>431599.551214</v>
      </c>
      <c r="CA271">
        <v>536318.473113</v>
      </c>
      <c r="CB271">
        <v>134017.465334</v>
      </c>
      <c r="CC271">
        <v>80.804742</v>
      </c>
      <c r="CD271">
        <v>176725.314112</v>
      </c>
      <c r="CE271">
        <v>420442.55568</v>
      </c>
      <c r="CF271">
        <v>135750.867446</v>
      </c>
      <c r="CG271">
        <v>48050.45</v>
      </c>
      <c r="CH271">
        <v>960020.907396</v>
      </c>
      <c r="CI271">
        <v>2894009.992738</v>
      </c>
      <c r="CJ271">
        <v>777795.6</v>
      </c>
    </row>
    <row r="272" ht="14.497499999999997" customHeight="1">
      <c r="BF272" t="s">
        <v>35</v>
      </c>
      <c r="BG272" t="s">
        <v>144</v>
      </c>
      <c r="BH272" t="s">
        <v>37</v>
      </c>
      <c r="BI272" t="s">
        <v>143</v>
      </c>
      <c r="BJ272" t="s">
        <v>97</v>
      </c>
      <c r="BK272" t="s">
        <v>93</v>
      </c>
      <c r="BL272" t="s">
        <v>94</v>
      </c>
      <c r="BM272" t="s">
        <v>44</v>
      </c>
      <c r="BN272" t="s">
        <v>43</v>
      </c>
      <c r="BO272">
        <v>64.99</v>
      </c>
      <c r="BP272">
        <v>2</v>
      </c>
      <c r="BQ272">
        <v>497738.913</v>
      </c>
      <c r="BR272">
        <v>27188.482675</v>
      </c>
      <c r="BS272">
        <v>64683.405421</v>
      </c>
      <c r="BT272">
        <v>24430.812113</v>
      </c>
      <c r="BU272">
        <v>147695.376519</v>
      </c>
      <c r="BV272">
        <v>12897.891142</v>
      </c>
      <c r="BW272">
        <v>46285.579779</v>
      </c>
      <c r="BX272">
        <v>59183.470921</v>
      </c>
      <c r="BY272">
        <v>51619.294788</v>
      </c>
      <c r="BZ272">
        <v>271562.252861</v>
      </c>
      <c r="CA272">
        <v>323181.547649</v>
      </c>
      <c r="CB272">
        <v>174557.365351</v>
      </c>
      <c r="CC272">
        <v>0</v>
      </c>
      <c r="CD272">
        <v>176725.314112</v>
      </c>
      <c r="CE272">
        <v>420442.55568</v>
      </c>
      <c r="CF272">
        <v>135750.867446</v>
      </c>
      <c r="CG272">
        <v>48050.45</v>
      </c>
      <c r="CH272">
        <v>960020.907396</v>
      </c>
      <c r="CI272">
        <v>2894009.992738</v>
      </c>
      <c r="CJ272">
        <v>777795.6</v>
      </c>
    </row>
    <row r="273" ht="14.497499999999997" customHeight="1">
      <c r="BF273" t="s">
        <v>35</v>
      </c>
      <c r="BG273" t="s">
        <v>144</v>
      </c>
      <c r="BH273" t="s">
        <v>37</v>
      </c>
      <c r="BI273" t="s">
        <v>143</v>
      </c>
      <c r="BJ273" t="s">
        <v>97</v>
      </c>
      <c r="BK273" t="s">
        <v>93</v>
      </c>
      <c r="BL273" t="s">
        <v>94</v>
      </c>
      <c r="BM273" t="s">
        <v>50</v>
      </c>
      <c r="BN273" t="s">
        <v>43</v>
      </c>
      <c r="BO273">
        <v>63.96</v>
      </c>
      <c r="BP273">
        <v>2</v>
      </c>
      <c r="BQ273">
        <v>489850.452</v>
      </c>
      <c r="BR273">
        <v>27188.482675</v>
      </c>
      <c r="BS273">
        <v>64683.405421</v>
      </c>
      <c r="BT273">
        <v>24043.650639</v>
      </c>
      <c r="BU273">
        <v>147695.376519</v>
      </c>
      <c r="BV273">
        <v>12897.891142</v>
      </c>
      <c r="BW273">
        <v>46285.579779</v>
      </c>
      <c r="BX273">
        <v>59183.470921</v>
      </c>
      <c r="BY273">
        <v>51232.133314</v>
      </c>
      <c r="BZ273">
        <v>271562.252861</v>
      </c>
      <c r="CA273">
        <v>322794.386175</v>
      </c>
      <c r="CB273">
        <v>167056.065825</v>
      </c>
      <c r="CC273">
        <v>0</v>
      </c>
      <c r="CD273">
        <v>176725.314112</v>
      </c>
      <c r="CE273">
        <v>420442.55568</v>
      </c>
      <c r="CF273">
        <v>135750.867446</v>
      </c>
      <c r="CG273">
        <v>48050.45</v>
      </c>
      <c r="CH273">
        <v>960020.907396</v>
      </c>
      <c r="CI273">
        <v>2894009.992738</v>
      </c>
      <c r="CJ273">
        <v>777795.6</v>
      </c>
    </row>
    <row r="274" ht="14.497499999999997" customHeight="1">
      <c r="BF274" t="s">
        <v>35</v>
      </c>
      <c r="BG274" t="s">
        <v>144</v>
      </c>
      <c r="BH274" t="s">
        <v>37</v>
      </c>
      <c r="BI274" t="s">
        <v>143</v>
      </c>
      <c r="BJ274" t="s">
        <v>97</v>
      </c>
      <c r="BK274" t="s">
        <v>93</v>
      </c>
      <c r="BL274" t="s">
        <v>95</v>
      </c>
      <c r="BM274" t="s">
        <v>71</v>
      </c>
      <c r="BN274" t="s">
        <v>43</v>
      </c>
      <c r="BO274">
        <v>85.373633</v>
      </c>
      <c r="BP274">
        <v>3</v>
      </c>
      <c r="BQ274">
        <v>708238.31596</v>
      </c>
      <c r="BR274">
        <v>35684.905601</v>
      </c>
      <c r="BS274">
        <v>84897.022171</v>
      </c>
      <c r="BT274">
        <v>56779.132062</v>
      </c>
      <c r="BU274">
        <v>221543.064779</v>
      </c>
      <c r="BV274">
        <v>19346.836712</v>
      </c>
      <c r="BW274">
        <v>69428.369669</v>
      </c>
      <c r="BX274">
        <v>88775.206381</v>
      </c>
      <c r="BY274">
        <v>92464.037663</v>
      </c>
      <c r="BZ274">
        <v>395215.293331</v>
      </c>
      <c r="CA274">
        <v>487679.330994</v>
      </c>
      <c r="CB274">
        <v>220558.984966</v>
      </c>
      <c r="CC274">
        <v>85.373633</v>
      </c>
      <c r="CD274">
        <v>176725.314112</v>
      </c>
      <c r="CE274">
        <v>420442.55568</v>
      </c>
      <c r="CF274">
        <v>135750.867446</v>
      </c>
      <c r="CG274">
        <v>48050.45</v>
      </c>
      <c r="CH274">
        <v>960020.907396</v>
      </c>
      <c r="CI274">
        <v>2894009.992738</v>
      </c>
      <c r="CJ274">
        <v>777795.6</v>
      </c>
    </row>
    <row r="275" ht="14.497499999999997" customHeight="1">
      <c r="BF275" t="s">
        <v>35</v>
      </c>
      <c r="BG275" t="s">
        <v>144</v>
      </c>
      <c r="BH275" t="s">
        <v>37</v>
      </c>
      <c r="BI275" t="s">
        <v>143</v>
      </c>
      <c r="BJ275" t="s">
        <v>97</v>
      </c>
      <c r="BK275" t="s">
        <v>93</v>
      </c>
      <c r="BL275" t="s">
        <v>95</v>
      </c>
      <c r="BM275" t="s">
        <v>72</v>
      </c>
      <c r="BN275" t="s">
        <v>43</v>
      </c>
      <c r="BO275">
        <v>65.99</v>
      </c>
      <c r="BP275">
        <v>3</v>
      </c>
      <c r="BQ275">
        <v>541497.4425</v>
      </c>
      <c r="BR275">
        <v>35684.905601</v>
      </c>
      <c r="BS275">
        <v>84897.022171</v>
      </c>
      <c r="BT275">
        <v>24806.706264</v>
      </c>
      <c r="BU275">
        <v>221543.064779</v>
      </c>
      <c r="BV275">
        <v>19346.836712</v>
      </c>
      <c r="BW275">
        <v>69428.369669</v>
      </c>
      <c r="BX275">
        <v>88775.206381</v>
      </c>
      <c r="BY275">
        <v>60491.611865</v>
      </c>
      <c r="BZ275">
        <v>395215.293331</v>
      </c>
      <c r="CA275">
        <v>455706.905196</v>
      </c>
      <c r="CB275">
        <v>85790.537304</v>
      </c>
      <c r="CC275">
        <v>0</v>
      </c>
      <c r="CD275">
        <v>176725.314112</v>
      </c>
      <c r="CE275">
        <v>420442.55568</v>
      </c>
      <c r="CF275">
        <v>135750.867446</v>
      </c>
      <c r="CG275">
        <v>48050.45</v>
      </c>
      <c r="CH275">
        <v>960020.907396</v>
      </c>
      <c r="CI275">
        <v>2894009.992738</v>
      </c>
      <c r="CJ275">
        <v>777795.6</v>
      </c>
    </row>
    <row r="276" ht="14.497499999999997" customHeight="1">
      <c r="BF276" t="s">
        <v>35</v>
      </c>
      <c r="BG276" t="s">
        <v>144</v>
      </c>
      <c r="BH276" t="s">
        <v>37</v>
      </c>
      <c r="BI276" t="s">
        <v>143</v>
      </c>
      <c r="BJ276" t="s">
        <v>98</v>
      </c>
      <c r="BK276" t="s">
        <v>93</v>
      </c>
      <c r="BL276" t="s">
        <v>94</v>
      </c>
      <c r="BM276" t="s">
        <v>42</v>
      </c>
      <c r="BN276" t="s">
        <v>67</v>
      </c>
      <c r="BO276">
        <v>73.560697</v>
      </c>
      <c r="BP276">
        <v>2</v>
      </c>
      <c r="BQ276">
        <v>581497.309785</v>
      </c>
      <c r="BR276">
        <v>34708.561378</v>
      </c>
      <c r="BS276">
        <v>76951.051897</v>
      </c>
      <c r="BT276">
        <v>45261.212663</v>
      </c>
      <c r="BU276">
        <v>136013.600961</v>
      </c>
      <c r="BV276">
        <v>12689.676584</v>
      </c>
      <c r="BW276">
        <v>45538.377665</v>
      </c>
      <c r="BX276">
        <v>58228.054249</v>
      </c>
      <c r="BY276">
        <v>79969.774041</v>
      </c>
      <c r="BZ276">
        <v>271192.707107</v>
      </c>
      <c r="CA276">
        <v>351162.481148</v>
      </c>
      <c r="CB276">
        <v>230334.828637</v>
      </c>
      <c r="CC276">
        <v>73.560697</v>
      </c>
      <c r="CD276">
        <v>163130.972564</v>
      </c>
      <c r="CE276">
        <v>361671.57144</v>
      </c>
      <c r="CF276">
        <v>123181.196719</v>
      </c>
      <c r="CG276">
        <v>36262.95</v>
      </c>
      <c r="CH276">
        <v>816084.870106</v>
      </c>
      <c r="CI276">
        <v>2894009.992738</v>
      </c>
      <c r="CJ276">
        <v>777795.6</v>
      </c>
    </row>
    <row r="277" ht="14.497499999999997" customHeight="1">
      <c r="BF277" t="s">
        <v>35</v>
      </c>
      <c r="BG277" t="s">
        <v>144</v>
      </c>
      <c r="BH277" t="s">
        <v>37</v>
      </c>
      <c r="BI277" t="s">
        <v>143</v>
      </c>
      <c r="BJ277" t="s">
        <v>98</v>
      </c>
      <c r="BK277" t="s">
        <v>93</v>
      </c>
      <c r="BL277" t="s">
        <v>94</v>
      </c>
      <c r="BM277" t="s">
        <v>44</v>
      </c>
      <c r="BN277" t="s">
        <v>43</v>
      </c>
      <c r="BO277">
        <v>58.9</v>
      </c>
      <c r="BP277">
        <v>2</v>
      </c>
      <c r="BQ277">
        <v>429616.6</v>
      </c>
      <c r="BR277">
        <v>27766.849102</v>
      </c>
      <c r="BS277">
        <v>61560.841518</v>
      </c>
      <c r="BT277">
        <v>22122.727025</v>
      </c>
      <c r="BU277">
        <v>136013.600961</v>
      </c>
      <c r="BV277">
        <v>12689.676584</v>
      </c>
      <c r="BW277">
        <v>45538.377665</v>
      </c>
      <c r="BX277">
        <v>58228.054249</v>
      </c>
      <c r="BY277">
        <v>49889.576127</v>
      </c>
      <c r="BZ277">
        <v>255802.496728</v>
      </c>
      <c r="CA277">
        <v>305692.072855</v>
      </c>
      <c r="CB277">
        <v>123924.527145</v>
      </c>
      <c r="CC277">
        <v>0</v>
      </c>
      <c r="CD277">
        <v>163130.972564</v>
      </c>
      <c r="CE277">
        <v>361671.57144</v>
      </c>
      <c r="CF277">
        <v>123181.196719</v>
      </c>
      <c r="CG277">
        <v>36262.95</v>
      </c>
      <c r="CH277">
        <v>816084.870106</v>
      </c>
      <c r="CI277">
        <v>2894009.992738</v>
      </c>
      <c r="CJ277">
        <v>777795.6</v>
      </c>
    </row>
    <row r="278" ht="14.497499999999997" customHeight="1">
      <c r="BF278" t="s">
        <v>35</v>
      </c>
      <c r="BG278" t="s">
        <v>144</v>
      </c>
      <c r="BH278" t="s">
        <v>37</v>
      </c>
      <c r="BI278" t="s">
        <v>143</v>
      </c>
      <c r="BJ278" t="s">
        <v>98</v>
      </c>
      <c r="BK278" t="s">
        <v>93</v>
      </c>
      <c r="BL278" t="s">
        <v>94</v>
      </c>
      <c r="BM278" t="s">
        <v>50</v>
      </c>
      <c r="BN278" t="s">
        <v>43</v>
      </c>
      <c r="BO278">
        <v>57.87</v>
      </c>
      <c r="BP278">
        <v>2</v>
      </c>
      <c r="BQ278">
        <v>422103.78</v>
      </c>
      <c r="BR278">
        <v>27766.849102</v>
      </c>
      <c r="BS278">
        <v>61560.841518</v>
      </c>
      <c r="BT278">
        <v>21735.814886</v>
      </c>
      <c r="BU278">
        <v>136013.600961</v>
      </c>
      <c r="BV278">
        <v>12689.676584</v>
      </c>
      <c r="BW278">
        <v>45538.377665</v>
      </c>
      <c r="BX278">
        <v>58228.054249</v>
      </c>
      <c r="BY278">
        <v>49502.663988</v>
      </c>
      <c r="BZ278">
        <v>255802.496728</v>
      </c>
      <c r="CA278">
        <v>305305.160716</v>
      </c>
      <c r="CB278">
        <v>116798.619284</v>
      </c>
      <c r="CC278">
        <v>0</v>
      </c>
      <c r="CD278">
        <v>163130.972564</v>
      </c>
      <c r="CE278">
        <v>361671.57144</v>
      </c>
      <c r="CF278">
        <v>123181.196719</v>
      </c>
      <c r="CG278">
        <v>36262.95</v>
      </c>
      <c r="CH278">
        <v>816084.870106</v>
      </c>
      <c r="CI278">
        <v>2894009.992738</v>
      </c>
      <c r="CJ278">
        <v>777795.6</v>
      </c>
    </row>
    <row r="279" ht="14.497499999999997" customHeight="1">
      <c r="BF279" t="s">
        <v>35</v>
      </c>
      <c r="BG279" t="s">
        <v>144</v>
      </c>
      <c r="BH279" t="s">
        <v>37</v>
      </c>
      <c r="BI279" t="s">
        <v>143</v>
      </c>
      <c r="BJ279" t="s">
        <v>98</v>
      </c>
      <c r="BK279" t="s">
        <v>93</v>
      </c>
      <c r="BL279" t="s">
        <v>95</v>
      </c>
      <c r="BM279" t="s">
        <v>71</v>
      </c>
      <c r="BN279" t="s">
        <v>43</v>
      </c>
      <c r="BO279">
        <v>77.728923</v>
      </c>
      <c r="BP279">
        <v>3</v>
      </c>
      <c r="BQ279">
        <v>614447.136315</v>
      </c>
      <c r="BR279">
        <v>36444.111795</v>
      </c>
      <c r="BS279">
        <v>80798.875746</v>
      </c>
      <c r="BT279">
        <v>47825.803027</v>
      </c>
      <c r="BU279">
        <v>204021.217527</v>
      </c>
      <c r="BV279">
        <v>19034.591014</v>
      </c>
      <c r="BW279">
        <v>68307.83973</v>
      </c>
      <c r="BX279">
        <v>87342.430744</v>
      </c>
      <c r="BY279">
        <v>84269.914822</v>
      </c>
      <c r="BZ279">
        <v>372162.524017</v>
      </c>
      <c r="CA279">
        <v>456432.438839</v>
      </c>
      <c r="CB279">
        <v>158014.697476</v>
      </c>
      <c r="CC279">
        <v>77.728923</v>
      </c>
      <c r="CD279">
        <v>163130.972564</v>
      </c>
      <c r="CE279">
        <v>361671.57144</v>
      </c>
      <c r="CF279">
        <v>123181.196719</v>
      </c>
      <c r="CG279">
        <v>36262.95</v>
      </c>
      <c r="CH279">
        <v>816084.870106</v>
      </c>
      <c r="CI279">
        <v>2894009.992738</v>
      </c>
      <c r="CJ279">
        <v>777795.6</v>
      </c>
    </row>
    <row r="280" ht="14.497499999999997" customHeight="1">
      <c r="BF280" t="s">
        <v>35</v>
      </c>
      <c r="BG280" t="s">
        <v>144</v>
      </c>
      <c r="BH280" t="s">
        <v>37</v>
      </c>
      <c r="BI280" t="s">
        <v>143</v>
      </c>
      <c r="BJ280" t="s">
        <v>98</v>
      </c>
      <c r="BK280" t="s">
        <v>93</v>
      </c>
      <c r="BL280" t="s">
        <v>95</v>
      </c>
      <c r="BM280" t="s">
        <v>72</v>
      </c>
      <c r="BN280" t="s">
        <v>43</v>
      </c>
      <c r="BO280">
        <v>59.9</v>
      </c>
      <c r="BP280">
        <v>3</v>
      </c>
      <c r="BQ280">
        <v>468118.5</v>
      </c>
      <c r="BR280">
        <v>36444.111795</v>
      </c>
      <c r="BS280">
        <v>80798.875746</v>
      </c>
      <c r="BT280">
        <v>22498.306494</v>
      </c>
      <c r="BU280">
        <v>204021.217527</v>
      </c>
      <c r="BV280">
        <v>19034.591014</v>
      </c>
      <c r="BW280">
        <v>68307.83973</v>
      </c>
      <c r="BX280">
        <v>87342.430744</v>
      </c>
      <c r="BY280">
        <v>58942.418289</v>
      </c>
      <c r="BZ280">
        <v>372162.524017</v>
      </c>
      <c r="CA280">
        <v>431104.942306</v>
      </c>
      <c r="CB280">
        <v>37013.557694</v>
      </c>
      <c r="CC280">
        <v>0</v>
      </c>
      <c r="CD280">
        <v>163130.972564</v>
      </c>
      <c r="CE280">
        <v>361671.57144</v>
      </c>
      <c r="CF280">
        <v>123181.196719</v>
      </c>
      <c r="CG280">
        <v>36262.95</v>
      </c>
      <c r="CH280">
        <v>816084.870106</v>
      </c>
      <c r="CI280">
        <v>2894009.992738</v>
      </c>
      <c r="CJ280">
        <v>777795.6</v>
      </c>
    </row>
    <row r="281" ht="14.497499999999997" customHeight="1">
      <c r="BF281" t="s">
        <v>35</v>
      </c>
      <c r="BG281" t="s">
        <v>144</v>
      </c>
      <c r="BH281" t="s">
        <v>37</v>
      </c>
      <c r="BI281" t="s">
        <v>143</v>
      </c>
      <c r="BJ281" t="s">
        <v>100</v>
      </c>
      <c r="BK281" t="s">
        <v>93</v>
      </c>
      <c r="BL281" t="s">
        <v>94</v>
      </c>
      <c r="BM281" t="s">
        <v>42</v>
      </c>
      <c r="BN281" t="s">
        <v>67</v>
      </c>
      <c r="BO281">
        <v>95.228055</v>
      </c>
      <c r="BP281">
        <v>3</v>
      </c>
      <c r="BQ281">
        <v>842082.644754</v>
      </c>
      <c r="BR281">
        <v>50978.499302</v>
      </c>
      <c r="BS281">
        <v>131866.836444</v>
      </c>
      <c r="BT281">
        <v>74019.088342</v>
      </c>
      <c r="BU281">
        <v>244529.726552</v>
      </c>
      <c r="BV281">
        <v>19748.921549</v>
      </c>
      <c r="BW281">
        <v>70871.297787</v>
      </c>
      <c r="BX281">
        <v>90620.219336</v>
      </c>
      <c r="BY281">
        <v>124997.587644</v>
      </c>
      <c r="BZ281">
        <v>467016.782332</v>
      </c>
      <c r="CA281">
        <v>592014.369976</v>
      </c>
      <c r="CB281">
        <v>250068.274778</v>
      </c>
      <c r="CC281">
        <v>95.228055</v>
      </c>
      <c r="CD281">
        <v>203913.997208</v>
      </c>
      <c r="CE281">
        <v>527467.345776</v>
      </c>
      <c r="CF281">
        <v>160051.330045</v>
      </c>
      <c r="CG281">
        <v>78534.65</v>
      </c>
      <c r="CH281">
        <v>1222648.632762</v>
      </c>
      <c r="CI281">
        <v>2894009.992738</v>
      </c>
      <c r="CJ281">
        <v>777795.6</v>
      </c>
    </row>
    <row r="282" ht="14.497499999999997" customHeight="1">
      <c r="BF282" t="s">
        <v>35</v>
      </c>
      <c r="BG282" t="s">
        <v>144</v>
      </c>
      <c r="BH282" t="s">
        <v>37</v>
      </c>
      <c r="BI282" t="s">
        <v>143</v>
      </c>
      <c r="BJ282" t="s">
        <v>100</v>
      </c>
      <c r="BK282" t="s">
        <v>93</v>
      </c>
      <c r="BL282" t="s">
        <v>94</v>
      </c>
      <c r="BM282" t="s">
        <v>44</v>
      </c>
      <c r="BN282" t="s">
        <v>43</v>
      </c>
      <c r="BO282">
        <v>77.17</v>
      </c>
      <c r="BP282">
        <v>3</v>
      </c>
      <c r="BQ282">
        <v>630423.3376</v>
      </c>
      <c r="BR282">
        <v>40782.799442</v>
      </c>
      <c r="BS282">
        <v>105493.469155</v>
      </c>
      <c r="BT282">
        <v>29038.753015</v>
      </c>
      <c r="BU282">
        <v>244529.726552</v>
      </c>
      <c r="BV282">
        <v>19748.921549</v>
      </c>
      <c r="BW282">
        <v>70871.297787</v>
      </c>
      <c r="BX282">
        <v>90620.219336</v>
      </c>
      <c r="BY282">
        <v>69821.552457</v>
      </c>
      <c r="BZ282">
        <v>440643.415043</v>
      </c>
      <c r="CA282">
        <v>510464.9675</v>
      </c>
      <c r="CB282">
        <v>119958.3701</v>
      </c>
      <c r="CC282">
        <v>0</v>
      </c>
      <c r="CD282">
        <v>203913.997208</v>
      </c>
      <c r="CE282">
        <v>527467.345776</v>
      </c>
      <c r="CF282">
        <v>160051.330045</v>
      </c>
      <c r="CG282">
        <v>78534.65</v>
      </c>
      <c r="CH282">
        <v>1222648.632762</v>
      </c>
      <c r="CI282">
        <v>2894009.992738</v>
      </c>
      <c r="CJ282">
        <v>777795.6</v>
      </c>
    </row>
    <row r="283" ht="14.497499999999997" customHeight="1">
      <c r="BF283" t="s">
        <v>35</v>
      </c>
      <c r="BG283" t="s">
        <v>144</v>
      </c>
      <c r="BH283" t="s">
        <v>37</v>
      </c>
      <c r="BI283" t="s">
        <v>143</v>
      </c>
      <c r="BJ283" t="s">
        <v>100</v>
      </c>
      <c r="BK283" t="s">
        <v>93</v>
      </c>
      <c r="BL283" t="s">
        <v>94</v>
      </c>
      <c r="BM283" t="s">
        <v>50</v>
      </c>
      <c r="BN283" t="s">
        <v>43</v>
      </c>
      <c r="BO283">
        <v>75.14</v>
      </c>
      <c r="BP283">
        <v>3</v>
      </c>
      <c r="BQ283">
        <v>613839.6992</v>
      </c>
      <c r="BR283">
        <v>40782.799442</v>
      </c>
      <c r="BS283">
        <v>105493.469155</v>
      </c>
      <c r="BT283">
        <v>28274.828017</v>
      </c>
      <c r="BU283">
        <v>244529.726552</v>
      </c>
      <c r="BV283">
        <v>19748.921549</v>
      </c>
      <c r="BW283">
        <v>70871.297787</v>
      </c>
      <c r="BX283">
        <v>90620.219336</v>
      </c>
      <c r="BY283">
        <v>69057.627459</v>
      </c>
      <c r="BZ283">
        <v>440643.415043</v>
      </c>
      <c r="CA283">
        <v>509701.042502</v>
      </c>
      <c r="CB283">
        <v>104138.656698</v>
      </c>
      <c r="CC283">
        <v>0</v>
      </c>
      <c r="CD283">
        <v>203913.997208</v>
      </c>
      <c r="CE283">
        <v>527467.345776</v>
      </c>
      <c r="CF283">
        <v>160051.330045</v>
      </c>
      <c r="CG283">
        <v>78534.65</v>
      </c>
      <c r="CH283">
        <v>1222648.632762</v>
      </c>
      <c r="CI283">
        <v>2894009.992738</v>
      </c>
      <c r="CJ283">
        <v>777795.6</v>
      </c>
    </row>
    <row r="284" ht="14.497499999999997" customHeight="1">
      <c r="BF284" t="s">
        <v>35</v>
      </c>
      <c r="BG284" t="s">
        <v>144</v>
      </c>
      <c r="BH284" t="s">
        <v>37</v>
      </c>
      <c r="BI284" t="s">
        <v>143</v>
      </c>
      <c r="BJ284" t="s">
        <v>100</v>
      </c>
      <c r="BK284" t="s">
        <v>93</v>
      </c>
      <c r="BL284" t="s">
        <v>95</v>
      </c>
      <c r="BM284" t="s">
        <v>71</v>
      </c>
      <c r="BN284" t="s">
        <v>43</v>
      </c>
      <c r="BO284">
        <v>100.625128</v>
      </c>
      <c r="BP284">
        <v>3</v>
      </c>
      <c r="BQ284">
        <v>889807.881878</v>
      </c>
      <c r="BR284">
        <v>35684.949511</v>
      </c>
      <c r="BS284">
        <v>92306.785511</v>
      </c>
      <c r="BT284">
        <v>78214.159019</v>
      </c>
      <c r="BU284">
        <v>244529.726552</v>
      </c>
      <c r="BV284">
        <v>19748.921549</v>
      </c>
      <c r="BW284">
        <v>70871.297787</v>
      </c>
      <c r="BX284">
        <v>90620.219336</v>
      </c>
      <c r="BY284">
        <v>113899.10853</v>
      </c>
      <c r="BZ284">
        <v>427456.731399</v>
      </c>
      <c r="CA284">
        <v>541355.839929</v>
      </c>
      <c r="CB284">
        <v>348452.041949</v>
      </c>
      <c r="CC284">
        <v>100.625128</v>
      </c>
      <c r="CD284">
        <v>203913.997208</v>
      </c>
      <c r="CE284">
        <v>527467.345776</v>
      </c>
      <c r="CF284">
        <v>160051.330045</v>
      </c>
      <c r="CG284">
        <v>78534.65</v>
      </c>
      <c r="CH284">
        <v>1222648.632762</v>
      </c>
      <c r="CI284">
        <v>2894009.992738</v>
      </c>
      <c r="CJ284">
        <v>777795.6</v>
      </c>
    </row>
    <row r="285" ht="14.497499999999997" customHeight="1">
      <c r="BF285" t="s">
        <v>35</v>
      </c>
      <c r="BG285" t="s">
        <v>144</v>
      </c>
      <c r="BH285" t="s">
        <v>37</v>
      </c>
      <c r="BI285" t="s">
        <v>143</v>
      </c>
      <c r="BJ285" t="s">
        <v>100</v>
      </c>
      <c r="BK285" t="s">
        <v>93</v>
      </c>
      <c r="BL285" t="s">
        <v>95</v>
      </c>
      <c r="BM285" t="s">
        <v>72</v>
      </c>
      <c r="BN285" t="s">
        <v>43</v>
      </c>
      <c r="BO285">
        <v>77.17</v>
      </c>
      <c r="BP285">
        <v>3</v>
      </c>
      <c r="BQ285">
        <v>675453.576</v>
      </c>
      <c r="BR285">
        <v>35684.949511</v>
      </c>
      <c r="BS285">
        <v>92306.785511</v>
      </c>
      <c r="BT285">
        <v>29038.753015</v>
      </c>
      <c r="BU285">
        <v>244529.726552</v>
      </c>
      <c r="BV285">
        <v>19748.921549</v>
      </c>
      <c r="BW285">
        <v>70871.297787</v>
      </c>
      <c r="BX285">
        <v>90620.219336</v>
      </c>
      <c r="BY285">
        <v>64723.702526</v>
      </c>
      <c r="BZ285">
        <v>427456.731399</v>
      </c>
      <c r="CA285">
        <v>492180.433925</v>
      </c>
      <c r="CB285">
        <v>183273.142075</v>
      </c>
      <c r="CC285">
        <v>0</v>
      </c>
      <c r="CD285">
        <v>203913.997208</v>
      </c>
      <c r="CE285">
        <v>527467.345776</v>
      </c>
      <c r="CF285">
        <v>160051.330045</v>
      </c>
      <c r="CG285">
        <v>78534.65</v>
      </c>
      <c r="CH285">
        <v>1222648.632762</v>
      </c>
      <c r="CI285">
        <v>2894009.992738</v>
      </c>
      <c r="CJ285">
        <v>777795.6</v>
      </c>
    </row>
    <row r="286" ht="14.497499999999997" customHeight="1">
      <c r="BF286" t="s">
        <v>35</v>
      </c>
      <c r="BG286" t="s">
        <v>144</v>
      </c>
      <c r="BH286" t="s">
        <v>37</v>
      </c>
      <c r="BI286" t="s">
        <v>143</v>
      </c>
      <c r="BJ286" t="s">
        <v>104</v>
      </c>
      <c r="BK286" t="s">
        <v>105</v>
      </c>
      <c r="BL286" t="s">
        <v>106</v>
      </c>
      <c r="BM286" t="s">
        <v>107</v>
      </c>
      <c r="BN286" t="s">
        <v>43</v>
      </c>
      <c r="BO286">
        <v>46.478135</v>
      </c>
      <c r="BP286">
        <v>2</v>
      </c>
      <c r="BQ286">
        <v>283206.61434</v>
      </c>
      <c r="BR286">
        <v>26805.371391</v>
      </c>
      <c r="BS286">
        <v>47324.717869</v>
      </c>
      <c r="BT286">
        <v>26558.117321</v>
      </c>
      <c r="BU286">
        <v>70147.486185</v>
      </c>
      <c r="BV286">
        <v>7992.52945</v>
      </c>
      <c r="BW286">
        <v>33085.341631</v>
      </c>
      <c r="BX286">
        <v>41077.871081</v>
      </c>
      <c r="BY286">
        <v>53363.488712</v>
      </c>
      <c r="BZ286">
        <v>158550.075135</v>
      </c>
      <c r="CA286">
        <v>211913.563847</v>
      </c>
      <c r="CB286">
        <v>71293.050493</v>
      </c>
      <c r="CC286">
        <v>46.478135</v>
      </c>
      <c r="CD286">
        <v>108753.606372</v>
      </c>
      <c r="CE286">
        <v>192003.82131</v>
      </c>
      <c r="CF286">
        <v>59496.216244</v>
      </c>
      <c r="CG286">
        <v>25263.2</v>
      </c>
      <c r="CH286">
        <v>350737.430926</v>
      </c>
      <c r="CI286">
        <v>2894009.992738</v>
      </c>
      <c r="CJ286">
        <v>777795.6</v>
      </c>
    </row>
    <row r="287" ht="14.497499999999997" customHeight="1">
      <c r="BF287" t="s">
        <v>35</v>
      </c>
      <c r="BG287" t="s">
        <v>144</v>
      </c>
      <c r="BH287" t="s">
        <v>37</v>
      </c>
      <c r="BI287" t="s">
        <v>143</v>
      </c>
      <c r="BJ287" t="s">
        <v>104</v>
      </c>
      <c r="BK287" t="s">
        <v>105</v>
      </c>
      <c r="BL287" t="s">
        <v>106</v>
      </c>
      <c r="BM287" t="s">
        <v>109</v>
      </c>
      <c r="BN287" t="s">
        <v>43</v>
      </c>
      <c r="BO287">
        <v>35.54</v>
      </c>
      <c r="BP287">
        <v>2</v>
      </c>
      <c r="BQ287">
        <v>213358.3482</v>
      </c>
      <c r="BR287">
        <v>26805.371391</v>
      </c>
      <c r="BS287">
        <v>47324.717869</v>
      </c>
      <c r="BT287">
        <v>10649.049257</v>
      </c>
      <c r="BU287">
        <v>70147.486185</v>
      </c>
      <c r="BV287">
        <v>7992.52945</v>
      </c>
      <c r="BW287">
        <v>33085.341631</v>
      </c>
      <c r="BX287">
        <v>41077.871081</v>
      </c>
      <c r="BY287">
        <v>37454.420648</v>
      </c>
      <c r="BZ287">
        <v>158550.075135</v>
      </c>
      <c r="CA287">
        <v>196004.495783</v>
      </c>
      <c r="CB287">
        <v>17353.852417</v>
      </c>
      <c r="CC287">
        <v>0</v>
      </c>
      <c r="CD287">
        <v>108753.606372</v>
      </c>
      <c r="CE287">
        <v>192003.82131</v>
      </c>
      <c r="CF287">
        <v>59496.216244</v>
      </c>
      <c r="CG287">
        <v>25263.2</v>
      </c>
      <c r="CH287">
        <v>350737.430926</v>
      </c>
      <c r="CI287">
        <v>2894009.992738</v>
      </c>
      <c r="CJ287">
        <v>777795.6</v>
      </c>
    </row>
    <row r="288" ht="14.497499999999997" customHeight="1">
      <c r="BF288" t="s">
        <v>35</v>
      </c>
      <c r="BG288" t="s">
        <v>144</v>
      </c>
      <c r="BH288" t="s">
        <v>37</v>
      </c>
      <c r="BI288" t="s">
        <v>143</v>
      </c>
      <c r="BJ288" t="s">
        <v>104</v>
      </c>
      <c r="BK288" t="s">
        <v>105</v>
      </c>
      <c r="BL288" t="s">
        <v>111</v>
      </c>
      <c r="BM288" t="s">
        <v>42</v>
      </c>
      <c r="BN288" t="s">
        <v>43</v>
      </c>
      <c r="BO288">
        <v>46.478135</v>
      </c>
      <c r="BP288">
        <v>2</v>
      </c>
      <c r="BQ288">
        <v>329710.544704</v>
      </c>
      <c r="BR288">
        <v>18380.882027</v>
      </c>
      <c r="BS288">
        <v>32451.333855</v>
      </c>
      <c r="BT288">
        <v>26558.117321</v>
      </c>
      <c r="BU288">
        <v>70147.486185</v>
      </c>
      <c r="BV288">
        <v>7992.52945</v>
      </c>
      <c r="BW288">
        <v>33085.341631</v>
      </c>
      <c r="BX288">
        <v>41077.871081</v>
      </c>
      <c r="BY288">
        <v>44938.999348</v>
      </c>
      <c r="BZ288">
        <v>143676.691121</v>
      </c>
      <c r="CA288">
        <v>188615.690469</v>
      </c>
      <c r="CB288">
        <v>141094.854235</v>
      </c>
      <c r="CC288">
        <v>46.478135</v>
      </c>
      <c r="CD288">
        <v>108753.606372</v>
      </c>
      <c r="CE288">
        <v>192003.82131</v>
      </c>
      <c r="CF288">
        <v>59496.216244</v>
      </c>
      <c r="CG288">
        <v>25263.2</v>
      </c>
      <c r="CH288">
        <v>350737.430926</v>
      </c>
      <c r="CI288">
        <v>2894009.992738</v>
      </c>
      <c r="CJ288">
        <v>777795.6</v>
      </c>
    </row>
    <row r="289" ht="14.497499999999997" customHeight="1">
      <c r="BF289" t="s">
        <v>35</v>
      </c>
      <c r="BG289" t="s">
        <v>144</v>
      </c>
      <c r="BH289" t="s">
        <v>37</v>
      </c>
      <c r="BI289" t="s">
        <v>143</v>
      </c>
      <c r="BJ289" t="s">
        <v>104</v>
      </c>
      <c r="BK289" t="s">
        <v>105</v>
      </c>
      <c r="BL289" t="s">
        <v>111</v>
      </c>
      <c r="BM289" t="s">
        <v>44</v>
      </c>
      <c r="BN289" t="s">
        <v>43</v>
      </c>
      <c r="BO289">
        <v>35.54</v>
      </c>
      <c r="BP289">
        <v>2</v>
      </c>
      <c r="BQ289">
        <v>248918.0729</v>
      </c>
      <c r="BR289">
        <v>18380.882027</v>
      </c>
      <c r="BS289">
        <v>32451.333855</v>
      </c>
      <c r="BT289">
        <v>10649.049257</v>
      </c>
      <c r="BU289">
        <v>70147.486185</v>
      </c>
      <c r="BV289">
        <v>7992.52945</v>
      </c>
      <c r="BW289">
        <v>33085.341631</v>
      </c>
      <c r="BX289">
        <v>41077.871081</v>
      </c>
      <c r="BY289">
        <v>29029.931284</v>
      </c>
      <c r="BZ289">
        <v>143676.691121</v>
      </c>
      <c r="CA289">
        <v>172706.622405</v>
      </c>
      <c r="CB289">
        <v>76211.450495</v>
      </c>
      <c r="CC289">
        <v>0</v>
      </c>
      <c r="CD289">
        <v>108753.606372</v>
      </c>
      <c r="CE289">
        <v>192003.82131</v>
      </c>
      <c r="CF289">
        <v>59496.216244</v>
      </c>
      <c r="CG289">
        <v>25263.2</v>
      </c>
      <c r="CH289">
        <v>350737.430926</v>
      </c>
      <c r="CI289">
        <v>2894009.992738</v>
      </c>
      <c r="CJ289">
        <v>777795.6</v>
      </c>
    </row>
    <row r="290" ht="14.497499999999997" customHeight="1">
      <c r="BF290" t="s">
        <v>35</v>
      </c>
      <c r="BG290" t="s">
        <v>144</v>
      </c>
      <c r="BH290" t="s">
        <v>37</v>
      </c>
      <c r="BI290" t="s">
        <v>143</v>
      </c>
      <c r="BJ290" t="s">
        <v>104</v>
      </c>
      <c r="BK290" t="s">
        <v>105</v>
      </c>
      <c r="BL290" t="s">
        <v>111</v>
      </c>
      <c r="BM290" t="s">
        <v>50</v>
      </c>
      <c r="BN290" t="s">
        <v>43</v>
      </c>
      <c r="BO290">
        <v>34.525</v>
      </c>
      <c r="BP290">
        <v>2</v>
      </c>
      <c r="BQ290">
        <v>241809.129625</v>
      </c>
      <c r="BR290">
        <v>18380.882027</v>
      </c>
      <c r="BS290">
        <v>32451.333855</v>
      </c>
      <c r="BT290">
        <v>10344.904599</v>
      </c>
      <c r="BU290">
        <v>70147.486185</v>
      </c>
      <c r="BV290">
        <v>7992.52945</v>
      </c>
      <c r="BW290">
        <v>33085.341631</v>
      </c>
      <c r="BX290">
        <v>41077.871081</v>
      </c>
      <c r="BY290">
        <v>28725.786626</v>
      </c>
      <c r="BZ290">
        <v>143676.691121</v>
      </c>
      <c r="CA290">
        <v>172402.477747</v>
      </c>
      <c r="CB290">
        <v>69406.651878</v>
      </c>
      <c r="CC290">
        <v>0</v>
      </c>
      <c r="CD290">
        <v>108753.606372</v>
      </c>
      <c r="CE290">
        <v>192003.82131</v>
      </c>
      <c r="CF290">
        <v>59496.216244</v>
      </c>
      <c r="CG290">
        <v>25263.2</v>
      </c>
      <c r="CH290">
        <v>350737.430926</v>
      </c>
      <c r="CI290">
        <v>2894009.992738</v>
      </c>
      <c r="CJ290">
        <v>777795.6</v>
      </c>
    </row>
    <row r="291" ht="14.497499999999997" customHeight="1">
      <c r="BF291" t="s">
        <v>35</v>
      </c>
      <c r="BG291" t="s">
        <v>144</v>
      </c>
      <c r="BH291" t="s">
        <v>37</v>
      </c>
      <c r="BI291" t="s">
        <v>143</v>
      </c>
      <c r="BJ291" t="s">
        <v>114</v>
      </c>
      <c r="BK291" t="s">
        <v>105</v>
      </c>
      <c r="BL291" t="s">
        <v>111</v>
      </c>
      <c r="BM291" t="s">
        <v>50</v>
      </c>
      <c r="BN291" t="s">
        <v>43</v>
      </c>
      <c r="BO291">
        <v>44.675</v>
      </c>
      <c r="BP291">
        <v>2</v>
      </c>
      <c r="BQ291">
        <v>338704.629375</v>
      </c>
      <c r="BR291">
        <v>18380.882027</v>
      </c>
      <c r="BS291">
        <v>42848.246782</v>
      </c>
      <c r="BT291">
        <v>13383.727715</v>
      </c>
      <c r="BU291">
        <v>108760.799506</v>
      </c>
      <c r="BV291">
        <v>10245.825777</v>
      </c>
      <c r="BW291">
        <v>42412.936759</v>
      </c>
      <c r="BX291">
        <v>52658.762536</v>
      </c>
      <c r="BY291">
        <v>31764.609742</v>
      </c>
      <c r="BZ291">
        <v>204267.808824</v>
      </c>
      <c r="CA291">
        <v>236032.418566</v>
      </c>
      <c r="CB291">
        <v>102672.210809</v>
      </c>
      <c r="CC291">
        <v>0</v>
      </c>
      <c r="CD291">
        <v>108753.606372</v>
      </c>
      <c r="CE291">
        <v>253518.92022</v>
      </c>
      <c r="CF291">
        <v>76255.777214</v>
      </c>
      <c r="CG291">
        <v>42103.8</v>
      </c>
      <c r="CH291">
        <v>543803.997532</v>
      </c>
      <c r="CI291">
        <v>2894009.992738</v>
      </c>
      <c r="CJ291">
        <v>777795.6</v>
      </c>
    </row>
    <row r="292" ht="14.497499999999997" customHeight="1">
      <c r="BF292" t="s">
        <v>35</v>
      </c>
      <c r="BG292" t="s">
        <v>144</v>
      </c>
      <c r="BH292" t="s">
        <v>37</v>
      </c>
      <c r="BI292" t="s">
        <v>143</v>
      </c>
      <c r="BJ292" t="s">
        <v>114</v>
      </c>
      <c r="BK292" t="s">
        <v>105</v>
      </c>
      <c r="BL292" t="s">
        <v>111</v>
      </c>
      <c r="BM292" t="s">
        <v>44</v>
      </c>
      <c r="BN292" t="s">
        <v>43</v>
      </c>
      <c r="BO292">
        <v>45.69</v>
      </c>
      <c r="BP292">
        <v>2</v>
      </c>
      <c r="BQ292">
        <v>346399.87725</v>
      </c>
      <c r="BR292">
        <v>18380.882027</v>
      </c>
      <c r="BS292">
        <v>42848.246782</v>
      </c>
      <c r="BT292">
        <v>13687.835754</v>
      </c>
      <c r="BU292">
        <v>108760.799506</v>
      </c>
      <c r="BV292">
        <v>10245.825777</v>
      </c>
      <c r="BW292">
        <v>42412.936759</v>
      </c>
      <c r="BX292">
        <v>52658.762536</v>
      </c>
      <c r="BY292">
        <v>32068.717781</v>
      </c>
      <c r="BZ292">
        <v>204267.808824</v>
      </c>
      <c r="CA292">
        <v>236336.526605</v>
      </c>
      <c r="CB292">
        <v>110063.350645</v>
      </c>
      <c r="CC292">
        <v>0</v>
      </c>
      <c r="CD292">
        <v>108753.606372</v>
      </c>
      <c r="CE292">
        <v>253518.92022</v>
      </c>
      <c r="CF292">
        <v>76255.777214</v>
      </c>
      <c r="CG292">
        <v>42103.8</v>
      </c>
      <c r="CH292">
        <v>543803.997532</v>
      </c>
      <c r="CI292">
        <v>2894009.992738</v>
      </c>
      <c r="CJ292">
        <v>777795.6</v>
      </c>
    </row>
    <row r="293" ht="14.497499999999997" customHeight="1">
      <c r="BF293" t="s">
        <v>35</v>
      </c>
      <c r="BG293" t="s">
        <v>144</v>
      </c>
      <c r="BH293" t="s">
        <v>37</v>
      </c>
      <c r="BI293" t="s">
        <v>143</v>
      </c>
      <c r="BJ293" t="s">
        <v>114</v>
      </c>
      <c r="BK293" t="s">
        <v>105</v>
      </c>
      <c r="BL293" t="s">
        <v>106</v>
      </c>
      <c r="BM293" t="s">
        <v>107</v>
      </c>
      <c r="BN293" t="s">
        <v>43</v>
      </c>
      <c r="BO293">
        <v>59.243083</v>
      </c>
      <c r="BP293">
        <v>2</v>
      </c>
      <c r="BQ293">
        <v>390320.090191</v>
      </c>
      <c r="BR293">
        <v>26805.371391</v>
      </c>
      <c r="BS293">
        <v>62486.836418</v>
      </c>
      <c r="BT293">
        <v>38799.974612</v>
      </c>
      <c r="BU293">
        <v>108760.799506</v>
      </c>
      <c r="BV293">
        <v>10245.825777</v>
      </c>
      <c r="BW293">
        <v>42412.936759</v>
      </c>
      <c r="BX293">
        <v>52658.762536</v>
      </c>
      <c r="BY293">
        <v>65605.346003</v>
      </c>
      <c r="BZ293">
        <v>223906.39846</v>
      </c>
      <c r="CA293">
        <v>289511.744463</v>
      </c>
      <c r="CB293">
        <v>100808.345728</v>
      </c>
      <c r="CC293">
        <v>59.243083</v>
      </c>
      <c r="CD293">
        <v>108753.606372</v>
      </c>
      <c r="CE293">
        <v>253518.92022</v>
      </c>
      <c r="CF293">
        <v>76255.777214</v>
      </c>
      <c r="CG293">
        <v>42103.8</v>
      </c>
      <c r="CH293">
        <v>543803.997532</v>
      </c>
      <c r="CI293">
        <v>2894009.992738</v>
      </c>
      <c r="CJ293">
        <v>777795.6</v>
      </c>
    </row>
    <row r="294" ht="14.497499999999997" customHeight="1">
      <c r="BF294" t="s">
        <v>35</v>
      </c>
      <c r="BG294" t="s">
        <v>144</v>
      </c>
      <c r="BH294" t="s">
        <v>37</v>
      </c>
      <c r="BI294" t="s">
        <v>143</v>
      </c>
      <c r="BJ294" t="s">
        <v>114</v>
      </c>
      <c r="BK294" t="s">
        <v>105</v>
      </c>
      <c r="BL294" t="s">
        <v>106</v>
      </c>
      <c r="BM294" t="s">
        <v>109</v>
      </c>
      <c r="BN294" t="s">
        <v>43</v>
      </c>
      <c r="BO294">
        <v>45.69</v>
      </c>
      <c r="BP294">
        <v>2</v>
      </c>
      <c r="BQ294">
        <v>296914.1805</v>
      </c>
      <c r="BR294">
        <v>26805.371391</v>
      </c>
      <c r="BS294">
        <v>62486.836418</v>
      </c>
      <c r="BT294">
        <v>13687.835754</v>
      </c>
      <c r="BU294">
        <v>108760.799506</v>
      </c>
      <c r="BV294">
        <v>10245.825777</v>
      </c>
      <c r="BW294">
        <v>42412.936759</v>
      </c>
      <c r="BX294">
        <v>52658.762536</v>
      </c>
      <c r="BY294">
        <v>40493.207145</v>
      </c>
      <c r="BZ294">
        <v>223906.39846</v>
      </c>
      <c r="CA294">
        <v>264399.605605</v>
      </c>
      <c r="CB294">
        <v>32514.574895</v>
      </c>
      <c r="CC294">
        <v>0</v>
      </c>
      <c r="CD294">
        <v>108753.606372</v>
      </c>
      <c r="CE294">
        <v>253518.92022</v>
      </c>
      <c r="CF294">
        <v>76255.777214</v>
      </c>
      <c r="CG294">
        <v>42103.8</v>
      </c>
      <c r="CH294">
        <v>543803.997532</v>
      </c>
      <c r="CI294">
        <v>2894009.992738</v>
      </c>
      <c r="CJ294">
        <v>777795.6</v>
      </c>
    </row>
    <row r="295" ht="14.497499999999997" customHeight="1">
      <c r="BF295" t="s">
        <v>35</v>
      </c>
      <c r="BG295" t="s">
        <v>144</v>
      </c>
      <c r="BH295" t="s">
        <v>37</v>
      </c>
      <c r="BI295" t="s">
        <v>143</v>
      </c>
      <c r="BJ295" t="s">
        <v>114</v>
      </c>
      <c r="BK295" t="s">
        <v>105</v>
      </c>
      <c r="BL295" t="s">
        <v>111</v>
      </c>
      <c r="BM295" t="s">
        <v>42</v>
      </c>
      <c r="BN295" t="s">
        <v>43</v>
      </c>
      <c r="BO295">
        <v>59.243083</v>
      </c>
      <c r="BP295">
        <v>2</v>
      </c>
      <c r="BQ295">
        <v>454484.792312</v>
      </c>
      <c r="BR295">
        <v>18380.882027</v>
      </c>
      <c r="BS295">
        <v>42848.246782</v>
      </c>
      <c r="BT295">
        <v>38799.974612</v>
      </c>
      <c r="BU295">
        <v>108760.799506</v>
      </c>
      <c r="BV295">
        <v>10245.825777</v>
      </c>
      <c r="BW295">
        <v>42412.936759</v>
      </c>
      <c r="BX295">
        <v>52658.762536</v>
      </c>
      <c r="BY295">
        <v>57180.856639</v>
      </c>
      <c r="BZ295">
        <v>204267.808824</v>
      </c>
      <c r="CA295">
        <v>261448.665463</v>
      </c>
      <c r="CB295">
        <v>193036.126849</v>
      </c>
      <c r="CC295">
        <v>59.243083</v>
      </c>
      <c r="CD295">
        <v>108753.606372</v>
      </c>
      <c r="CE295">
        <v>253518.92022</v>
      </c>
      <c r="CF295">
        <v>76255.777214</v>
      </c>
      <c r="CG295">
        <v>42103.8</v>
      </c>
      <c r="CH295">
        <v>543803.997532</v>
      </c>
      <c r="CI295">
        <v>2894009.992738</v>
      </c>
      <c r="CJ295">
        <v>777795.6</v>
      </c>
    </row>
    <row r="296" ht="14.497499999999997" customHeight="1">
      <c r="BF296" t="s">
        <v>35</v>
      </c>
      <c r="BG296" t="s">
        <v>144</v>
      </c>
      <c r="BH296" t="s">
        <v>37</v>
      </c>
      <c r="BI296" t="s">
        <v>143</v>
      </c>
      <c r="BJ296" t="s">
        <v>116</v>
      </c>
      <c r="BK296" t="s">
        <v>117</v>
      </c>
      <c r="BL296" t="s">
        <v>118</v>
      </c>
      <c r="BM296" t="s">
        <v>42</v>
      </c>
      <c r="BN296" t="s">
        <v>43</v>
      </c>
      <c r="BO296">
        <v>51.592495</v>
      </c>
      <c r="BP296">
        <v>2</v>
      </c>
      <c r="BQ296">
        <v>397783.940606</v>
      </c>
      <c r="BR296">
        <v>27188.655907</v>
      </c>
      <c r="BS296">
        <v>65118.826425</v>
      </c>
      <c r="BT296">
        <v>41165.524675</v>
      </c>
      <c r="BU296">
        <v>126208.896567</v>
      </c>
      <c r="BV296">
        <v>9951.11513</v>
      </c>
      <c r="BW296">
        <v>36040.093053</v>
      </c>
      <c r="BX296">
        <v>45991.208183</v>
      </c>
      <c r="BY296">
        <v>68354.180582</v>
      </c>
      <c r="BZ296">
        <v>237318.931175</v>
      </c>
      <c r="CA296">
        <v>305673.111757</v>
      </c>
      <c r="CB296">
        <v>92110.828849</v>
      </c>
      <c r="CC296">
        <v>51.592495</v>
      </c>
      <c r="CD296">
        <v>81566.049288</v>
      </c>
      <c r="CE296">
        <v>195356.674632</v>
      </c>
      <c r="CF296">
        <v>49020.927631</v>
      </c>
      <c r="CG296">
        <v>21677.5</v>
      </c>
      <c r="CH296">
        <v>378627.068329</v>
      </c>
      <c r="CI296">
        <v>2894009.992738</v>
      </c>
      <c r="CJ296">
        <v>777795.6</v>
      </c>
    </row>
    <row r="297" ht="14.497499999999997" customHeight="1">
      <c r="BF297" t="s">
        <v>35</v>
      </c>
      <c r="BG297" t="s">
        <v>144</v>
      </c>
      <c r="BH297" t="s">
        <v>37</v>
      </c>
      <c r="BI297" t="s">
        <v>143</v>
      </c>
      <c r="BJ297" t="s">
        <v>116</v>
      </c>
      <c r="BK297" t="s">
        <v>117</v>
      </c>
      <c r="BL297" t="s">
        <v>118</v>
      </c>
      <c r="BM297" t="s">
        <v>44</v>
      </c>
      <c r="BN297" t="s">
        <v>43</v>
      </c>
      <c r="BO297">
        <v>39.6</v>
      </c>
      <c r="BP297">
        <v>2</v>
      </c>
      <c r="BQ297">
        <v>301756.455</v>
      </c>
      <c r="BR297">
        <v>27188.655907</v>
      </c>
      <c r="BS297">
        <v>65118.826425</v>
      </c>
      <c r="BT297">
        <v>14958.098795</v>
      </c>
      <c r="BU297">
        <v>126208.896567</v>
      </c>
      <c r="BV297">
        <v>9951.11513</v>
      </c>
      <c r="BW297">
        <v>36040.093053</v>
      </c>
      <c r="BX297">
        <v>45991.208183</v>
      </c>
      <c r="BY297">
        <v>42146.754702</v>
      </c>
      <c r="BZ297">
        <v>237318.931175</v>
      </c>
      <c r="CA297">
        <v>279465.685877</v>
      </c>
      <c r="CB297">
        <v>22290.769123</v>
      </c>
      <c r="CC297">
        <v>0</v>
      </c>
      <c r="CD297">
        <v>81566.049288</v>
      </c>
      <c r="CE297">
        <v>195356.674632</v>
      </c>
      <c r="CF297">
        <v>49020.927631</v>
      </c>
      <c r="CG297">
        <v>21677.5</v>
      </c>
      <c r="CH297">
        <v>378627.068329</v>
      </c>
      <c r="CI297">
        <v>2894009.992738</v>
      </c>
      <c r="CJ297">
        <v>777795.6</v>
      </c>
    </row>
    <row r="298" ht="14.497499999999997" customHeight="1">
      <c r="BF298" t="s">
        <v>35</v>
      </c>
      <c r="BG298" t="s">
        <v>144</v>
      </c>
      <c r="BH298" t="s">
        <v>37</v>
      </c>
      <c r="BI298" t="s">
        <v>143</v>
      </c>
      <c r="BJ298" t="s">
        <v>116</v>
      </c>
      <c r="BK298" t="s">
        <v>117</v>
      </c>
      <c r="BL298" t="s">
        <v>118</v>
      </c>
      <c r="BM298" t="s">
        <v>50</v>
      </c>
      <c r="BN298" t="s">
        <v>43</v>
      </c>
      <c r="BO298">
        <v>38.585</v>
      </c>
      <c r="BP298">
        <v>2</v>
      </c>
      <c r="BQ298">
        <v>294022.040813</v>
      </c>
      <c r="BR298">
        <v>27188.655907</v>
      </c>
      <c r="BS298">
        <v>65118.826425</v>
      </c>
      <c r="BT298">
        <v>14574.70612</v>
      </c>
      <c r="BU298">
        <v>126208.896567</v>
      </c>
      <c r="BV298">
        <v>9951.11513</v>
      </c>
      <c r="BW298">
        <v>36040.093053</v>
      </c>
      <c r="BX298">
        <v>45991.208183</v>
      </c>
      <c r="BY298">
        <v>41763.362027</v>
      </c>
      <c r="BZ298">
        <v>237318.931175</v>
      </c>
      <c r="CA298">
        <v>279082.293202</v>
      </c>
      <c r="CB298">
        <v>14939.747611</v>
      </c>
      <c r="CC298">
        <v>0</v>
      </c>
      <c r="CD298">
        <v>81566.049288</v>
      </c>
      <c r="CE298">
        <v>195356.674632</v>
      </c>
      <c r="CF298">
        <v>49020.927631</v>
      </c>
      <c r="CG298">
        <v>21677.5</v>
      </c>
      <c r="CH298">
        <v>378627.068329</v>
      </c>
      <c r="CI298">
        <v>2894009.992738</v>
      </c>
      <c r="CJ298">
        <v>777795.6</v>
      </c>
    </row>
    <row r="299" ht="14.497499999999997" customHeight="1">
      <c r="BF299" t="s">
        <v>35</v>
      </c>
      <c r="BG299" t="s">
        <v>144</v>
      </c>
      <c r="BH299" t="s">
        <v>37</v>
      </c>
      <c r="BI299" t="s">
        <v>143</v>
      </c>
      <c r="BJ299" t="s">
        <v>119</v>
      </c>
      <c r="BK299" t="s">
        <v>117</v>
      </c>
      <c r="BL299" t="s">
        <v>118</v>
      </c>
      <c r="BM299" t="s">
        <v>42</v>
      </c>
      <c r="BN299" t="s">
        <v>43</v>
      </c>
      <c r="BO299">
        <v>60.37401</v>
      </c>
      <c r="BP299">
        <v>2</v>
      </c>
      <c r="BQ299">
        <v>496160.859061</v>
      </c>
      <c r="BR299">
        <v>27188.655907</v>
      </c>
      <c r="BS299">
        <v>78223.924178</v>
      </c>
      <c r="BT299">
        <v>57626.184171</v>
      </c>
      <c r="BU299">
        <v>169036.902073</v>
      </c>
      <c r="BV299">
        <v>11714.078712</v>
      </c>
      <c r="BW299">
        <v>42425.04295</v>
      </c>
      <c r="BX299">
        <v>54139.121662</v>
      </c>
      <c r="BY299">
        <v>84814.840078</v>
      </c>
      <c r="BZ299">
        <v>301399.947913</v>
      </c>
      <c r="CA299">
        <v>386214.787991</v>
      </c>
      <c r="CB299">
        <v>109946.07107</v>
      </c>
      <c r="CC299">
        <v>60.37401</v>
      </c>
      <c r="CD299">
        <v>81566.049288</v>
      </c>
      <c r="CE299">
        <v>234672.007206</v>
      </c>
      <c r="CF299">
        <v>57819.58454</v>
      </c>
      <c r="CG299">
        <v>34776</v>
      </c>
      <c r="CH299">
        <v>507111.213331</v>
      </c>
      <c r="CI299">
        <v>2894009.992738</v>
      </c>
      <c r="CJ299">
        <v>777795.6</v>
      </c>
    </row>
    <row r="300" ht="14.497499999999997" customHeight="1">
      <c r="BF300" t="s">
        <v>35</v>
      </c>
      <c r="BG300" t="s">
        <v>144</v>
      </c>
      <c r="BH300" t="s">
        <v>37</v>
      </c>
      <c r="BI300" t="s">
        <v>143</v>
      </c>
      <c r="BJ300" t="s">
        <v>119</v>
      </c>
      <c r="BK300" t="s">
        <v>117</v>
      </c>
      <c r="BL300" t="s">
        <v>118</v>
      </c>
      <c r="BM300" t="s">
        <v>44</v>
      </c>
      <c r="BN300" t="s">
        <v>43</v>
      </c>
      <c r="BO300">
        <v>46.705</v>
      </c>
      <c r="BP300">
        <v>2</v>
      </c>
      <c r="BQ300">
        <v>379623.8446</v>
      </c>
      <c r="BR300">
        <v>27188.655907</v>
      </c>
      <c r="BS300">
        <v>78223.924178</v>
      </c>
      <c r="BT300">
        <v>17676.719025</v>
      </c>
      <c r="BU300">
        <v>169036.902073</v>
      </c>
      <c r="BV300">
        <v>11714.078712</v>
      </c>
      <c r="BW300">
        <v>42425.04295</v>
      </c>
      <c r="BX300">
        <v>54139.121662</v>
      </c>
      <c r="BY300">
        <v>44865.374932</v>
      </c>
      <c r="BZ300">
        <v>301399.947913</v>
      </c>
      <c r="CA300">
        <v>346265.322845</v>
      </c>
      <c r="CB300">
        <v>33358.521755</v>
      </c>
      <c r="CC300">
        <v>0</v>
      </c>
      <c r="CD300">
        <v>81566.049288</v>
      </c>
      <c r="CE300">
        <v>234672.007206</v>
      </c>
      <c r="CF300">
        <v>57819.58454</v>
      </c>
      <c r="CG300">
        <v>34776</v>
      </c>
      <c r="CH300">
        <v>507111.213331</v>
      </c>
      <c r="CI300">
        <v>2894009.992738</v>
      </c>
      <c r="CJ300">
        <v>777795.6</v>
      </c>
    </row>
    <row r="301" ht="14.497499999999997" customHeight="1">
      <c r="BF301" t="s">
        <v>35</v>
      </c>
      <c r="BG301" t="s">
        <v>144</v>
      </c>
      <c r="BH301" t="s">
        <v>37</v>
      </c>
      <c r="BI301" t="s">
        <v>143</v>
      </c>
      <c r="BJ301" t="s">
        <v>119</v>
      </c>
      <c r="BK301" t="s">
        <v>117</v>
      </c>
      <c r="BL301" t="s">
        <v>118</v>
      </c>
      <c r="BM301" t="s">
        <v>50</v>
      </c>
      <c r="BN301" t="s">
        <v>43</v>
      </c>
      <c r="BO301">
        <v>45.69</v>
      </c>
      <c r="BP301">
        <v>2</v>
      </c>
      <c r="BQ301">
        <v>371373.8028</v>
      </c>
      <c r="BR301">
        <v>27188.655907</v>
      </c>
      <c r="BS301">
        <v>78223.924178</v>
      </c>
      <c r="BT301">
        <v>17292.565705</v>
      </c>
      <c r="BU301">
        <v>169036.902073</v>
      </c>
      <c r="BV301">
        <v>11714.078712</v>
      </c>
      <c r="BW301">
        <v>42425.04295</v>
      </c>
      <c r="BX301">
        <v>54139.121662</v>
      </c>
      <c r="BY301">
        <v>44481.221612</v>
      </c>
      <c r="BZ301">
        <v>301399.947913</v>
      </c>
      <c r="CA301">
        <v>345881.169525</v>
      </c>
      <c r="CB301">
        <v>25492.633275</v>
      </c>
      <c r="CC301">
        <v>0</v>
      </c>
      <c r="CD301">
        <v>81566.049288</v>
      </c>
      <c r="CE301">
        <v>234672.007206</v>
      </c>
      <c r="CF301">
        <v>57819.58454</v>
      </c>
      <c r="CG301">
        <v>34776</v>
      </c>
      <c r="CH301">
        <v>507111.213331</v>
      </c>
      <c r="CI301">
        <v>2894009.992738</v>
      </c>
      <c r="CJ301">
        <v>777795.6</v>
      </c>
    </row>
    <row r="302" ht="14.497499999999997" customHeight="1">
      <c r="BF302" t="s">
        <v>35</v>
      </c>
      <c r="BG302" t="s">
        <v>145</v>
      </c>
      <c r="BH302" t="s">
        <v>37</v>
      </c>
      <c r="BI302" t="s">
        <v>143</v>
      </c>
      <c r="BJ302" t="s">
        <v>39</v>
      </c>
      <c r="BK302" t="s">
        <v>40</v>
      </c>
      <c r="BL302" t="s">
        <v>41</v>
      </c>
      <c r="BM302" t="s">
        <v>42</v>
      </c>
      <c r="BN302" t="s">
        <v>43</v>
      </c>
      <c r="BO302">
        <v>36.183876</v>
      </c>
      <c r="BP302">
        <v>2</v>
      </c>
      <c r="BQ302">
        <v>248451.156973</v>
      </c>
      <c r="BR302">
        <v>23678.075134</v>
      </c>
      <c r="BS302">
        <v>49059.469455</v>
      </c>
      <c r="BT302">
        <v>28163.077098</v>
      </c>
      <c r="BU302">
        <v>98438.974114</v>
      </c>
      <c r="BV302">
        <v>7377.216764</v>
      </c>
      <c r="BW302">
        <v>38748.836693</v>
      </c>
      <c r="BX302">
        <v>46126.053457</v>
      </c>
      <c r="BY302">
        <v>51841.152232</v>
      </c>
      <c r="BZ302">
        <v>193624.497026</v>
      </c>
      <c r="CA302">
        <v>245465.649258</v>
      </c>
      <c r="CB302">
        <v>2985.507715</v>
      </c>
      <c r="CC302">
        <v>36.183876</v>
      </c>
      <c r="CD302">
        <v>71034.296436</v>
      </c>
      <c r="CE302">
        <v>147178.555545</v>
      </c>
      <c r="CF302">
        <v>42691.37877</v>
      </c>
      <c r="CG302">
        <v>14419.1</v>
      </c>
      <c r="CH302">
        <v>295317.217659</v>
      </c>
      <c r="CI302">
        <v>3092074.3479</v>
      </c>
      <c r="CJ302">
        <v>642526.8</v>
      </c>
    </row>
    <row r="303" ht="14.497499999999997" customHeight="1">
      <c r="BF303" t="s">
        <v>35</v>
      </c>
      <c r="BG303" t="s">
        <v>145</v>
      </c>
      <c r="BH303" t="s">
        <v>37</v>
      </c>
      <c r="BI303" t="s">
        <v>143</v>
      </c>
      <c r="BJ303" t="s">
        <v>39</v>
      </c>
      <c r="BK303" t="s">
        <v>40</v>
      </c>
      <c r="BL303" t="s">
        <v>41</v>
      </c>
      <c r="BM303" t="s">
        <v>44</v>
      </c>
      <c r="BN303" t="s">
        <v>43</v>
      </c>
      <c r="BO303">
        <v>38.6</v>
      </c>
      <c r="BP303">
        <v>2</v>
      </c>
      <c r="BQ303">
        <v>261567.11</v>
      </c>
      <c r="BR303">
        <v>23678.075134</v>
      </c>
      <c r="BS303">
        <v>49059.469455</v>
      </c>
      <c r="BT303">
        <v>14661.713668</v>
      </c>
      <c r="BU303">
        <v>98438.974114</v>
      </c>
      <c r="BV303">
        <v>7377.216764</v>
      </c>
      <c r="BW303">
        <v>38748.836693</v>
      </c>
      <c r="BX303">
        <v>46126.053457</v>
      </c>
      <c r="BY303">
        <v>38339.788802</v>
      </c>
      <c r="BZ303">
        <v>193624.497026</v>
      </c>
      <c r="CA303">
        <v>231964.285828</v>
      </c>
      <c r="CB303">
        <v>29602.824172</v>
      </c>
      <c r="CC303">
        <v>0</v>
      </c>
      <c r="CD303">
        <v>71034.296436</v>
      </c>
      <c r="CE303">
        <v>147178.555545</v>
      </c>
      <c r="CF303">
        <v>42691.37877</v>
      </c>
      <c r="CG303">
        <v>14419.1</v>
      </c>
      <c r="CH303">
        <v>295317.217659</v>
      </c>
      <c r="CI303">
        <v>3092074.3479</v>
      </c>
      <c r="CJ303">
        <v>642526.8</v>
      </c>
    </row>
    <row r="304" ht="14.497499999999997" customHeight="1">
      <c r="BF304" t="s">
        <v>35</v>
      </c>
      <c r="BG304" t="s">
        <v>145</v>
      </c>
      <c r="BH304" t="s">
        <v>37</v>
      </c>
      <c r="BI304" t="s">
        <v>143</v>
      </c>
      <c r="BJ304" t="s">
        <v>39</v>
      </c>
      <c r="BK304" t="s">
        <v>40</v>
      </c>
      <c r="BL304" t="s">
        <v>41</v>
      </c>
      <c r="BM304" t="s">
        <v>50</v>
      </c>
      <c r="BN304" t="s">
        <v>43</v>
      </c>
      <c r="BO304">
        <v>37.61</v>
      </c>
      <c r="BP304">
        <v>2</v>
      </c>
      <c r="BQ304">
        <v>254858.5235</v>
      </c>
      <c r="BR304">
        <v>23678.075134</v>
      </c>
      <c r="BS304">
        <v>49059.469455</v>
      </c>
      <c r="BT304">
        <v>14285.645312</v>
      </c>
      <c r="BU304">
        <v>98438.974114</v>
      </c>
      <c r="BV304">
        <v>7377.216764</v>
      </c>
      <c r="BW304">
        <v>38748.836693</v>
      </c>
      <c r="BX304">
        <v>46126.053457</v>
      </c>
      <c r="BY304">
        <v>37963.720446</v>
      </c>
      <c r="BZ304">
        <v>193624.497026</v>
      </c>
      <c r="CA304">
        <v>231588.217472</v>
      </c>
      <c r="CB304">
        <v>23270.306028</v>
      </c>
      <c r="CC304">
        <v>0</v>
      </c>
      <c r="CD304">
        <v>71034.296436</v>
      </c>
      <c r="CE304">
        <v>147178.555545</v>
      </c>
      <c r="CF304">
        <v>42691.37877</v>
      </c>
      <c r="CG304">
        <v>14419.1</v>
      </c>
      <c r="CH304">
        <v>295317.217659</v>
      </c>
      <c r="CI304">
        <v>3092074.3479</v>
      </c>
      <c r="CJ304">
        <v>642526.8</v>
      </c>
    </row>
    <row r="305" ht="14.497499999999997" customHeight="1">
      <c r="BF305" t="s">
        <v>35</v>
      </c>
      <c r="BG305" t="s">
        <v>145</v>
      </c>
      <c r="BH305" t="s">
        <v>37</v>
      </c>
      <c r="BI305" t="s">
        <v>143</v>
      </c>
      <c r="BJ305" t="s">
        <v>53</v>
      </c>
      <c r="BK305" t="s">
        <v>40</v>
      </c>
      <c r="BL305" t="s">
        <v>41</v>
      </c>
      <c r="BM305" t="s">
        <v>42</v>
      </c>
      <c r="BN305" t="s">
        <v>43</v>
      </c>
      <c r="BO305">
        <v>45.271499</v>
      </c>
      <c r="BP305">
        <v>2</v>
      </c>
      <c r="BQ305">
        <v>326996.037277</v>
      </c>
      <c r="BR305">
        <v>23678.075134</v>
      </c>
      <c r="BS305">
        <v>60629.813535</v>
      </c>
      <c r="BT305">
        <v>37867.890703</v>
      </c>
      <c r="BU305">
        <v>139811.848626</v>
      </c>
      <c r="BV305">
        <v>9142.706375</v>
      </c>
      <c r="BW305">
        <v>48022.072224</v>
      </c>
      <c r="BX305">
        <v>57164.778599</v>
      </c>
      <c r="BY305">
        <v>61545.965837</v>
      </c>
      <c r="BZ305">
        <v>257606.44076</v>
      </c>
      <c r="CA305">
        <v>319152.406597</v>
      </c>
      <c r="CB305">
        <v>7843.63068</v>
      </c>
      <c r="CC305">
        <v>45.271499</v>
      </c>
      <c r="CD305">
        <v>71034.296436</v>
      </c>
      <c r="CE305">
        <v>181889.622495</v>
      </c>
      <c r="CF305">
        <v>52908.479388</v>
      </c>
      <c r="CG305">
        <v>20672</v>
      </c>
      <c r="CH305">
        <v>419435.965314</v>
      </c>
      <c r="CI305">
        <v>3092074.3479</v>
      </c>
      <c r="CJ305">
        <v>642526.8</v>
      </c>
    </row>
    <row r="306" ht="14.497499999999997" customHeight="1">
      <c r="BF306" t="s">
        <v>35</v>
      </c>
      <c r="BG306" t="s">
        <v>145</v>
      </c>
      <c r="BH306" t="s">
        <v>37</v>
      </c>
      <c r="BI306" t="s">
        <v>143</v>
      </c>
      <c r="BJ306" t="s">
        <v>53</v>
      </c>
      <c r="BK306" t="s">
        <v>40</v>
      </c>
      <c r="BL306" t="s">
        <v>41</v>
      </c>
      <c r="BM306" t="s">
        <v>44</v>
      </c>
      <c r="BN306" t="s">
        <v>43</v>
      </c>
      <c r="BO306">
        <v>47.5</v>
      </c>
      <c r="BP306">
        <v>2</v>
      </c>
      <c r="BQ306">
        <v>338817.5</v>
      </c>
      <c r="BR306">
        <v>23678.075134</v>
      </c>
      <c r="BS306">
        <v>60629.813535</v>
      </c>
      <c r="BT306">
        <v>18042.373465</v>
      </c>
      <c r="BU306">
        <v>139811.848626</v>
      </c>
      <c r="BV306">
        <v>9142.706375</v>
      </c>
      <c r="BW306">
        <v>48022.072224</v>
      </c>
      <c r="BX306">
        <v>57164.778599</v>
      </c>
      <c r="BY306">
        <v>41720.448599</v>
      </c>
      <c r="BZ306">
        <v>257606.44076</v>
      </c>
      <c r="CA306">
        <v>299326.889359</v>
      </c>
      <c r="CB306">
        <v>39490.610641</v>
      </c>
      <c r="CC306">
        <v>0</v>
      </c>
      <c r="CD306">
        <v>71034.296436</v>
      </c>
      <c r="CE306">
        <v>181889.622495</v>
      </c>
      <c r="CF306">
        <v>52908.479388</v>
      </c>
      <c r="CG306">
        <v>20672</v>
      </c>
      <c r="CH306">
        <v>419435.965314</v>
      </c>
      <c r="CI306">
        <v>3092074.3479</v>
      </c>
      <c r="CJ306">
        <v>642526.8</v>
      </c>
    </row>
    <row r="307" ht="14.497499999999997" customHeight="1">
      <c r="BF307" t="s">
        <v>35</v>
      </c>
      <c r="BG307" t="s">
        <v>145</v>
      </c>
      <c r="BH307" t="s">
        <v>37</v>
      </c>
      <c r="BI307" t="s">
        <v>143</v>
      </c>
      <c r="BJ307" t="s">
        <v>53</v>
      </c>
      <c r="BK307" t="s">
        <v>40</v>
      </c>
      <c r="BL307" t="s">
        <v>41</v>
      </c>
      <c r="BM307" t="s">
        <v>50</v>
      </c>
      <c r="BN307" t="s">
        <v>43</v>
      </c>
      <c r="BO307">
        <v>46.52</v>
      </c>
      <c r="BP307">
        <v>2</v>
      </c>
      <c r="BQ307">
        <v>331827.16</v>
      </c>
      <c r="BR307">
        <v>23678.075134</v>
      </c>
      <c r="BS307">
        <v>60629.813535</v>
      </c>
      <c r="BT307">
        <v>17670.109404</v>
      </c>
      <c r="BU307">
        <v>139811.848626</v>
      </c>
      <c r="BV307">
        <v>9142.706375</v>
      </c>
      <c r="BW307">
        <v>48022.072224</v>
      </c>
      <c r="BX307">
        <v>57164.778599</v>
      </c>
      <c r="BY307">
        <v>41348.184538</v>
      </c>
      <c r="BZ307">
        <v>257606.44076</v>
      </c>
      <c r="CA307">
        <v>298954.625298</v>
      </c>
      <c r="CB307">
        <v>32872.534702</v>
      </c>
      <c r="CC307">
        <v>0</v>
      </c>
      <c r="CD307">
        <v>71034.296436</v>
      </c>
      <c r="CE307">
        <v>181889.622495</v>
      </c>
      <c r="CF307">
        <v>52908.479388</v>
      </c>
      <c r="CG307">
        <v>20672</v>
      </c>
      <c r="CH307">
        <v>419435.965314</v>
      </c>
      <c r="CI307">
        <v>3092074.3479</v>
      </c>
      <c r="CJ307">
        <v>642526.8</v>
      </c>
    </row>
    <row r="308" ht="14.497499999999997" customHeight="1">
      <c r="BF308" t="s">
        <v>35</v>
      </c>
      <c r="BG308" t="s">
        <v>145</v>
      </c>
      <c r="BH308" t="s">
        <v>37</v>
      </c>
      <c r="BI308" t="s">
        <v>143</v>
      </c>
      <c r="BJ308" t="s">
        <v>62</v>
      </c>
      <c r="BK308" t="s">
        <v>40</v>
      </c>
      <c r="BL308" t="s">
        <v>41</v>
      </c>
      <c r="BM308" t="s">
        <v>42</v>
      </c>
      <c r="BN308" t="s">
        <v>43</v>
      </c>
      <c r="BO308">
        <v>36.19156</v>
      </c>
      <c r="BP308">
        <v>2</v>
      </c>
      <c r="BQ308">
        <v>248503.918006</v>
      </c>
      <c r="BR308">
        <v>23678.075134</v>
      </c>
      <c r="BS308">
        <v>49088.742026</v>
      </c>
      <c r="BT308">
        <v>27932.290902</v>
      </c>
      <c r="BU308">
        <v>98497.711041</v>
      </c>
      <c r="BV308">
        <v>7377.718616</v>
      </c>
      <c r="BW308">
        <v>38751.472668</v>
      </c>
      <c r="BX308">
        <v>46129.191284</v>
      </c>
      <c r="BY308">
        <v>51610.366036</v>
      </c>
      <c r="BZ308">
        <v>193715.644351</v>
      </c>
      <c r="CA308">
        <v>245326.010387</v>
      </c>
      <c r="CB308">
        <v>3177.907619</v>
      </c>
      <c r="CC308">
        <v>36.19156</v>
      </c>
      <c r="CD308">
        <v>71034.296436</v>
      </c>
      <c r="CE308">
        <v>147266.373345</v>
      </c>
      <c r="CF308">
        <v>42691.37877</v>
      </c>
      <c r="CG308">
        <v>14186.35</v>
      </c>
      <c r="CH308">
        <v>295493.428617</v>
      </c>
      <c r="CI308">
        <v>3092074.3479</v>
      </c>
      <c r="CJ308">
        <v>642526.8</v>
      </c>
    </row>
    <row r="309" ht="14.497499999999997" customHeight="1">
      <c r="BF309" t="s">
        <v>35</v>
      </c>
      <c r="BG309" t="s">
        <v>145</v>
      </c>
      <c r="BH309" t="s">
        <v>37</v>
      </c>
      <c r="BI309" t="s">
        <v>143</v>
      </c>
      <c r="BJ309" t="s">
        <v>62</v>
      </c>
      <c r="BK309" t="s">
        <v>40</v>
      </c>
      <c r="BL309" t="s">
        <v>41</v>
      </c>
      <c r="BM309" t="s">
        <v>44</v>
      </c>
      <c r="BN309" t="s">
        <v>43</v>
      </c>
      <c r="BO309">
        <v>38.6</v>
      </c>
      <c r="BP309">
        <v>2</v>
      </c>
      <c r="BQ309">
        <v>261567.11</v>
      </c>
      <c r="BR309">
        <v>23678.075134</v>
      </c>
      <c r="BS309">
        <v>49088.742026</v>
      </c>
      <c r="BT309">
        <v>14660.689075</v>
      </c>
      <c r="BU309">
        <v>98497.711041</v>
      </c>
      <c r="BV309">
        <v>7377.718616</v>
      </c>
      <c r="BW309">
        <v>38751.472668</v>
      </c>
      <c r="BX309">
        <v>46129.191284</v>
      </c>
      <c r="BY309">
        <v>38338.764209</v>
      </c>
      <c r="BZ309">
        <v>193715.644351</v>
      </c>
      <c r="CA309">
        <v>232054.40856</v>
      </c>
      <c r="CB309">
        <v>29512.70144</v>
      </c>
      <c r="CC309">
        <v>0</v>
      </c>
      <c r="CD309">
        <v>71034.296436</v>
      </c>
      <c r="CE309">
        <v>147266.373345</v>
      </c>
      <c r="CF309">
        <v>42691.37877</v>
      </c>
      <c r="CG309">
        <v>14186.35</v>
      </c>
      <c r="CH309">
        <v>295493.428617</v>
      </c>
      <c r="CI309">
        <v>3092074.3479</v>
      </c>
      <c r="CJ309">
        <v>642526.8</v>
      </c>
    </row>
    <row r="310" ht="14.497499999999997" customHeight="1">
      <c r="BF310" t="s">
        <v>35</v>
      </c>
      <c r="BG310" t="s">
        <v>145</v>
      </c>
      <c r="BH310" t="s">
        <v>37</v>
      </c>
      <c r="BI310" t="s">
        <v>143</v>
      </c>
      <c r="BJ310" t="s">
        <v>62</v>
      </c>
      <c r="BK310" t="s">
        <v>40</v>
      </c>
      <c r="BL310" t="s">
        <v>41</v>
      </c>
      <c r="BM310" t="s">
        <v>50</v>
      </c>
      <c r="BN310" t="s">
        <v>43</v>
      </c>
      <c r="BO310">
        <v>37.61</v>
      </c>
      <c r="BP310">
        <v>2</v>
      </c>
      <c r="BQ310">
        <v>254858.5235</v>
      </c>
      <c r="BR310">
        <v>23678.075134</v>
      </c>
      <c r="BS310">
        <v>49088.742026</v>
      </c>
      <c r="BT310">
        <v>14284.663411</v>
      </c>
      <c r="BU310">
        <v>98497.711041</v>
      </c>
      <c r="BV310">
        <v>7377.718616</v>
      </c>
      <c r="BW310">
        <v>38751.472668</v>
      </c>
      <c r="BX310">
        <v>46129.191284</v>
      </c>
      <c r="BY310">
        <v>37962.738545</v>
      </c>
      <c r="BZ310">
        <v>193715.644351</v>
      </c>
      <c r="CA310">
        <v>231678.382896</v>
      </c>
      <c r="CB310">
        <v>23180.140604</v>
      </c>
      <c r="CC310">
        <v>0</v>
      </c>
      <c r="CD310">
        <v>71034.296436</v>
      </c>
      <c r="CE310">
        <v>147266.373345</v>
      </c>
      <c r="CF310">
        <v>42691.37877</v>
      </c>
      <c r="CG310">
        <v>14186.35</v>
      </c>
      <c r="CH310">
        <v>295493.428617</v>
      </c>
      <c r="CI310">
        <v>3092074.3479</v>
      </c>
      <c r="CJ310">
        <v>642526.8</v>
      </c>
    </row>
    <row r="311" ht="14.497499999999997" customHeight="1">
      <c r="BF311" t="s">
        <v>35</v>
      </c>
      <c r="BG311" t="s">
        <v>145</v>
      </c>
      <c r="BH311" t="s">
        <v>37</v>
      </c>
      <c r="BI311" t="s">
        <v>143</v>
      </c>
      <c r="BJ311" t="s">
        <v>64</v>
      </c>
      <c r="BK311" t="s">
        <v>65</v>
      </c>
      <c r="BL311" t="s">
        <v>66</v>
      </c>
      <c r="BM311" t="s">
        <v>42</v>
      </c>
      <c r="BN311" t="s">
        <v>67</v>
      </c>
      <c r="BO311">
        <v>46.373803</v>
      </c>
      <c r="BP311">
        <v>2</v>
      </c>
      <c r="BQ311">
        <v>352860.585717</v>
      </c>
      <c r="BR311">
        <v>29597.37836</v>
      </c>
      <c r="BS311">
        <v>76967.426839</v>
      </c>
      <c r="BT311">
        <v>29738.243114</v>
      </c>
      <c r="BU311">
        <v>142911.449503</v>
      </c>
      <c r="BV311">
        <v>10307.917379</v>
      </c>
      <c r="BW311">
        <v>48455.497581</v>
      </c>
      <c r="BX311">
        <v>58763.41496</v>
      </c>
      <c r="BY311">
        <v>59335.621474</v>
      </c>
      <c r="BZ311">
        <v>278642.291302</v>
      </c>
      <c r="CA311">
        <v>337977.912776</v>
      </c>
      <c r="CB311">
        <v>14882.672941</v>
      </c>
      <c r="CC311">
        <v>46.373803</v>
      </c>
      <c r="CD311">
        <v>118389.513438</v>
      </c>
      <c r="CE311">
        <v>307869.707355</v>
      </c>
      <c r="CF311">
        <v>89031.652002</v>
      </c>
      <c r="CG311">
        <v>23959</v>
      </c>
      <c r="CH311">
        <v>714557.247515</v>
      </c>
      <c r="CI311">
        <v>3092074.3479</v>
      </c>
      <c r="CJ311">
        <v>642526.8</v>
      </c>
    </row>
    <row r="312" ht="14.497499999999997" customHeight="1">
      <c r="BF312" t="s">
        <v>35</v>
      </c>
      <c r="BG312" t="s">
        <v>145</v>
      </c>
      <c r="BH312" t="s">
        <v>37</v>
      </c>
      <c r="BI312" t="s">
        <v>143</v>
      </c>
      <c r="BJ312" t="s">
        <v>64</v>
      </c>
      <c r="BK312" t="s">
        <v>65</v>
      </c>
      <c r="BL312" t="s">
        <v>66</v>
      </c>
      <c r="BM312" t="s">
        <v>44</v>
      </c>
      <c r="BN312" t="s">
        <v>43</v>
      </c>
      <c r="BO312">
        <v>47.5</v>
      </c>
      <c r="BP312">
        <v>2</v>
      </c>
      <c r="BQ312">
        <v>333344.55</v>
      </c>
      <c r="BR312">
        <v>23677.902688</v>
      </c>
      <c r="BS312">
        <v>61573.941471</v>
      </c>
      <c r="BT312">
        <v>18053.571298</v>
      </c>
      <c r="BU312">
        <v>142911.449503</v>
      </c>
      <c r="BV312">
        <v>10307.917379</v>
      </c>
      <c r="BW312">
        <v>48455.497581</v>
      </c>
      <c r="BX312">
        <v>58763.41496</v>
      </c>
      <c r="BY312">
        <v>41731.473986</v>
      </c>
      <c r="BZ312">
        <v>263248.805934</v>
      </c>
      <c r="CA312">
        <v>304980.27992</v>
      </c>
      <c r="CB312">
        <v>28364.27008</v>
      </c>
      <c r="CC312">
        <v>0</v>
      </c>
      <c r="CD312">
        <v>118389.513438</v>
      </c>
      <c r="CE312">
        <v>307869.707355</v>
      </c>
      <c r="CF312">
        <v>89031.652002</v>
      </c>
      <c r="CG312">
        <v>23959</v>
      </c>
      <c r="CH312">
        <v>714557.247515</v>
      </c>
      <c r="CI312">
        <v>3092074.3479</v>
      </c>
      <c r="CJ312">
        <v>642526.8</v>
      </c>
    </row>
    <row r="313" ht="14.497499999999997" customHeight="1">
      <c r="BF313" t="s">
        <v>35</v>
      </c>
      <c r="BG313" t="s">
        <v>145</v>
      </c>
      <c r="BH313" t="s">
        <v>37</v>
      </c>
      <c r="BI313" t="s">
        <v>143</v>
      </c>
      <c r="BJ313" t="s">
        <v>64</v>
      </c>
      <c r="BK313" t="s">
        <v>65</v>
      </c>
      <c r="BL313" t="s">
        <v>66</v>
      </c>
      <c r="BM313" t="s">
        <v>50</v>
      </c>
      <c r="BN313" t="s">
        <v>43</v>
      </c>
      <c r="BO313">
        <v>46.52</v>
      </c>
      <c r="BP313">
        <v>2</v>
      </c>
      <c r="BQ313">
        <v>326467.1256</v>
      </c>
      <c r="BR313">
        <v>23677.902688</v>
      </c>
      <c r="BS313">
        <v>61573.941471</v>
      </c>
      <c r="BT313">
        <v>17681.062866</v>
      </c>
      <c r="BU313">
        <v>142911.449503</v>
      </c>
      <c r="BV313">
        <v>10307.917379</v>
      </c>
      <c r="BW313">
        <v>48455.497581</v>
      </c>
      <c r="BX313">
        <v>58763.41496</v>
      </c>
      <c r="BY313">
        <v>41358.965554</v>
      </c>
      <c r="BZ313">
        <v>263248.805934</v>
      </c>
      <c r="CA313">
        <v>304607.771488</v>
      </c>
      <c r="CB313">
        <v>21859.354112</v>
      </c>
      <c r="CC313">
        <v>0</v>
      </c>
      <c r="CD313">
        <v>118389.513438</v>
      </c>
      <c r="CE313">
        <v>307869.707355</v>
      </c>
      <c r="CF313">
        <v>89031.652002</v>
      </c>
      <c r="CG313">
        <v>23959</v>
      </c>
      <c r="CH313">
        <v>714557.247515</v>
      </c>
      <c r="CI313">
        <v>3092074.3479</v>
      </c>
      <c r="CJ313">
        <v>642526.8</v>
      </c>
    </row>
    <row r="314" ht="14.497499999999997" customHeight="1">
      <c r="BF314" t="s">
        <v>35</v>
      </c>
      <c r="BG314" t="s">
        <v>145</v>
      </c>
      <c r="BH314" t="s">
        <v>37</v>
      </c>
      <c r="BI314" t="s">
        <v>143</v>
      </c>
      <c r="BJ314" t="s">
        <v>64</v>
      </c>
      <c r="BK314" t="s">
        <v>65</v>
      </c>
      <c r="BL314" t="s">
        <v>70</v>
      </c>
      <c r="BM314" t="s">
        <v>71</v>
      </c>
      <c r="BN314" t="s">
        <v>43</v>
      </c>
      <c r="BO314">
        <v>45.353454</v>
      </c>
      <c r="BP314">
        <v>2</v>
      </c>
      <c r="BQ314">
        <v>345096.699159</v>
      </c>
      <c r="BR314">
        <v>20718.164852</v>
      </c>
      <c r="BS314">
        <v>53877.198787</v>
      </c>
      <c r="BT314">
        <v>29083.925281</v>
      </c>
      <c r="BU314">
        <v>142911.449503</v>
      </c>
      <c r="BV314">
        <v>10307.917379</v>
      </c>
      <c r="BW314">
        <v>48455.497581</v>
      </c>
      <c r="BX314">
        <v>58763.41496</v>
      </c>
      <c r="BY314">
        <v>49802.090133</v>
      </c>
      <c r="BZ314">
        <v>255552.06325</v>
      </c>
      <c r="CA314">
        <v>305354.153383</v>
      </c>
      <c r="CB314">
        <v>39742.545776</v>
      </c>
      <c r="CC314">
        <v>45.353454</v>
      </c>
      <c r="CD314">
        <v>118389.513438</v>
      </c>
      <c r="CE314">
        <v>307869.707355</v>
      </c>
      <c r="CF314">
        <v>89031.652002</v>
      </c>
      <c r="CG314">
        <v>23959</v>
      </c>
      <c r="CH314">
        <v>714557.247515</v>
      </c>
      <c r="CI314">
        <v>3092074.3479</v>
      </c>
      <c r="CJ314">
        <v>642526.8</v>
      </c>
    </row>
    <row r="315" ht="14.497499999999997" customHeight="1">
      <c r="BF315" t="s">
        <v>35</v>
      </c>
      <c r="BG315" t="s">
        <v>145</v>
      </c>
      <c r="BH315" t="s">
        <v>37</v>
      </c>
      <c r="BI315" t="s">
        <v>143</v>
      </c>
      <c r="BJ315" t="s">
        <v>64</v>
      </c>
      <c r="BK315" t="s">
        <v>65</v>
      </c>
      <c r="BL315" t="s">
        <v>70</v>
      </c>
      <c r="BM315" t="s">
        <v>72</v>
      </c>
      <c r="BN315" t="s">
        <v>43</v>
      </c>
      <c r="BO315">
        <v>48.5</v>
      </c>
      <c r="BP315">
        <v>2</v>
      </c>
      <c r="BQ315">
        <v>364673.925</v>
      </c>
      <c r="BR315">
        <v>20718.164852</v>
      </c>
      <c r="BS315">
        <v>53877.198787</v>
      </c>
      <c r="BT315">
        <v>18433.64742</v>
      </c>
      <c r="BU315">
        <v>142911.449503</v>
      </c>
      <c r="BV315">
        <v>10307.917379</v>
      </c>
      <c r="BW315">
        <v>48455.497581</v>
      </c>
      <c r="BX315">
        <v>58763.41496</v>
      </c>
      <c r="BY315">
        <v>39151.812272</v>
      </c>
      <c r="BZ315">
        <v>255552.06325</v>
      </c>
      <c r="CA315">
        <v>294703.875522</v>
      </c>
      <c r="CB315">
        <v>69970.049478</v>
      </c>
      <c r="CC315">
        <v>0</v>
      </c>
      <c r="CD315">
        <v>118389.513438</v>
      </c>
      <c r="CE315">
        <v>307869.707355</v>
      </c>
      <c r="CF315">
        <v>89031.652002</v>
      </c>
      <c r="CG315">
        <v>23959</v>
      </c>
      <c r="CH315">
        <v>714557.247515</v>
      </c>
      <c r="CI315">
        <v>3092074.3479</v>
      </c>
      <c r="CJ315">
        <v>642526.8</v>
      </c>
    </row>
    <row r="316" ht="14.497499999999997" customHeight="1">
      <c r="BF316" t="s">
        <v>35</v>
      </c>
      <c r="BG316" t="s">
        <v>145</v>
      </c>
      <c r="BH316" t="s">
        <v>37</v>
      </c>
      <c r="BI316" t="s">
        <v>143</v>
      </c>
      <c r="BJ316" t="s">
        <v>73</v>
      </c>
      <c r="BK316" t="s">
        <v>65</v>
      </c>
      <c r="BL316" t="s">
        <v>66</v>
      </c>
      <c r="BM316" t="s">
        <v>42</v>
      </c>
      <c r="BN316" t="s">
        <v>67</v>
      </c>
      <c r="BO316">
        <v>66.905471</v>
      </c>
      <c r="BP316">
        <v>3</v>
      </c>
      <c r="BQ316">
        <v>580953.585787</v>
      </c>
      <c r="BR316">
        <v>44396.190117</v>
      </c>
      <c r="BS316">
        <v>131956.64853</v>
      </c>
      <c r="BT316">
        <v>54603.138825</v>
      </c>
      <c r="BU316">
        <v>239594.738015</v>
      </c>
      <c r="BV316">
        <v>14970.476424</v>
      </c>
      <c r="BW316">
        <v>70373.273036</v>
      </c>
      <c r="BX316">
        <v>85343.74946</v>
      </c>
      <c r="BY316">
        <v>98999.328942</v>
      </c>
      <c r="BZ316">
        <v>456895.136005</v>
      </c>
      <c r="CA316">
        <v>555894.464947</v>
      </c>
      <c r="CB316">
        <v>25059.12084</v>
      </c>
      <c r="CC316">
        <v>66.905471</v>
      </c>
      <c r="CD316">
        <v>177584.760468</v>
      </c>
      <c r="CE316">
        <v>527826.59412</v>
      </c>
      <c r="CF316">
        <v>129169.491084</v>
      </c>
      <c r="CG316">
        <v>57760</v>
      </c>
      <c r="CH316">
        <v>1197973.690075</v>
      </c>
      <c r="CI316">
        <v>3092074.3479</v>
      </c>
      <c r="CJ316">
        <v>642526.8</v>
      </c>
    </row>
    <row r="317" ht="14.497499999999997" customHeight="1">
      <c r="BF317" t="s">
        <v>35</v>
      </c>
      <c r="BG317" t="s">
        <v>145</v>
      </c>
      <c r="BH317" t="s">
        <v>37</v>
      </c>
      <c r="BI317" t="s">
        <v>143</v>
      </c>
      <c r="BJ317" t="s">
        <v>73</v>
      </c>
      <c r="BK317" t="s">
        <v>65</v>
      </c>
      <c r="BL317" t="s">
        <v>66</v>
      </c>
      <c r="BM317" t="s">
        <v>44</v>
      </c>
      <c r="BN317" t="s">
        <v>43</v>
      </c>
      <c r="BO317">
        <v>69.28</v>
      </c>
      <c r="BP317">
        <v>3</v>
      </c>
      <c r="BQ317">
        <v>555647.7696</v>
      </c>
      <c r="BR317">
        <v>35516.952094</v>
      </c>
      <c r="BS317">
        <v>105565.318824</v>
      </c>
      <c r="BT317">
        <v>26304.333503</v>
      </c>
      <c r="BU317">
        <v>239594.738015</v>
      </c>
      <c r="BV317">
        <v>14970.476424</v>
      </c>
      <c r="BW317">
        <v>70373.273036</v>
      </c>
      <c r="BX317">
        <v>85343.74946</v>
      </c>
      <c r="BY317">
        <v>61821.285597</v>
      </c>
      <c r="BZ317">
        <v>430503.806299</v>
      </c>
      <c r="CA317">
        <v>492325.091896</v>
      </c>
      <c r="CB317">
        <v>63322.677704</v>
      </c>
      <c r="CC317">
        <v>0</v>
      </c>
      <c r="CD317">
        <v>177584.760468</v>
      </c>
      <c r="CE317">
        <v>527826.59412</v>
      </c>
      <c r="CF317">
        <v>129169.491084</v>
      </c>
      <c r="CG317">
        <v>57760</v>
      </c>
      <c r="CH317">
        <v>1197973.690075</v>
      </c>
      <c r="CI317">
        <v>3092074.3479</v>
      </c>
      <c r="CJ317">
        <v>642526.8</v>
      </c>
    </row>
    <row r="318" ht="14.497499999999997" customHeight="1">
      <c r="BF318" t="s">
        <v>35</v>
      </c>
      <c r="BG318" t="s">
        <v>145</v>
      </c>
      <c r="BH318" t="s">
        <v>37</v>
      </c>
      <c r="BI318" t="s">
        <v>143</v>
      </c>
      <c r="BJ318" t="s">
        <v>73</v>
      </c>
      <c r="BK318" t="s">
        <v>65</v>
      </c>
      <c r="BL318" t="s">
        <v>66</v>
      </c>
      <c r="BM318" t="s">
        <v>50</v>
      </c>
      <c r="BN318" t="s">
        <v>43</v>
      </c>
      <c r="BO318">
        <v>68.3</v>
      </c>
      <c r="BP318">
        <v>3</v>
      </c>
      <c r="BQ318">
        <v>547787.856</v>
      </c>
      <c r="BR318">
        <v>35516.952094</v>
      </c>
      <c r="BS318">
        <v>105565.318824</v>
      </c>
      <c r="BT318">
        <v>25932.325369</v>
      </c>
      <c r="BU318">
        <v>239594.738015</v>
      </c>
      <c r="BV318">
        <v>14970.476424</v>
      </c>
      <c r="BW318">
        <v>70373.273036</v>
      </c>
      <c r="BX318">
        <v>85343.74946</v>
      </c>
      <c r="BY318">
        <v>61449.277463</v>
      </c>
      <c r="BZ318">
        <v>430503.806299</v>
      </c>
      <c r="CA318">
        <v>491953.083762</v>
      </c>
      <c r="CB318">
        <v>55834.772238</v>
      </c>
      <c r="CC318">
        <v>0</v>
      </c>
      <c r="CD318">
        <v>177584.760468</v>
      </c>
      <c r="CE318">
        <v>527826.59412</v>
      </c>
      <c r="CF318">
        <v>129169.491084</v>
      </c>
      <c r="CG318">
        <v>57760</v>
      </c>
      <c r="CH318">
        <v>1197973.690075</v>
      </c>
      <c r="CI318">
        <v>3092074.3479</v>
      </c>
      <c r="CJ318">
        <v>642526.8</v>
      </c>
    </row>
    <row r="319" ht="14.497499999999997" customHeight="1">
      <c r="BF319" t="s">
        <v>35</v>
      </c>
      <c r="BG319" t="s">
        <v>145</v>
      </c>
      <c r="BH319" t="s">
        <v>37</v>
      </c>
      <c r="BI319" t="s">
        <v>143</v>
      </c>
      <c r="BJ319" t="s">
        <v>73</v>
      </c>
      <c r="BK319" t="s">
        <v>65</v>
      </c>
      <c r="BL319" t="s">
        <v>70</v>
      </c>
      <c r="BM319" t="s">
        <v>71</v>
      </c>
      <c r="BN319" t="s">
        <v>43</v>
      </c>
      <c r="BO319">
        <v>65.437731</v>
      </c>
      <c r="BP319">
        <v>3</v>
      </c>
      <c r="BQ319">
        <v>568208.905819</v>
      </c>
      <c r="BR319">
        <v>31077.333082</v>
      </c>
      <c r="BS319">
        <v>92369.653971</v>
      </c>
      <c r="BT319">
        <v>53405.156311</v>
      </c>
      <c r="BU319">
        <v>239594.738015</v>
      </c>
      <c r="BV319">
        <v>14970.476424</v>
      </c>
      <c r="BW319">
        <v>70373.273036</v>
      </c>
      <c r="BX319">
        <v>85343.74946</v>
      </c>
      <c r="BY319">
        <v>84482.489393</v>
      </c>
      <c r="BZ319">
        <v>417308.141446</v>
      </c>
      <c r="CA319">
        <v>501790.630839</v>
      </c>
      <c r="CB319">
        <v>66418.27498</v>
      </c>
      <c r="CC319">
        <v>65.437731</v>
      </c>
      <c r="CD319">
        <v>177584.760468</v>
      </c>
      <c r="CE319">
        <v>527826.59412</v>
      </c>
      <c r="CF319">
        <v>129169.491084</v>
      </c>
      <c r="CG319">
        <v>57760</v>
      </c>
      <c r="CH319">
        <v>1197973.690075</v>
      </c>
      <c r="CI319">
        <v>3092074.3479</v>
      </c>
      <c r="CJ319">
        <v>642526.8</v>
      </c>
    </row>
    <row r="320" ht="14.497499999999997" customHeight="1">
      <c r="BF320" t="s">
        <v>35</v>
      </c>
      <c r="BG320" t="s">
        <v>145</v>
      </c>
      <c r="BH320" t="s">
        <v>37</v>
      </c>
      <c r="BI320" t="s">
        <v>143</v>
      </c>
      <c r="BJ320" t="s">
        <v>73</v>
      </c>
      <c r="BK320" t="s">
        <v>65</v>
      </c>
      <c r="BL320" t="s">
        <v>70</v>
      </c>
      <c r="BM320" t="s">
        <v>72</v>
      </c>
      <c r="BN320" t="s">
        <v>43</v>
      </c>
      <c r="BO320">
        <v>70.28</v>
      </c>
      <c r="BP320">
        <v>3</v>
      </c>
      <c r="BQ320">
        <v>603930.096</v>
      </c>
      <c r="BR320">
        <v>31077.333082</v>
      </c>
      <c r="BS320">
        <v>92369.653971</v>
      </c>
      <c r="BT320">
        <v>26684.091807</v>
      </c>
      <c r="BU320">
        <v>239594.738015</v>
      </c>
      <c r="BV320">
        <v>14970.476424</v>
      </c>
      <c r="BW320">
        <v>70373.273036</v>
      </c>
      <c r="BX320">
        <v>85343.74946</v>
      </c>
      <c r="BY320">
        <v>57761.424889</v>
      </c>
      <c r="BZ320">
        <v>417308.141446</v>
      </c>
      <c r="CA320">
        <v>475069.566335</v>
      </c>
      <c r="CB320">
        <v>128860.529665</v>
      </c>
      <c r="CC320">
        <v>0</v>
      </c>
      <c r="CD320">
        <v>177584.760468</v>
      </c>
      <c r="CE320">
        <v>527826.59412</v>
      </c>
      <c r="CF320">
        <v>129169.491084</v>
      </c>
      <c r="CG320">
        <v>57760</v>
      </c>
      <c r="CH320">
        <v>1197973.690075</v>
      </c>
      <c r="CI320">
        <v>3092074.3479</v>
      </c>
      <c r="CJ320">
        <v>642526.8</v>
      </c>
    </row>
    <row r="321" ht="14.497499999999997" customHeight="1">
      <c r="BF321" t="s">
        <v>35</v>
      </c>
      <c r="BG321" t="s">
        <v>145</v>
      </c>
      <c r="BH321" t="s">
        <v>37</v>
      </c>
      <c r="BI321" t="s">
        <v>143</v>
      </c>
      <c r="BJ321" t="s">
        <v>87</v>
      </c>
      <c r="BK321" t="s">
        <v>65</v>
      </c>
      <c r="BL321" t="s">
        <v>66</v>
      </c>
      <c r="BM321" t="s">
        <v>42</v>
      </c>
      <c r="BN321" t="s">
        <v>67</v>
      </c>
      <c r="BO321">
        <v>43.580238</v>
      </c>
      <c r="BP321">
        <v>2</v>
      </c>
      <c r="BQ321">
        <v>324916.822433</v>
      </c>
      <c r="BR321">
        <v>29597.37836</v>
      </c>
      <c r="BS321">
        <v>72375.026351</v>
      </c>
      <c r="BT321">
        <v>27167.595917</v>
      </c>
      <c r="BU321">
        <v>129554.227152</v>
      </c>
      <c r="BV321">
        <v>9760.193093</v>
      </c>
      <c r="BW321">
        <v>45880.753156</v>
      </c>
      <c r="BX321">
        <v>55640.946249</v>
      </c>
      <c r="BY321">
        <v>56764.974277</v>
      </c>
      <c r="BZ321">
        <v>257570.199752</v>
      </c>
      <c r="CA321">
        <v>314335.174029</v>
      </c>
      <c r="CB321">
        <v>10581.648404</v>
      </c>
      <c r="CC321">
        <v>43.580238</v>
      </c>
      <c r="CD321">
        <v>118389.513438</v>
      </c>
      <c r="CE321">
        <v>289500.105405</v>
      </c>
      <c r="CF321">
        <v>84288.383388</v>
      </c>
      <c r="CG321">
        <v>20978.85</v>
      </c>
      <c r="CH321">
        <v>647771.135759</v>
      </c>
      <c r="CI321">
        <v>3092074.3479</v>
      </c>
      <c r="CJ321">
        <v>642526.8</v>
      </c>
    </row>
    <row r="322" ht="14.497499999999997" customHeight="1">
      <c r="BF322" t="s">
        <v>35</v>
      </c>
      <c r="BG322" t="s">
        <v>145</v>
      </c>
      <c r="BH322" t="s">
        <v>37</v>
      </c>
      <c r="BI322" t="s">
        <v>143</v>
      </c>
      <c r="BJ322" t="s">
        <v>87</v>
      </c>
      <c r="BK322" t="s">
        <v>65</v>
      </c>
      <c r="BL322" t="s">
        <v>66</v>
      </c>
      <c r="BM322" t="s">
        <v>44</v>
      </c>
      <c r="BN322" t="s">
        <v>43</v>
      </c>
      <c r="BO322">
        <v>45.53</v>
      </c>
      <c r="BP322">
        <v>2</v>
      </c>
      <c r="BQ322">
        <v>312998.7168</v>
      </c>
      <c r="BR322">
        <v>23677.902688</v>
      </c>
      <c r="BS322">
        <v>57900.021081</v>
      </c>
      <c r="BT322">
        <v>17302.213612</v>
      </c>
      <c r="BU322">
        <v>129554.227152</v>
      </c>
      <c r="BV322">
        <v>9760.193093</v>
      </c>
      <c r="BW322">
        <v>45880.753156</v>
      </c>
      <c r="BX322">
        <v>55640.946249</v>
      </c>
      <c r="BY322">
        <v>40980.1163</v>
      </c>
      <c r="BZ322">
        <v>243095.194482</v>
      </c>
      <c r="CA322">
        <v>284075.310782</v>
      </c>
      <c r="CB322">
        <v>28923.406018</v>
      </c>
      <c r="CC322">
        <v>0</v>
      </c>
      <c r="CD322">
        <v>118389.513438</v>
      </c>
      <c r="CE322">
        <v>289500.105405</v>
      </c>
      <c r="CF322">
        <v>84288.383388</v>
      </c>
      <c r="CG322">
        <v>20978.85</v>
      </c>
      <c r="CH322">
        <v>647771.135759</v>
      </c>
      <c r="CI322">
        <v>3092074.3479</v>
      </c>
      <c r="CJ322">
        <v>642526.8</v>
      </c>
    </row>
    <row r="323" ht="14.497499999999997" customHeight="1">
      <c r="BF323" t="s">
        <v>35</v>
      </c>
      <c r="BG323" t="s">
        <v>145</v>
      </c>
      <c r="BH323" t="s">
        <v>37</v>
      </c>
      <c r="BI323" t="s">
        <v>143</v>
      </c>
      <c r="BJ323" t="s">
        <v>87</v>
      </c>
      <c r="BK323" t="s">
        <v>65</v>
      </c>
      <c r="BL323" t="s">
        <v>66</v>
      </c>
      <c r="BM323" t="s">
        <v>50</v>
      </c>
      <c r="BN323" t="s">
        <v>43</v>
      </c>
      <c r="BO323">
        <v>44.54</v>
      </c>
      <c r="BP323">
        <v>2</v>
      </c>
      <c r="BQ323">
        <v>306192.9024</v>
      </c>
      <c r="BR323">
        <v>23677.902688</v>
      </c>
      <c r="BS323">
        <v>57900.021081</v>
      </c>
      <c r="BT323">
        <v>16926.034557</v>
      </c>
      <c r="BU323">
        <v>129554.227152</v>
      </c>
      <c r="BV323">
        <v>9760.193093</v>
      </c>
      <c r="BW323">
        <v>45880.753156</v>
      </c>
      <c r="BX323">
        <v>55640.946249</v>
      </c>
      <c r="BY323">
        <v>40603.937245</v>
      </c>
      <c r="BZ323">
        <v>243095.194482</v>
      </c>
      <c r="CA323">
        <v>283699.131727</v>
      </c>
      <c r="CB323">
        <v>22493.770673</v>
      </c>
      <c r="CC323">
        <v>0</v>
      </c>
      <c r="CD323">
        <v>118389.513438</v>
      </c>
      <c r="CE323">
        <v>289500.105405</v>
      </c>
      <c r="CF323">
        <v>84288.383388</v>
      </c>
      <c r="CG323">
        <v>20978.85</v>
      </c>
      <c r="CH323">
        <v>647771.135759</v>
      </c>
      <c r="CI323">
        <v>3092074.3479</v>
      </c>
      <c r="CJ323">
        <v>642526.8</v>
      </c>
    </row>
    <row r="324" ht="14.497499999999997" customHeight="1">
      <c r="BF324" t="s">
        <v>35</v>
      </c>
      <c r="BG324" t="s">
        <v>145</v>
      </c>
      <c r="BH324" t="s">
        <v>37</v>
      </c>
      <c r="BI324" t="s">
        <v>143</v>
      </c>
      <c r="BJ324" t="s">
        <v>87</v>
      </c>
      <c r="BK324" t="s">
        <v>65</v>
      </c>
      <c r="BL324" t="s">
        <v>70</v>
      </c>
      <c r="BM324" t="s">
        <v>71</v>
      </c>
      <c r="BN324" t="s">
        <v>43</v>
      </c>
      <c r="BO324">
        <v>42.619942</v>
      </c>
      <c r="BP324">
        <v>2</v>
      </c>
      <c r="BQ324">
        <v>317757.239575</v>
      </c>
      <c r="BR324">
        <v>20718.164852</v>
      </c>
      <c r="BS324">
        <v>50662.518446</v>
      </c>
      <c r="BT324">
        <v>26568.901849</v>
      </c>
      <c r="BU324">
        <v>129554.227152</v>
      </c>
      <c r="BV324">
        <v>9760.193093</v>
      </c>
      <c r="BW324">
        <v>45880.753156</v>
      </c>
      <c r="BX324">
        <v>55640.946249</v>
      </c>
      <c r="BY324">
        <v>47287.066701</v>
      </c>
      <c r="BZ324">
        <v>235857.691847</v>
      </c>
      <c r="CA324">
        <v>283144.758548</v>
      </c>
      <c r="CB324">
        <v>34612.481027</v>
      </c>
      <c r="CC324">
        <v>42.619942</v>
      </c>
      <c r="CD324">
        <v>118389.513438</v>
      </c>
      <c r="CE324">
        <v>289500.105405</v>
      </c>
      <c r="CF324">
        <v>84288.383388</v>
      </c>
      <c r="CG324">
        <v>20978.85</v>
      </c>
      <c r="CH324">
        <v>647771.135759</v>
      </c>
      <c r="CI324">
        <v>3092074.3479</v>
      </c>
      <c r="CJ324">
        <v>642526.8</v>
      </c>
    </row>
    <row r="325" ht="14.497499999999997" customHeight="1">
      <c r="BF325" t="s">
        <v>35</v>
      </c>
      <c r="BG325" t="s">
        <v>145</v>
      </c>
      <c r="BH325" t="s">
        <v>37</v>
      </c>
      <c r="BI325" t="s">
        <v>143</v>
      </c>
      <c r="BJ325" t="s">
        <v>87</v>
      </c>
      <c r="BK325" t="s">
        <v>65</v>
      </c>
      <c r="BL325" t="s">
        <v>70</v>
      </c>
      <c r="BM325" t="s">
        <v>72</v>
      </c>
      <c r="BN325" t="s">
        <v>43</v>
      </c>
      <c r="BO325">
        <v>45.53</v>
      </c>
      <c r="BP325">
        <v>2</v>
      </c>
      <c r="BQ325">
        <v>335355.768</v>
      </c>
      <c r="BR325">
        <v>20718.164852</v>
      </c>
      <c r="BS325">
        <v>50662.518446</v>
      </c>
      <c r="BT325">
        <v>17302.213612</v>
      </c>
      <c r="BU325">
        <v>129554.227152</v>
      </c>
      <c r="BV325">
        <v>9760.193093</v>
      </c>
      <c r="BW325">
        <v>45880.753156</v>
      </c>
      <c r="BX325">
        <v>55640.946249</v>
      </c>
      <c r="BY325">
        <v>38020.378464</v>
      </c>
      <c r="BZ325">
        <v>235857.691847</v>
      </c>
      <c r="CA325">
        <v>273878.070311</v>
      </c>
      <c r="CB325">
        <v>61477.697689</v>
      </c>
      <c r="CC325">
        <v>0</v>
      </c>
      <c r="CD325">
        <v>118389.513438</v>
      </c>
      <c r="CE325">
        <v>289500.105405</v>
      </c>
      <c r="CF325">
        <v>84288.383388</v>
      </c>
      <c r="CG325">
        <v>20978.85</v>
      </c>
      <c r="CH325">
        <v>647771.135759</v>
      </c>
      <c r="CI325">
        <v>3092074.3479</v>
      </c>
      <c r="CJ325">
        <v>642526.8</v>
      </c>
    </row>
    <row r="326" ht="14.497499999999997" customHeight="1">
      <c r="BF326" t="s">
        <v>35</v>
      </c>
      <c r="BG326" t="s">
        <v>145</v>
      </c>
      <c r="BH326" t="s">
        <v>37</v>
      </c>
      <c r="BI326" t="s">
        <v>143</v>
      </c>
      <c r="BJ326" t="s">
        <v>92</v>
      </c>
      <c r="BK326" t="s">
        <v>93</v>
      </c>
      <c r="BL326" t="s">
        <v>94</v>
      </c>
      <c r="BM326" t="s">
        <v>42</v>
      </c>
      <c r="BN326" t="s">
        <v>67</v>
      </c>
      <c r="BO326">
        <v>47.269295</v>
      </c>
      <c r="BP326">
        <v>2</v>
      </c>
      <c r="BQ326">
        <v>356391.576582</v>
      </c>
      <c r="BR326">
        <v>29597.37836</v>
      </c>
      <c r="BS326">
        <v>75796.140709</v>
      </c>
      <c r="BT326">
        <v>29939.688989</v>
      </c>
      <c r="BU326">
        <v>142682.357459</v>
      </c>
      <c r="BV326">
        <v>10623.194506</v>
      </c>
      <c r="BW326">
        <v>49437.036519</v>
      </c>
      <c r="BX326">
        <v>60060.231025</v>
      </c>
      <c r="BY326">
        <v>59537.067349</v>
      </c>
      <c r="BZ326">
        <v>278538.729193</v>
      </c>
      <c r="CA326">
        <v>338075.796542</v>
      </c>
      <c r="CB326">
        <v>18315.78004</v>
      </c>
      <c r="CC326">
        <v>47.269295</v>
      </c>
      <c r="CD326">
        <v>118389.513438</v>
      </c>
      <c r="CE326">
        <v>303184.562835</v>
      </c>
      <c r="CF326">
        <v>90856.589544</v>
      </c>
      <c r="CG326">
        <v>23676.85</v>
      </c>
      <c r="CH326">
        <v>713411.787296</v>
      </c>
      <c r="CI326">
        <v>3092074.3479</v>
      </c>
      <c r="CJ326">
        <v>642526.8</v>
      </c>
    </row>
    <row r="327" ht="14.497499999999997" customHeight="1">
      <c r="BF327" t="s">
        <v>35</v>
      </c>
      <c r="BG327" t="s">
        <v>145</v>
      </c>
      <c r="BH327" t="s">
        <v>37</v>
      </c>
      <c r="BI327" t="s">
        <v>143</v>
      </c>
      <c r="BJ327" t="s">
        <v>92</v>
      </c>
      <c r="BK327" t="s">
        <v>93</v>
      </c>
      <c r="BL327" t="s">
        <v>94</v>
      </c>
      <c r="BM327" t="s">
        <v>44</v>
      </c>
      <c r="BN327" t="s">
        <v>43</v>
      </c>
      <c r="BO327">
        <v>48.49</v>
      </c>
      <c r="BP327">
        <v>2</v>
      </c>
      <c r="BQ327">
        <v>337149.0304</v>
      </c>
      <c r="BR327">
        <v>23677.902688</v>
      </c>
      <c r="BS327">
        <v>60636.912567</v>
      </c>
      <c r="BT327">
        <v>18434.166022</v>
      </c>
      <c r="BU327">
        <v>142682.357459</v>
      </c>
      <c r="BV327">
        <v>10623.194506</v>
      </c>
      <c r="BW327">
        <v>49437.036519</v>
      </c>
      <c r="BX327">
        <v>60060.231025</v>
      </c>
      <c r="BY327">
        <v>42112.06871</v>
      </c>
      <c r="BZ327">
        <v>263379.501051</v>
      </c>
      <c r="CA327">
        <v>305491.569761</v>
      </c>
      <c r="CB327">
        <v>31657.460639</v>
      </c>
      <c r="CC327">
        <v>0</v>
      </c>
      <c r="CD327">
        <v>118389.513438</v>
      </c>
      <c r="CE327">
        <v>303184.562835</v>
      </c>
      <c r="CF327">
        <v>90856.589544</v>
      </c>
      <c r="CG327">
        <v>23676.85</v>
      </c>
      <c r="CH327">
        <v>713411.787296</v>
      </c>
      <c r="CI327">
        <v>3092074.3479</v>
      </c>
      <c r="CJ327">
        <v>642526.8</v>
      </c>
    </row>
    <row r="328" ht="14.497499999999997" customHeight="1">
      <c r="BF328" t="s">
        <v>35</v>
      </c>
      <c r="BG328" t="s">
        <v>145</v>
      </c>
      <c r="BH328" t="s">
        <v>37</v>
      </c>
      <c r="BI328" t="s">
        <v>143</v>
      </c>
      <c r="BJ328" t="s">
        <v>92</v>
      </c>
      <c r="BK328" t="s">
        <v>93</v>
      </c>
      <c r="BL328" t="s">
        <v>94</v>
      </c>
      <c r="BM328" t="s">
        <v>50</v>
      </c>
      <c r="BN328" t="s">
        <v>43</v>
      </c>
      <c r="BO328">
        <v>47.51</v>
      </c>
      <c r="BP328">
        <v>2</v>
      </c>
      <c r="BQ328">
        <v>330335.1296</v>
      </c>
      <c r="BR328">
        <v>23677.902688</v>
      </c>
      <c r="BS328">
        <v>60636.912567</v>
      </c>
      <c r="BT328">
        <v>18061.654005</v>
      </c>
      <c r="BU328">
        <v>142682.357459</v>
      </c>
      <c r="BV328">
        <v>10623.194506</v>
      </c>
      <c r="BW328">
        <v>49437.036519</v>
      </c>
      <c r="BX328">
        <v>60060.231025</v>
      </c>
      <c r="BY328">
        <v>41739.556693</v>
      </c>
      <c r="BZ328">
        <v>263379.501051</v>
      </c>
      <c r="CA328">
        <v>305119.057744</v>
      </c>
      <c r="CB328">
        <v>25216.071856</v>
      </c>
      <c r="CC328">
        <v>0</v>
      </c>
      <c r="CD328">
        <v>118389.513438</v>
      </c>
      <c r="CE328">
        <v>303184.562835</v>
      </c>
      <c r="CF328">
        <v>90856.589544</v>
      </c>
      <c r="CG328">
        <v>23676.85</v>
      </c>
      <c r="CH328">
        <v>713411.787296</v>
      </c>
      <c r="CI328">
        <v>3092074.3479</v>
      </c>
      <c r="CJ328">
        <v>642526.8</v>
      </c>
    </row>
    <row r="329" ht="14.497499999999997" customHeight="1">
      <c r="BF329" t="s">
        <v>35</v>
      </c>
      <c r="BG329" t="s">
        <v>145</v>
      </c>
      <c r="BH329" t="s">
        <v>37</v>
      </c>
      <c r="BI329" t="s">
        <v>143</v>
      </c>
      <c r="BJ329" t="s">
        <v>92</v>
      </c>
      <c r="BK329" t="s">
        <v>93</v>
      </c>
      <c r="BL329" t="s">
        <v>95</v>
      </c>
      <c r="BM329" t="s">
        <v>71</v>
      </c>
      <c r="BN329" t="s">
        <v>43</v>
      </c>
      <c r="BO329">
        <v>46.232974</v>
      </c>
      <c r="BP329">
        <v>2</v>
      </c>
      <c r="BQ329">
        <v>348578.13077</v>
      </c>
      <c r="BR329">
        <v>20718.164852</v>
      </c>
      <c r="BS329">
        <v>53057.298496</v>
      </c>
      <c r="BT329">
        <v>29283.324288</v>
      </c>
      <c r="BU329">
        <v>142682.357459</v>
      </c>
      <c r="BV329">
        <v>10623.194506</v>
      </c>
      <c r="BW329">
        <v>49437.036519</v>
      </c>
      <c r="BX329">
        <v>60060.231025</v>
      </c>
      <c r="BY329">
        <v>50001.48914</v>
      </c>
      <c r="BZ329">
        <v>255799.88698</v>
      </c>
      <c r="CA329">
        <v>305801.37612</v>
      </c>
      <c r="CB329">
        <v>42776.75465</v>
      </c>
      <c r="CC329">
        <v>46.232974</v>
      </c>
      <c r="CD329">
        <v>118389.513438</v>
      </c>
      <c r="CE329">
        <v>303184.562835</v>
      </c>
      <c r="CF329">
        <v>90856.589544</v>
      </c>
      <c r="CG329">
        <v>23676.85</v>
      </c>
      <c r="CH329">
        <v>713411.787296</v>
      </c>
      <c r="CI329">
        <v>3092074.3479</v>
      </c>
      <c r="CJ329">
        <v>642526.8</v>
      </c>
    </row>
    <row r="330" ht="14.497499999999997" customHeight="1">
      <c r="BF330" t="s">
        <v>35</v>
      </c>
      <c r="BG330" t="s">
        <v>145</v>
      </c>
      <c r="BH330" t="s">
        <v>37</v>
      </c>
      <c r="BI330" t="s">
        <v>143</v>
      </c>
      <c r="BJ330" t="s">
        <v>92</v>
      </c>
      <c r="BK330" t="s">
        <v>93</v>
      </c>
      <c r="BL330" t="s">
        <v>95</v>
      </c>
      <c r="BM330" t="s">
        <v>72</v>
      </c>
      <c r="BN330" t="s">
        <v>43</v>
      </c>
      <c r="BO330">
        <v>49.49</v>
      </c>
      <c r="BP330">
        <v>2</v>
      </c>
      <c r="BQ330">
        <v>368680.704</v>
      </c>
      <c r="BR330">
        <v>20718.164852</v>
      </c>
      <c r="BS330">
        <v>53057.298496</v>
      </c>
      <c r="BT330">
        <v>18814.309993</v>
      </c>
      <c r="BU330">
        <v>142682.357459</v>
      </c>
      <c r="BV330">
        <v>10623.194506</v>
      </c>
      <c r="BW330">
        <v>49437.036519</v>
      </c>
      <c r="BX330">
        <v>60060.231025</v>
      </c>
      <c r="BY330">
        <v>39532.474845</v>
      </c>
      <c r="BZ330">
        <v>255799.88698</v>
      </c>
      <c r="CA330">
        <v>295332.361825</v>
      </c>
      <c r="CB330">
        <v>73348.342175</v>
      </c>
      <c r="CC330">
        <v>0</v>
      </c>
      <c r="CD330">
        <v>118389.513438</v>
      </c>
      <c r="CE330">
        <v>303184.562835</v>
      </c>
      <c r="CF330">
        <v>90856.589544</v>
      </c>
      <c r="CG330">
        <v>23676.85</v>
      </c>
      <c r="CH330">
        <v>713411.787296</v>
      </c>
      <c r="CI330">
        <v>3092074.3479</v>
      </c>
      <c r="CJ330">
        <v>642526.8</v>
      </c>
    </row>
    <row r="331" ht="14.497499999999997" customHeight="1">
      <c r="BF331" t="s">
        <v>35</v>
      </c>
      <c r="BG331" t="s">
        <v>145</v>
      </c>
      <c r="BH331" t="s">
        <v>37</v>
      </c>
      <c r="BI331" t="s">
        <v>143</v>
      </c>
      <c r="BJ331" t="s">
        <v>97</v>
      </c>
      <c r="BK331" t="s">
        <v>93</v>
      </c>
      <c r="BL331" t="s">
        <v>94</v>
      </c>
      <c r="BM331" t="s">
        <v>42</v>
      </c>
      <c r="BN331" t="s">
        <v>67</v>
      </c>
      <c r="BO331">
        <v>61.226543</v>
      </c>
      <c r="BP331">
        <v>3</v>
      </c>
      <c r="BQ331">
        <v>499241.231622</v>
      </c>
      <c r="BR331">
        <v>44396.069528</v>
      </c>
      <c r="BS331">
        <v>124848.376526</v>
      </c>
      <c r="BT331">
        <v>43330.835545</v>
      </c>
      <c r="BU331">
        <v>235168.615728</v>
      </c>
      <c r="BV331">
        <v>15958.249084</v>
      </c>
      <c r="BW331">
        <v>74264.717859</v>
      </c>
      <c r="BX331">
        <v>90222.966943</v>
      </c>
      <c r="BY331">
        <v>87726.905073</v>
      </c>
      <c r="BZ331">
        <v>450239.959197</v>
      </c>
      <c r="CA331">
        <v>537966.86427</v>
      </c>
      <c r="CB331">
        <v>-38725.632648</v>
      </c>
      <c r="CC331">
        <v>61.226543</v>
      </c>
      <c r="CD331">
        <v>153906.661656</v>
      </c>
      <c r="CE331">
        <v>432808.5132</v>
      </c>
      <c r="CF331">
        <v>118222.807698</v>
      </c>
      <c r="CG331">
        <v>39693.85</v>
      </c>
      <c r="CH331">
        <v>1019065.020553</v>
      </c>
      <c r="CI331">
        <v>3092074.3479</v>
      </c>
      <c r="CJ331">
        <v>642526.8</v>
      </c>
    </row>
    <row r="332" ht="14.497499999999997" customHeight="1">
      <c r="BF332" t="s">
        <v>35</v>
      </c>
      <c r="BG332" t="s">
        <v>145</v>
      </c>
      <c r="BH332" t="s">
        <v>37</v>
      </c>
      <c r="BI332" t="s">
        <v>143</v>
      </c>
      <c r="BJ332" t="s">
        <v>97</v>
      </c>
      <c r="BK332" t="s">
        <v>93</v>
      </c>
      <c r="BL332" t="s">
        <v>94</v>
      </c>
      <c r="BM332" t="s">
        <v>44</v>
      </c>
      <c r="BN332" t="s">
        <v>43</v>
      </c>
      <c r="BO332">
        <v>63.34</v>
      </c>
      <c r="BP332">
        <v>2</v>
      </c>
      <c r="BQ332">
        <v>476722.176</v>
      </c>
      <c r="BR332">
        <v>23677.924269</v>
      </c>
      <c r="BS332">
        <v>66585.858522</v>
      </c>
      <c r="BT332">
        <v>24066.49874</v>
      </c>
      <c r="BU332">
        <v>156779.077152</v>
      </c>
      <c r="BV332">
        <v>10638.832723</v>
      </c>
      <c r="BW332">
        <v>49509.811906</v>
      </c>
      <c r="BX332">
        <v>60148.644629</v>
      </c>
      <c r="BY332">
        <v>47744.423009</v>
      </c>
      <c r="BZ332">
        <v>283513.580303</v>
      </c>
      <c r="CA332">
        <v>331258.003312</v>
      </c>
      <c r="CB332">
        <v>145464.172688</v>
      </c>
      <c r="CC332">
        <v>0</v>
      </c>
      <c r="CD332">
        <v>153906.661656</v>
      </c>
      <c r="CE332">
        <v>432808.5132</v>
      </c>
      <c r="CF332">
        <v>118222.807698</v>
      </c>
      <c r="CG332">
        <v>39693.85</v>
      </c>
      <c r="CH332">
        <v>1019065.020553</v>
      </c>
      <c r="CI332">
        <v>3092074.3479</v>
      </c>
      <c r="CJ332">
        <v>642526.8</v>
      </c>
    </row>
    <row r="333" ht="14.497499999999997" customHeight="1">
      <c r="BF333" t="s">
        <v>35</v>
      </c>
      <c r="BG333" t="s">
        <v>145</v>
      </c>
      <c r="BH333" t="s">
        <v>37</v>
      </c>
      <c r="BI333" t="s">
        <v>143</v>
      </c>
      <c r="BJ333" t="s">
        <v>97</v>
      </c>
      <c r="BK333" t="s">
        <v>93</v>
      </c>
      <c r="BL333" t="s">
        <v>94</v>
      </c>
      <c r="BM333" t="s">
        <v>50</v>
      </c>
      <c r="BN333" t="s">
        <v>43</v>
      </c>
      <c r="BO333">
        <v>62.36</v>
      </c>
      <c r="BP333">
        <v>2</v>
      </c>
      <c r="BQ333">
        <v>469346.304</v>
      </c>
      <c r="BR333">
        <v>23677.924269</v>
      </c>
      <c r="BS333">
        <v>66585.858522</v>
      </c>
      <c r="BT333">
        <v>23694.096896</v>
      </c>
      <c r="BU333">
        <v>156779.077152</v>
      </c>
      <c r="BV333">
        <v>10638.832723</v>
      </c>
      <c r="BW333">
        <v>49509.811906</v>
      </c>
      <c r="BX333">
        <v>60148.644629</v>
      </c>
      <c r="BY333">
        <v>47372.021165</v>
      </c>
      <c r="BZ333">
        <v>283513.580303</v>
      </c>
      <c r="CA333">
        <v>330885.601468</v>
      </c>
      <c r="CB333">
        <v>138460.702532</v>
      </c>
      <c r="CC333">
        <v>0</v>
      </c>
      <c r="CD333">
        <v>153906.661656</v>
      </c>
      <c r="CE333">
        <v>432808.5132</v>
      </c>
      <c r="CF333">
        <v>118222.807698</v>
      </c>
      <c r="CG333">
        <v>39693.85</v>
      </c>
      <c r="CH333">
        <v>1019065.020553</v>
      </c>
      <c r="CI333">
        <v>3092074.3479</v>
      </c>
      <c r="CJ333">
        <v>642526.8</v>
      </c>
    </row>
    <row r="334" ht="14.497499999999997" customHeight="1">
      <c r="BF334" t="s">
        <v>35</v>
      </c>
      <c r="BG334" t="s">
        <v>145</v>
      </c>
      <c r="BH334" t="s">
        <v>37</v>
      </c>
      <c r="BI334" t="s">
        <v>143</v>
      </c>
      <c r="BJ334" t="s">
        <v>97</v>
      </c>
      <c r="BK334" t="s">
        <v>93</v>
      </c>
      <c r="BL334" t="s">
        <v>95</v>
      </c>
      <c r="BM334" t="s">
        <v>71</v>
      </c>
      <c r="BN334" t="s">
        <v>43</v>
      </c>
      <c r="BO334">
        <v>59.880916</v>
      </c>
      <c r="BP334">
        <v>3</v>
      </c>
      <c r="BQ334">
        <v>488268.989064</v>
      </c>
      <c r="BR334">
        <v>31077.294842</v>
      </c>
      <c r="BS334">
        <v>87393.993411</v>
      </c>
      <c r="BT334">
        <v>42378.483533</v>
      </c>
      <c r="BU334">
        <v>235168.615728</v>
      </c>
      <c r="BV334">
        <v>15958.249084</v>
      </c>
      <c r="BW334">
        <v>74264.717859</v>
      </c>
      <c r="BX334">
        <v>90222.966943</v>
      </c>
      <c r="BY334">
        <v>73455.778375</v>
      </c>
      <c r="BZ334">
        <v>412785.576082</v>
      </c>
      <c r="CA334">
        <v>486241.354457</v>
      </c>
      <c r="CB334">
        <v>2027.634607</v>
      </c>
      <c r="CC334">
        <v>59.880916</v>
      </c>
      <c r="CD334">
        <v>153906.661656</v>
      </c>
      <c r="CE334">
        <v>432808.5132</v>
      </c>
      <c r="CF334">
        <v>118222.807698</v>
      </c>
      <c r="CG334">
        <v>39693.85</v>
      </c>
      <c r="CH334">
        <v>1019065.020553</v>
      </c>
      <c r="CI334">
        <v>3092074.3479</v>
      </c>
      <c r="CJ334">
        <v>642526.8</v>
      </c>
    </row>
    <row r="335" ht="14.497499999999997" customHeight="1">
      <c r="BF335" t="s">
        <v>35</v>
      </c>
      <c r="BG335" t="s">
        <v>145</v>
      </c>
      <c r="BH335" t="s">
        <v>37</v>
      </c>
      <c r="BI335" t="s">
        <v>143</v>
      </c>
      <c r="BJ335" t="s">
        <v>97</v>
      </c>
      <c r="BK335" t="s">
        <v>93</v>
      </c>
      <c r="BL335" t="s">
        <v>95</v>
      </c>
      <c r="BM335" t="s">
        <v>72</v>
      </c>
      <c r="BN335" t="s">
        <v>43</v>
      </c>
      <c r="BO335">
        <v>64.34</v>
      </c>
      <c r="BP335">
        <v>3</v>
      </c>
      <c r="BQ335">
        <v>518837.76</v>
      </c>
      <c r="BR335">
        <v>31077.294842</v>
      </c>
      <c r="BS335">
        <v>87393.993411</v>
      </c>
      <c r="BT335">
        <v>24446.348621</v>
      </c>
      <c r="BU335">
        <v>235168.615728</v>
      </c>
      <c r="BV335">
        <v>15958.249084</v>
      </c>
      <c r="BW335">
        <v>74264.717859</v>
      </c>
      <c r="BX335">
        <v>90222.966943</v>
      </c>
      <c r="BY335">
        <v>55523.643463</v>
      </c>
      <c r="BZ335">
        <v>412785.576082</v>
      </c>
      <c r="CA335">
        <v>468309.219545</v>
      </c>
      <c r="CB335">
        <v>50528.540455</v>
      </c>
      <c r="CC335">
        <v>0</v>
      </c>
      <c r="CD335">
        <v>153906.661656</v>
      </c>
      <c r="CE335">
        <v>432808.5132</v>
      </c>
      <c r="CF335">
        <v>118222.807698</v>
      </c>
      <c r="CG335">
        <v>39693.85</v>
      </c>
      <c r="CH335">
        <v>1019065.020553</v>
      </c>
      <c r="CI335">
        <v>3092074.3479</v>
      </c>
      <c r="CJ335">
        <v>642526.8</v>
      </c>
    </row>
    <row r="336" ht="14.497499999999997" customHeight="1">
      <c r="BF336" t="s">
        <v>35</v>
      </c>
      <c r="BG336" t="s">
        <v>145</v>
      </c>
      <c r="BH336" t="s">
        <v>37</v>
      </c>
      <c r="BI336" t="s">
        <v>143</v>
      </c>
      <c r="BJ336" t="s">
        <v>98</v>
      </c>
      <c r="BK336" t="s">
        <v>93</v>
      </c>
      <c r="BL336" t="s">
        <v>94</v>
      </c>
      <c r="BM336" t="s">
        <v>42</v>
      </c>
      <c r="BN336" t="s">
        <v>67</v>
      </c>
      <c r="BO336">
        <v>55.632349</v>
      </c>
      <c r="BP336">
        <v>2</v>
      </c>
      <c r="BQ336">
        <v>432263.35173</v>
      </c>
      <c r="BR336">
        <v>30227.01552</v>
      </c>
      <c r="BS336">
        <v>79214.31813</v>
      </c>
      <c r="BT336">
        <v>36288.636997</v>
      </c>
      <c r="BU336">
        <v>144417.475113</v>
      </c>
      <c r="BV336">
        <v>10455.284944</v>
      </c>
      <c r="BW336">
        <v>48655.637746</v>
      </c>
      <c r="BX336">
        <v>59110.92269</v>
      </c>
      <c r="BY336">
        <v>66515.652517</v>
      </c>
      <c r="BZ336">
        <v>282742.715933</v>
      </c>
      <c r="CA336">
        <v>349258.36845</v>
      </c>
      <c r="CB336">
        <v>83004.98328</v>
      </c>
      <c r="CC336">
        <v>55.632349</v>
      </c>
      <c r="CD336">
        <v>142067.61225</v>
      </c>
      <c r="CE336">
        <v>372308.9706</v>
      </c>
      <c r="CF336">
        <v>107276.124312</v>
      </c>
      <c r="CG336">
        <v>29956.35</v>
      </c>
      <c r="CH336">
        <v>866508.316712</v>
      </c>
      <c r="CI336">
        <v>3092074.3479</v>
      </c>
      <c r="CJ336">
        <v>642526.8</v>
      </c>
    </row>
    <row r="337" ht="14.497499999999997" customHeight="1">
      <c r="BF337" t="s">
        <v>35</v>
      </c>
      <c r="BG337" t="s">
        <v>145</v>
      </c>
      <c r="BH337" t="s">
        <v>37</v>
      </c>
      <c r="BI337" t="s">
        <v>143</v>
      </c>
      <c r="BJ337" t="s">
        <v>98</v>
      </c>
      <c r="BK337" t="s">
        <v>93</v>
      </c>
      <c r="BL337" t="s">
        <v>94</v>
      </c>
      <c r="BM337" t="s">
        <v>44</v>
      </c>
      <c r="BN337" t="s">
        <v>43</v>
      </c>
      <c r="BO337">
        <v>57.4</v>
      </c>
      <c r="BP337">
        <v>2</v>
      </c>
      <c r="BQ337">
        <v>411443.2</v>
      </c>
      <c r="BR337">
        <v>24181.612416</v>
      </c>
      <c r="BS337">
        <v>63371.454504</v>
      </c>
      <c r="BT337">
        <v>21815.565364</v>
      </c>
      <c r="BU337">
        <v>144417.475113</v>
      </c>
      <c r="BV337">
        <v>10455.284944</v>
      </c>
      <c r="BW337">
        <v>48655.637746</v>
      </c>
      <c r="BX337">
        <v>59110.92269</v>
      </c>
      <c r="BY337">
        <v>45997.17778</v>
      </c>
      <c r="BZ337">
        <v>266899.852307</v>
      </c>
      <c r="CA337">
        <v>312897.030087</v>
      </c>
      <c r="CB337">
        <v>98546.169913</v>
      </c>
      <c r="CC337">
        <v>0</v>
      </c>
      <c r="CD337">
        <v>142067.61225</v>
      </c>
      <c r="CE337">
        <v>372308.9706</v>
      </c>
      <c r="CF337">
        <v>107276.124312</v>
      </c>
      <c r="CG337">
        <v>29956.35</v>
      </c>
      <c r="CH337">
        <v>866508.316712</v>
      </c>
      <c r="CI337">
        <v>3092074.3479</v>
      </c>
      <c r="CJ337">
        <v>642526.8</v>
      </c>
    </row>
    <row r="338" ht="14.497499999999997" customHeight="1">
      <c r="BF338" t="s">
        <v>35</v>
      </c>
      <c r="BG338" t="s">
        <v>145</v>
      </c>
      <c r="BH338" t="s">
        <v>37</v>
      </c>
      <c r="BI338" t="s">
        <v>143</v>
      </c>
      <c r="BJ338" t="s">
        <v>98</v>
      </c>
      <c r="BK338" t="s">
        <v>93</v>
      </c>
      <c r="BL338" t="s">
        <v>94</v>
      </c>
      <c r="BM338" t="s">
        <v>50</v>
      </c>
      <c r="BN338" t="s">
        <v>43</v>
      </c>
      <c r="BO338">
        <v>56.42</v>
      </c>
      <c r="BP338">
        <v>2</v>
      </c>
      <c r="BQ338">
        <v>404418.56</v>
      </c>
      <c r="BR338">
        <v>24181.612416</v>
      </c>
      <c r="BS338">
        <v>63371.454504</v>
      </c>
      <c r="BT338">
        <v>21443.10266</v>
      </c>
      <c r="BU338">
        <v>144417.475113</v>
      </c>
      <c r="BV338">
        <v>10455.284944</v>
      </c>
      <c r="BW338">
        <v>48655.637746</v>
      </c>
      <c r="BX338">
        <v>59110.92269</v>
      </c>
      <c r="BY338">
        <v>45624.715076</v>
      </c>
      <c r="BZ338">
        <v>266899.852307</v>
      </c>
      <c r="CA338">
        <v>312524.567383</v>
      </c>
      <c r="CB338">
        <v>91893.992617</v>
      </c>
      <c r="CC338">
        <v>0</v>
      </c>
      <c r="CD338">
        <v>142067.61225</v>
      </c>
      <c r="CE338">
        <v>372308.9706</v>
      </c>
      <c r="CF338">
        <v>107276.124312</v>
      </c>
      <c r="CG338">
        <v>29956.35</v>
      </c>
      <c r="CH338">
        <v>866508.316712</v>
      </c>
      <c r="CI338">
        <v>3092074.3479</v>
      </c>
      <c r="CJ338">
        <v>642526.8</v>
      </c>
    </row>
    <row r="339" ht="14.497499999999997" customHeight="1">
      <c r="BF339" t="s">
        <v>35</v>
      </c>
      <c r="BG339" t="s">
        <v>145</v>
      </c>
      <c r="BH339" t="s">
        <v>37</v>
      </c>
      <c r="BI339" t="s">
        <v>143</v>
      </c>
      <c r="BJ339" t="s">
        <v>98</v>
      </c>
      <c r="BK339" t="s">
        <v>93</v>
      </c>
      <c r="BL339" t="s">
        <v>95</v>
      </c>
      <c r="BM339" t="s">
        <v>71</v>
      </c>
      <c r="BN339" t="s">
        <v>43</v>
      </c>
      <c r="BO339">
        <v>54.406977</v>
      </c>
      <c r="BP339">
        <v>3</v>
      </c>
      <c r="BQ339">
        <v>422742.21129</v>
      </c>
      <c r="BR339">
        <v>31738.472847</v>
      </c>
      <c r="BS339">
        <v>83175.313268</v>
      </c>
      <c r="BT339">
        <v>35489.387385</v>
      </c>
      <c r="BU339">
        <v>216627.079178</v>
      </c>
      <c r="BV339">
        <v>15682.990148</v>
      </c>
      <c r="BW339">
        <v>72983.748554</v>
      </c>
      <c r="BX339">
        <v>88666.738702</v>
      </c>
      <c r="BY339">
        <v>67227.860232</v>
      </c>
      <c r="BZ339">
        <v>388469.131148</v>
      </c>
      <c r="CA339">
        <v>455696.99138</v>
      </c>
      <c r="CB339">
        <v>-32954.78009</v>
      </c>
      <c r="CC339">
        <v>54.406977</v>
      </c>
      <c r="CD339">
        <v>142067.61225</v>
      </c>
      <c r="CE339">
        <v>372308.9706</v>
      </c>
      <c r="CF339">
        <v>107276.124312</v>
      </c>
      <c r="CG339">
        <v>29956.35</v>
      </c>
      <c r="CH339">
        <v>866508.316712</v>
      </c>
      <c r="CI339">
        <v>3092074.3479</v>
      </c>
      <c r="CJ339">
        <v>642526.8</v>
      </c>
    </row>
    <row r="340" ht="14.497499999999997" customHeight="1">
      <c r="BF340" t="s">
        <v>35</v>
      </c>
      <c r="BG340" t="s">
        <v>145</v>
      </c>
      <c r="BH340" t="s">
        <v>37</v>
      </c>
      <c r="BI340" t="s">
        <v>143</v>
      </c>
      <c r="BJ340" t="s">
        <v>98</v>
      </c>
      <c r="BK340" t="s">
        <v>93</v>
      </c>
      <c r="BL340" t="s">
        <v>95</v>
      </c>
      <c r="BM340" t="s">
        <v>72</v>
      </c>
      <c r="BN340" t="s">
        <v>43</v>
      </c>
      <c r="BO340">
        <v>58.4</v>
      </c>
      <c r="BP340">
        <v>3</v>
      </c>
      <c r="BQ340">
        <v>448512</v>
      </c>
      <c r="BR340">
        <v>31738.472847</v>
      </c>
      <c r="BS340">
        <v>83175.313268</v>
      </c>
      <c r="BT340">
        <v>22195.537396</v>
      </c>
      <c r="BU340">
        <v>216627.079178</v>
      </c>
      <c r="BV340">
        <v>15682.990148</v>
      </c>
      <c r="BW340">
        <v>72983.748554</v>
      </c>
      <c r="BX340">
        <v>88666.738702</v>
      </c>
      <c r="BY340">
        <v>53934.010243</v>
      </c>
      <c r="BZ340">
        <v>388469.131148</v>
      </c>
      <c r="CA340">
        <v>442403.141391</v>
      </c>
      <c r="CB340">
        <v>6108.858609</v>
      </c>
      <c r="CC340">
        <v>0</v>
      </c>
      <c r="CD340">
        <v>142067.61225</v>
      </c>
      <c r="CE340">
        <v>372308.9706</v>
      </c>
      <c r="CF340">
        <v>107276.124312</v>
      </c>
      <c r="CG340">
        <v>29956.35</v>
      </c>
      <c r="CH340">
        <v>866508.316712</v>
      </c>
      <c r="CI340">
        <v>3092074.3479</v>
      </c>
      <c r="CJ340">
        <v>642526.8</v>
      </c>
    </row>
    <row r="341" ht="14.497499999999997" customHeight="1">
      <c r="BF341" t="s">
        <v>35</v>
      </c>
      <c r="BG341" t="s">
        <v>145</v>
      </c>
      <c r="BH341" t="s">
        <v>37</v>
      </c>
      <c r="BI341" t="s">
        <v>143</v>
      </c>
      <c r="BJ341" t="s">
        <v>100</v>
      </c>
      <c r="BK341" t="s">
        <v>93</v>
      </c>
      <c r="BL341" t="s">
        <v>94</v>
      </c>
      <c r="BM341" t="s">
        <v>42</v>
      </c>
      <c r="BN341" t="s">
        <v>67</v>
      </c>
      <c r="BO341">
        <v>72.432654</v>
      </c>
      <c r="BP341">
        <v>3</v>
      </c>
      <c r="BQ341">
        <v>629555.655506</v>
      </c>
      <c r="BR341">
        <v>44396.190117</v>
      </c>
      <c r="BS341">
        <v>135745.27281</v>
      </c>
      <c r="BT341">
        <v>60312.987107</v>
      </c>
      <c r="BU341">
        <v>259482.168812</v>
      </c>
      <c r="BV341">
        <v>16310.901507</v>
      </c>
      <c r="BW341">
        <v>75905.85233</v>
      </c>
      <c r="BX341">
        <v>92216.753837</v>
      </c>
      <c r="BY341">
        <v>104709.177224</v>
      </c>
      <c r="BZ341">
        <v>487444.195459</v>
      </c>
      <c r="CA341">
        <v>592153.372683</v>
      </c>
      <c r="CB341">
        <v>37402.282823</v>
      </c>
      <c r="CC341">
        <v>72.432654</v>
      </c>
      <c r="CD341">
        <v>177584.760468</v>
      </c>
      <c r="CE341">
        <v>542981.09124</v>
      </c>
      <c r="CF341">
        <v>139385.61108</v>
      </c>
      <c r="CG341">
        <v>64876.45</v>
      </c>
      <c r="CH341">
        <v>1297410.844061</v>
      </c>
      <c r="CI341">
        <v>3092074.3479</v>
      </c>
      <c r="CJ341">
        <v>642526.8</v>
      </c>
    </row>
    <row r="342" ht="14.497499999999997" customHeight="1">
      <c r="BF342" t="s">
        <v>35</v>
      </c>
      <c r="BG342" t="s">
        <v>145</v>
      </c>
      <c r="BH342" t="s">
        <v>37</v>
      </c>
      <c r="BI342" t="s">
        <v>143</v>
      </c>
      <c r="BJ342" t="s">
        <v>100</v>
      </c>
      <c r="BK342" t="s">
        <v>93</v>
      </c>
      <c r="BL342" t="s">
        <v>94</v>
      </c>
      <c r="BM342" t="s">
        <v>44</v>
      </c>
      <c r="BN342" t="s">
        <v>43</v>
      </c>
      <c r="BO342">
        <v>75.22</v>
      </c>
      <c r="BP342">
        <v>3</v>
      </c>
      <c r="BQ342">
        <v>603878.1952</v>
      </c>
      <c r="BR342">
        <v>35516.952094</v>
      </c>
      <c r="BS342">
        <v>108596.218248</v>
      </c>
      <c r="BT342">
        <v>28572.238258</v>
      </c>
      <c r="BU342">
        <v>259482.168812</v>
      </c>
      <c r="BV342">
        <v>16310.901507</v>
      </c>
      <c r="BW342">
        <v>75905.85233</v>
      </c>
      <c r="BX342">
        <v>92216.753837</v>
      </c>
      <c r="BY342">
        <v>64089.190352</v>
      </c>
      <c r="BZ342">
        <v>460295.140897</v>
      </c>
      <c r="CA342">
        <v>524384.331249</v>
      </c>
      <c r="CB342">
        <v>79493.863951</v>
      </c>
      <c r="CC342">
        <v>0</v>
      </c>
      <c r="CD342">
        <v>177584.760468</v>
      </c>
      <c r="CE342">
        <v>542981.09124</v>
      </c>
      <c r="CF342">
        <v>139385.61108</v>
      </c>
      <c r="CG342">
        <v>64876.45</v>
      </c>
      <c r="CH342">
        <v>1297410.844061</v>
      </c>
      <c r="CI342">
        <v>3092074.3479</v>
      </c>
      <c r="CJ342">
        <v>642526.8</v>
      </c>
    </row>
    <row r="343" ht="14.497499999999997" customHeight="1">
      <c r="BF343" t="s">
        <v>35</v>
      </c>
      <c r="BG343" t="s">
        <v>145</v>
      </c>
      <c r="BH343" t="s">
        <v>37</v>
      </c>
      <c r="BI343" t="s">
        <v>143</v>
      </c>
      <c r="BJ343" t="s">
        <v>100</v>
      </c>
      <c r="BK343" t="s">
        <v>93</v>
      </c>
      <c r="BL343" t="s">
        <v>94</v>
      </c>
      <c r="BM343" t="s">
        <v>50</v>
      </c>
      <c r="BN343" t="s">
        <v>43</v>
      </c>
      <c r="BO343">
        <v>73.24</v>
      </c>
      <c r="BP343">
        <v>3</v>
      </c>
      <c r="BQ343">
        <v>587982.4384</v>
      </c>
      <c r="BR343">
        <v>35516.952094</v>
      </c>
      <c r="BS343">
        <v>108596.218248</v>
      </c>
      <c r="BT343">
        <v>27820.113501</v>
      </c>
      <c r="BU343">
        <v>259482.168812</v>
      </c>
      <c r="BV343">
        <v>16310.901507</v>
      </c>
      <c r="BW343">
        <v>75905.85233</v>
      </c>
      <c r="BX343">
        <v>92216.753837</v>
      </c>
      <c r="BY343">
        <v>63337.065595</v>
      </c>
      <c r="BZ343">
        <v>460295.140897</v>
      </c>
      <c r="CA343">
        <v>523632.206492</v>
      </c>
      <c r="CB343">
        <v>64350.231908</v>
      </c>
      <c r="CC343">
        <v>0</v>
      </c>
      <c r="CD343">
        <v>177584.760468</v>
      </c>
      <c r="CE343">
        <v>542981.09124</v>
      </c>
      <c r="CF343">
        <v>139385.61108</v>
      </c>
      <c r="CG343">
        <v>64876.45</v>
      </c>
      <c r="CH343">
        <v>1297410.844061</v>
      </c>
      <c r="CI343">
        <v>3092074.3479</v>
      </c>
      <c r="CJ343">
        <v>642526.8</v>
      </c>
    </row>
    <row r="344" ht="14.497499999999997" customHeight="1">
      <c r="BF344" t="s">
        <v>35</v>
      </c>
      <c r="BG344" t="s">
        <v>145</v>
      </c>
      <c r="BH344" t="s">
        <v>37</v>
      </c>
      <c r="BI344" t="s">
        <v>143</v>
      </c>
      <c r="BJ344" t="s">
        <v>100</v>
      </c>
      <c r="BK344" t="s">
        <v>93</v>
      </c>
      <c r="BL344" t="s">
        <v>95</v>
      </c>
      <c r="BM344" t="s">
        <v>71</v>
      </c>
      <c r="BN344" t="s">
        <v>43</v>
      </c>
      <c r="BO344">
        <v>70.836829</v>
      </c>
      <c r="BP344">
        <v>3</v>
      </c>
      <c r="BQ344">
        <v>615685.382936</v>
      </c>
      <c r="BR344">
        <v>31077.333082</v>
      </c>
      <c r="BS344">
        <v>95021.690967</v>
      </c>
      <c r="BT344">
        <v>58984.140308</v>
      </c>
      <c r="BU344">
        <v>259482.168812</v>
      </c>
      <c r="BV344">
        <v>16310.901507</v>
      </c>
      <c r="BW344">
        <v>75905.85233</v>
      </c>
      <c r="BX344">
        <v>92216.753837</v>
      </c>
      <c r="BY344">
        <v>90061.47339</v>
      </c>
      <c r="BZ344">
        <v>446720.613616</v>
      </c>
      <c r="CA344">
        <v>536782.087006</v>
      </c>
      <c r="CB344">
        <v>78903.29593</v>
      </c>
      <c r="CC344">
        <v>70.836829</v>
      </c>
      <c r="CD344">
        <v>177584.760468</v>
      </c>
      <c r="CE344">
        <v>542981.09124</v>
      </c>
      <c r="CF344">
        <v>139385.61108</v>
      </c>
      <c r="CG344">
        <v>64876.45</v>
      </c>
      <c r="CH344">
        <v>1297410.844061</v>
      </c>
      <c r="CI344">
        <v>3092074.3479</v>
      </c>
      <c r="CJ344">
        <v>642526.8</v>
      </c>
    </row>
    <row r="345" ht="14.497499999999997" customHeight="1">
      <c r="BF345" t="s">
        <v>35</v>
      </c>
      <c r="BG345" t="s">
        <v>145</v>
      </c>
      <c r="BH345" t="s">
        <v>37</v>
      </c>
      <c r="BI345" t="s">
        <v>143</v>
      </c>
      <c r="BJ345" t="s">
        <v>100</v>
      </c>
      <c r="BK345" t="s">
        <v>93</v>
      </c>
      <c r="BL345" t="s">
        <v>95</v>
      </c>
      <c r="BM345" t="s">
        <v>72</v>
      </c>
      <c r="BN345" t="s">
        <v>43</v>
      </c>
      <c r="BO345">
        <v>75.22</v>
      </c>
      <c r="BP345">
        <v>3</v>
      </c>
      <c r="BQ345">
        <v>647012.352</v>
      </c>
      <c r="BR345">
        <v>31077.333082</v>
      </c>
      <c r="BS345">
        <v>95021.690967</v>
      </c>
      <c r="BT345">
        <v>28572.238258</v>
      </c>
      <c r="BU345">
        <v>259482.168812</v>
      </c>
      <c r="BV345">
        <v>16310.901507</v>
      </c>
      <c r="BW345">
        <v>75905.85233</v>
      </c>
      <c r="BX345">
        <v>92216.753837</v>
      </c>
      <c r="BY345">
        <v>59649.57134</v>
      </c>
      <c r="BZ345">
        <v>446720.613616</v>
      </c>
      <c r="CA345">
        <v>506370.184956</v>
      </c>
      <c r="CB345">
        <v>140642.167044</v>
      </c>
      <c r="CC345">
        <v>0</v>
      </c>
      <c r="CD345">
        <v>177584.760468</v>
      </c>
      <c r="CE345">
        <v>542981.09124</v>
      </c>
      <c r="CF345">
        <v>139385.61108</v>
      </c>
      <c r="CG345">
        <v>64876.45</v>
      </c>
      <c r="CH345">
        <v>1297410.844061</v>
      </c>
      <c r="CI345">
        <v>3092074.3479</v>
      </c>
      <c r="CJ345">
        <v>642526.8</v>
      </c>
    </row>
    <row r="346" ht="14.497499999999997" customHeight="1">
      <c r="BF346" t="s">
        <v>35</v>
      </c>
      <c r="BG346" t="s">
        <v>145</v>
      </c>
      <c r="BH346" t="s">
        <v>37</v>
      </c>
      <c r="BI346" t="s">
        <v>143</v>
      </c>
      <c r="BJ346" t="s">
        <v>104</v>
      </c>
      <c r="BK346" t="s">
        <v>105</v>
      </c>
      <c r="BL346" t="s">
        <v>106</v>
      </c>
      <c r="BM346" t="s">
        <v>107</v>
      </c>
      <c r="BN346" t="s">
        <v>43</v>
      </c>
      <c r="BO346">
        <v>32.684119</v>
      </c>
      <c r="BP346">
        <v>2</v>
      </c>
      <c r="BQ346">
        <v>196587.131596</v>
      </c>
      <c r="BR346">
        <v>23344.280054</v>
      </c>
      <c r="BS346">
        <v>48716.621336</v>
      </c>
      <c r="BT346">
        <v>20497.254679</v>
      </c>
      <c r="BU346">
        <v>74879.02413</v>
      </c>
      <c r="BV346">
        <v>6544.810923</v>
      </c>
      <c r="BW346">
        <v>34813.55023</v>
      </c>
      <c r="BX346">
        <v>41358.361153</v>
      </c>
      <c r="BY346">
        <v>43841.534733</v>
      </c>
      <c r="BZ346">
        <v>164954.006619</v>
      </c>
      <c r="CA346">
        <v>208795.541352</v>
      </c>
      <c r="CB346">
        <v>-12208.409756</v>
      </c>
      <c r="CC346">
        <v>32.684119</v>
      </c>
      <c r="CD346">
        <v>94711.414626</v>
      </c>
      <c r="CE346">
        <v>197650.992525</v>
      </c>
      <c r="CF346">
        <v>51814.105236</v>
      </c>
      <c r="CG346">
        <v>20869.6</v>
      </c>
      <c r="CH346">
        <v>374395.120652</v>
      </c>
      <c r="CI346">
        <v>3092074.3479</v>
      </c>
      <c r="CJ346">
        <v>642526.8</v>
      </c>
    </row>
    <row r="347" ht="14.497499999999997" customHeight="1">
      <c r="BF347" t="s">
        <v>35</v>
      </c>
      <c r="BG347" t="s">
        <v>145</v>
      </c>
      <c r="BH347" t="s">
        <v>37</v>
      </c>
      <c r="BI347" t="s">
        <v>143</v>
      </c>
      <c r="BJ347" t="s">
        <v>104</v>
      </c>
      <c r="BK347" t="s">
        <v>105</v>
      </c>
      <c r="BL347" t="s">
        <v>106</v>
      </c>
      <c r="BM347" t="s">
        <v>109</v>
      </c>
      <c r="BN347" t="s">
        <v>43</v>
      </c>
      <c r="BO347">
        <v>34.64</v>
      </c>
      <c r="BP347">
        <v>2</v>
      </c>
      <c r="BQ347">
        <v>205233.6864</v>
      </c>
      <c r="BR347">
        <v>23344.280054</v>
      </c>
      <c r="BS347">
        <v>48716.621336</v>
      </c>
      <c r="BT347">
        <v>10664.63821</v>
      </c>
      <c r="BU347">
        <v>74879.02413</v>
      </c>
      <c r="BV347">
        <v>6544.810923</v>
      </c>
      <c r="BW347">
        <v>34813.55023</v>
      </c>
      <c r="BX347">
        <v>41358.361153</v>
      </c>
      <c r="BY347">
        <v>34008.918264</v>
      </c>
      <c r="BZ347">
        <v>164954.006619</v>
      </c>
      <c r="CA347">
        <v>198962.924883</v>
      </c>
      <c r="CB347">
        <v>6270.761517</v>
      </c>
      <c r="CC347">
        <v>0</v>
      </c>
      <c r="CD347">
        <v>94711.414626</v>
      </c>
      <c r="CE347">
        <v>197650.992525</v>
      </c>
      <c r="CF347">
        <v>51814.105236</v>
      </c>
      <c r="CG347">
        <v>20869.6</v>
      </c>
      <c r="CH347">
        <v>374395.120652</v>
      </c>
      <c r="CI347">
        <v>3092074.3479</v>
      </c>
      <c r="CJ347">
        <v>642526.8</v>
      </c>
    </row>
    <row r="348" ht="14.497499999999997" customHeight="1">
      <c r="BF348" t="s">
        <v>35</v>
      </c>
      <c r="BG348" t="s">
        <v>145</v>
      </c>
      <c r="BH348" t="s">
        <v>37</v>
      </c>
      <c r="BI348" t="s">
        <v>143</v>
      </c>
      <c r="BJ348" t="s">
        <v>104</v>
      </c>
      <c r="BK348" t="s">
        <v>105</v>
      </c>
      <c r="BL348" t="s">
        <v>111</v>
      </c>
      <c r="BM348" t="s">
        <v>42</v>
      </c>
      <c r="BN348" t="s">
        <v>43</v>
      </c>
      <c r="BO348">
        <v>32.684119</v>
      </c>
      <c r="BP348">
        <v>2</v>
      </c>
      <c r="BQ348">
        <v>228861.391744</v>
      </c>
      <c r="BR348">
        <v>16007.555032</v>
      </c>
      <c r="BS348">
        <v>33405.784851</v>
      </c>
      <c r="BT348">
        <v>20497.254679</v>
      </c>
      <c r="BU348">
        <v>74879.02413</v>
      </c>
      <c r="BV348">
        <v>6544.810923</v>
      </c>
      <c r="BW348">
        <v>34813.55023</v>
      </c>
      <c r="BX348">
        <v>41358.361153</v>
      </c>
      <c r="BY348">
        <v>36504.809711</v>
      </c>
      <c r="BZ348">
        <v>149643.170134</v>
      </c>
      <c r="CA348">
        <v>186147.979845</v>
      </c>
      <c r="CB348">
        <v>42713.411899</v>
      </c>
      <c r="CC348">
        <v>32.684119</v>
      </c>
      <c r="CD348">
        <v>94711.414626</v>
      </c>
      <c r="CE348">
        <v>197650.992525</v>
      </c>
      <c r="CF348">
        <v>51814.105236</v>
      </c>
      <c r="CG348">
        <v>20869.6</v>
      </c>
      <c r="CH348">
        <v>374395.120652</v>
      </c>
      <c r="CI348">
        <v>3092074.3479</v>
      </c>
      <c r="CJ348">
        <v>642526.8</v>
      </c>
    </row>
    <row r="349" ht="14.497499999999997" customHeight="1">
      <c r="BF349" t="s">
        <v>35</v>
      </c>
      <c r="BG349" t="s">
        <v>145</v>
      </c>
      <c r="BH349" t="s">
        <v>37</v>
      </c>
      <c r="BI349" t="s">
        <v>143</v>
      </c>
      <c r="BJ349" t="s">
        <v>104</v>
      </c>
      <c r="BK349" t="s">
        <v>105</v>
      </c>
      <c r="BL349" t="s">
        <v>111</v>
      </c>
      <c r="BM349" t="s">
        <v>44</v>
      </c>
      <c r="BN349" t="s">
        <v>43</v>
      </c>
      <c r="BO349">
        <v>34.64</v>
      </c>
      <c r="BP349">
        <v>2</v>
      </c>
      <c r="BQ349">
        <v>239439.3008</v>
      </c>
      <c r="BR349">
        <v>16007.555032</v>
      </c>
      <c r="BS349">
        <v>33405.784851</v>
      </c>
      <c r="BT349">
        <v>10664.63821</v>
      </c>
      <c r="BU349">
        <v>74879.02413</v>
      </c>
      <c r="BV349">
        <v>6544.810923</v>
      </c>
      <c r="BW349">
        <v>34813.55023</v>
      </c>
      <c r="BX349">
        <v>41358.361153</v>
      </c>
      <c r="BY349">
        <v>26672.193242</v>
      </c>
      <c r="BZ349">
        <v>149643.170134</v>
      </c>
      <c r="CA349">
        <v>176315.363376</v>
      </c>
      <c r="CB349">
        <v>63123.937424</v>
      </c>
      <c r="CC349">
        <v>0</v>
      </c>
      <c r="CD349">
        <v>94711.414626</v>
      </c>
      <c r="CE349">
        <v>197650.992525</v>
      </c>
      <c r="CF349">
        <v>51814.105236</v>
      </c>
      <c r="CG349">
        <v>20869.6</v>
      </c>
      <c r="CH349">
        <v>374395.120652</v>
      </c>
      <c r="CI349">
        <v>3092074.3479</v>
      </c>
      <c r="CJ349">
        <v>642526.8</v>
      </c>
    </row>
    <row r="350" ht="14.497499999999997" customHeight="1">
      <c r="BF350" t="s">
        <v>35</v>
      </c>
      <c r="BG350" t="s">
        <v>145</v>
      </c>
      <c r="BH350" t="s">
        <v>37</v>
      </c>
      <c r="BI350" t="s">
        <v>143</v>
      </c>
      <c r="BJ350" t="s">
        <v>104</v>
      </c>
      <c r="BK350" t="s">
        <v>105</v>
      </c>
      <c r="BL350" t="s">
        <v>111</v>
      </c>
      <c r="BM350" t="s">
        <v>50</v>
      </c>
      <c r="BN350" t="s">
        <v>43</v>
      </c>
      <c r="BO350">
        <v>33.65</v>
      </c>
      <c r="BP350">
        <v>2</v>
      </c>
      <c r="BQ350">
        <v>232596.203</v>
      </c>
      <c r="BR350">
        <v>16007.555032</v>
      </c>
      <c r="BS350">
        <v>33405.784851</v>
      </c>
      <c r="BT350">
        <v>10359.815829</v>
      </c>
      <c r="BU350">
        <v>74879.02413</v>
      </c>
      <c r="BV350">
        <v>6544.810923</v>
      </c>
      <c r="BW350">
        <v>34813.55023</v>
      </c>
      <c r="BX350">
        <v>41358.361153</v>
      </c>
      <c r="BY350">
        <v>26367.370861</v>
      </c>
      <c r="BZ350">
        <v>149643.170134</v>
      </c>
      <c r="CA350">
        <v>176010.540995</v>
      </c>
      <c r="CB350">
        <v>56585.662005</v>
      </c>
      <c r="CC350">
        <v>0</v>
      </c>
      <c r="CD350">
        <v>94711.414626</v>
      </c>
      <c r="CE350">
        <v>197650.992525</v>
      </c>
      <c r="CF350">
        <v>51814.105236</v>
      </c>
      <c r="CG350">
        <v>20869.6</v>
      </c>
      <c r="CH350">
        <v>374395.120652</v>
      </c>
      <c r="CI350">
        <v>3092074.3479</v>
      </c>
      <c r="CJ350">
        <v>642526.8</v>
      </c>
    </row>
    <row r="351" ht="14.497499999999997" customHeight="1">
      <c r="BF351" t="s">
        <v>35</v>
      </c>
      <c r="BG351" t="s">
        <v>145</v>
      </c>
      <c r="BH351" t="s">
        <v>37</v>
      </c>
      <c r="BI351" t="s">
        <v>143</v>
      </c>
      <c r="BJ351" t="s">
        <v>114</v>
      </c>
      <c r="BK351" t="s">
        <v>105</v>
      </c>
      <c r="BL351" t="s">
        <v>111</v>
      </c>
      <c r="BM351" t="s">
        <v>50</v>
      </c>
      <c r="BN351" t="s">
        <v>43</v>
      </c>
      <c r="BO351">
        <v>43.55</v>
      </c>
      <c r="BP351">
        <v>2</v>
      </c>
      <c r="BQ351">
        <v>325854.165</v>
      </c>
      <c r="BR351">
        <v>16007.555032</v>
      </c>
      <c r="BS351">
        <v>44108.489334</v>
      </c>
      <c r="BT351">
        <v>13375.242222</v>
      </c>
      <c r="BU351">
        <v>115616.841047</v>
      </c>
      <c r="BV351">
        <v>8408.828845</v>
      </c>
      <c r="BW351">
        <v>44728.745997</v>
      </c>
      <c r="BX351">
        <v>53137.574842</v>
      </c>
      <c r="BY351">
        <v>29382.797254</v>
      </c>
      <c r="BZ351">
        <v>212862.905223</v>
      </c>
      <c r="CA351">
        <v>242245.702477</v>
      </c>
      <c r="CB351">
        <v>83608.462523</v>
      </c>
      <c r="CC351">
        <v>0</v>
      </c>
      <c r="CD351">
        <v>94711.414626</v>
      </c>
      <c r="CE351">
        <v>260975.35905</v>
      </c>
      <c r="CF351">
        <v>66409.683084</v>
      </c>
      <c r="CG351">
        <v>34781.4</v>
      </c>
      <c r="CH351">
        <v>578084.205236</v>
      </c>
      <c r="CI351">
        <v>3092074.3479</v>
      </c>
      <c r="CJ351">
        <v>642526.8</v>
      </c>
    </row>
    <row r="352" ht="14.497499999999997" customHeight="1">
      <c r="BF352" t="s">
        <v>35</v>
      </c>
      <c r="BG352" t="s">
        <v>145</v>
      </c>
      <c r="BH352" t="s">
        <v>37</v>
      </c>
      <c r="BI352" t="s">
        <v>143</v>
      </c>
      <c r="BJ352" t="s">
        <v>114</v>
      </c>
      <c r="BK352" t="s">
        <v>105</v>
      </c>
      <c r="BL352" t="s">
        <v>111</v>
      </c>
      <c r="BM352" t="s">
        <v>44</v>
      </c>
      <c r="BN352" t="s">
        <v>43</v>
      </c>
      <c r="BO352">
        <v>44.54</v>
      </c>
      <c r="BP352">
        <v>2</v>
      </c>
      <c r="BQ352">
        <v>333261.642</v>
      </c>
      <c r="BR352">
        <v>16007.555032</v>
      </c>
      <c r="BS352">
        <v>44108.489334</v>
      </c>
      <c r="BT352">
        <v>13679.265751</v>
      </c>
      <c r="BU352">
        <v>115616.841047</v>
      </c>
      <c r="BV352">
        <v>8408.828845</v>
      </c>
      <c r="BW352">
        <v>44728.745997</v>
      </c>
      <c r="BX352">
        <v>53137.574842</v>
      </c>
      <c r="BY352">
        <v>29686.820783</v>
      </c>
      <c r="BZ352">
        <v>212862.905223</v>
      </c>
      <c r="CA352">
        <v>242549.726006</v>
      </c>
      <c r="CB352">
        <v>90711.915994</v>
      </c>
      <c r="CC352">
        <v>0</v>
      </c>
      <c r="CD352">
        <v>94711.414626</v>
      </c>
      <c r="CE352">
        <v>260975.35905</v>
      </c>
      <c r="CF352">
        <v>66409.683084</v>
      </c>
      <c r="CG352">
        <v>34781.4</v>
      </c>
      <c r="CH352">
        <v>578084.205236</v>
      </c>
      <c r="CI352">
        <v>3092074.3479</v>
      </c>
      <c r="CJ352">
        <v>642526.8</v>
      </c>
    </row>
    <row r="353" ht="14.497499999999997" customHeight="1">
      <c r="BF353" t="s">
        <v>35</v>
      </c>
      <c r="BG353" t="s">
        <v>145</v>
      </c>
      <c r="BH353" t="s">
        <v>37</v>
      </c>
      <c r="BI353" t="s">
        <v>143</v>
      </c>
      <c r="BJ353" t="s">
        <v>114</v>
      </c>
      <c r="BK353" t="s">
        <v>105</v>
      </c>
      <c r="BL353" t="s">
        <v>106</v>
      </c>
      <c r="BM353" t="s">
        <v>107</v>
      </c>
      <c r="BN353" t="s">
        <v>43</v>
      </c>
      <c r="BO353">
        <v>41.800317</v>
      </c>
      <c r="BP353">
        <v>2</v>
      </c>
      <c r="BQ353">
        <v>271844.181578</v>
      </c>
      <c r="BR353">
        <v>23344.280054</v>
      </c>
      <c r="BS353">
        <v>64324.684548</v>
      </c>
      <c r="BT353">
        <v>30228.555066</v>
      </c>
      <c r="BU353">
        <v>115616.841047</v>
      </c>
      <c r="BV353">
        <v>8408.828845</v>
      </c>
      <c r="BW353">
        <v>44728.745997</v>
      </c>
      <c r="BX353">
        <v>53137.574842</v>
      </c>
      <c r="BY353">
        <v>53572.83512</v>
      </c>
      <c r="BZ353">
        <v>233079.100437</v>
      </c>
      <c r="CA353">
        <v>286651.935557</v>
      </c>
      <c r="CB353">
        <v>-14807.753979</v>
      </c>
      <c r="CC353">
        <v>41.800317</v>
      </c>
      <c r="CD353">
        <v>94711.414626</v>
      </c>
      <c r="CE353">
        <v>260975.35905</v>
      </c>
      <c r="CF353">
        <v>66409.683084</v>
      </c>
      <c r="CG353">
        <v>34781.4</v>
      </c>
      <c r="CH353">
        <v>578084.205236</v>
      </c>
      <c r="CI353">
        <v>3092074.3479</v>
      </c>
      <c r="CJ353">
        <v>642526.8</v>
      </c>
    </row>
    <row r="354" ht="14.497499999999997" customHeight="1">
      <c r="BF354" t="s">
        <v>35</v>
      </c>
      <c r="BG354" t="s">
        <v>145</v>
      </c>
      <c r="BH354" t="s">
        <v>37</v>
      </c>
      <c r="BI354" t="s">
        <v>143</v>
      </c>
      <c r="BJ354" t="s">
        <v>114</v>
      </c>
      <c r="BK354" t="s">
        <v>105</v>
      </c>
      <c r="BL354" t="s">
        <v>106</v>
      </c>
      <c r="BM354" t="s">
        <v>109</v>
      </c>
      <c r="BN354" t="s">
        <v>43</v>
      </c>
      <c r="BO354">
        <v>44.54</v>
      </c>
      <c r="BP354">
        <v>2</v>
      </c>
      <c r="BQ354">
        <v>285652.836</v>
      </c>
      <c r="BR354">
        <v>23344.280054</v>
      </c>
      <c r="BS354">
        <v>64324.684548</v>
      </c>
      <c r="BT354">
        <v>13679.265751</v>
      </c>
      <c r="BU354">
        <v>115616.841047</v>
      </c>
      <c r="BV354">
        <v>8408.828845</v>
      </c>
      <c r="BW354">
        <v>44728.745997</v>
      </c>
      <c r="BX354">
        <v>53137.574842</v>
      </c>
      <c r="BY354">
        <v>37023.545805</v>
      </c>
      <c r="BZ354">
        <v>233079.100437</v>
      </c>
      <c r="CA354">
        <v>270102.646242</v>
      </c>
      <c r="CB354">
        <v>15550.189758</v>
      </c>
      <c r="CC354">
        <v>0</v>
      </c>
      <c r="CD354">
        <v>94711.414626</v>
      </c>
      <c r="CE354">
        <v>260975.35905</v>
      </c>
      <c r="CF354">
        <v>66409.683084</v>
      </c>
      <c r="CG354">
        <v>34781.4</v>
      </c>
      <c r="CH354">
        <v>578084.205236</v>
      </c>
      <c r="CI354">
        <v>3092074.3479</v>
      </c>
      <c r="CJ354">
        <v>642526.8</v>
      </c>
    </row>
    <row r="355" ht="14.497499999999997" customHeight="1">
      <c r="BF355" t="s">
        <v>35</v>
      </c>
      <c r="BG355" t="s">
        <v>145</v>
      </c>
      <c r="BH355" t="s">
        <v>37</v>
      </c>
      <c r="BI355" t="s">
        <v>143</v>
      </c>
      <c r="BJ355" t="s">
        <v>114</v>
      </c>
      <c r="BK355" t="s">
        <v>105</v>
      </c>
      <c r="BL355" t="s">
        <v>111</v>
      </c>
      <c r="BM355" t="s">
        <v>42</v>
      </c>
      <c r="BN355" t="s">
        <v>43</v>
      </c>
      <c r="BO355">
        <v>41.800317</v>
      </c>
      <c r="BP355">
        <v>2</v>
      </c>
      <c r="BQ355">
        <v>316524.540419</v>
      </c>
      <c r="BR355">
        <v>16007.555032</v>
      </c>
      <c r="BS355">
        <v>44108.489334</v>
      </c>
      <c r="BT355">
        <v>30228.555066</v>
      </c>
      <c r="BU355">
        <v>115616.841047</v>
      </c>
      <c r="BV355">
        <v>8408.828845</v>
      </c>
      <c r="BW355">
        <v>44728.745997</v>
      </c>
      <c r="BX355">
        <v>53137.574842</v>
      </c>
      <c r="BY355">
        <v>46236.110098</v>
      </c>
      <c r="BZ355">
        <v>212862.905223</v>
      </c>
      <c r="CA355">
        <v>259099.015321</v>
      </c>
      <c r="CB355">
        <v>57425.525098</v>
      </c>
      <c r="CC355">
        <v>41.800317</v>
      </c>
      <c r="CD355">
        <v>94711.414626</v>
      </c>
      <c r="CE355">
        <v>260975.35905</v>
      </c>
      <c r="CF355">
        <v>66409.683084</v>
      </c>
      <c r="CG355">
        <v>34781.4</v>
      </c>
      <c r="CH355">
        <v>578084.205236</v>
      </c>
      <c r="CI355">
        <v>3092074.3479</v>
      </c>
      <c r="CJ355">
        <v>642526.8</v>
      </c>
    </row>
    <row r="356" ht="14.497499999999997" customHeight="1">
      <c r="BF356" t="s">
        <v>35</v>
      </c>
      <c r="BG356" t="s">
        <v>145</v>
      </c>
      <c r="BH356" t="s">
        <v>37</v>
      </c>
      <c r="BI356" t="s">
        <v>143</v>
      </c>
      <c r="BJ356" t="s">
        <v>116</v>
      </c>
      <c r="BK356" t="s">
        <v>117</v>
      </c>
      <c r="BL356" t="s">
        <v>118</v>
      </c>
      <c r="BM356" t="s">
        <v>42</v>
      </c>
      <c r="BN356" t="s">
        <v>43</v>
      </c>
      <c r="BO356">
        <v>36.329613</v>
      </c>
      <c r="BP356">
        <v>2</v>
      </c>
      <c r="BQ356">
        <v>275899.796487</v>
      </c>
      <c r="BR356">
        <v>23678.075134</v>
      </c>
      <c r="BS356">
        <v>67034.086026</v>
      </c>
      <c r="BT356">
        <v>31688.960129</v>
      </c>
      <c r="BU356">
        <v>134506.078929</v>
      </c>
      <c r="BV356">
        <v>8304.3654</v>
      </c>
      <c r="BW356">
        <v>38798.800514</v>
      </c>
      <c r="BX356">
        <v>47103.165914</v>
      </c>
      <c r="BY356">
        <v>55367.035263</v>
      </c>
      <c r="BZ356">
        <v>248643.330869</v>
      </c>
      <c r="CA356">
        <v>304010.366132</v>
      </c>
      <c r="CB356">
        <v>-28110.569645</v>
      </c>
      <c r="CC356">
        <v>36.329613</v>
      </c>
      <c r="CD356">
        <v>71034.296436</v>
      </c>
      <c r="CE356">
        <v>201102.45918</v>
      </c>
      <c r="CF356">
        <v>42691.37877</v>
      </c>
      <c r="CG356">
        <v>17907.5</v>
      </c>
      <c r="CH356">
        <v>403518.640306</v>
      </c>
      <c r="CI356">
        <v>3092074.3479</v>
      </c>
      <c r="CJ356">
        <v>642526.8</v>
      </c>
    </row>
    <row r="357" ht="14.497499999999997" customHeight="1">
      <c r="BF357" t="s">
        <v>35</v>
      </c>
      <c r="BG357" t="s">
        <v>145</v>
      </c>
      <c r="BH357" t="s">
        <v>37</v>
      </c>
      <c r="BI357" t="s">
        <v>143</v>
      </c>
      <c r="BJ357" t="s">
        <v>116</v>
      </c>
      <c r="BK357" t="s">
        <v>117</v>
      </c>
      <c r="BL357" t="s">
        <v>118</v>
      </c>
      <c r="BM357" t="s">
        <v>44</v>
      </c>
      <c r="BN357" t="s">
        <v>43</v>
      </c>
      <c r="BO357">
        <v>38.6</v>
      </c>
      <c r="BP357">
        <v>2</v>
      </c>
      <c r="BQ357">
        <v>289667.91</v>
      </c>
      <c r="BR357">
        <v>23678.075134</v>
      </c>
      <c r="BS357">
        <v>67034.086026</v>
      </c>
      <c r="BT357">
        <v>14642.716004</v>
      </c>
      <c r="BU357">
        <v>134506.078929</v>
      </c>
      <c r="BV357">
        <v>8304.3654</v>
      </c>
      <c r="BW357">
        <v>38798.800514</v>
      </c>
      <c r="BX357">
        <v>47103.165914</v>
      </c>
      <c r="BY357">
        <v>38320.791138</v>
      </c>
      <c r="BZ357">
        <v>248643.330869</v>
      </c>
      <c r="CA357">
        <v>286964.122007</v>
      </c>
      <c r="CB357">
        <v>2703.787993</v>
      </c>
      <c r="CC357">
        <v>0</v>
      </c>
      <c r="CD357">
        <v>71034.296436</v>
      </c>
      <c r="CE357">
        <v>201102.45918</v>
      </c>
      <c r="CF357">
        <v>42691.37877</v>
      </c>
      <c r="CG357">
        <v>17907.5</v>
      </c>
      <c r="CH357">
        <v>403518.640306</v>
      </c>
      <c r="CI357">
        <v>3092074.3479</v>
      </c>
      <c r="CJ357">
        <v>642526.8</v>
      </c>
    </row>
    <row r="358" ht="14.497499999999997" customHeight="1">
      <c r="BF358" t="s">
        <v>35</v>
      </c>
      <c r="BG358" t="s">
        <v>145</v>
      </c>
      <c r="BH358" t="s">
        <v>37</v>
      </c>
      <c r="BI358" t="s">
        <v>143</v>
      </c>
      <c r="BJ358" t="s">
        <v>116</v>
      </c>
      <c r="BK358" t="s">
        <v>117</v>
      </c>
      <c r="BL358" t="s">
        <v>118</v>
      </c>
      <c r="BM358" t="s">
        <v>50</v>
      </c>
      <c r="BN358" t="s">
        <v>43</v>
      </c>
      <c r="BO358">
        <v>37.61</v>
      </c>
      <c r="BP358">
        <v>2</v>
      </c>
      <c r="BQ358">
        <v>282238.6035</v>
      </c>
      <c r="BR358">
        <v>23678.075134</v>
      </c>
      <c r="BS358">
        <v>67034.086026</v>
      </c>
      <c r="BT358">
        <v>14267.159945</v>
      </c>
      <c r="BU358">
        <v>134506.078929</v>
      </c>
      <c r="BV358">
        <v>8304.3654</v>
      </c>
      <c r="BW358">
        <v>38798.800514</v>
      </c>
      <c r="BX358">
        <v>47103.165914</v>
      </c>
      <c r="BY358">
        <v>37945.235079</v>
      </c>
      <c r="BZ358">
        <v>248643.330869</v>
      </c>
      <c r="CA358">
        <v>286588.565948</v>
      </c>
      <c r="CB358">
        <v>-4349.962448</v>
      </c>
      <c r="CC358">
        <v>0</v>
      </c>
      <c r="CD358">
        <v>71034.296436</v>
      </c>
      <c r="CE358">
        <v>201102.45918</v>
      </c>
      <c r="CF358">
        <v>42691.37877</v>
      </c>
      <c r="CG358">
        <v>17907.5</v>
      </c>
      <c r="CH358">
        <v>403518.640306</v>
      </c>
      <c r="CI358">
        <v>3092074.3479</v>
      </c>
      <c r="CJ358">
        <v>642526.8</v>
      </c>
    </row>
    <row r="359" ht="14.497499999999997" customHeight="1">
      <c r="BF359" t="s">
        <v>35</v>
      </c>
      <c r="BG359" t="s">
        <v>145</v>
      </c>
      <c r="BH359" t="s">
        <v>37</v>
      </c>
      <c r="BI359" t="s">
        <v>143</v>
      </c>
      <c r="BJ359" t="s">
        <v>119</v>
      </c>
      <c r="BK359" t="s">
        <v>117</v>
      </c>
      <c r="BL359" t="s">
        <v>118</v>
      </c>
      <c r="BM359" t="s">
        <v>42</v>
      </c>
      <c r="BN359" t="s">
        <v>43</v>
      </c>
      <c r="BO359">
        <v>42.750668</v>
      </c>
      <c r="BP359">
        <v>2</v>
      </c>
      <c r="BQ359">
        <v>346051.26722</v>
      </c>
      <c r="BR359">
        <v>23678.075134</v>
      </c>
      <c r="BS359">
        <v>80524.62783</v>
      </c>
      <c r="BT359">
        <v>44935.277747</v>
      </c>
      <c r="BU359">
        <v>179661.036117</v>
      </c>
      <c r="BV359">
        <v>9800.932735</v>
      </c>
      <c r="BW359">
        <v>45790.908242</v>
      </c>
      <c r="BX359">
        <v>55591.840977</v>
      </c>
      <c r="BY359">
        <v>68613.352881</v>
      </c>
      <c r="BZ359">
        <v>315777.504924</v>
      </c>
      <c r="CA359">
        <v>384390.857805</v>
      </c>
      <c r="CB359">
        <v>-38339.590585</v>
      </c>
      <c r="CC359">
        <v>42.750668</v>
      </c>
      <c r="CD359">
        <v>71034.296436</v>
      </c>
      <c r="CE359">
        <v>241574.125065</v>
      </c>
      <c r="CF359">
        <v>50353.959078</v>
      </c>
      <c r="CG359">
        <v>28728</v>
      </c>
      <c r="CH359">
        <v>538983.647335</v>
      </c>
      <c r="CI359">
        <v>3092074.3479</v>
      </c>
      <c r="CJ359">
        <v>642526.8</v>
      </c>
    </row>
    <row r="360" ht="14.497499999999997" customHeight="1">
      <c r="BF360" t="s">
        <v>35</v>
      </c>
      <c r="BG360" t="s">
        <v>145</v>
      </c>
      <c r="BH360" t="s">
        <v>37</v>
      </c>
      <c r="BI360" t="s">
        <v>143</v>
      </c>
      <c r="BJ360" t="s">
        <v>119</v>
      </c>
      <c r="BK360" t="s">
        <v>117</v>
      </c>
      <c r="BL360" t="s">
        <v>118</v>
      </c>
      <c r="BM360" t="s">
        <v>44</v>
      </c>
      <c r="BN360" t="s">
        <v>43</v>
      </c>
      <c r="BO360">
        <v>45.53</v>
      </c>
      <c r="BP360">
        <v>2</v>
      </c>
      <c r="BQ360">
        <v>364451.2592</v>
      </c>
      <c r="BR360">
        <v>23678.075134</v>
      </c>
      <c r="BS360">
        <v>80524.62783</v>
      </c>
      <c r="BT360">
        <v>17260.984694</v>
      </c>
      <c r="BU360">
        <v>179661.036117</v>
      </c>
      <c r="BV360">
        <v>9800.932735</v>
      </c>
      <c r="BW360">
        <v>45790.908242</v>
      </c>
      <c r="BX360">
        <v>55591.840977</v>
      </c>
      <c r="BY360">
        <v>40939.059828</v>
      </c>
      <c r="BZ360">
        <v>315777.504924</v>
      </c>
      <c r="CA360">
        <v>356716.564752</v>
      </c>
      <c r="CB360">
        <v>7734.694448</v>
      </c>
      <c r="CC360">
        <v>0</v>
      </c>
      <c r="CD360">
        <v>71034.296436</v>
      </c>
      <c r="CE360">
        <v>241574.125065</v>
      </c>
      <c r="CF360">
        <v>50353.959078</v>
      </c>
      <c r="CG360">
        <v>28728</v>
      </c>
      <c r="CH360">
        <v>538983.647335</v>
      </c>
      <c r="CI360">
        <v>3092074.3479</v>
      </c>
      <c r="CJ360">
        <v>642526.8</v>
      </c>
    </row>
    <row r="361" ht="14.497499999999997" customHeight="1">
      <c r="BF361" t="s">
        <v>35</v>
      </c>
      <c r="BG361" t="s">
        <v>145</v>
      </c>
      <c r="BH361" t="s">
        <v>37</v>
      </c>
      <c r="BI361" t="s">
        <v>143</v>
      </c>
      <c r="BJ361" t="s">
        <v>119</v>
      </c>
      <c r="BK361" t="s">
        <v>117</v>
      </c>
      <c r="BL361" t="s">
        <v>118</v>
      </c>
      <c r="BM361" t="s">
        <v>50</v>
      </c>
      <c r="BN361" t="s">
        <v>43</v>
      </c>
      <c r="BO361">
        <v>44.54</v>
      </c>
      <c r="BP361">
        <v>2</v>
      </c>
      <c r="BQ361">
        <v>356526.6656</v>
      </c>
      <c r="BR361">
        <v>23678.075134</v>
      </c>
      <c r="BS361">
        <v>80524.62783</v>
      </c>
      <c r="BT361">
        <v>16885.646283</v>
      </c>
      <c r="BU361">
        <v>179661.036117</v>
      </c>
      <c r="BV361">
        <v>9800.932735</v>
      </c>
      <c r="BW361">
        <v>45790.908242</v>
      </c>
      <c r="BX361">
        <v>55591.840977</v>
      </c>
      <c r="BY361">
        <v>40563.721417</v>
      </c>
      <c r="BZ361">
        <v>315777.504924</v>
      </c>
      <c r="CA361">
        <v>356341.226341</v>
      </c>
      <c r="CB361">
        <v>185.439259</v>
      </c>
      <c r="CC361">
        <v>0</v>
      </c>
      <c r="CD361">
        <v>71034.296436</v>
      </c>
      <c r="CE361">
        <v>241574.125065</v>
      </c>
      <c r="CF361">
        <v>50353.959078</v>
      </c>
      <c r="CG361">
        <v>28728</v>
      </c>
      <c r="CH361">
        <v>538983.647335</v>
      </c>
      <c r="CI361">
        <v>3092074.3479</v>
      </c>
      <c r="CJ361">
        <v>642526.8</v>
      </c>
    </row>
  </sheetData>
  <sheetProtection sort="1" autoFilter="0"/>
  <conditionalFormatting sqref="M18:M95">
    <cfRule type="colorScale" priority="1">
      <colorScale>
        <cfvo type="min"/>
        <cfvo type="percentile" val="50"/>
        <cfvo type="max"/>
        <color rgb="FFF4A79E"/>
        <color rgb="FFFCEFC7"/>
        <color rgb="FFA9D08E"/>
      </colorScale>
    </cfRule>
  </conditionalFormatting>
  <dataValidations count="1">
    <dataValidation sqref="C6:C9" type="list">
      <formula1>"Chiffre d'affaires,Effectif,Nombre de classes"</formula1>
    </dataValidation>
  </dataValidations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drawing r:id="rId1"/>
  <extLst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24142C18-E8F8-8CA8-5008-52849F2DD37C}" mc:Ignorable="x14ac xr xr2 xr3">
  <dimension ref="A1:AU349"/>
  <sheetViews>
    <sheetView topLeftCell="A1" workbookViewId="0">
      <selection activeCell="A1" sqref="A1"/>
    </sheetView>
  </sheetViews>
  <sheetFormatPr defaultRowHeight="14.497499999999997" defaultColWidth="9.140625" customHeight="1"/>
  <sheetData>
    <row r="1" ht="14.497499999999997" customHeight="1">
      <c r="A1" t="s">
        <v>6</v>
      </c>
      <c r="B1" t="s">
        <v>7</v>
      </c>
      <c r="C1" t="s">
        <v>8</v>
      </c>
      <c r="D1" t="s">
        <v>146</v>
      </c>
      <c r="E1" t="s">
        <v>147</v>
      </c>
      <c r="F1" t="s">
        <v>148</v>
      </c>
      <c r="G1" t="s">
        <v>12</v>
      </c>
      <c r="H1" t="s">
        <v>1</v>
      </c>
      <c r="I1" t="s">
        <v>13</v>
      </c>
      <c r="J1" t="s">
        <v>25</v>
      </c>
      <c r="K1" t="s">
        <v>149</v>
      </c>
      <c r="L1" t="s">
        <v>150</v>
      </c>
      <c r="M1" t="s">
        <v>151</v>
      </c>
      <c r="N1" t="s">
        <v>152</v>
      </c>
      <c r="O1" t="s">
        <v>153</v>
      </c>
      <c r="P1" t="s">
        <v>154</v>
      </c>
      <c r="Q1" t="s">
        <v>155</v>
      </c>
      <c r="R1" t="s">
        <v>156</v>
      </c>
      <c r="S1" t="s">
        <v>157</v>
      </c>
      <c r="T1" t="s">
        <v>158</v>
      </c>
      <c r="U1" t="s">
        <v>159</v>
      </c>
      <c r="V1" t="s">
        <v>160</v>
      </c>
      <c r="W1" t="s">
        <v>75</v>
      </c>
      <c r="X1" t="s">
        <v>76</v>
      </c>
      <c r="Y1" t="s">
        <v>77</v>
      </c>
      <c r="Z1" t="s">
        <v>161</v>
      </c>
      <c r="AA1" t="s">
        <v>162</v>
      </c>
      <c r="AB1" t="s">
        <v>163</v>
      </c>
      <c r="AC1" t="s">
        <v>164</v>
      </c>
      <c r="AD1" t="s">
        <v>165</v>
      </c>
      <c r="AE1" t="s">
        <v>166</v>
      </c>
      <c r="AF1" t="s">
        <v>167</v>
      </c>
      <c r="AG1" t="s">
        <v>168</v>
      </c>
      <c r="AH1" t="s">
        <v>169</v>
      </c>
      <c r="AI1" t="s">
        <v>14</v>
      </c>
      <c r="AJ1" t="s">
        <v>15</v>
      </c>
      <c r="AK1" t="s">
        <v>16</v>
      </c>
      <c r="AL1" t="s">
        <v>17</v>
      </c>
      <c r="AM1" t="s">
        <v>20</v>
      </c>
      <c r="AN1" t="s">
        <v>170</v>
      </c>
      <c r="AO1" t="s">
        <v>171</v>
      </c>
      <c r="AP1" t="s">
        <v>172</v>
      </c>
      <c r="AQ1" t="s">
        <v>173</v>
      </c>
      <c r="AR1" t="s">
        <v>18</v>
      </c>
      <c r="AS1" t="s">
        <v>174</v>
      </c>
      <c r="AT1" t="s">
        <v>175</v>
      </c>
    </row>
    <row r="2" ht="14.497499999999997" customHeight="1">
      <c r="A2" t="str">
        <f>IF(Allocation!BI2="","",Allocation!BI2)</f>
        <v>2024</v>
      </c>
      <c r="B2" t="str">
        <f>IF(Allocation!BJ2="","",Allocation!BJ2)</f>
        <v>IPAC_MTP</v>
      </c>
      <c r="C2" t="str">
        <f>IF(Allocation!BK2="","",Allocation!BK2)</f>
        <v>IPAC</v>
      </c>
      <c r="D2" t="str">
        <f>IF(Allocation!BL2="","",Allocation!BL2)</f>
        <v>BAC_CCE</v>
      </c>
      <c r="E2" t="str">
        <f>IF(Allocation!BM2="","",Allocation!BM2)</f>
        <v>B1</v>
      </c>
      <c r="F2" t="str">
        <f>IF(Allocation!BN2="","",Allocation!BN2)</f>
        <v>ALT</v>
      </c>
      <c r="G2">
        <f>IF(Allocation!BO2="","",Allocation!BO2)</f>
        <v>36</v>
      </c>
      <c r="H2">
        <f>IF(Allocation!BP2="","",Allocation!BP2)</f>
        <v>2</v>
      </c>
      <c r="I2">
        <f>IF(Allocation!BQ2="","",Allocation!BQ2)</f>
        <v>242640</v>
      </c>
      <c r="J2">
        <f>IF(Allocation!CC2="","",Allocation!CC2)</f>
        <v>36</v>
      </c>
      <c r="K2">
        <f t="shared" si="0" ref="K2:K349">IF($A2="","",$H2*IF(AND(LEFT($D2,3)="BAC",$F2="INIT"),600,IF(LEFT($D2,3)="BAC",480,IF(AND(LEFT($D2,3)="MAS",$F2="INIT"),520,IF(LEFT($D2,3)="MAS",420,IF($F2="INIT",1000,700))))))</f>
        <v>960</v>
      </c>
      <c r="L2">
        <f t="shared" si="1" ref="L2:L349">IF($A2="","",_xlfn.SUMIFS($G$1:$G$349,$AS$1:$AS$349,$AS2,$B$1:$B$349,$B2))</f>
        <v>105</v>
      </c>
      <c r="M2">
        <f t="shared" si="2" ref="M2:M349">IF($A2="","",_xlfn.SUMIFS($H$1:$H$349,$AS$1:$AS$349,$AS2,$B$1:$B$349,$B2))</f>
        <v>6</v>
      </c>
      <c r="N2">
        <f t="shared" si="3" ref="N2:N349">IF($A2="","",_xlfn.SUMIFS($I$1:$I$349,$AS$1:$AS$349,$AS2,$B$1:$B$349,$B2))</f>
        <v>701490</v>
      </c>
      <c r="O2">
        <f t="shared" si="4" ref="O2:O349">IF($A2="","",_xlfn.SUMIFS($K$1:$K$349,$AS$1:$AS$349,$AS2,$B$1:$B$349,$B2))</f>
        <v>2880</v>
      </c>
      <c r="P2">
        <f t="shared" si="5" ref="P2:P349">IF($A2="","",_xlfn.SUMIFS($J$1:$J$349,$AS$1:$AS$349,$AS2,$B$1:$B$349,$B2))</f>
        <v>36</v>
      </c>
      <c r="Q2">
        <f t="shared" si="6" ref="Q2:Q349">IF($A2="","",_xlfn.SUMIFS($G$1:$G$349,$AS$1:$AS$349,$AS2,$C$1:$C$349,$C2))</f>
        <v>339</v>
      </c>
      <c r="R2">
        <f t="shared" si="7" ref="R2:R349">IF($A2="","",_xlfn.SUMIFS($H$1:$H$349,$AS$1:$AS$349,$AS2,$C$1:$C$349,$C2))</f>
        <v>18</v>
      </c>
      <c r="S2">
        <f t="shared" si="8" ref="S2:S349">IF($A2="","",_xlfn.SUMIFS($I$1:$I$349,$AS$1:$AS$349,$AS2,$C$1:$C$349,$C2))</f>
        <v>2309940</v>
      </c>
      <c r="T2">
        <f t="shared" si="9" ref="T2:T349">IF($A2="","",_xlfn.SUMIFS($G$1:$G$349,$AS$1:$AS$349,$AS2))</f>
        <v>2773</v>
      </c>
      <c r="U2">
        <f t="shared" si="10" ref="U2:U349">IF($A2="","",_xlfn.SUMIFS($H$1:$H$349,$AS$1:$AS$349,$AS2))</f>
        <v>135</v>
      </c>
      <c r="V2">
        <f t="shared" si="11" ref="V2:V349">IF($A2="","",_xlfn.SUMIFS($I$1:$I$349,$AS$1:$AS$349,$AS2))</f>
        <v>20567210</v>
      </c>
      <c r="W2">
        <f>IF($A2="","",Allocation!CD2)</f>
        <v>66108</v>
      </c>
      <c r="X2">
        <f>IF($A2="","",Allocation!CE2)</f>
        <v>127557.21</v>
      </c>
      <c r="Y2">
        <f>IF($A2="","",Allocation!CF2)</f>
        <v>39731</v>
      </c>
      <c r="Z2">
        <f>IF($A2="","",Allocation!CG2)</f>
        <v>12543</v>
      </c>
      <c r="AA2">
        <f>IF($A2="","",Allocation!CH2)</f>
        <v>257310.34</v>
      </c>
      <c r="AB2">
        <f>IF($A2="","",Allocation!CI2)</f>
        <v>2639292</v>
      </c>
      <c r="AC2">
        <f>IF($A2="","",IF(Allocation!$N$4="VOL_EFF",$G2,IF(Allocation!$N$4="VOL_CLASS",$H2,$I2)))</f>
        <v>2</v>
      </c>
      <c r="AD2">
        <f>IF($A2="","",IF(Allocation!$N$4="VOL_EFF",$L2,IF(Allocation!$N$4="VOL_CLASS",$M2,$N2)))</f>
        <v>6</v>
      </c>
      <c r="AE2">
        <f>IF($A2="","",IF(Allocation!$N$3="VOL_EFF",$L2,IF(Allocation!$N$3="VOL_CLASS",$M2,$N2)))</f>
        <v>105</v>
      </c>
      <c r="AF2">
        <f>IF($A2="","",IF(Allocation!$N$3="VOL_EFF",$Q2,IF(Allocation!$N$3="VOL_CLASS",$R2,$S2)))</f>
        <v>339</v>
      </c>
      <c r="AG2">
        <f>IF($A2="","",IF(Allocation!$N$1="VOL_EFF",$Q2,IF(Allocation!$N$1="VOL_CLASS",$R2,$S2)))</f>
        <v>18</v>
      </c>
      <c r="AH2">
        <f>IF($A2="","",IF(Allocation!$N$1="VOL_EFF",$T2,IF(Allocation!$N$1="VOL_CLASS",$U2,$V2)))</f>
        <v>135</v>
      </c>
      <c r="AI2">
        <f t="shared" si="12" ref="AI2:AI349">IF($A2="","",$W2*_xlfn.IFERROR($K2/$O2,0))</f>
        <v>22036</v>
      </c>
      <c r="AJ2">
        <f t="shared" si="13" ref="AJ2:AJ349">IF($A2="","",$X2*_xlfn.IFERROR($K2/$O2,0))</f>
        <v>42519.07</v>
      </c>
      <c r="AK2">
        <f t="shared" si="14" ref="AK2:AK349">IF($A2="","",$Y2*_xlfn.IFERROR($G2/$L2,0)+$Z2*_xlfn.IFERROR($J2/$P2,0))</f>
        <v>26165.0571428571</v>
      </c>
      <c r="AL2">
        <f t="shared" si="15" ref="AL2:AL349">IF($A2="","",$AA2*_xlfn.IFERROR($AC2/$AD2,0))</f>
        <v>85770.1133333333</v>
      </c>
      <c r="AM2">
        <f t="shared" si="16" ref="AM2:AM349">IF($A2="","",$AB2*_xlfn.IFERROR($AG2/$AH2,0)*_xlfn.IFERROR($AE2/$AF2,0)*_xlfn.IFERROR($AC2/$AD2,0))</f>
        <v>36332.4365781711</v>
      </c>
      <c r="AN2">
        <f t="shared" si="17" ref="AN2:AN349">IF($A2="","",$I2-($AI2+$AJ2+$AK2+$AL2+$AM2+$AR2))</f>
        <v>24020.3751801746</v>
      </c>
      <c r="AO2">
        <f>IF($A2="","",Allocation!CJ2)</f>
        <v>499926</v>
      </c>
      <c r="AP2">
        <f>IF($A2="","",IF(Allocation!$N$2="VOL_EFF",$Q2,IF(Allocation!$N$2="VOL_CLASS",$R2,$S2)))</f>
        <v>2309940</v>
      </c>
      <c r="AQ2">
        <f>IF($A2="","",IF(Allocation!$N$2="VOL_EFF",$T2,IF(Allocation!$N$2="VOL_CLASS",$U2,$V2)))</f>
        <v>20567210</v>
      </c>
      <c r="AR2">
        <f t="shared" si="18" ref="AR2:AR349">IF($A2="","",$AO2*_xlfn.IFERROR($AP2/$AQ2,0)*_xlfn.IFERROR($AE2/$AF2,0)*_xlfn.IFERROR($AC2/$AD2,0))</f>
        <v>5796.94776546393</v>
      </c>
      <c r="AS2" t="str">
        <f>IF($A2="","",$A2&amp;"|"&amp;Allocation!BG2)</f>
        <v>2024|ACT</v>
      </c>
    </row>
    <row r="3" ht="14.497499999999997" customHeight="1">
      <c r="A3" t="str">
        <f>IF(Allocation!BI3="","",Allocation!BI3)</f>
        <v>2024</v>
      </c>
      <c r="B3" t="str">
        <f>IF(Allocation!BJ3="","",Allocation!BJ3)</f>
        <v>IPAC_MTP</v>
      </c>
      <c r="C3" t="str">
        <f>IF(Allocation!BK3="","",Allocation!BK3)</f>
        <v>IPAC</v>
      </c>
      <c r="D3" t="str">
        <f>IF(Allocation!BL3="","",Allocation!BL3)</f>
        <v>BAC_CCE</v>
      </c>
      <c r="E3" t="str">
        <f>IF(Allocation!BM3="","",Allocation!BM3)</f>
        <v>B2</v>
      </c>
      <c r="F3" t="str">
        <f>IF(Allocation!BN3="","",Allocation!BN3)</f>
        <v>ALT</v>
      </c>
      <c r="G3">
        <f>IF(Allocation!BO3="","",Allocation!BO3)</f>
        <v>35</v>
      </c>
      <c r="H3">
        <f>IF(Allocation!BP3="","",Allocation!BP3)</f>
        <v>2</v>
      </c>
      <c r="I3">
        <f>IF(Allocation!BQ3="","",Allocation!BQ3)</f>
        <v>232750</v>
      </c>
      <c r="J3">
        <f>IF(Allocation!CC3="","",Allocation!CC3)</f>
        <v>0</v>
      </c>
      <c r="K3">
        <f t="shared" si="0"/>
        <v>960</v>
      </c>
      <c r="L3">
        <f t="shared" si="1"/>
        <v>105</v>
      </c>
      <c r="M3">
        <f t="shared" si="2"/>
        <v>6</v>
      </c>
      <c r="N3">
        <f t="shared" si="3"/>
        <v>701490</v>
      </c>
      <c r="O3">
        <f t="shared" si="4"/>
        <v>2880</v>
      </c>
      <c r="P3">
        <f t="shared" si="5"/>
        <v>36</v>
      </c>
      <c r="Q3">
        <f t="shared" si="6"/>
        <v>339</v>
      </c>
      <c r="R3">
        <f t="shared" si="7"/>
        <v>18</v>
      </c>
      <c r="S3">
        <f t="shared" si="8"/>
        <v>2309940</v>
      </c>
      <c r="T3">
        <f t="shared" si="9"/>
        <v>2773</v>
      </c>
      <c r="U3">
        <f t="shared" si="10"/>
        <v>135</v>
      </c>
      <c r="V3">
        <f t="shared" si="11"/>
        <v>20567210</v>
      </c>
      <c r="W3">
        <f>IF($A3="","",Allocation!CD3)</f>
        <v>66108</v>
      </c>
      <c r="X3">
        <f>IF($A3="","",Allocation!CE3)</f>
        <v>127557.21</v>
      </c>
      <c r="Y3">
        <f>IF($A3="","",Allocation!CF3)</f>
        <v>39731</v>
      </c>
      <c r="Z3">
        <f>IF($A3="","",Allocation!CG3)</f>
        <v>12543</v>
      </c>
      <c r="AA3">
        <f>IF($A3="","",Allocation!CH3)</f>
        <v>257310.34</v>
      </c>
      <c r="AB3">
        <f>IF($A3="","",Allocation!CI3)</f>
        <v>2639292</v>
      </c>
      <c r="AC3">
        <f>IF($A3="","",IF(Allocation!$N$4="VOL_EFF",$G3,IF(Allocation!$N$4="VOL_CLASS",$H3,$I3)))</f>
        <v>2</v>
      </c>
      <c r="AD3">
        <f>IF($A3="","",IF(Allocation!$N$4="VOL_EFF",$L3,IF(Allocation!$N$4="VOL_CLASS",$M3,$N3)))</f>
        <v>6</v>
      </c>
      <c r="AE3">
        <f>IF($A3="","",IF(Allocation!$N$3="VOL_EFF",$L3,IF(Allocation!$N$3="VOL_CLASS",$M3,$N3)))</f>
        <v>105</v>
      </c>
      <c r="AF3">
        <f>IF($A3="","",IF(Allocation!$N$3="VOL_EFF",$Q3,IF(Allocation!$N$3="VOL_CLASS",$R3,$S3)))</f>
        <v>339</v>
      </c>
      <c r="AG3">
        <f>IF($A3="","",IF(Allocation!$N$1="VOL_EFF",$Q3,IF(Allocation!$N$1="VOL_CLASS",$R3,$S3)))</f>
        <v>18</v>
      </c>
      <c r="AH3">
        <f>IF($A3="","",IF(Allocation!$N$1="VOL_EFF",$T3,IF(Allocation!$N$1="VOL_CLASS",$U3,$V3)))</f>
        <v>135</v>
      </c>
      <c r="AI3">
        <f t="shared" si="12"/>
        <v>22036</v>
      </c>
      <c r="AJ3">
        <f t="shared" si="13"/>
        <v>42519.07</v>
      </c>
      <c r="AK3">
        <f t="shared" si="14"/>
        <v>13243.6666666667</v>
      </c>
      <c r="AL3">
        <f t="shared" si="15"/>
        <v>85770.1133333333</v>
      </c>
      <c r="AM3">
        <f t="shared" si="16"/>
        <v>36332.4365781711</v>
      </c>
      <c r="AN3">
        <f t="shared" si="17"/>
        <v>27051.765656365</v>
      </c>
      <c r="AO3">
        <f>IF($A3="","",Allocation!CJ3)</f>
        <v>499926</v>
      </c>
      <c r="AP3">
        <f>IF($A3="","",IF(Allocation!$N$2="VOL_EFF",$Q3,IF(Allocation!$N$2="VOL_CLASS",$R3,$S3)))</f>
        <v>2309940</v>
      </c>
      <c r="AQ3">
        <f>IF($A3="","",IF(Allocation!$N$2="VOL_EFF",$T3,IF(Allocation!$N$2="VOL_CLASS",$U3,$V3)))</f>
        <v>20567210</v>
      </c>
      <c r="AR3">
        <f t="shared" si="18"/>
        <v>5796.94776546393</v>
      </c>
      <c r="AS3" t="str">
        <f>IF($A3="","",$A3&amp;"|"&amp;Allocation!BG3)</f>
        <v>2024|ACT</v>
      </c>
    </row>
    <row r="4" ht="14.497499999999997" customHeight="1">
      <c r="A4" t="str">
        <f>IF(Allocation!BI4="","",Allocation!BI4)</f>
        <v>2024</v>
      </c>
      <c r="B4" t="str">
        <f>IF(Allocation!BJ4="","",Allocation!BJ4)</f>
        <v>IPAC_MTP</v>
      </c>
      <c r="C4" t="str">
        <f>IF(Allocation!BK4="","",Allocation!BK4)</f>
        <v>IPAC</v>
      </c>
      <c r="D4" t="str">
        <f>IF(Allocation!BL4="","",Allocation!BL4)</f>
        <v>BAC_CCE</v>
      </c>
      <c r="E4" t="str">
        <f>IF(Allocation!BM4="","",Allocation!BM4)</f>
        <v>B3</v>
      </c>
      <c r="F4" t="str">
        <f>IF(Allocation!BN4="","",Allocation!BN4)</f>
        <v>ALT</v>
      </c>
      <c r="G4">
        <f>IF(Allocation!BO4="","",Allocation!BO4)</f>
        <v>34</v>
      </c>
      <c r="H4">
        <f>IF(Allocation!BP4="","",Allocation!BP4)</f>
        <v>2</v>
      </c>
      <c r="I4">
        <f>IF(Allocation!BQ4="","",Allocation!BQ4)</f>
        <v>226100</v>
      </c>
      <c r="J4">
        <f>IF(Allocation!CC4="","",Allocation!CC4)</f>
        <v>0</v>
      </c>
      <c r="K4">
        <f t="shared" si="0"/>
        <v>960</v>
      </c>
      <c r="L4">
        <f t="shared" si="1"/>
        <v>105</v>
      </c>
      <c r="M4">
        <f t="shared" si="2"/>
        <v>6</v>
      </c>
      <c r="N4">
        <f t="shared" si="3"/>
        <v>701490</v>
      </c>
      <c r="O4">
        <f t="shared" si="4"/>
        <v>2880</v>
      </c>
      <c r="P4">
        <f t="shared" si="5"/>
        <v>36</v>
      </c>
      <c r="Q4">
        <f t="shared" si="6"/>
        <v>339</v>
      </c>
      <c r="R4">
        <f t="shared" si="7"/>
        <v>18</v>
      </c>
      <c r="S4">
        <f t="shared" si="8"/>
        <v>2309940</v>
      </c>
      <c r="T4">
        <f t="shared" si="9"/>
        <v>2773</v>
      </c>
      <c r="U4">
        <f t="shared" si="10"/>
        <v>135</v>
      </c>
      <c r="V4">
        <f t="shared" si="11"/>
        <v>20567210</v>
      </c>
      <c r="W4">
        <f>IF($A4="","",Allocation!CD4)</f>
        <v>66108</v>
      </c>
      <c r="X4">
        <f>IF($A4="","",Allocation!CE4)</f>
        <v>127557.21</v>
      </c>
      <c r="Y4">
        <f>IF($A4="","",Allocation!CF4)</f>
        <v>39731</v>
      </c>
      <c r="Z4">
        <f>IF($A4="","",Allocation!CG4)</f>
        <v>12543</v>
      </c>
      <c r="AA4">
        <f>IF($A4="","",Allocation!CH4)</f>
        <v>257310.34</v>
      </c>
      <c r="AB4">
        <f>IF($A4="","",Allocation!CI4)</f>
        <v>2639292</v>
      </c>
      <c r="AC4">
        <f>IF($A4="","",IF(Allocation!$N$4="VOL_EFF",$G4,IF(Allocation!$N$4="VOL_CLASS",$H4,$I4)))</f>
        <v>2</v>
      </c>
      <c r="AD4">
        <f>IF($A4="","",IF(Allocation!$N$4="VOL_EFF",$L4,IF(Allocation!$N$4="VOL_CLASS",$M4,$N4)))</f>
        <v>6</v>
      </c>
      <c r="AE4">
        <f>IF($A4="","",IF(Allocation!$N$3="VOL_EFF",$L4,IF(Allocation!$N$3="VOL_CLASS",$M4,$N4)))</f>
        <v>105</v>
      </c>
      <c r="AF4">
        <f>IF($A4="","",IF(Allocation!$N$3="VOL_EFF",$Q4,IF(Allocation!$N$3="VOL_CLASS",$R4,$S4)))</f>
        <v>339</v>
      </c>
      <c r="AG4">
        <f>IF($A4="","",IF(Allocation!$N$1="VOL_EFF",$Q4,IF(Allocation!$N$1="VOL_CLASS",$R4,$S4)))</f>
        <v>18</v>
      </c>
      <c r="AH4">
        <f>IF($A4="","",IF(Allocation!$N$1="VOL_EFF",$T4,IF(Allocation!$N$1="VOL_CLASS",$U4,$V4)))</f>
        <v>135</v>
      </c>
      <c r="AI4">
        <f t="shared" si="12"/>
        <v>22036</v>
      </c>
      <c r="AJ4">
        <f t="shared" si="13"/>
        <v>42519.07</v>
      </c>
      <c r="AK4">
        <f t="shared" si="14"/>
        <v>12865.2761904762</v>
      </c>
      <c r="AL4">
        <f t="shared" si="15"/>
        <v>85770.1133333333</v>
      </c>
      <c r="AM4">
        <f t="shared" si="16"/>
        <v>36332.4365781711</v>
      </c>
      <c r="AN4">
        <f t="shared" si="17"/>
        <v>20780.1561325555</v>
      </c>
      <c r="AO4">
        <f>IF($A4="","",Allocation!CJ4)</f>
        <v>499926</v>
      </c>
      <c r="AP4">
        <f>IF($A4="","",IF(Allocation!$N$2="VOL_EFF",$Q4,IF(Allocation!$N$2="VOL_CLASS",$R4,$S4)))</f>
        <v>2309940</v>
      </c>
      <c r="AQ4">
        <f>IF($A4="","",IF(Allocation!$N$2="VOL_EFF",$T4,IF(Allocation!$N$2="VOL_CLASS",$U4,$V4)))</f>
        <v>20567210</v>
      </c>
      <c r="AR4">
        <f t="shared" si="18"/>
        <v>5796.94776546393</v>
      </c>
      <c r="AS4" t="str">
        <f>IF($A4="","",$A4&amp;"|"&amp;Allocation!BG4)</f>
        <v>2024|ACT</v>
      </c>
    </row>
    <row r="5" ht="14.497499999999997" customHeight="1">
      <c r="A5" t="str">
        <f>IF(Allocation!BI5="","",Allocation!BI5)</f>
        <v>2024</v>
      </c>
      <c r="B5" t="str">
        <f>IF(Allocation!BJ5="","",Allocation!BJ5)</f>
        <v>IPAC_NAN</v>
      </c>
      <c r="C5" t="str">
        <f>IF(Allocation!BK5="","",Allocation!BK5)</f>
        <v>IPAC</v>
      </c>
      <c r="D5" t="str">
        <f>IF(Allocation!BL5="","",Allocation!BL5)</f>
        <v>BAC_CCE</v>
      </c>
      <c r="E5" t="str">
        <f>IF(Allocation!BM5="","",Allocation!BM5)</f>
        <v>B1</v>
      </c>
      <c r="F5" t="str">
        <f>IF(Allocation!BN5="","",Allocation!BN5)</f>
        <v>ALT</v>
      </c>
      <c r="G5">
        <f>IF(Allocation!BO5="","",Allocation!BO5)</f>
        <v>44</v>
      </c>
      <c r="H5">
        <f>IF(Allocation!BP5="","",Allocation!BP5)</f>
        <v>2</v>
      </c>
      <c r="I5">
        <f>IF(Allocation!BQ5="","",Allocation!BQ5)</f>
        <v>311960</v>
      </c>
      <c r="J5">
        <f>IF(Allocation!CC5="","",Allocation!CC5)</f>
        <v>44</v>
      </c>
      <c r="K5">
        <f t="shared" si="0"/>
        <v>960</v>
      </c>
      <c r="L5">
        <f t="shared" si="1"/>
        <v>129</v>
      </c>
      <c r="M5">
        <f t="shared" si="2"/>
        <v>6</v>
      </c>
      <c r="N5">
        <f t="shared" si="3"/>
        <v>906960</v>
      </c>
      <c r="O5">
        <f t="shared" si="4"/>
        <v>2880</v>
      </c>
      <c r="P5">
        <f t="shared" si="5"/>
        <v>44</v>
      </c>
      <c r="Q5">
        <f t="shared" si="6"/>
        <v>339</v>
      </c>
      <c r="R5">
        <f t="shared" si="7"/>
        <v>18</v>
      </c>
      <c r="S5">
        <f t="shared" si="8"/>
        <v>2309940</v>
      </c>
      <c r="T5">
        <f t="shared" si="9"/>
        <v>2773</v>
      </c>
      <c r="U5">
        <f t="shared" si="10"/>
        <v>135</v>
      </c>
      <c r="V5">
        <f t="shared" si="11"/>
        <v>20567210</v>
      </c>
      <c r="W5">
        <f>IF($A5="","",Allocation!CD5)</f>
        <v>66108</v>
      </c>
      <c r="X5">
        <f>IF($A5="","",Allocation!CE5)</f>
        <v>155733.6</v>
      </c>
      <c r="Y5">
        <f>IF($A5="","",Allocation!CF5)</f>
        <v>49240</v>
      </c>
      <c r="Z5">
        <f>IF($A5="","",Allocation!CG5)</f>
        <v>17983</v>
      </c>
      <c r="AA5">
        <f>IF($A5="","",Allocation!CH5)</f>
        <v>360829.96</v>
      </c>
      <c r="AB5">
        <f>IF($A5="","",Allocation!CI5)</f>
        <v>2639292</v>
      </c>
      <c r="AC5">
        <f>IF($A5="","",IF(Allocation!$N$4="VOL_EFF",$G5,IF(Allocation!$N$4="VOL_CLASS",$H5,$I5)))</f>
        <v>2</v>
      </c>
      <c r="AD5">
        <f>IF($A5="","",IF(Allocation!$N$4="VOL_EFF",$L5,IF(Allocation!$N$4="VOL_CLASS",$M5,$N5)))</f>
        <v>6</v>
      </c>
      <c r="AE5">
        <f>IF($A5="","",IF(Allocation!$N$3="VOL_EFF",$L5,IF(Allocation!$N$3="VOL_CLASS",$M5,$N5)))</f>
        <v>129</v>
      </c>
      <c r="AF5">
        <f>IF($A5="","",IF(Allocation!$N$3="VOL_EFF",$Q5,IF(Allocation!$N$3="VOL_CLASS",$R5,$S5)))</f>
        <v>339</v>
      </c>
      <c r="AG5">
        <f>IF($A5="","",IF(Allocation!$N$1="VOL_EFF",$Q5,IF(Allocation!$N$1="VOL_CLASS",$R5,$S5)))</f>
        <v>18</v>
      </c>
      <c r="AH5">
        <f>IF($A5="","",IF(Allocation!$N$1="VOL_EFF",$T5,IF(Allocation!$N$1="VOL_CLASS",$U5,$V5)))</f>
        <v>135</v>
      </c>
      <c r="AI5">
        <f t="shared" si="12"/>
        <v>22036</v>
      </c>
      <c r="AJ5">
        <f t="shared" si="13"/>
        <v>51911.2</v>
      </c>
      <c r="AK5">
        <f t="shared" si="14"/>
        <v>34778.0387596899</v>
      </c>
      <c r="AL5">
        <f t="shared" si="15"/>
        <v>120276.653333333</v>
      </c>
      <c r="AM5">
        <f t="shared" si="16"/>
        <v>44636.9935103245</v>
      </c>
      <c r="AN5">
        <f t="shared" si="17"/>
        <v>31199.1499990827</v>
      </c>
      <c r="AO5">
        <f>IF($A5="","",Allocation!CJ5)</f>
        <v>499926</v>
      </c>
      <c r="AP5">
        <f>IF($A5="","",IF(Allocation!$N$2="VOL_EFF",$Q5,IF(Allocation!$N$2="VOL_CLASS",$R5,$S5)))</f>
        <v>2309940</v>
      </c>
      <c r="AQ5">
        <f>IF($A5="","",IF(Allocation!$N$2="VOL_EFF",$T5,IF(Allocation!$N$2="VOL_CLASS",$U5,$V5)))</f>
        <v>20567210</v>
      </c>
      <c r="AR5">
        <f t="shared" si="18"/>
        <v>7121.96439756997</v>
      </c>
      <c r="AS5" t="str">
        <f>IF($A5="","",$A5&amp;"|"&amp;Allocation!BG5)</f>
        <v>2024|ACT</v>
      </c>
    </row>
    <row r="6" ht="14.497499999999997" customHeight="1">
      <c r="A6" t="str">
        <f>IF(Allocation!BI6="","",Allocation!BI6)</f>
        <v>2024</v>
      </c>
      <c r="B6" t="str">
        <f>IF(Allocation!BJ6="","",Allocation!BJ6)</f>
        <v>IPAC_NAN</v>
      </c>
      <c r="C6" t="str">
        <f>IF(Allocation!BK6="","",Allocation!BK6)</f>
        <v>IPAC</v>
      </c>
      <c r="D6" t="str">
        <f>IF(Allocation!BL6="","",Allocation!BL6)</f>
        <v>BAC_CCE</v>
      </c>
      <c r="E6" t="str">
        <f>IF(Allocation!BM6="","",Allocation!BM6)</f>
        <v>B2</v>
      </c>
      <c r="F6" t="str">
        <f>IF(Allocation!BN6="","",Allocation!BN6)</f>
        <v>ALT</v>
      </c>
      <c r="G6">
        <f>IF(Allocation!BO6="","",Allocation!BO6)</f>
        <v>43</v>
      </c>
      <c r="H6">
        <f>IF(Allocation!BP6="","",Allocation!BP6)</f>
        <v>2</v>
      </c>
      <c r="I6">
        <f>IF(Allocation!BQ6="","",Allocation!BQ6)</f>
        <v>301000</v>
      </c>
      <c r="J6">
        <f>IF(Allocation!CC6="","",Allocation!CC6)</f>
        <v>0</v>
      </c>
      <c r="K6">
        <f t="shared" si="0"/>
        <v>960</v>
      </c>
      <c r="L6">
        <f t="shared" si="1"/>
        <v>129</v>
      </c>
      <c r="M6">
        <f t="shared" si="2"/>
        <v>6</v>
      </c>
      <c r="N6">
        <f t="shared" si="3"/>
        <v>906960</v>
      </c>
      <c r="O6">
        <f t="shared" si="4"/>
        <v>2880</v>
      </c>
      <c r="P6">
        <f t="shared" si="5"/>
        <v>44</v>
      </c>
      <c r="Q6">
        <f t="shared" si="6"/>
        <v>339</v>
      </c>
      <c r="R6">
        <f t="shared" si="7"/>
        <v>18</v>
      </c>
      <c r="S6">
        <f t="shared" si="8"/>
        <v>2309940</v>
      </c>
      <c r="T6">
        <f t="shared" si="9"/>
        <v>2773</v>
      </c>
      <c r="U6">
        <f t="shared" si="10"/>
        <v>135</v>
      </c>
      <c r="V6">
        <f t="shared" si="11"/>
        <v>20567210</v>
      </c>
      <c r="W6">
        <f>IF($A6="","",Allocation!CD6)</f>
        <v>66108</v>
      </c>
      <c r="X6">
        <f>IF($A6="","",Allocation!CE6)</f>
        <v>155733.6</v>
      </c>
      <c r="Y6">
        <f>IF($A6="","",Allocation!CF6)</f>
        <v>49240</v>
      </c>
      <c r="Z6">
        <f>IF($A6="","",Allocation!CG6)</f>
        <v>17983</v>
      </c>
      <c r="AA6">
        <f>IF($A6="","",Allocation!CH6)</f>
        <v>360829.96</v>
      </c>
      <c r="AB6">
        <f>IF($A6="","",Allocation!CI6)</f>
        <v>2639292</v>
      </c>
      <c r="AC6">
        <f>IF($A6="","",IF(Allocation!$N$4="VOL_EFF",$G6,IF(Allocation!$N$4="VOL_CLASS",$H6,$I6)))</f>
        <v>2</v>
      </c>
      <c r="AD6">
        <f>IF($A6="","",IF(Allocation!$N$4="VOL_EFF",$L6,IF(Allocation!$N$4="VOL_CLASS",$M6,$N6)))</f>
        <v>6</v>
      </c>
      <c r="AE6">
        <f>IF($A6="","",IF(Allocation!$N$3="VOL_EFF",$L6,IF(Allocation!$N$3="VOL_CLASS",$M6,$N6)))</f>
        <v>129</v>
      </c>
      <c r="AF6">
        <f>IF($A6="","",IF(Allocation!$N$3="VOL_EFF",$Q6,IF(Allocation!$N$3="VOL_CLASS",$R6,$S6)))</f>
        <v>339</v>
      </c>
      <c r="AG6">
        <f>IF($A6="","",IF(Allocation!$N$1="VOL_EFF",$Q6,IF(Allocation!$N$1="VOL_CLASS",$R6,$S6)))</f>
        <v>18</v>
      </c>
      <c r="AH6">
        <f>IF($A6="","",IF(Allocation!$N$1="VOL_EFF",$T6,IF(Allocation!$N$1="VOL_CLASS",$U6,$V6)))</f>
        <v>135</v>
      </c>
      <c r="AI6">
        <f t="shared" si="12"/>
        <v>22036</v>
      </c>
      <c r="AJ6">
        <f t="shared" si="13"/>
        <v>51911.2</v>
      </c>
      <c r="AK6">
        <f t="shared" si="14"/>
        <v>16413.3333333333</v>
      </c>
      <c r="AL6">
        <f t="shared" si="15"/>
        <v>120276.653333333</v>
      </c>
      <c r="AM6">
        <f t="shared" si="16"/>
        <v>44636.9935103245</v>
      </c>
      <c r="AN6">
        <f t="shared" si="17"/>
        <v>38603.8554254393</v>
      </c>
      <c r="AO6">
        <f>IF($A6="","",Allocation!CJ6)</f>
        <v>499926</v>
      </c>
      <c r="AP6">
        <f>IF($A6="","",IF(Allocation!$N$2="VOL_EFF",$Q6,IF(Allocation!$N$2="VOL_CLASS",$R6,$S6)))</f>
        <v>2309940</v>
      </c>
      <c r="AQ6">
        <f>IF($A6="","",IF(Allocation!$N$2="VOL_EFF",$T6,IF(Allocation!$N$2="VOL_CLASS",$U6,$V6)))</f>
        <v>20567210</v>
      </c>
      <c r="AR6">
        <f t="shared" si="18"/>
        <v>7121.96439756997</v>
      </c>
      <c r="AS6" t="str">
        <f>IF($A6="","",$A6&amp;"|"&amp;Allocation!BG6)</f>
        <v>2024|ACT</v>
      </c>
    </row>
    <row r="7" ht="14.497499999999997" customHeight="1">
      <c r="A7" t="str">
        <f>IF(Allocation!BI7="","",Allocation!BI7)</f>
        <v>2024</v>
      </c>
      <c r="B7" t="str">
        <f>IF(Allocation!BJ7="","",Allocation!BJ7)</f>
        <v>IPAC_NAN</v>
      </c>
      <c r="C7" t="str">
        <f>IF(Allocation!BK7="","",Allocation!BK7)</f>
        <v>IPAC</v>
      </c>
      <c r="D7" t="str">
        <f>IF(Allocation!BL7="","",Allocation!BL7)</f>
        <v>BAC_CCE</v>
      </c>
      <c r="E7" t="str">
        <f>IF(Allocation!BM7="","",Allocation!BM7)</f>
        <v>B3</v>
      </c>
      <c r="F7" t="str">
        <f>IF(Allocation!BN7="","",Allocation!BN7)</f>
        <v>ALT</v>
      </c>
      <c r="G7">
        <f>IF(Allocation!BO7="","",Allocation!BO7)</f>
        <v>42</v>
      </c>
      <c r="H7">
        <f>IF(Allocation!BP7="","",Allocation!BP7)</f>
        <v>2</v>
      </c>
      <c r="I7">
        <f>IF(Allocation!BQ7="","",Allocation!BQ7)</f>
        <v>294000</v>
      </c>
      <c r="J7">
        <f>IF(Allocation!CC7="","",Allocation!CC7)</f>
        <v>0</v>
      </c>
      <c r="K7">
        <f t="shared" si="0"/>
        <v>960</v>
      </c>
      <c r="L7">
        <f t="shared" si="1"/>
        <v>129</v>
      </c>
      <c r="M7">
        <f t="shared" si="2"/>
        <v>6</v>
      </c>
      <c r="N7">
        <f t="shared" si="3"/>
        <v>906960</v>
      </c>
      <c r="O7">
        <f t="shared" si="4"/>
        <v>2880</v>
      </c>
      <c r="P7">
        <f t="shared" si="5"/>
        <v>44</v>
      </c>
      <c r="Q7">
        <f t="shared" si="6"/>
        <v>339</v>
      </c>
      <c r="R7">
        <f t="shared" si="7"/>
        <v>18</v>
      </c>
      <c r="S7">
        <f t="shared" si="8"/>
        <v>2309940</v>
      </c>
      <c r="T7">
        <f t="shared" si="9"/>
        <v>2773</v>
      </c>
      <c r="U7">
        <f t="shared" si="10"/>
        <v>135</v>
      </c>
      <c r="V7">
        <f t="shared" si="11"/>
        <v>20567210</v>
      </c>
      <c r="W7">
        <f>IF($A7="","",Allocation!CD7)</f>
        <v>66108</v>
      </c>
      <c r="X7">
        <f>IF($A7="","",Allocation!CE7)</f>
        <v>155733.6</v>
      </c>
      <c r="Y7">
        <f>IF($A7="","",Allocation!CF7)</f>
        <v>49240</v>
      </c>
      <c r="Z7">
        <f>IF($A7="","",Allocation!CG7)</f>
        <v>17983</v>
      </c>
      <c r="AA7">
        <f>IF($A7="","",Allocation!CH7)</f>
        <v>360829.96</v>
      </c>
      <c r="AB7">
        <f>IF($A7="","",Allocation!CI7)</f>
        <v>2639292</v>
      </c>
      <c r="AC7">
        <f>IF($A7="","",IF(Allocation!$N$4="VOL_EFF",$G7,IF(Allocation!$N$4="VOL_CLASS",$H7,$I7)))</f>
        <v>2</v>
      </c>
      <c r="AD7">
        <f>IF($A7="","",IF(Allocation!$N$4="VOL_EFF",$L7,IF(Allocation!$N$4="VOL_CLASS",$M7,$N7)))</f>
        <v>6</v>
      </c>
      <c r="AE7">
        <f>IF($A7="","",IF(Allocation!$N$3="VOL_EFF",$L7,IF(Allocation!$N$3="VOL_CLASS",$M7,$N7)))</f>
        <v>129</v>
      </c>
      <c r="AF7">
        <f>IF($A7="","",IF(Allocation!$N$3="VOL_EFF",$Q7,IF(Allocation!$N$3="VOL_CLASS",$R7,$S7)))</f>
        <v>339</v>
      </c>
      <c r="AG7">
        <f>IF($A7="","",IF(Allocation!$N$1="VOL_EFF",$Q7,IF(Allocation!$N$1="VOL_CLASS",$R7,$S7)))</f>
        <v>18</v>
      </c>
      <c r="AH7">
        <f>IF($A7="","",IF(Allocation!$N$1="VOL_EFF",$T7,IF(Allocation!$N$1="VOL_CLASS",$U7,$V7)))</f>
        <v>135</v>
      </c>
      <c r="AI7">
        <f t="shared" si="12"/>
        <v>22036</v>
      </c>
      <c r="AJ7">
        <f t="shared" si="13"/>
        <v>51911.2</v>
      </c>
      <c r="AK7">
        <f t="shared" si="14"/>
        <v>16031.6279069767</v>
      </c>
      <c r="AL7">
        <f t="shared" si="15"/>
        <v>120276.653333333</v>
      </c>
      <c r="AM7">
        <f t="shared" si="16"/>
        <v>44636.9935103245</v>
      </c>
      <c r="AN7">
        <f t="shared" si="17"/>
        <v>31985.5608517958</v>
      </c>
      <c r="AO7">
        <f>IF($A7="","",Allocation!CJ7)</f>
        <v>499926</v>
      </c>
      <c r="AP7">
        <f>IF($A7="","",IF(Allocation!$N$2="VOL_EFF",$Q7,IF(Allocation!$N$2="VOL_CLASS",$R7,$S7)))</f>
        <v>2309940</v>
      </c>
      <c r="AQ7">
        <f>IF($A7="","",IF(Allocation!$N$2="VOL_EFF",$T7,IF(Allocation!$N$2="VOL_CLASS",$U7,$V7)))</f>
        <v>20567210</v>
      </c>
      <c r="AR7">
        <f t="shared" si="18"/>
        <v>7121.96439756997</v>
      </c>
      <c r="AS7" t="str">
        <f>IF($A7="","",$A7&amp;"|"&amp;Allocation!BG7)</f>
        <v>2024|ACT</v>
      </c>
    </row>
    <row r="8" ht="14.497499999999997" customHeight="1">
      <c r="A8" t="str">
        <f>IF(Allocation!BI8="","",Allocation!BI8)</f>
        <v>2024</v>
      </c>
      <c r="B8" t="str">
        <f>IF(Allocation!BJ8="","",Allocation!BJ8)</f>
        <v>IPAC_REN</v>
      </c>
      <c r="C8" t="str">
        <f>IF(Allocation!BK8="","",Allocation!BK8)</f>
        <v>IPAC</v>
      </c>
      <c r="D8" t="str">
        <f>IF(Allocation!BL8="","",Allocation!BL8)</f>
        <v>BAC_CCE</v>
      </c>
      <c r="E8" t="str">
        <f>IF(Allocation!BM8="","",Allocation!BM8)</f>
        <v>B1</v>
      </c>
      <c r="F8" t="str">
        <f>IF(Allocation!BN8="","",Allocation!BN8)</f>
        <v>ALT</v>
      </c>
      <c r="G8">
        <f>IF(Allocation!BO8="","",Allocation!BO8)</f>
        <v>36</v>
      </c>
      <c r="H8">
        <f>IF(Allocation!BP8="","",Allocation!BP8)</f>
        <v>2</v>
      </c>
      <c r="I8">
        <f>IF(Allocation!BQ8="","",Allocation!BQ8)</f>
        <v>242640</v>
      </c>
      <c r="J8">
        <f>IF(Allocation!CC8="","",Allocation!CC8)</f>
        <v>36</v>
      </c>
      <c r="K8">
        <f t="shared" si="0"/>
        <v>960</v>
      </c>
      <c r="L8">
        <f t="shared" si="1"/>
        <v>105</v>
      </c>
      <c r="M8">
        <f t="shared" si="2"/>
        <v>6</v>
      </c>
      <c r="N8">
        <f t="shared" si="3"/>
        <v>701490</v>
      </c>
      <c r="O8">
        <f t="shared" si="4"/>
        <v>2880</v>
      </c>
      <c r="P8">
        <f t="shared" si="5"/>
        <v>36</v>
      </c>
      <c r="Q8">
        <f t="shared" si="6"/>
        <v>339</v>
      </c>
      <c r="R8">
        <f t="shared" si="7"/>
        <v>18</v>
      </c>
      <c r="S8">
        <f t="shared" si="8"/>
        <v>2309940</v>
      </c>
      <c r="T8">
        <f t="shared" si="9"/>
        <v>2773</v>
      </c>
      <c r="U8">
        <f t="shared" si="10"/>
        <v>135</v>
      </c>
      <c r="V8">
        <f t="shared" si="11"/>
        <v>20567210</v>
      </c>
      <c r="W8">
        <f>IF($A8="","",Allocation!CD8)</f>
        <v>66108</v>
      </c>
      <c r="X8">
        <f>IF($A8="","",Allocation!CE8)</f>
        <v>127624.16</v>
      </c>
      <c r="Y8">
        <f>IF($A8="","",Allocation!CF8)</f>
        <v>39731</v>
      </c>
      <c r="Z8">
        <f>IF($A8="","",Allocation!CG8)</f>
        <v>12341</v>
      </c>
      <c r="AA8">
        <f>IF($A8="","",Allocation!CH8)</f>
        <v>257445.38</v>
      </c>
      <c r="AB8">
        <f>IF($A8="","",Allocation!CI8)</f>
        <v>2639292</v>
      </c>
      <c r="AC8">
        <f>IF($A8="","",IF(Allocation!$N$4="VOL_EFF",$G8,IF(Allocation!$N$4="VOL_CLASS",$H8,$I8)))</f>
        <v>2</v>
      </c>
      <c r="AD8">
        <f>IF($A8="","",IF(Allocation!$N$4="VOL_EFF",$L8,IF(Allocation!$N$4="VOL_CLASS",$M8,$N8)))</f>
        <v>6</v>
      </c>
      <c r="AE8">
        <f>IF($A8="","",IF(Allocation!$N$3="VOL_EFF",$L8,IF(Allocation!$N$3="VOL_CLASS",$M8,$N8)))</f>
        <v>105</v>
      </c>
      <c r="AF8">
        <f>IF($A8="","",IF(Allocation!$N$3="VOL_EFF",$Q8,IF(Allocation!$N$3="VOL_CLASS",$R8,$S8)))</f>
        <v>339</v>
      </c>
      <c r="AG8">
        <f>IF($A8="","",IF(Allocation!$N$1="VOL_EFF",$Q8,IF(Allocation!$N$1="VOL_CLASS",$R8,$S8)))</f>
        <v>18</v>
      </c>
      <c r="AH8">
        <f>IF($A8="","",IF(Allocation!$N$1="VOL_EFF",$T8,IF(Allocation!$N$1="VOL_CLASS",$U8,$V8)))</f>
        <v>135</v>
      </c>
      <c r="AI8">
        <f t="shared" si="12"/>
        <v>22036</v>
      </c>
      <c r="AJ8">
        <f t="shared" si="13"/>
        <v>42541.3866666667</v>
      </c>
      <c r="AK8">
        <f t="shared" si="14"/>
        <v>25963.0571428571</v>
      </c>
      <c r="AL8">
        <f t="shared" si="15"/>
        <v>85815.1266666667</v>
      </c>
      <c r="AM8">
        <f t="shared" si="16"/>
        <v>36332.4365781711</v>
      </c>
      <c r="AN8">
        <f t="shared" si="17"/>
        <v>24155.0451801745</v>
      </c>
      <c r="AO8">
        <f>IF($A8="","",Allocation!CJ8)</f>
        <v>499926</v>
      </c>
      <c r="AP8">
        <f>IF($A8="","",IF(Allocation!$N$2="VOL_EFF",$Q8,IF(Allocation!$N$2="VOL_CLASS",$R8,$S8)))</f>
        <v>2309940</v>
      </c>
      <c r="AQ8">
        <f>IF($A8="","",IF(Allocation!$N$2="VOL_EFF",$T8,IF(Allocation!$N$2="VOL_CLASS",$U8,$V8)))</f>
        <v>20567210</v>
      </c>
      <c r="AR8">
        <f t="shared" si="18"/>
        <v>5796.94776546393</v>
      </c>
      <c r="AS8" t="str">
        <f>IF($A8="","",$A8&amp;"|"&amp;Allocation!BG8)</f>
        <v>2024|ACT</v>
      </c>
    </row>
    <row r="9" ht="14.497499999999997" customHeight="1">
      <c r="A9" t="str">
        <f>IF(Allocation!BI9="","",Allocation!BI9)</f>
        <v>2024</v>
      </c>
      <c r="B9" t="str">
        <f>IF(Allocation!BJ9="","",Allocation!BJ9)</f>
        <v>IPAC_REN</v>
      </c>
      <c r="C9" t="str">
        <f>IF(Allocation!BK9="","",Allocation!BK9)</f>
        <v>IPAC</v>
      </c>
      <c r="D9" t="str">
        <f>IF(Allocation!BL9="","",Allocation!BL9)</f>
        <v>BAC_CCE</v>
      </c>
      <c r="E9" t="str">
        <f>IF(Allocation!BM9="","",Allocation!BM9)</f>
        <v>B2</v>
      </c>
      <c r="F9" t="str">
        <f>IF(Allocation!BN9="","",Allocation!BN9)</f>
        <v>ALT</v>
      </c>
      <c r="G9">
        <f>IF(Allocation!BO9="","",Allocation!BO9)</f>
        <v>35</v>
      </c>
      <c r="H9">
        <f>IF(Allocation!BP9="","",Allocation!BP9)</f>
        <v>2</v>
      </c>
      <c r="I9">
        <f>IF(Allocation!BQ9="","",Allocation!BQ9)</f>
        <v>232750</v>
      </c>
      <c r="J9">
        <f>IF(Allocation!CC9="","",Allocation!CC9)</f>
        <v>0</v>
      </c>
      <c r="K9">
        <f t="shared" si="0"/>
        <v>960</v>
      </c>
      <c r="L9">
        <f t="shared" si="1"/>
        <v>105</v>
      </c>
      <c r="M9">
        <f t="shared" si="2"/>
        <v>6</v>
      </c>
      <c r="N9">
        <f t="shared" si="3"/>
        <v>701490</v>
      </c>
      <c r="O9">
        <f t="shared" si="4"/>
        <v>2880</v>
      </c>
      <c r="P9">
        <f t="shared" si="5"/>
        <v>36</v>
      </c>
      <c r="Q9">
        <f t="shared" si="6"/>
        <v>339</v>
      </c>
      <c r="R9">
        <f t="shared" si="7"/>
        <v>18</v>
      </c>
      <c r="S9">
        <f t="shared" si="8"/>
        <v>2309940</v>
      </c>
      <c r="T9">
        <f t="shared" si="9"/>
        <v>2773</v>
      </c>
      <c r="U9">
        <f t="shared" si="10"/>
        <v>135</v>
      </c>
      <c r="V9">
        <f t="shared" si="11"/>
        <v>20567210</v>
      </c>
      <c r="W9">
        <f>IF($A9="","",Allocation!CD9)</f>
        <v>66108</v>
      </c>
      <c r="X9">
        <f>IF($A9="","",Allocation!CE9)</f>
        <v>127624.16</v>
      </c>
      <c r="Y9">
        <f>IF($A9="","",Allocation!CF9)</f>
        <v>39731</v>
      </c>
      <c r="Z9">
        <f>IF($A9="","",Allocation!CG9)</f>
        <v>12341</v>
      </c>
      <c r="AA9">
        <f>IF($A9="","",Allocation!CH9)</f>
        <v>257445.38</v>
      </c>
      <c r="AB9">
        <f>IF($A9="","",Allocation!CI9)</f>
        <v>2639292</v>
      </c>
      <c r="AC9">
        <f>IF($A9="","",IF(Allocation!$N$4="VOL_EFF",$G9,IF(Allocation!$N$4="VOL_CLASS",$H9,$I9)))</f>
        <v>2</v>
      </c>
      <c r="AD9">
        <f>IF($A9="","",IF(Allocation!$N$4="VOL_EFF",$L9,IF(Allocation!$N$4="VOL_CLASS",$M9,$N9)))</f>
        <v>6</v>
      </c>
      <c r="AE9">
        <f>IF($A9="","",IF(Allocation!$N$3="VOL_EFF",$L9,IF(Allocation!$N$3="VOL_CLASS",$M9,$N9)))</f>
        <v>105</v>
      </c>
      <c r="AF9">
        <f>IF($A9="","",IF(Allocation!$N$3="VOL_EFF",$Q9,IF(Allocation!$N$3="VOL_CLASS",$R9,$S9)))</f>
        <v>339</v>
      </c>
      <c r="AG9">
        <f>IF($A9="","",IF(Allocation!$N$1="VOL_EFF",$Q9,IF(Allocation!$N$1="VOL_CLASS",$R9,$S9)))</f>
        <v>18</v>
      </c>
      <c r="AH9">
        <f>IF($A9="","",IF(Allocation!$N$1="VOL_EFF",$T9,IF(Allocation!$N$1="VOL_CLASS",$U9,$V9)))</f>
        <v>135</v>
      </c>
      <c r="AI9">
        <f t="shared" si="12"/>
        <v>22036</v>
      </c>
      <c r="AJ9">
        <f t="shared" si="13"/>
        <v>42541.3866666667</v>
      </c>
      <c r="AK9">
        <f t="shared" si="14"/>
        <v>13243.6666666667</v>
      </c>
      <c r="AL9">
        <f t="shared" si="15"/>
        <v>85815.1266666667</v>
      </c>
      <c r="AM9">
        <f t="shared" si="16"/>
        <v>36332.4365781711</v>
      </c>
      <c r="AN9">
        <f t="shared" si="17"/>
        <v>26984.4356563649</v>
      </c>
      <c r="AO9">
        <f>IF($A9="","",Allocation!CJ9)</f>
        <v>499926</v>
      </c>
      <c r="AP9">
        <f>IF($A9="","",IF(Allocation!$N$2="VOL_EFF",$Q9,IF(Allocation!$N$2="VOL_CLASS",$R9,$S9)))</f>
        <v>2309940</v>
      </c>
      <c r="AQ9">
        <f>IF($A9="","",IF(Allocation!$N$2="VOL_EFF",$T9,IF(Allocation!$N$2="VOL_CLASS",$U9,$V9)))</f>
        <v>20567210</v>
      </c>
      <c r="AR9">
        <f t="shared" si="18"/>
        <v>5796.94776546393</v>
      </c>
      <c r="AS9" t="str">
        <f>IF($A9="","",$A9&amp;"|"&amp;Allocation!BG9)</f>
        <v>2024|ACT</v>
      </c>
    </row>
    <row r="10" ht="14.497499999999997" customHeight="1">
      <c r="A10" t="str">
        <f>IF(Allocation!BI10="","",Allocation!BI10)</f>
        <v>2024</v>
      </c>
      <c r="B10" t="str">
        <f>IF(Allocation!BJ10="","",Allocation!BJ10)</f>
        <v>IPAC_REN</v>
      </c>
      <c r="C10" t="str">
        <f>IF(Allocation!BK10="","",Allocation!BK10)</f>
        <v>IPAC</v>
      </c>
      <c r="D10" t="str">
        <f>IF(Allocation!BL10="","",Allocation!BL10)</f>
        <v>BAC_CCE</v>
      </c>
      <c r="E10" t="str">
        <f>IF(Allocation!BM10="","",Allocation!BM10)</f>
        <v>B3</v>
      </c>
      <c r="F10" t="str">
        <f>IF(Allocation!BN10="","",Allocation!BN10)</f>
        <v>ALT</v>
      </c>
      <c r="G10">
        <f>IF(Allocation!BO10="","",Allocation!BO10)</f>
        <v>34</v>
      </c>
      <c r="H10">
        <f>IF(Allocation!BP10="","",Allocation!BP10)</f>
        <v>2</v>
      </c>
      <c r="I10">
        <f>IF(Allocation!BQ10="","",Allocation!BQ10)</f>
        <v>226100</v>
      </c>
      <c r="J10">
        <f>IF(Allocation!CC10="","",Allocation!CC10)</f>
        <v>0</v>
      </c>
      <c r="K10">
        <f t="shared" si="0"/>
        <v>960</v>
      </c>
      <c r="L10">
        <f t="shared" si="1"/>
        <v>105</v>
      </c>
      <c r="M10">
        <f t="shared" si="2"/>
        <v>6</v>
      </c>
      <c r="N10">
        <f t="shared" si="3"/>
        <v>701490</v>
      </c>
      <c r="O10">
        <f t="shared" si="4"/>
        <v>2880</v>
      </c>
      <c r="P10">
        <f t="shared" si="5"/>
        <v>36</v>
      </c>
      <c r="Q10">
        <f t="shared" si="6"/>
        <v>339</v>
      </c>
      <c r="R10">
        <f t="shared" si="7"/>
        <v>18</v>
      </c>
      <c r="S10">
        <f t="shared" si="8"/>
        <v>2309940</v>
      </c>
      <c r="T10">
        <f t="shared" si="9"/>
        <v>2773</v>
      </c>
      <c r="U10">
        <f t="shared" si="10"/>
        <v>135</v>
      </c>
      <c r="V10">
        <f t="shared" si="11"/>
        <v>20567210</v>
      </c>
      <c r="W10">
        <f>IF($A10="","",Allocation!CD10)</f>
        <v>66108</v>
      </c>
      <c r="X10">
        <f>IF($A10="","",Allocation!CE10)</f>
        <v>127624.16</v>
      </c>
      <c r="Y10">
        <f>IF($A10="","",Allocation!CF10)</f>
        <v>39731</v>
      </c>
      <c r="Z10">
        <f>IF($A10="","",Allocation!CG10)</f>
        <v>12341</v>
      </c>
      <c r="AA10">
        <f>IF($A10="","",Allocation!CH10)</f>
        <v>257445.38</v>
      </c>
      <c r="AB10">
        <f>IF($A10="","",Allocation!CI10)</f>
        <v>2639292</v>
      </c>
      <c r="AC10">
        <f>IF($A10="","",IF(Allocation!$N$4="VOL_EFF",$G10,IF(Allocation!$N$4="VOL_CLASS",$H10,$I10)))</f>
        <v>2</v>
      </c>
      <c r="AD10">
        <f>IF($A10="","",IF(Allocation!$N$4="VOL_EFF",$L10,IF(Allocation!$N$4="VOL_CLASS",$M10,$N10)))</f>
        <v>6</v>
      </c>
      <c r="AE10">
        <f>IF($A10="","",IF(Allocation!$N$3="VOL_EFF",$L10,IF(Allocation!$N$3="VOL_CLASS",$M10,$N10)))</f>
        <v>105</v>
      </c>
      <c r="AF10">
        <f>IF($A10="","",IF(Allocation!$N$3="VOL_EFF",$Q10,IF(Allocation!$N$3="VOL_CLASS",$R10,$S10)))</f>
        <v>339</v>
      </c>
      <c r="AG10">
        <f>IF($A10="","",IF(Allocation!$N$1="VOL_EFF",$Q10,IF(Allocation!$N$1="VOL_CLASS",$R10,$S10)))</f>
        <v>18</v>
      </c>
      <c r="AH10">
        <f>IF($A10="","",IF(Allocation!$N$1="VOL_EFF",$T10,IF(Allocation!$N$1="VOL_CLASS",$U10,$V10)))</f>
        <v>135</v>
      </c>
      <c r="AI10">
        <f t="shared" si="12"/>
        <v>22036</v>
      </c>
      <c r="AJ10">
        <f t="shared" si="13"/>
        <v>42541.3866666667</v>
      </c>
      <c r="AK10">
        <f t="shared" si="14"/>
        <v>12865.2761904762</v>
      </c>
      <c r="AL10">
        <f t="shared" si="15"/>
        <v>85815.1266666667</v>
      </c>
      <c r="AM10">
        <f t="shared" si="16"/>
        <v>36332.4365781711</v>
      </c>
      <c r="AN10">
        <f t="shared" si="17"/>
        <v>20712.8261325553</v>
      </c>
      <c r="AO10">
        <f>IF($A10="","",Allocation!CJ10)</f>
        <v>499926</v>
      </c>
      <c r="AP10">
        <f>IF($A10="","",IF(Allocation!$N$2="VOL_EFF",$Q10,IF(Allocation!$N$2="VOL_CLASS",$R10,$S10)))</f>
        <v>2309940</v>
      </c>
      <c r="AQ10">
        <f>IF($A10="","",IF(Allocation!$N$2="VOL_EFF",$T10,IF(Allocation!$N$2="VOL_CLASS",$U10,$V10)))</f>
        <v>20567210</v>
      </c>
      <c r="AR10">
        <f t="shared" si="18"/>
        <v>5796.94776546393</v>
      </c>
      <c r="AS10" t="str">
        <f>IF($A10="","",$A10&amp;"|"&amp;Allocation!BG10)</f>
        <v>2024|ACT</v>
      </c>
    </row>
    <row r="11" ht="14.497499999999997" customHeight="1">
      <c r="A11" t="str">
        <f>IF(Allocation!BI11="","",Allocation!BI11)</f>
        <v>2024</v>
      </c>
      <c r="B11" t="str">
        <f>IF(Allocation!BJ11="","",Allocation!BJ11)</f>
        <v>ISCOM_LIL</v>
      </c>
      <c r="C11" t="str">
        <f>IF(Allocation!BK11="","",Allocation!BK11)</f>
        <v>ISCOM</v>
      </c>
      <c r="D11" t="str">
        <f>IF(Allocation!BL11="","",Allocation!BL11)</f>
        <v>BAC_COM</v>
      </c>
      <c r="E11" t="str">
        <f>IF(Allocation!BM11="","",Allocation!BM11)</f>
        <v>B1</v>
      </c>
      <c r="F11" t="str">
        <f>IF(Allocation!BN11="","",Allocation!BN11)</f>
        <v>INIT</v>
      </c>
      <c r="G11">
        <f>IF(Allocation!BO11="","",Allocation!BO11)</f>
        <v>44</v>
      </c>
      <c r="H11">
        <f>IF(Allocation!BP11="","",Allocation!BP11)</f>
        <v>2</v>
      </c>
      <c r="I11">
        <f>IF(Allocation!BQ11="","",Allocation!BQ11)</f>
        <v>327360</v>
      </c>
      <c r="J11">
        <f>IF(Allocation!CC11="","",Allocation!CC11)</f>
        <v>44</v>
      </c>
      <c r="K11">
        <f t="shared" si="0"/>
        <v>1200</v>
      </c>
      <c r="L11">
        <f t="shared" si="1"/>
        <v>217</v>
      </c>
      <c r="M11">
        <f t="shared" si="2"/>
        <v>10</v>
      </c>
      <c r="N11">
        <f t="shared" si="3"/>
        <v>1561220</v>
      </c>
      <c r="O11">
        <f t="shared" si="4"/>
        <v>4800</v>
      </c>
      <c r="P11">
        <f t="shared" si="5"/>
        <v>88</v>
      </c>
      <c r="Q11">
        <f t="shared" si="6"/>
        <v>737</v>
      </c>
      <c r="R11">
        <f t="shared" si="7"/>
        <v>35</v>
      </c>
      <c r="S11">
        <f t="shared" si="8"/>
        <v>5593340</v>
      </c>
      <c r="T11">
        <f t="shared" si="9"/>
        <v>2773</v>
      </c>
      <c r="U11">
        <f t="shared" si="10"/>
        <v>135</v>
      </c>
      <c r="V11">
        <f t="shared" si="11"/>
        <v>20567210</v>
      </c>
      <c r="W11">
        <f>IF($A11="","",Allocation!CD11)</f>
        <v>110180</v>
      </c>
      <c r="X11">
        <f>IF($A11="","",Allocation!CE11)</f>
        <v>259421.46</v>
      </c>
      <c r="Y11">
        <f>IF($A11="","",Allocation!CF11)</f>
        <v>82858</v>
      </c>
      <c r="Z11">
        <f>IF($A11="","",Allocation!CG11)</f>
        <v>20843</v>
      </c>
      <c r="AA11">
        <f>IF($A11="","",Allocation!CH11)</f>
        <v>604963.16</v>
      </c>
      <c r="AB11">
        <f>IF($A11="","",Allocation!CI11)</f>
        <v>2639292</v>
      </c>
      <c r="AC11">
        <f>IF($A11="","",IF(Allocation!$N$4="VOL_EFF",$G11,IF(Allocation!$N$4="VOL_CLASS",$H11,$I11)))</f>
        <v>2</v>
      </c>
      <c r="AD11">
        <f>IF($A11="","",IF(Allocation!$N$4="VOL_EFF",$L11,IF(Allocation!$N$4="VOL_CLASS",$M11,$N11)))</f>
        <v>10</v>
      </c>
      <c r="AE11">
        <f>IF($A11="","",IF(Allocation!$N$3="VOL_EFF",$L11,IF(Allocation!$N$3="VOL_CLASS",$M11,$N11)))</f>
        <v>217</v>
      </c>
      <c r="AF11">
        <f>IF($A11="","",IF(Allocation!$N$3="VOL_EFF",$Q11,IF(Allocation!$N$3="VOL_CLASS",$R11,$S11)))</f>
        <v>737</v>
      </c>
      <c r="AG11">
        <f>IF($A11="","",IF(Allocation!$N$1="VOL_EFF",$Q11,IF(Allocation!$N$1="VOL_CLASS",$R11,$S11)))</f>
        <v>35</v>
      </c>
      <c r="AH11">
        <f>IF($A11="","",IF(Allocation!$N$1="VOL_EFF",$T11,IF(Allocation!$N$1="VOL_CLASS",$U11,$V11)))</f>
        <v>135</v>
      </c>
      <c r="AI11">
        <f t="shared" si="12"/>
        <v>27545</v>
      </c>
      <c r="AJ11">
        <f t="shared" si="13"/>
        <v>64855.365</v>
      </c>
      <c r="AK11">
        <f t="shared" si="14"/>
        <v>27222.2004608295</v>
      </c>
      <c r="AL11">
        <f t="shared" si="15"/>
        <v>120992.632</v>
      </c>
      <c r="AM11">
        <f t="shared" si="16"/>
        <v>40294.3318558722</v>
      </c>
      <c r="AN11">
        <f t="shared" si="17"/>
        <v>38444.3192080694</v>
      </c>
      <c r="AO11">
        <f>IF($A11="","",Allocation!CJ11)</f>
        <v>499926</v>
      </c>
      <c r="AP11">
        <f>IF($A11="","",IF(Allocation!$N$2="VOL_EFF",$Q11,IF(Allocation!$N$2="VOL_CLASS",$R11,$S11)))</f>
        <v>5593340</v>
      </c>
      <c r="AQ11">
        <f>IF($A11="","",IF(Allocation!$N$2="VOL_EFF",$T11,IF(Allocation!$N$2="VOL_CLASS",$U11,$V11)))</f>
        <v>20567210</v>
      </c>
      <c r="AR11">
        <f t="shared" si="18"/>
        <v>8006.15147522897</v>
      </c>
      <c r="AS11" t="str">
        <f>IF($A11="","",$A11&amp;"|"&amp;Allocation!BG11)</f>
        <v>2024|ACT</v>
      </c>
    </row>
    <row r="12" ht="14.497499999999997" customHeight="1">
      <c r="A12" t="str">
        <f>IF(Allocation!BI12="","",Allocation!BI12)</f>
        <v>2024</v>
      </c>
      <c r="B12" t="str">
        <f>IF(Allocation!BJ12="","",Allocation!BJ12)</f>
        <v>ISCOM_LIL</v>
      </c>
      <c r="C12" t="str">
        <f>IF(Allocation!BK12="","",Allocation!BK12)</f>
        <v>ISCOM</v>
      </c>
      <c r="D12" t="str">
        <f>IF(Allocation!BL12="","",Allocation!BL12)</f>
        <v>BAC_COM</v>
      </c>
      <c r="E12" t="str">
        <f>IF(Allocation!BM12="","",Allocation!BM12)</f>
        <v>B2</v>
      </c>
      <c r="F12" t="str">
        <f>IF(Allocation!BN12="","",Allocation!BN12)</f>
        <v>ALT</v>
      </c>
      <c r="G12">
        <f>IF(Allocation!BO12="","",Allocation!BO12)</f>
        <v>43</v>
      </c>
      <c r="H12">
        <f>IF(Allocation!BP12="","",Allocation!BP12)</f>
        <v>2</v>
      </c>
      <c r="I12">
        <f>IF(Allocation!BQ12="","",Allocation!BQ12)</f>
        <v>294980</v>
      </c>
      <c r="J12">
        <f>IF(Allocation!CC12="","",Allocation!CC12)</f>
        <v>0</v>
      </c>
      <c r="K12">
        <f t="shared" si="0"/>
        <v>960</v>
      </c>
      <c r="L12">
        <f t="shared" si="1"/>
        <v>217</v>
      </c>
      <c r="M12">
        <f t="shared" si="2"/>
        <v>10</v>
      </c>
      <c r="N12">
        <f t="shared" si="3"/>
        <v>1561220</v>
      </c>
      <c r="O12">
        <f t="shared" si="4"/>
        <v>4800</v>
      </c>
      <c r="P12">
        <f t="shared" si="5"/>
        <v>88</v>
      </c>
      <c r="Q12">
        <f t="shared" si="6"/>
        <v>737</v>
      </c>
      <c r="R12">
        <f t="shared" si="7"/>
        <v>35</v>
      </c>
      <c r="S12">
        <f t="shared" si="8"/>
        <v>5593340</v>
      </c>
      <c r="T12">
        <f t="shared" si="9"/>
        <v>2773</v>
      </c>
      <c r="U12">
        <f t="shared" si="10"/>
        <v>135</v>
      </c>
      <c r="V12">
        <f t="shared" si="11"/>
        <v>20567210</v>
      </c>
      <c r="W12">
        <f>IF($A12="","",Allocation!CD12)</f>
        <v>110180</v>
      </c>
      <c r="X12">
        <f>IF($A12="","",Allocation!CE12)</f>
        <v>259421.46</v>
      </c>
      <c r="Y12">
        <f>IF($A12="","",Allocation!CF12)</f>
        <v>82858</v>
      </c>
      <c r="Z12">
        <f>IF($A12="","",Allocation!CG12)</f>
        <v>20843</v>
      </c>
      <c r="AA12">
        <f>IF($A12="","",Allocation!CH12)</f>
        <v>604963.16</v>
      </c>
      <c r="AB12">
        <f>IF($A12="","",Allocation!CI12)</f>
        <v>2639292</v>
      </c>
      <c r="AC12">
        <f>IF($A12="","",IF(Allocation!$N$4="VOL_EFF",$G12,IF(Allocation!$N$4="VOL_CLASS",$H12,$I12)))</f>
        <v>2</v>
      </c>
      <c r="AD12">
        <f>IF($A12="","",IF(Allocation!$N$4="VOL_EFF",$L12,IF(Allocation!$N$4="VOL_CLASS",$M12,$N12)))</f>
        <v>10</v>
      </c>
      <c r="AE12">
        <f>IF($A12="","",IF(Allocation!$N$3="VOL_EFF",$L12,IF(Allocation!$N$3="VOL_CLASS",$M12,$N12)))</f>
        <v>217</v>
      </c>
      <c r="AF12">
        <f>IF($A12="","",IF(Allocation!$N$3="VOL_EFF",$Q12,IF(Allocation!$N$3="VOL_CLASS",$R12,$S12)))</f>
        <v>737</v>
      </c>
      <c r="AG12">
        <f>IF($A12="","",IF(Allocation!$N$1="VOL_EFF",$Q12,IF(Allocation!$N$1="VOL_CLASS",$R12,$S12)))</f>
        <v>35</v>
      </c>
      <c r="AH12">
        <f>IF($A12="","",IF(Allocation!$N$1="VOL_EFF",$T12,IF(Allocation!$N$1="VOL_CLASS",$U12,$V12)))</f>
        <v>135</v>
      </c>
      <c r="AI12">
        <f t="shared" si="12"/>
        <v>22036</v>
      </c>
      <c r="AJ12">
        <f t="shared" si="13"/>
        <v>51884.292</v>
      </c>
      <c r="AK12">
        <f t="shared" si="14"/>
        <v>16418.866359447</v>
      </c>
      <c r="AL12">
        <f t="shared" si="15"/>
        <v>120992.632</v>
      </c>
      <c r="AM12">
        <f t="shared" si="16"/>
        <v>40294.3318558722</v>
      </c>
      <c r="AN12">
        <f t="shared" si="17"/>
        <v>35347.7263094518</v>
      </c>
      <c r="AO12">
        <f>IF($A12="","",Allocation!CJ12)</f>
        <v>499926</v>
      </c>
      <c r="AP12">
        <f>IF($A12="","",IF(Allocation!$N$2="VOL_EFF",$Q12,IF(Allocation!$N$2="VOL_CLASS",$R12,$S12)))</f>
        <v>5593340</v>
      </c>
      <c r="AQ12">
        <f>IF($A12="","",IF(Allocation!$N$2="VOL_EFF",$T12,IF(Allocation!$N$2="VOL_CLASS",$U12,$V12)))</f>
        <v>20567210</v>
      </c>
      <c r="AR12">
        <f t="shared" si="18"/>
        <v>8006.15147522897</v>
      </c>
      <c r="AS12" t="str">
        <f>IF($A12="","",$A12&amp;"|"&amp;Allocation!BG12)</f>
        <v>2024|ACT</v>
      </c>
    </row>
    <row r="13" ht="14.497499999999997" customHeight="1">
      <c r="A13" t="str">
        <f>IF(Allocation!BI13="","",Allocation!BI13)</f>
        <v>2024</v>
      </c>
      <c r="B13" t="str">
        <f>IF(Allocation!BJ13="","",Allocation!BJ13)</f>
        <v>ISCOM_LIL</v>
      </c>
      <c r="C13" t="str">
        <f>IF(Allocation!BK13="","",Allocation!BK13)</f>
        <v>ISCOM</v>
      </c>
      <c r="D13" t="str">
        <f>IF(Allocation!BL13="","",Allocation!BL13)</f>
        <v>BAC_COM</v>
      </c>
      <c r="E13" t="str">
        <f>IF(Allocation!BM13="","",Allocation!BM13)</f>
        <v>B3</v>
      </c>
      <c r="F13" t="str">
        <f>IF(Allocation!BN13="","",Allocation!BN13)</f>
        <v>ALT</v>
      </c>
      <c r="G13">
        <f>IF(Allocation!BO13="","",Allocation!BO13)</f>
        <v>42</v>
      </c>
      <c r="H13">
        <f>IF(Allocation!BP13="","",Allocation!BP13)</f>
        <v>2</v>
      </c>
      <c r="I13">
        <f>IF(Allocation!BQ13="","",Allocation!BQ13)</f>
        <v>288120</v>
      </c>
      <c r="J13">
        <f>IF(Allocation!CC13="","",Allocation!CC13)</f>
        <v>0</v>
      </c>
      <c r="K13">
        <f t="shared" si="0"/>
        <v>960</v>
      </c>
      <c r="L13">
        <f t="shared" si="1"/>
        <v>217</v>
      </c>
      <c r="M13">
        <f t="shared" si="2"/>
        <v>10</v>
      </c>
      <c r="N13">
        <f t="shared" si="3"/>
        <v>1561220</v>
      </c>
      <c r="O13">
        <f t="shared" si="4"/>
        <v>4800</v>
      </c>
      <c r="P13">
        <f t="shared" si="5"/>
        <v>88</v>
      </c>
      <c r="Q13">
        <f t="shared" si="6"/>
        <v>737</v>
      </c>
      <c r="R13">
        <f t="shared" si="7"/>
        <v>35</v>
      </c>
      <c r="S13">
        <f t="shared" si="8"/>
        <v>5593340</v>
      </c>
      <c r="T13">
        <f t="shared" si="9"/>
        <v>2773</v>
      </c>
      <c r="U13">
        <f t="shared" si="10"/>
        <v>135</v>
      </c>
      <c r="V13">
        <f t="shared" si="11"/>
        <v>20567210</v>
      </c>
      <c r="W13">
        <f>IF($A13="","",Allocation!CD13)</f>
        <v>110180</v>
      </c>
      <c r="X13">
        <f>IF($A13="","",Allocation!CE13)</f>
        <v>259421.46</v>
      </c>
      <c r="Y13">
        <f>IF($A13="","",Allocation!CF13)</f>
        <v>82858</v>
      </c>
      <c r="Z13">
        <f>IF($A13="","",Allocation!CG13)</f>
        <v>20843</v>
      </c>
      <c r="AA13">
        <f>IF($A13="","",Allocation!CH13)</f>
        <v>604963.16</v>
      </c>
      <c r="AB13">
        <f>IF($A13="","",Allocation!CI13)</f>
        <v>2639292</v>
      </c>
      <c r="AC13">
        <f>IF($A13="","",IF(Allocation!$N$4="VOL_EFF",$G13,IF(Allocation!$N$4="VOL_CLASS",$H13,$I13)))</f>
        <v>2</v>
      </c>
      <c r="AD13">
        <f>IF($A13="","",IF(Allocation!$N$4="VOL_EFF",$L13,IF(Allocation!$N$4="VOL_CLASS",$M13,$N13)))</f>
        <v>10</v>
      </c>
      <c r="AE13">
        <f>IF($A13="","",IF(Allocation!$N$3="VOL_EFF",$L13,IF(Allocation!$N$3="VOL_CLASS",$M13,$N13)))</f>
        <v>217</v>
      </c>
      <c r="AF13">
        <f>IF($A13="","",IF(Allocation!$N$3="VOL_EFF",$Q13,IF(Allocation!$N$3="VOL_CLASS",$R13,$S13)))</f>
        <v>737</v>
      </c>
      <c r="AG13">
        <f>IF($A13="","",IF(Allocation!$N$1="VOL_EFF",$Q13,IF(Allocation!$N$1="VOL_CLASS",$R13,$S13)))</f>
        <v>35</v>
      </c>
      <c r="AH13">
        <f>IF($A13="","",IF(Allocation!$N$1="VOL_EFF",$T13,IF(Allocation!$N$1="VOL_CLASS",$U13,$V13)))</f>
        <v>135</v>
      </c>
      <c r="AI13">
        <f t="shared" si="12"/>
        <v>22036</v>
      </c>
      <c r="AJ13">
        <f t="shared" si="13"/>
        <v>51884.292</v>
      </c>
      <c r="AK13">
        <f t="shared" si="14"/>
        <v>16037.0322580645</v>
      </c>
      <c r="AL13">
        <f t="shared" si="15"/>
        <v>120992.632</v>
      </c>
      <c r="AM13">
        <f t="shared" si="16"/>
        <v>40294.3318558722</v>
      </c>
      <c r="AN13">
        <f t="shared" si="17"/>
        <v>28869.5604108343</v>
      </c>
      <c r="AO13">
        <f>IF($A13="","",Allocation!CJ13)</f>
        <v>499926</v>
      </c>
      <c r="AP13">
        <f>IF($A13="","",IF(Allocation!$N$2="VOL_EFF",$Q13,IF(Allocation!$N$2="VOL_CLASS",$R13,$S13)))</f>
        <v>5593340</v>
      </c>
      <c r="AQ13">
        <f>IF($A13="","",IF(Allocation!$N$2="VOL_EFF",$T13,IF(Allocation!$N$2="VOL_CLASS",$U13,$V13)))</f>
        <v>20567210</v>
      </c>
      <c r="AR13">
        <f t="shared" si="18"/>
        <v>8006.15147522897</v>
      </c>
      <c r="AS13" t="str">
        <f>IF($A13="","",$A13&amp;"|"&amp;Allocation!BG13)</f>
        <v>2024|ACT</v>
      </c>
    </row>
    <row r="14" ht="14.497499999999997" customHeight="1">
      <c r="A14" t="str">
        <f>IF(Allocation!BI14="","",Allocation!BI14)</f>
        <v>2024</v>
      </c>
      <c r="B14" t="str">
        <f>IF(Allocation!BJ14="","",Allocation!BJ14)</f>
        <v>ISCOM_LIL</v>
      </c>
      <c r="C14" t="str">
        <f>IF(Allocation!BK14="","",Allocation!BK14)</f>
        <v>ISCOM</v>
      </c>
      <c r="D14" t="str">
        <f>IF(Allocation!BL14="","",Allocation!BL14)</f>
        <v>MAS_COM</v>
      </c>
      <c r="E14" t="str">
        <f>IF(Allocation!BM14="","",Allocation!BM14)</f>
        <v>M1</v>
      </c>
      <c r="F14" t="str">
        <f>IF(Allocation!BN14="","",Allocation!BN14)</f>
        <v>ALT</v>
      </c>
      <c r="G14">
        <f>IF(Allocation!BO14="","",Allocation!BO14)</f>
        <v>44</v>
      </c>
      <c r="H14">
        <f>IF(Allocation!BP14="","",Allocation!BP14)</f>
        <v>2</v>
      </c>
      <c r="I14">
        <f>IF(Allocation!BQ14="","",Allocation!BQ14)</f>
        <v>327360</v>
      </c>
      <c r="J14">
        <f>IF(Allocation!CC14="","",Allocation!CC14)</f>
        <v>44</v>
      </c>
      <c r="K14">
        <f t="shared" si="0"/>
        <v>840</v>
      </c>
      <c r="L14">
        <f t="shared" si="1"/>
        <v>217</v>
      </c>
      <c r="M14">
        <f t="shared" si="2"/>
        <v>10</v>
      </c>
      <c r="N14">
        <f t="shared" si="3"/>
        <v>1561220</v>
      </c>
      <c r="O14">
        <f t="shared" si="4"/>
        <v>4800</v>
      </c>
      <c r="P14">
        <f t="shared" si="5"/>
        <v>88</v>
      </c>
      <c r="Q14">
        <f t="shared" si="6"/>
        <v>737</v>
      </c>
      <c r="R14">
        <f t="shared" si="7"/>
        <v>35</v>
      </c>
      <c r="S14">
        <f t="shared" si="8"/>
        <v>5593340</v>
      </c>
      <c r="T14">
        <f t="shared" si="9"/>
        <v>2773</v>
      </c>
      <c r="U14">
        <f t="shared" si="10"/>
        <v>135</v>
      </c>
      <c r="V14">
        <f t="shared" si="11"/>
        <v>20567210</v>
      </c>
      <c r="W14">
        <f>IF($A14="","",Allocation!CD14)</f>
        <v>110180</v>
      </c>
      <c r="X14">
        <f>IF($A14="","",Allocation!CE14)</f>
        <v>259421.46</v>
      </c>
      <c r="Y14">
        <f>IF($A14="","",Allocation!CF14)</f>
        <v>82858</v>
      </c>
      <c r="Z14">
        <f>IF($A14="","",Allocation!CG14)</f>
        <v>20843</v>
      </c>
      <c r="AA14">
        <f>IF($A14="","",Allocation!CH14)</f>
        <v>604963.16</v>
      </c>
      <c r="AB14">
        <f>IF($A14="","",Allocation!CI14)</f>
        <v>2639292</v>
      </c>
      <c r="AC14">
        <f>IF($A14="","",IF(Allocation!$N$4="VOL_EFF",$G14,IF(Allocation!$N$4="VOL_CLASS",$H14,$I14)))</f>
        <v>2</v>
      </c>
      <c r="AD14">
        <f>IF($A14="","",IF(Allocation!$N$4="VOL_EFF",$L14,IF(Allocation!$N$4="VOL_CLASS",$M14,$N14)))</f>
        <v>10</v>
      </c>
      <c r="AE14">
        <f>IF($A14="","",IF(Allocation!$N$3="VOL_EFF",$L14,IF(Allocation!$N$3="VOL_CLASS",$M14,$N14)))</f>
        <v>217</v>
      </c>
      <c r="AF14">
        <f>IF($A14="","",IF(Allocation!$N$3="VOL_EFF",$Q14,IF(Allocation!$N$3="VOL_CLASS",$R14,$S14)))</f>
        <v>737</v>
      </c>
      <c r="AG14">
        <f>IF($A14="","",IF(Allocation!$N$1="VOL_EFF",$Q14,IF(Allocation!$N$1="VOL_CLASS",$R14,$S14)))</f>
        <v>35</v>
      </c>
      <c r="AH14">
        <f>IF($A14="","",IF(Allocation!$N$1="VOL_EFF",$T14,IF(Allocation!$N$1="VOL_CLASS",$U14,$V14)))</f>
        <v>135</v>
      </c>
      <c r="AI14">
        <f t="shared" si="12"/>
        <v>19281.5</v>
      </c>
      <c r="AJ14">
        <f t="shared" si="13"/>
        <v>45398.7555</v>
      </c>
      <c r="AK14">
        <f t="shared" si="14"/>
        <v>27222.2004608295</v>
      </c>
      <c r="AL14">
        <f t="shared" si="15"/>
        <v>120992.632</v>
      </c>
      <c r="AM14">
        <f t="shared" si="16"/>
        <v>40294.3318558722</v>
      </c>
      <c r="AN14">
        <f t="shared" si="17"/>
        <v>66164.4287080693</v>
      </c>
      <c r="AO14">
        <f>IF($A14="","",Allocation!CJ14)</f>
        <v>499926</v>
      </c>
      <c r="AP14">
        <f>IF($A14="","",IF(Allocation!$N$2="VOL_EFF",$Q14,IF(Allocation!$N$2="VOL_CLASS",$R14,$S14)))</f>
        <v>5593340</v>
      </c>
      <c r="AQ14">
        <f>IF($A14="","",IF(Allocation!$N$2="VOL_EFF",$T14,IF(Allocation!$N$2="VOL_CLASS",$U14,$V14)))</f>
        <v>20567210</v>
      </c>
      <c r="AR14">
        <f t="shared" si="18"/>
        <v>8006.15147522897</v>
      </c>
      <c r="AS14" t="str">
        <f>IF($A14="","",$A14&amp;"|"&amp;Allocation!BG14)</f>
        <v>2024|ACT</v>
      </c>
    </row>
    <row r="15" ht="14.497499999999997" customHeight="1">
      <c r="A15" t="str">
        <f>IF(Allocation!BI15="","",Allocation!BI15)</f>
        <v>2024</v>
      </c>
      <c r="B15" t="str">
        <f>IF(Allocation!BJ15="","",Allocation!BJ15)</f>
        <v>ISCOM_LIL</v>
      </c>
      <c r="C15" t="str">
        <f>IF(Allocation!BK15="","",Allocation!BK15)</f>
        <v>ISCOM</v>
      </c>
      <c r="D15" t="str">
        <f>IF(Allocation!BL15="","",Allocation!BL15)</f>
        <v>MAS_COM</v>
      </c>
      <c r="E15" t="str">
        <f>IF(Allocation!BM15="","",Allocation!BM15)</f>
        <v>M2</v>
      </c>
      <c r="F15" t="str">
        <f>IF(Allocation!BN15="","",Allocation!BN15)</f>
        <v>ALT</v>
      </c>
      <c r="G15">
        <f>IF(Allocation!BO15="","",Allocation!BO15)</f>
        <v>44</v>
      </c>
      <c r="H15">
        <f>IF(Allocation!BP15="","",Allocation!BP15)</f>
        <v>2</v>
      </c>
      <c r="I15">
        <f>IF(Allocation!BQ15="","",Allocation!BQ15)</f>
        <v>323400</v>
      </c>
      <c r="J15">
        <f>IF(Allocation!CC15="","",Allocation!CC15)</f>
        <v>0</v>
      </c>
      <c r="K15">
        <f t="shared" si="0"/>
        <v>840</v>
      </c>
      <c r="L15">
        <f t="shared" si="1"/>
        <v>217</v>
      </c>
      <c r="M15">
        <f t="shared" si="2"/>
        <v>10</v>
      </c>
      <c r="N15">
        <f t="shared" si="3"/>
        <v>1561220</v>
      </c>
      <c r="O15">
        <f t="shared" si="4"/>
        <v>4800</v>
      </c>
      <c r="P15">
        <f t="shared" si="5"/>
        <v>88</v>
      </c>
      <c r="Q15">
        <f t="shared" si="6"/>
        <v>737</v>
      </c>
      <c r="R15">
        <f t="shared" si="7"/>
        <v>35</v>
      </c>
      <c r="S15">
        <f t="shared" si="8"/>
        <v>5593340</v>
      </c>
      <c r="T15">
        <f t="shared" si="9"/>
        <v>2773</v>
      </c>
      <c r="U15">
        <f t="shared" si="10"/>
        <v>135</v>
      </c>
      <c r="V15">
        <f t="shared" si="11"/>
        <v>20567210</v>
      </c>
      <c r="W15">
        <f>IF($A15="","",Allocation!CD15)</f>
        <v>110180</v>
      </c>
      <c r="X15">
        <f>IF($A15="","",Allocation!CE15)</f>
        <v>259421.46</v>
      </c>
      <c r="Y15">
        <f>IF($A15="","",Allocation!CF15)</f>
        <v>82858</v>
      </c>
      <c r="Z15">
        <f>IF($A15="","",Allocation!CG15)</f>
        <v>20843</v>
      </c>
      <c r="AA15">
        <f>IF($A15="","",Allocation!CH15)</f>
        <v>604963.16</v>
      </c>
      <c r="AB15">
        <f>IF($A15="","",Allocation!CI15)</f>
        <v>2639292</v>
      </c>
      <c r="AC15">
        <f>IF($A15="","",IF(Allocation!$N$4="VOL_EFF",$G15,IF(Allocation!$N$4="VOL_CLASS",$H15,$I15)))</f>
        <v>2</v>
      </c>
      <c r="AD15">
        <f>IF($A15="","",IF(Allocation!$N$4="VOL_EFF",$L15,IF(Allocation!$N$4="VOL_CLASS",$M15,$N15)))</f>
        <v>10</v>
      </c>
      <c r="AE15">
        <f>IF($A15="","",IF(Allocation!$N$3="VOL_EFF",$L15,IF(Allocation!$N$3="VOL_CLASS",$M15,$N15)))</f>
        <v>217</v>
      </c>
      <c r="AF15">
        <f>IF($A15="","",IF(Allocation!$N$3="VOL_EFF",$Q15,IF(Allocation!$N$3="VOL_CLASS",$R15,$S15)))</f>
        <v>737</v>
      </c>
      <c r="AG15">
        <f>IF($A15="","",IF(Allocation!$N$1="VOL_EFF",$Q15,IF(Allocation!$N$1="VOL_CLASS",$R15,$S15)))</f>
        <v>35</v>
      </c>
      <c r="AH15">
        <f>IF($A15="","",IF(Allocation!$N$1="VOL_EFF",$T15,IF(Allocation!$N$1="VOL_CLASS",$U15,$V15)))</f>
        <v>135</v>
      </c>
      <c r="AI15">
        <f t="shared" si="12"/>
        <v>19281.5</v>
      </c>
      <c r="AJ15">
        <f t="shared" si="13"/>
        <v>45398.7555</v>
      </c>
      <c r="AK15">
        <f t="shared" si="14"/>
        <v>16800.7004608295</v>
      </c>
      <c r="AL15">
        <f t="shared" si="15"/>
        <v>120992.632</v>
      </c>
      <c r="AM15">
        <f t="shared" si="16"/>
        <v>40294.3318558722</v>
      </c>
      <c r="AN15">
        <f t="shared" si="17"/>
        <v>72625.9287080693</v>
      </c>
      <c r="AO15">
        <f>IF($A15="","",Allocation!CJ15)</f>
        <v>499926</v>
      </c>
      <c r="AP15">
        <f>IF($A15="","",IF(Allocation!$N$2="VOL_EFF",$Q15,IF(Allocation!$N$2="VOL_CLASS",$R15,$S15)))</f>
        <v>5593340</v>
      </c>
      <c r="AQ15">
        <f>IF($A15="","",IF(Allocation!$N$2="VOL_EFF",$T15,IF(Allocation!$N$2="VOL_CLASS",$U15,$V15)))</f>
        <v>20567210</v>
      </c>
      <c r="AR15">
        <f t="shared" si="18"/>
        <v>8006.15147522897</v>
      </c>
      <c r="AS15" t="str">
        <f>IF($A15="","",$A15&amp;"|"&amp;Allocation!BG15)</f>
        <v>2024|ACT</v>
      </c>
    </row>
    <row r="16" ht="14.497499999999997" customHeight="1">
      <c r="A16" t="str">
        <f>IF(Allocation!BI16="","",Allocation!BI16)</f>
        <v>2024</v>
      </c>
      <c r="B16" t="str">
        <f>IF(Allocation!BJ16="","",Allocation!BJ16)</f>
        <v>ISCOM_PAR</v>
      </c>
      <c r="C16" t="str">
        <f>IF(Allocation!BK16="","",Allocation!BK16)</f>
        <v>ISCOM</v>
      </c>
      <c r="D16" t="str">
        <f>IF(Allocation!BL16="","",Allocation!BL16)</f>
        <v>BAC_COM</v>
      </c>
      <c r="E16" t="str">
        <f>IF(Allocation!BM16="","",Allocation!BM16)</f>
        <v>B1</v>
      </c>
      <c r="F16" t="str">
        <f>IF(Allocation!BN16="","",Allocation!BN16)</f>
        <v>INIT</v>
      </c>
      <c r="G16">
        <f>IF(Allocation!BO16="","",Allocation!BO16)</f>
        <v>64</v>
      </c>
      <c r="H16">
        <f>IF(Allocation!BP16="","",Allocation!BP16)</f>
        <v>3</v>
      </c>
      <c r="I16">
        <f>IF(Allocation!BQ16="","",Allocation!BQ16)</f>
        <v>543360</v>
      </c>
      <c r="J16">
        <f>IF(Allocation!CC16="","",Allocation!CC16)</f>
        <v>64</v>
      </c>
      <c r="K16">
        <f t="shared" si="0"/>
        <v>1800</v>
      </c>
      <c r="L16">
        <f t="shared" si="1"/>
        <v>314</v>
      </c>
      <c r="M16">
        <f t="shared" si="2"/>
        <v>15</v>
      </c>
      <c r="N16">
        <f t="shared" si="3"/>
        <v>2580240</v>
      </c>
      <c r="O16">
        <f t="shared" si="4"/>
        <v>7200</v>
      </c>
      <c r="P16">
        <f t="shared" si="5"/>
        <v>128</v>
      </c>
      <c r="Q16">
        <f t="shared" si="6"/>
        <v>737</v>
      </c>
      <c r="R16">
        <f t="shared" si="7"/>
        <v>35</v>
      </c>
      <c r="S16">
        <f t="shared" si="8"/>
        <v>5593340</v>
      </c>
      <c r="T16">
        <f t="shared" si="9"/>
        <v>2773</v>
      </c>
      <c r="U16">
        <f t="shared" si="10"/>
        <v>135</v>
      </c>
      <c r="V16">
        <f t="shared" si="11"/>
        <v>20567210</v>
      </c>
      <c r="W16">
        <f>IF($A16="","",Allocation!CD16)</f>
        <v>165271</v>
      </c>
      <c r="X16">
        <f>IF($A16="","",Allocation!CE16)</f>
        <v>443568.93</v>
      </c>
      <c r="Y16">
        <f>IF($A16="","",Allocation!CF16)</f>
        <v>120212</v>
      </c>
      <c r="Z16">
        <f>IF($A16="","",Allocation!CG16)</f>
        <v>50248</v>
      </c>
      <c r="AA16">
        <f>IF($A16="","",Allocation!CH16)</f>
        <v>1011591.62</v>
      </c>
      <c r="AB16">
        <f>IF($A16="","",Allocation!CI16)</f>
        <v>2639292</v>
      </c>
      <c r="AC16">
        <f>IF($A16="","",IF(Allocation!$N$4="VOL_EFF",$G16,IF(Allocation!$N$4="VOL_CLASS",$H16,$I16)))</f>
        <v>3</v>
      </c>
      <c r="AD16">
        <f>IF($A16="","",IF(Allocation!$N$4="VOL_EFF",$L16,IF(Allocation!$N$4="VOL_CLASS",$M16,$N16)))</f>
        <v>15</v>
      </c>
      <c r="AE16">
        <f>IF($A16="","",IF(Allocation!$N$3="VOL_EFF",$L16,IF(Allocation!$N$3="VOL_CLASS",$M16,$N16)))</f>
        <v>314</v>
      </c>
      <c r="AF16">
        <f>IF($A16="","",IF(Allocation!$N$3="VOL_EFF",$Q16,IF(Allocation!$N$3="VOL_CLASS",$R16,$S16)))</f>
        <v>737</v>
      </c>
      <c r="AG16">
        <f>IF($A16="","",IF(Allocation!$N$1="VOL_EFF",$Q16,IF(Allocation!$N$1="VOL_CLASS",$R16,$S16)))</f>
        <v>35</v>
      </c>
      <c r="AH16">
        <f>IF($A16="","",IF(Allocation!$N$1="VOL_EFF",$T16,IF(Allocation!$N$1="VOL_CLASS",$U16,$V16)))</f>
        <v>135</v>
      </c>
      <c r="AI16">
        <f t="shared" si="12"/>
        <v>41317.75</v>
      </c>
      <c r="AJ16">
        <f t="shared" si="13"/>
        <v>110892.2325</v>
      </c>
      <c r="AK16">
        <f t="shared" si="14"/>
        <v>49625.8089171975</v>
      </c>
      <c r="AL16">
        <f t="shared" si="15"/>
        <v>202318.324</v>
      </c>
      <c r="AM16">
        <f t="shared" si="16"/>
        <v>58306.0838836122</v>
      </c>
      <c r="AN16">
        <f t="shared" si="17"/>
        <v>69314.8626198267</v>
      </c>
      <c r="AO16">
        <f>IF($A16="","",Allocation!CJ16)</f>
        <v>499926</v>
      </c>
      <c r="AP16">
        <f>IF($A16="","",IF(Allocation!$N$2="VOL_EFF",$Q16,IF(Allocation!$N$2="VOL_CLASS",$R16,$S16)))</f>
        <v>5593340</v>
      </c>
      <c r="AQ16">
        <f>IF($A16="","",IF(Allocation!$N$2="VOL_EFF",$T16,IF(Allocation!$N$2="VOL_CLASS",$U16,$V16)))</f>
        <v>20567210</v>
      </c>
      <c r="AR16">
        <f t="shared" si="18"/>
        <v>11584.9380793636</v>
      </c>
      <c r="AS16" t="str">
        <f>IF($A16="","",$A16&amp;"|"&amp;Allocation!BG16)</f>
        <v>2024|ACT</v>
      </c>
    </row>
    <row r="17" ht="14.497499999999997" customHeight="1">
      <c r="A17" t="str">
        <f>IF(Allocation!BI17="","",Allocation!BI17)</f>
        <v>2024</v>
      </c>
      <c r="B17" t="str">
        <f>IF(Allocation!BJ17="","",Allocation!BJ17)</f>
        <v>ISCOM_PAR</v>
      </c>
      <c r="C17" t="str">
        <f>IF(Allocation!BK17="","",Allocation!BK17)</f>
        <v>ISCOM</v>
      </c>
      <c r="D17" t="str">
        <f>IF(Allocation!BL17="","",Allocation!BL17)</f>
        <v>BAC_COM</v>
      </c>
      <c r="E17" t="str">
        <f>IF(Allocation!BM17="","",Allocation!BM17)</f>
        <v>B2</v>
      </c>
      <c r="F17" t="str">
        <f>IF(Allocation!BN17="","",Allocation!BN17)</f>
        <v>ALT</v>
      </c>
      <c r="G17">
        <f>IF(Allocation!BO17="","",Allocation!BO17)</f>
        <v>62</v>
      </c>
      <c r="H17">
        <f>IF(Allocation!BP17="","",Allocation!BP17)</f>
        <v>3</v>
      </c>
      <c r="I17">
        <f>IF(Allocation!BQ17="","",Allocation!BQ17)</f>
        <v>486080</v>
      </c>
      <c r="J17">
        <f>IF(Allocation!CC17="","",Allocation!CC17)</f>
        <v>0</v>
      </c>
      <c r="K17">
        <f t="shared" si="0"/>
        <v>1440</v>
      </c>
      <c r="L17">
        <f t="shared" si="1"/>
        <v>314</v>
      </c>
      <c r="M17">
        <f t="shared" si="2"/>
        <v>15</v>
      </c>
      <c r="N17">
        <f t="shared" si="3"/>
        <v>2580240</v>
      </c>
      <c r="O17">
        <f t="shared" si="4"/>
        <v>7200</v>
      </c>
      <c r="P17">
        <f t="shared" si="5"/>
        <v>128</v>
      </c>
      <c r="Q17">
        <f t="shared" si="6"/>
        <v>737</v>
      </c>
      <c r="R17">
        <f t="shared" si="7"/>
        <v>35</v>
      </c>
      <c r="S17">
        <f t="shared" si="8"/>
        <v>5593340</v>
      </c>
      <c r="T17">
        <f t="shared" si="9"/>
        <v>2773</v>
      </c>
      <c r="U17">
        <f t="shared" si="10"/>
        <v>135</v>
      </c>
      <c r="V17">
        <f t="shared" si="11"/>
        <v>20567210</v>
      </c>
      <c r="W17">
        <f>IF($A17="","",Allocation!CD17)</f>
        <v>165271</v>
      </c>
      <c r="X17">
        <f>IF($A17="","",Allocation!CE17)</f>
        <v>443568.93</v>
      </c>
      <c r="Y17">
        <f>IF($A17="","",Allocation!CF17)</f>
        <v>120212</v>
      </c>
      <c r="Z17">
        <f>IF($A17="","",Allocation!CG17)</f>
        <v>50248</v>
      </c>
      <c r="AA17">
        <f>IF($A17="","",Allocation!CH17)</f>
        <v>1011591.62</v>
      </c>
      <c r="AB17">
        <f>IF($A17="","",Allocation!CI17)</f>
        <v>2639292</v>
      </c>
      <c r="AC17">
        <f>IF($A17="","",IF(Allocation!$N$4="VOL_EFF",$G17,IF(Allocation!$N$4="VOL_CLASS",$H17,$I17)))</f>
        <v>3</v>
      </c>
      <c r="AD17">
        <f>IF($A17="","",IF(Allocation!$N$4="VOL_EFF",$L17,IF(Allocation!$N$4="VOL_CLASS",$M17,$N17)))</f>
        <v>15</v>
      </c>
      <c r="AE17">
        <f>IF($A17="","",IF(Allocation!$N$3="VOL_EFF",$L17,IF(Allocation!$N$3="VOL_CLASS",$M17,$N17)))</f>
        <v>314</v>
      </c>
      <c r="AF17">
        <f>IF($A17="","",IF(Allocation!$N$3="VOL_EFF",$Q17,IF(Allocation!$N$3="VOL_CLASS",$R17,$S17)))</f>
        <v>737</v>
      </c>
      <c r="AG17">
        <f>IF($A17="","",IF(Allocation!$N$1="VOL_EFF",$Q17,IF(Allocation!$N$1="VOL_CLASS",$R17,$S17)))</f>
        <v>35</v>
      </c>
      <c r="AH17">
        <f>IF($A17="","",IF(Allocation!$N$1="VOL_EFF",$T17,IF(Allocation!$N$1="VOL_CLASS",$U17,$V17)))</f>
        <v>135</v>
      </c>
      <c r="AI17">
        <f t="shared" si="12"/>
        <v>33054.2</v>
      </c>
      <c r="AJ17">
        <f t="shared" si="13"/>
        <v>88713.786</v>
      </c>
      <c r="AK17">
        <f t="shared" si="14"/>
        <v>23736.127388535</v>
      </c>
      <c r="AL17">
        <f t="shared" si="15"/>
        <v>202318.324</v>
      </c>
      <c r="AM17">
        <f t="shared" si="16"/>
        <v>58306.0838836122</v>
      </c>
      <c r="AN17">
        <f t="shared" si="17"/>
        <v>68366.5406484892</v>
      </c>
      <c r="AO17">
        <f>IF($A17="","",Allocation!CJ17)</f>
        <v>499926</v>
      </c>
      <c r="AP17">
        <f>IF($A17="","",IF(Allocation!$N$2="VOL_EFF",$Q17,IF(Allocation!$N$2="VOL_CLASS",$R17,$S17)))</f>
        <v>5593340</v>
      </c>
      <c r="AQ17">
        <f>IF($A17="","",IF(Allocation!$N$2="VOL_EFF",$T17,IF(Allocation!$N$2="VOL_CLASS",$U17,$V17)))</f>
        <v>20567210</v>
      </c>
      <c r="AR17">
        <f t="shared" si="18"/>
        <v>11584.9380793636</v>
      </c>
      <c r="AS17" t="str">
        <f>IF($A17="","",$A17&amp;"|"&amp;Allocation!BG17)</f>
        <v>2024|ACT</v>
      </c>
    </row>
    <row r="18" ht="14.497499999999997" customHeight="1">
      <c r="A18" t="str">
        <f>IF(Allocation!BI18="","",Allocation!BI18)</f>
        <v>2024</v>
      </c>
      <c r="B18" t="str">
        <f>IF(Allocation!BJ18="","",Allocation!BJ18)</f>
        <v>ISCOM_PAR</v>
      </c>
      <c r="C18" t="str">
        <f>IF(Allocation!BK18="","",Allocation!BK18)</f>
        <v>ISCOM</v>
      </c>
      <c r="D18" t="str">
        <f>IF(Allocation!BL18="","",Allocation!BL18)</f>
        <v>BAC_COM</v>
      </c>
      <c r="E18" t="str">
        <f>IF(Allocation!BM18="","",Allocation!BM18)</f>
        <v>B3</v>
      </c>
      <c r="F18" t="str">
        <f>IF(Allocation!BN18="","",Allocation!BN18)</f>
        <v>ALT</v>
      </c>
      <c r="G18">
        <f>IF(Allocation!BO18="","",Allocation!BO18)</f>
        <v>61</v>
      </c>
      <c r="H18">
        <f>IF(Allocation!BP18="","",Allocation!BP18)</f>
        <v>3</v>
      </c>
      <c r="I18">
        <f>IF(Allocation!BQ18="","",Allocation!BQ18)</f>
        <v>478240</v>
      </c>
      <c r="J18">
        <f>IF(Allocation!CC18="","",Allocation!CC18)</f>
        <v>0</v>
      </c>
      <c r="K18">
        <f t="shared" si="0"/>
        <v>1440</v>
      </c>
      <c r="L18">
        <f t="shared" si="1"/>
        <v>314</v>
      </c>
      <c r="M18">
        <f t="shared" si="2"/>
        <v>15</v>
      </c>
      <c r="N18">
        <f t="shared" si="3"/>
        <v>2580240</v>
      </c>
      <c r="O18">
        <f t="shared" si="4"/>
        <v>7200</v>
      </c>
      <c r="P18">
        <f t="shared" si="5"/>
        <v>128</v>
      </c>
      <c r="Q18">
        <f t="shared" si="6"/>
        <v>737</v>
      </c>
      <c r="R18">
        <f t="shared" si="7"/>
        <v>35</v>
      </c>
      <c r="S18">
        <f t="shared" si="8"/>
        <v>5593340</v>
      </c>
      <c r="T18">
        <f t="shared" si="9"/>
        <v>2773</v>
      </c>
      <c r="U18">
        <f t="shared" si="10"/>
        <v>135</v>
      </c>
      <c r="V18">
        <f t="shared" si="11"/>
        <v>20567210</v>
      </c>
      <c r="W18">
        <f>IF($A18="","",Allocation!CD18)</f>
        <v>165271</v>
      </c>
      <c r="X18">
        <f>IF($A18="","",Allocation!CE18)</f>
        <v>443568.93</v>
      </c>
      <c r="Y18">
        <f>IF($A18="","",Allocation!CF18)</f>
        <v>120212</v>
      </c>
      <c r="Z18">
        <f>IF($A18="","",Allocation!CG18)</f>
        <v>50248</v>
      </c>
      <c r="AA18">
        <f>IF($A18="","",Allocation!CH18)</f>
        <v>1011591.62</v>
      </c>
      <c r="AB18">
        <f>IF($A18="","",Allocation!CI18)</f>
        <v>2639292</v>
      </c>
      <c r="AC18">
        <f>IF($A18="","",IF(Allocation!$N$4="VOL_EFF",$G18,IF(Allocation!$N$4="VOL_CLASS",$H18,$I18)))</f>
        <v>3</v>
      </c>
      <c r="AD18">
        <f>IF($A18="","",IF(Allocation!$N$4="VOL_EFF",$L18,IF(Allocation!$N$4="VOL_CLASS",$M18,$N18)))</f>
        <v>15</v>
      </c>
      <c r="AE18">
        <f>IF($A18="","",IF(Allocation!$N$3="VOL_EFF",$L18,IF(Allocation!$N$3="VOL_CLASS",$M18,$N18)))</f>
        <v>314</v>
      </c>
      <c r="AF18">
        <f>IF($A18="","",IF(Allocation!$N$3="VOL_EFF",$Q18,IF(Allocation!$N$3="VOL_CLASS",$R18,$S18)))</f>
        <v>737</v>
      </c>
      <c r="AG18">
        <f>IF($A18="","",IF(Allocation!$N$1="VOL_EFF",$Q18,IF(Allocation!$N$1="VOL_CLASS",$R18,$S18)))</f>
        <v>35</v>
      </c>
      <c r="AH18">
        <f>IF($A18="","",IF(Allocation!$N$1="VOL_EFF",$T18,IF(Allocation!$N$1="VOL_CLASS",$U18,$V18)))</f>
        <v>135</v>
      </c>
      <c r="AI18">
        <f t="shared" si="12"/>
        <v>33054.2</v>
      </c>
      <c r="AJ18">
        <f t="shared" si="13"/>
        <v>88713.786</v>
      </c>
      <c r="AK18">
        <f t="shared" si="14"/>
        <v>23353.2866242038</v>
      </c>
      <c r="AL18">
        <f t="shared" si="15"/>
        <v>202318.324</v>
      </c>
      <c r="AM18">
        <f t="shared" si="16"/>
        <v>58306.0838836122</v>
      </c>
      <c r="AN18">
        <f t="shared" si="17"/>
        <v>60909.3814128204</v>
      </c>
      <c r="AO18">
        <f>IF($A18="","",Allocation!CJ18)</f>
        <v>499926</v>
      </c>
      <c r="AP18">
        <f>IF($A18="","",IF(Allocation!$N$2="VOL_EFF",$Q18,IF(Allocation!$N$2="VOL_CLASS",$R18,$S18)))</f>
        <v>5593340</v>
      </c>
      <c r="AQ18">
        <f>IF($A18="","",IF(Allocation!$N$2="VOL_EFF",$T18,IF(Allocation!$N$2="VOL_CLASS",$U18,$V18)))</f>
        <v>20567210</v>
      </c>
      <c r="AR18">
        <f t="shared" si="18"/>
        <v>11584.9380793636</v>
      </c>
      <c r="AS18" t="str">
        <f>IF($A18="","",$A18&amp;"|"&amp;Allocation!BG18)</f>
        <v>2024|ACT</v>
      </c>
    </row>
    <row r="19" ht="14.497499999999997" customHeight="1">
      <c r="A19" t="str">
        <f>IF(Allocation!BI19="","",Allocation!BI19)</f>
        <v>2024</v>
      </c>
      <c r="B19" t="str">
        <f>IF(Allocation!BJ19="","",Allocation!BJ19)</f>
        <v>ISCOM_PAR</v>
      </c>
      <c r="C19" t="str">
        <f>IF(Allocation!BK19="","",Allocation!BK19)</f>
        <v>ISCOM</v>
      </c>
      <c r="D19" t="str">
        <f>IF(Allocation!BL19="","",Allocation!BL19)</f>
        <v>MAS_COM</v>
      </c>
      <c r="E19" t="str">
        <f>IF(Allocation!BM19="","",Allocation!BM19)</f>
        <v>M1</v>
      </c>
      <c r="F19" t="str">
        <f>IF(Allocation!BN19="","",Allocation!BN19)</f>
        <v>ALT</v>
      </c>
      <c r="G19">
        <f>IF(Allocation!BO19="","",Allocation!BO19)</f>
        <v>64</v>
      </c>
      <c r="H19">
        <f>IF(Allocation!BP19="","",Allocation!BP19)</f>
        <v>3</v>
      </c>
      <c r="I19">
        <f>IF(Allocation!BQ19="","",Allocation!BQ19)</f>
        <v>543360</v>
      </c>
      <c r="J19">
        <f>IF(Allocation!CC19="","",Allocation!CC19)</f>
        <v>64</v>
      </c>
      <c r="K19">
        <f t="shared" si="0"/>
        <v>1260</v>
      </c>
      <c r="L19">
        <f t="shared" si="1"/>
        <v>314</v>
      </c>
      <c r="M19">
        <f t="shared" si="2"/>
        <v>15</v>
      </c>
      <c r="N19">
        <f t="shared" si="3"/>
        <v>2580240</v>
      </c>
      <c r="O19">
        <f t="shared" si="4"/>
        <v>7200</v>
      </c>
      <c r="P19">
        <f t="shared" si="5"/>
        <v>128</v>
      </c>
      <c r="Q19">
        <f t="shared" si="6"/>
        <v>737</v>
      </c>
      <c r="R19">
        <f t="shared" si="7"/>
        <v>35</v>
      </c>
      <c r="S19">
        <f t="shared" si="8"/>
        <v>5593340</v>
      </c>
      <c r="T19">
        <f t="shared" si="9"/>
        <v>2773</v>
      </c>
      <c r="U19">
        <f t="shared" si="10"/>
        <v>135</v>
      </c>
      <c r="V19">
        <f t="shared" si="11"/>
        <v>20567210</v>
      </c>
      <c r="W19">
        <f>IF($A19="","",Allocation!CD19)</f>
        <v>165271</v>
      </c>
      <c r="X19">
        <f>IF($A19="","",Allocation!CE19)</f>
        <v>443568.93</v>
      </c>
      <c r="Y19">
        <f>IF($A19="","",Allocation!CF19)</f>
        <v>120212</v>
      </c>
      <c r="Z19">
        <f>IF($A19="","",Allocation!CG19)</f>
        <v>50248</v>
      </c>
      <c r="AA19">
        <f>IF($A19="","",Allocation!CH19)</f>
        <v>1011591.62</v>
      </c>
      <c r="AB19">
        <f>IF($A19="","",Allocation!CI19)</f>
        <v>2639292</v>
      </c>
      <c r="AC19">
        <f>IF($A19="","",IF(Allocation!$N$4="VOL_EFF",$G19,IF(Allocation!$N$4="VOL_CLASS",$H19,$I19)))</f>
        <v>3</v>
      </c>
      <c r="AD19">
        <f>IF($A19="","",IF(Allocation!$N$4="VOL_EFF",$L19,IF(Allocation!$N$4="VOL_CLASS",$M19,$N19)))</f>
        <v>15</v>
      </c>
      <c r="AE19">
        <f>IF($A19="","",IF(Allocation!$N$3="VOL_EFF",$L19,IF(Allocation!$N$3="VOL_CLASS",$M19,$N19)))</f>
        <v>314</v>
      </c>
      <c r="AF19">
        <f>IF($A19="","",IF(Allocation!$N$3="VOL_EFF",$Q19,IF(Allocation!$N$3="VOL_CLASS",$R19,$S19)))</f>
        <v>737</v>
      </c>
      <c r="AG19">
        <f>IF($A19="","",IF(Allocation!$N$1="VOL_EFF",$Q19,IF(Allocation!$N$1="VOL_CLASS",$R19,$S19)))</f>
        <v>35</v>
      </c>
      <c r="AH19">
        <f>IF($A19="","",IF(Allocation!$N$1="VOL_EFF",$T19,IF(Allocation!$N$1="VOL_CLASS",$U19,$V19)))</f>
        <v>135</v>
      </c>
      <c r="AI19">
        <f t="shared" si="12"/>
        <v>28922.425</v>
      </c>
      <c r="AJ19">
        <f t="shared" si="13"/>
        <v>77624.56275</v>
      </c>
      <c r="AK19">
        <f t="shared" si="14"/>
        <v>49625.8089171975</v>
      </c>
      <c r="AL19">
        <f t="shared" si="15"/>
        <v>202318.324</v>
      </c>
      <c r="AM19">
        <f t="shared" si="16"/>
        <v>58306.0838836122</v>
      </c>
      <c r="AN19">
        <f t="shared" si="17"/>
        <v>114977.857369827</v>
      </c>
      <c r="AO19">
        <f>IF($A19="","",Allocation!CJ19)</f>
        <v>499926</v>
      </c>
      <c r="AP19">
        <f>IF($A19="","",IF(Allocation!$N$2="VOL_EFF",$Q19,IF(Allocation!$N$2="VOL_CLASS",$R19,$S19)))</f>
        <v>5593340</v>
      </c>
      <c r="AQ19">
        <f>IF($A19="","",IF(Allocation!$N$2="VOL_EFF",$T19,IF(Allocation!$N$2="VOL_CLASS",$U19,$V19)))</f>
        <v>20567210</v>
      </c>
      <c r="AR19">
        <f t="shared" si="18"/>
        <v>11584.9380793636</v>
      </c>
      <c r="AS19" t="str">
        <f>IF($A19="","",$A19&amp;"|"&amp;Allocation!BG19)</f>
        <v>2024|ACT</v>
      </c>
    </row>
    <row r="20" ht="14.497499999999997" customHeight="1">
      <c r="A20" t="str">
        <f>IF(Allocation!BI20="","",Allocation!BI20)</f>
        <v>2024</v>
      </c>
      <c r="B20" t="str">
        <f>IF(Allocation!BJ20="","",Allocation!BJ20)</f>
        <v>ISCOM_PAR</v>
      </c>
      <c r="C20" t="str">
        <f>IF(Allocation!BK20="","",Allocation!BK20)</f>
        <v>ISCOM</v>
      </c>
      <c r="D20" t="str">
        <f>IF(Allocation!BL20="","",Allocation!BL20)</f>
        <v>MAS_COM</v>
      </c>
      <c r="E20" t="str">
        <f>IF(Allocation!BM20="","",Allocation!BM20)</f>
        <v>M2</v>
      </c>
      <c r="F20" t="str">
        <f>IF(Allocation!BN20="","",Allocation!BN20)</f>
        <v>ALT</v>
      </c>
      <c r="G20">
        <f>IF(Allocation!BO20="","",Allocation!BO20)</f>
        <v>63</v>
      </c>
      <c r="H20">
        <f>IF(Allocation!BP20="","",Allocation!BP20)</f>
        <v>3</v>
      </c>
      <c r="I20">
        <f>IF(Allocation!BQ20="","",Allocation!BQ20)</f>
        <v>529200</v>
      </c>
      <c r="J20">
        <f>IF(Allocation!CC20="","",Allocation!CC20)</f>
        <v>0</v>
      </c>
      <c r="K20">
        <f t="shared" si="0"/>
        <v>1260</v>
      </c>
      <c r="L20">
        <f t="shared" si="1"/>
        <v>314</v>
      </c>
      <c r="M20">
        <f t="shared" si="2"/>
        <v>15</v>
      </c>
      <c r="N20">
        <f t="shared" si="3"/>
        <v>2580240</v>
      </c>
      <c r="O20">
        <f t="shared" si="4"/>
        <v>7200</v>
      </c>
      <c r="P20">
        <f t="shared" si="5"/>
        <v>128</v>
      </c>
      <c r="Q20">
        <f t="shared" si="6"/>
        <v>737</v>
      </c>
      <c r="R20">
        <f t="shared" si="7"/>
        <v>35</v>
      </c>
      <c r="S20">
        <f t="shared" si="8"/>
        <v>5593340</v>
      </c>
      <c r="T20">
        <f t="shared" si="9"/>
        <v>2773</v>
      </c>
      <c r="U20">
        <f t="shared" si="10"/>
        <v>135</v>
      </c>
      <c r="V20">
        <f t="shared" si="11"/>
        <v>20567210</v>
      </c>
      <c r="W20">
        <f>IF($A20="","",Allocation!CD20)</f>
        <v>165271</v>
      </c>
      <c r="X20">
        <f>IF($A20="","",Allocation!CE20)</f>
        <v>443568.93</v>
      </c>
      <c r="Y20">
        <f>IF($A20="","",Allocation!CF20)</f>
        <v>120212</v>
      </c>
      <c r="Z20">
        <f>IF($A20="","",Allocation!CG20)</f>
        <v>50248</v>
      </c>
      <c r="AA20">
        <f>IF($A20="","",Allocation!CH20)</f>
        <v>1011591.62</v>
      </c>
      <c r="AB20">
        <f>IF($A20="","",Allocation!CI20)</f>
        <v>2639292</v>
      </c>
      <c r="AC20">
        <f>IF($A20="","",IF(Allocation!$N$4="VOL_EFF",$G20,IF(Allocation!$N$4="VOL_CLASS",$H20,$I20)))</f>
        <v>3</v>
      </c>
      <c r="AD20">
        <f>IF($A20="","",IF(Allocation!$N$4="VOL_EFF",$L20,IF(Allocation!$N$4="VOL_CLASS",$M20,$N20)))</f>
        <v>15</v>
      </c>
      <c r="AE20">
        <f>IF($A20="","",IF(Allocation!$N$3="VOL_EFF",$L20,IF(Allocation!$N$3="VOL_CLASS",$M20,$N20)))</f>
        <v>314</v>
      </c>
      <c r="AF20">
        <f>IF($A20="","",IF(Allocation!$N$3="VOL_EFF",$Q20,IF(Allocation!$N$3="VOL_CLASS",$R20,$S20)))</f>
        <v>737</v>
      </c>
      <c r="AG20">
        <f>IF($A20="","",IF(Allocation!$N$1="VOL_EFF",$Q20,IF(Allocation!$N$1="VOL_CLASS",$R20,$S20)))</f>
        <v>35</v>
      </c>
      <c r="AH20">
        <f>IF($A20="","",IF(Allocation!$N$1="VOL_EFF",$T20,IF(Allocation!$N$1="VOL_CLASS",$U20,$V20)))</f>
        <v>135</v>
      </c>
      <c r="AI20">
        <f t="shared" si="12"/>
        <v>28922.425</v>
      </c>
      <c r="AJ20">
        <f t="shared" si="13"/>
        <v>77624.56275</v>
      </c>
      <c r="AK20">
        <f t="shared" si="14"/>
        <v>24118.9681528662</v>
      </c>
      <c r="AL20">
        <f t="shared" si="15"/>
        <v>202318.324</v>
      </c>
      <c r="AM20">
        <f t="shared" si="16"/>
        <v>58306.0838836122</v>
      </c>
      <c r="AN20">
        <f t="shared" si="17"/>
        <v>126324.698134158</v>
      </c>
      <c r="AO20">
        <f>IF($A20="","",Allocation!CJ20)</f>
        <v>499926</v>
      </c>
      <c r="AP20">
        <f>IF($A20="","",IF(Allocation!$N$2="VOL_EFF",$Q20,IF(Allocation!$N$2="VOL_CLASS",$R20,$S20)))</f>
        <v>5593340</v>
      </c>
      <c r="AQ20">
        <f>IF($A20="","",IF(Allocation!$N$2="VOL_EFF",$T20,IF(Allocation!$N$2="VOL_CLASS",$U20,$V20)))</f>
        <v>20567210</v>
      </c>
      <c r="AR20">
        <f t="shared" si="18"/>
        <v>11584.9380793636</v>
      </c>
      <c r="AS20" t="str">
        <f>IF($A20="","",$A20&amp;"|"&amp;Allocation!BG20)</f>
        <v>2024|ACT</v>
      </c>
    </row>
    <row r="21" ht="14.497499999999997" customHeight="1">
      <c r="A21" t="str">
        <f>IF(Allocation!BI21="","",Allocation!BI21)</f>
        <v>2024</v>
      </c>
      <c r="B21" t="str">
        <f>IF(Allocation!BJ21="","",Allocation!BJ21)</f>
        <v>ISCOM_TLS</v>
      </c>
      <c r="C21" t="str">
        <f>IF(Allocation!BK21="","",Allocation!BK21)</f>
        <v>ISCOM</v>
      </c>
      <c r="D21" t="str">
        <f>IF(Allocation!BL21="","",Allocation!BL21)</f>
        <v>BAC_COM</v>
      </c>
      <c r="E21" t="str">
        <f>IF(Allocation!BM21="","",Allocation!BM21)</f>
        <v>B1</v>
      </c>
      <c r="F21" t="str">
        <f>IF(Allocation!BN21="","",Allocation!BN21)</f>
        <v>INIT</v>
      </c>
      <c r="G21">
        <f>IF(Allocation!BO21="","",Allocation!BO21)</f>
        <v>42</v>
      </c>
      <c r="H21">
        <f>IF(Allocation!BP21="","",Allocation!BP21)</f>
        <v>2</v>
      </c>
      <c r="I21">
        <f>IF(Allocation!BQ21="","",Allocation!BQ21)</f>
        <v>306180</v>
      </c>
      <c r="J21">
        <f>IF(Allocation!CC21="","",Allocation!CC21)</f>
        <v>42</v>
      </c>
      <c r="K21">
        <f t="shared" si="0"/>
        <v>1200</v>
      </c>
      <c r="L21">
        <f t="shared" si="1"/>
        <v>206</v>
      </c>
      <c r="M21">
        <f t="shared" si="2"/>
        <v>10</v>
      </c>
      <c r="N21">
        <f t="shared" si="3"/>
        <v>1451880</v>
      </c>
      <c r="O21">
        <f t="shared" si="4"/>
        <v>4800</v>
      </c>
      <c r="P21">
        <f t="shared" si="5"/>
        <v>84</v>
      </c>
      <c r="Q21">
        <f t="shared" si="6"/>
        <v>737</v>
      </c>
      <c r="R21">
        <f t="shared" si="7"/>
        <v>35</v>
      </c>
      <c r="S21">
        <f t="shared" si="8"/>
        <v>5593340</v>
      </c>
      <c r="T21">
        <f t="shared" si="9"/>
        <v>2773</v>
      </c>
      <c r="U21">
        <f t="shared" si="10"/>
        <v>135</v>
      </c>
      <c r="V21">
        <f t="shared" si="11"/>
        <v>20567210</v>
      </c>
      <c r="W21">
        <f>IF($A21="","",Allocation!CD21)</f>
        <v>110180</v>
      </c>
      <c r="X21">
        <f>IF($A21="","",Allocation!CE21)</f>
        <v>244893.8</v>
      </c>
      <c r="Y21">
        <f>IF($A21="","",Allocation!CF21)</f>
        <v>78443</v>
      </c>
      <c r="Z21">
        <f>IF($A21="","",Allocation!CG21)</f>
        <v>18251</v>
      </c>
      <c r="AA21">
        <f>IF($A21="","",Allocation!CH21)</f>
        <v>550631.57</v>
      </c>
      <c r="AB21">
        <f>IF($A21="","",Allocation!CI21)</f>
        <v>2639292</v>
      </c>
      <c r="AC21">
        <f>IF($A21="","",IF(Allocation!$N$4="VOL_EFF",$G21,IF(Allocation!$N$4="VOL_CLASS",$H21,$I21)))</f>
        <v>2</v>
      </c>
      <c r="AD21">
        <f>IF($A21="","",IF(Allocation!$N$4="VOL_EFF",$L21,IF(Allocation!$N$4="VOL_CLASS",$M21,$N21)))</f>
        <v>10</v>
      </c>
      <c r="AE21">
        <f>IF($A21="","",IF(Allocation!$N$3="VOL_EFF",$L21,IF(Allocation!$N$3="VOL_CLASS",$M21,$N21)))</f>
        <v>206</v>
      </c>
      <c r="AF21">
        <f>IF($A21="","",IF(Allocation!$N$3="VOL_EFF",$Q21,IF(Allocation!$N$3="VOL_CLASS",$R21,$S21)))</f>
        <v>737</v>
      </c>
      <c r="AG21">
        <f>IF($A21="","",IF(Allocation!$N$1="VOL_EFF",$Q21,IF(Allocation!$N$1="VOL_CLASS",$R21,$S21)))</f>
        <v>35</v>
      </c>
      <c r="AH21">
        <f>IF($A21="","",IF(Allocation!$N$1="VOL_EFF",$T21,IF(Allocation!$N$1="VOL_CLASS",$U21,$V21)))</f>
        <v>135</v>
      </c>
      <c r="AI21">
        <f t="shared" si="12"/>
        <v>27545</v>
      </c>
      <c r="AJ21">
        <f t="shared" si="13"/>
        <v>61223.45</v>
      </c>
      <c r="AK21">
        <f t="shared" si="14"/>
        <v>25118.7330097087</v>
      </c>
      <c r="AL21">
        <f t="shared" si="15"/>
        <v>110126.314</v>
      </c>
      <c r="AM21">
        <f t="shared" si="16"/>
        <v>38251.7620382934</v>
      </c>
      <c r="AN21">
        <f t="shared" si="17"/>
        <v>36314.4312566193</v>
      </c>
      <c r="AO21">
        <f>IF($A21="","",Allocation!CJ21)</f>
        <v>499926</v>
      </c>
      <c r="AP21">
        <f>IF($A21="","",IF(Allocation!$N$2="VOL_EFF",$Q21,IF(Allocation!$N$2="VOL_CLASS",$R21,$S21)))</f>
        <v>5593340</v>
      </c>
      <c r="AQ21">
        <f>IF($A21="","",IF(Allocation!$N$2="VOL_EFF",$T21,IF(Allocation!$N$2="VOL_CLASS",$U21,$V21)))</f>
        <v>20567210</v>
      </c>
      <c r="AR21">
        <f t="shared" si="18"/>
        <v>7600.30969537865</v>
      </c>
      <c r="AS21" t="str">
        <f>IF($A21="","",$A21&amp;"|"&amp;Allocation!BG21)</f>
        <v>2024|ACT</v>
      </c>
    </row>
    <row r="22" ht="14.497499999999997" customHeight="1">
      <c r="A22" t="str">
        <f>IF(Allocation!BI22="","",Allocation!BI22)</f>
        <v>2024</v>
      </c>
      <c r="B22" t="str">
        <f>IF(Allocation!BJ22="","",Allocation!BJ22)</f>
        <v>ISCOM_TLS</v>
      </c>
      <c r="C22" t="str">
        <f>IF(Allocation!BK22="","",Allocation!BK22)</f>
        <v>ISCOM</v>
      </c>
      <c r="D22" t="str">
        <f>IF(Allocation!BL22="","",Allocation!BL22)</f>
        <v>BAC_COM</v>
      </c>
      <c r="E22" t="str">
        <f>IF(Allocation!BM22="","",Allocation!BM22)</f>
        <v>B2</v>
      </c>
      <c r="F22" t="str">
        <f>IF(Allocation!BN22="","",Allocation!BN22)</f>
        <v>ALT</v>
      </c>
      <c r="G22">
        <f>IF(Allocation!BO22="","",Allocation!BO22)</f>
        <v>41</v>
      </c>
      <c r="H22">
        <f>IF(Allocation!BP22="","",Allocation!BP22)</f>
        <v>2</v>
      </c>
      <c r="I22">
        <f>IF(Allocation!BQ22="","",Allocation!BQ22)</f>
        <v>275520</v>
      </c>
      <c r="J22">
        <f>IF(Allocation!CC22="","",Allocation!CC22)</f>
        <v>0</v>
      </c>
      <c r="K22">
        <f t="shared" si="0"/>
        <v>960</v>
      </c>
      <c r="L22">
        <f t="shared" si="1"/>
        <v>206</v>
      </c>
      <c r="M22">
        <f t="shared" si="2"/>
        <v>10</v>
      </c>
      <c r="N22">
        <f t="shared" si="3"/>
        <v>1451880</v>
      </c>
      <c r="O22">
        <f t="shared" si="4"/>
        <v>4800</v>
      </c>
      <c r="P22">
        <f t="shared" si="5"/>
        <v>84</v>
      </c>
      <c r="Q22">
        <f t="shared" si="6"/>
        <v>737</v>
      </c>
      <c r="R22">
        <f t="shared" si="7"/>
        <v>35</v>
      </c>
      <c r="S22">
        <f t="shared" si="8"/>
        <v>5593340</v>
      </c>
      <c r="T22">
        <f t="shared" si="9"/>
        <v>2773</v>
      </c>
      <c r="U22">
        <f t="shared" si="10"/>
        <v>135</v>
      </c>
      <c r="V22">
        <f t="shared" si="11"/>
        <v>20567210</v>
      </c>
      <c r="W22">
        <f>IF($A22="","",Allocation!CD22)</f>
        <v>110180</v>
      </c>
      <c r="X22">
        <f>IF($A22="","",Allocation!CE22)</f>
        <v>244893.8</v>
      </c>
      <c r="Y22">
        <f>IF($A22="","",Allocation!CF22)</f>
        <v>78443</v>
      </c>
      <c r="Z22">
        <f>IF($A22="","",Allocation!CG22)</f>
        <v>18251</v>
      </c>
      <c r="AA22">
        <f>IF($A22="","",Allocation!CH22)</f>
        <v>550631.57</v>
      </c>
      <c r="AB22">
        <f>IF($A22="","",Allocation!CI22)</f>
        <v>2639292</v>
      </c>
      <c r="AC22">
        <f>IF($A22="","",IF(Allocation!$N$4="VOL_EFF",$G22,IF(Allocation!$N$4="VOL_CLASS",$H22,$I22)))</f>
        <v>2</v>
      </c>
      <c r="AD22">
        <f>IF($A22="","",IF(Allocation!$N$4="VOL_EFF",$L22,IF(Allocation!$N$4="VOL_CLASS",$M22,$N22)))</f>
        <v>10</v>
      </c>
      <c r="AE22">
        <f>IF($A22="","",IF(Allocation!$N$3="VOL_EFF",$L22,IF(Allocation!$N$3="VOL_CLASS",$M22,$N22)))</f>
        <v>206</v>
      </c>
      <c r="AF22">
        <f>IF($A22="","",IF(Allocation!$N$3="VOL_EFF",$Q22,IF(Allocation!$N$3="VOL_CLASS",$R22,$S22)))</f>
        <v>737</v>
      </c>
      <c r="AG22">
        <f>IF($A22="","",IF(Allocation!$N$1="VOL_EFF",$Q22,IF(Allocation!$N$1="VOL_CLASS",$R22,$S22)))</f>
        <v>35</v>
      </c>
      <c r="AH22">
        <f>IF($A22="","",IF(Allocation!$N$1="VOL_EFF",$T22,IF(Allocation!$N$1="VOL_CLASS",$U22,$V22)))</f>
        <v>135</v>
      </c>
      <c r="AI22">
        <f t="shared" si="12"/>
        <v>22036</v>
      </c>
      <c r="AJ22">
        <f t="shared" si="13"/>
        <v>48978.76</v>
      </c>
      <c r="AK22">
        <f t="shared" si="14"/>
        <v>15612.4417475728</v>
      </c>
      <c r="AL22">
        <f t="shared" si="15"/>
        <v>110126.314</v>
      </c>
      <c r="AM22">
        <f t="shared" si="16"/>
        <v>38251.7620382934</v>
      </c>
      <c r="AN22">
        <f t="shared" si="17"/>
        <v>32914.4125187551</v>
      </c>
      <c r="AO22">
        <f>IF($A22="","",Allocation!CJ22)</f>
        <v>499926</v>
      </c>
      <c r="AP22">
        <f>IF($A22="","",IF(Allocation!$N$2="VOL_EFF",$Q22,IF(Allocation!$N$2="VOL_CLASS",$R22,$S22)))</f>
        <v>5593340</v>
      </c>
      <c r="AQ22">
        <f>IF($A22="","",IF(Allocation!$N$2="VOL_EFF",$T22,IF(Allocation!$N$2="VOL_CLASS",$U22,$V22)))</f>
        <v>20567210</v>
      </c>
      <c r="AR22">
        <f t="shared" si="18"/>
        <v>7600.30969537865</v>
      </c>
      <c r="AS22" t="str">
        <f>IF($A22="","",$A22&amp;"|"&amp;Allocation!BG22)</f>
        <v>2024|ACT</v>
      </c>
    </row>
    <row r="23" ht="14.497499999999997" customHeight="1">
      <c r="A23" t="str">
        <f>IF(Allocation!BI23="","",Allocation!BI23)</f>
        <v>2024</v>
      </c>
      <c r="B23" t="str">
        <f>IF(Allocation!BJ23="","",Allocation!BJ23)</f>
        <v>ISCOM_TLS</v>
      </c>
      <c r="C23" t="str">
        <f>IF(Allocation!BK23="","",Allocation!BK23)</f>
        <v>ISCOM</v>
      </c>
      <c r="D23" t="str">
        <f>IF(Allocation!BL23="","",Allocation!BL23)</f>
        <v>BAC_COM</v>
      </c>
      <c r="E23" t="str">
        <f>IF(Allocation!BM23="","",Allocation!BM23)</f>
        <v>B3</v>
      </c>
      <c r="F23" t="str">
        <f>IF(Allocation!BN23="","",Allocation!BN23)</f>
        <v>ALT</v>
      </c>
      <c r="G23">
        <f>IF(Allocation!BO23="","",Allocation!BO23)</f>
        <v>40</v>
      </c>
      <c r="H23">
        <f>IF(Allocation!BP23="","",Allocation!BP23)</f>
        <v>2</v>
      </c>
      <c r="I23">
        <f>IF(Allocation!BQ23="","",Allocation!BQ23)</f>
        <v>268800</v>
      </c>
      <c r="J23">
        <f>IF(Allocation!CC23="","",Allocation!CC23)</f>
        <v>0</v>
      </c>
      <c r="K23">
        <f t="shared" si="0"/>
        <v>960</v>
      </c>
      <c r="L23">
        <f t="shared" si="1"/>
        <v>206</v>
      </c>
      <c r="M23">
        <f t="shared" si="2"/>
        <v>10</v>
      </c>
      <c r="N23">
        <f t="shared" si="3"/>
        <v>1451880</v>
      </c>
      <c r="O23">
        <f t="shared" si="4"/>
        <v>4800</v>
      </c>
      <c r="P23">
        <f t="shared" si="5"/>
        <v>84</v>
      </c>
      <c r="Q23">
        <f t="shared" si="6"/>
        <v>737</v>
      </c>
      <c r="R23">
        <f t="shared" si="7"/>
        <v>35</v>
      </c>
      <c r="S23">
        <f t="shared" si="8"/>
        <v>5593340</v>
      </c>
      <c r="T23">
        <f t="shared" si="9"/>
        <v>2773</v>
      </c>
      <c r="U23">
        <f t="shared" si="10"/>
        <v>135</v>
      </c>
      <c r="V23">
        <f t="shared" si="11"/>
        <v>20567210</v>
      </c>
      <c r="W23">
        <f>IF($A23="","",Allocation!CD23)</f>
        <v>110180</v>
      </c>
      <c r="X23">
        <f>IF($A23="","",Allocation!CE23)</f>
        <v>244893.8</v>
      </c>
      <c r="Y23">
        <f>IF($A23="","",Allocation!CF23)</f>
        <v>78443</v>
      </c>
      <c r="Z23">
        <f>IF($A23="","",Allocation!CG23)</f>
        <v>18251</v>
      </c>
      <c r="AA23">
        <f>IF($A23="","",Allocation!CH23)</f>
        <v>550631.57</v>
      </c>
      <c r="AB23">
        <f>IF($A23="","",Allocation!CI23)</f>
        <v>2639292</v>
      </c>
      <c r="AC23">
        <f>IF($A23="","",IF(Allocation!$N$4="VOL_EFF",$G23,IF(Allocation!$N$4="VOL_CLASS",$H23,$I23)))</f>
        <v>2</v>
      </c>
      <c r="AD23">
        <f>IF($A23="","",IF(Allocation!$N$4="VOL_EFF",$L23,IF(Allocation!$N$4="VOL_CLASS",$M23,$N23)))</f>
        <v>10</v>
      </c>
      <c r="AE23">
        <f>IF($A23="","",IF(Allocation!$N$3="VOL_EFF",$L23,IF(Allocation!$N$3="VOL_CLASS",$M23,$N23)))</f>
        <v>206</v>
      </c>
      <c r="AF23">
        <f>IF($A23="","",IF(Allocation!$N$3="VOL_EFF",$Q23,IF(Allocation!$N$3="VOL_CLASS",$R23,$S23)))</f>
        <v>737</v>
      </c>
      <c r="AG23">
        <f>IF($A23="","",IF(Allocation!$N$1="VOL_EFF",$Q23,IF(Allocation!$N$1="VOL_CLASS",$R23,$S23)))</f>
        <v>35</v>
      </c>
      <c r="AH23">
        <f>IF($A23="","",IF(Allocation!$N$1="VOL_EFF",$T23,IF(Allocation!$N$1="VOL_CLASS",$U23,$V23)))</f>
        <v>135</v>
      </c>
      <c r="AI23">
        <f t="shared" si="12"/>
        <v>22036</v>
      </c>
      <c r="AJ23">
        <f t="shared" si="13"/>
        <v>48978.76</v>
      </c>
      <c r="AK23">
        <f t="shared" si="14"/>
        <v>15231.6504854369</v>
      </c>
      <c r="AL23">
        <f t="shared" si="15"/>
        <v>110126.314</v>
      </c>
      <c r="AM23">
        <f t="shared" si="16"/>
        <v>38251.7620382934</v>
      </c>
      <c r="AN23">
        <f t="shared" si="17"/>
        <v>26575.203780891</v>
      </c>
      <c r="AO23">
        <f>IF($A23="","",Allocation!CJ23)</f>
        <v>499926</v>
      </c>
      <c r="AP23">
        <f>IF($A23="","",IF(Allocation!$N$2="VOL_EFF",$Q23,IF(Allocation!$N$2="VOL_CLASS",$R23,$S23)))</f>
        <v>5593340</v>
      </c>
      <c r="AQ23">
        <f>IF($A23="","",IF(Allocation!$N$2="VOL_EFF",$T23,IF(Allocation!$N$2="VOL_CLASS",$U23,$V23)))</f>
        <v>20567210</v>
      </c>
      <c r="AR23">
        <f t="shared" si="18"/>
        <v>7600.30969537865</v>
      </c>
      <c r="AS23" t="str">
        <f>IF($A23="","",$A23&amp;"|"&amp;Allocation!BG23)</f>
        <v>2024|ACT</v>
      </c>
    </row>
    <row r="24" ht="14.497499999999997" customHeight="1">
      <c r="A24" t="str">
        <f>IF(Allocation!BI24="","",Allocation!BI24)</f>
        <v>2024</v>
      </c>
      <c r="B24" t="str">
        <f>IF(Allocation!BJ24="","",Allocation!BJ24)</f>
        <v>ISCOM_TLS</v>
      </c>
      <c r="C24" t="str">
        <f>IF(Allocation!BK24="","",Allocation!BK24)</f>
        <v>ISCOM</v>
      </c>
      <c r="D24" t="str">
        <f>IF(Allocation!BL24="","",Allocation!BL24)</f>
        <v>MAS_COM</v>
      </c>
      <c r="E24" t="str">
        <f>IF(Allocation!BM24="","",Allocation!BM24)</f>
        <v>M1</v>
      </c>
      <c r="F24" t="str">
        <f>IF(Allocation!BN24="","",Allocation!BN24)</f>
        <v>ALT</v>
      </c>
      <c r="G24">
        <f>IF(Allocation!BO24="","",Allocation!BO24)</f>
        <v>42</v>
      </c>
      <c r="H24">
        <f>IF(Allocation!BP24="","",Allocation!BP24)</f>
        <v>2</v>
      </c>
      <c r="I24">
        <f>IF(Allocation!BQ24="","",Allocation!BQ24)</f>
        <v>306180</v>
      </c>
      <c r="J24">
        <f>IF(Allocation!CC24="","",Allocation!CC24)</f>
        <v>42</v>
      </c>
      <c r="K24">
        <f t="shared" si="0"/>
        <v>840</v>
      </c>
      <c r="L24">
        <f t="shared" si="1"/>
        <v>206</v>
      </c>
      <c r="M24">
        <f t="shared" si="2"/>
        <v>10</v>
      </c>
      <c r="N24">
        <f t="shared" si="3"/>
        <v>1451880</v>
      </c>
      <c r="O24">
        <f t="shared" si="4"/>
        <v>4800</v>
      </c>
      <c r="P24">
        <f t="shared" si="5"/>
        <v>84</v>
      </c>
      <c r="Q24">
        <f t="shared" si="6"/>
        <v>737</v>
      </c>
      <c r="R24">
        <f t="shared" si="7"/>
        <v>35</v>
      </c>
      <c r="S24">
        <f t="shared" si="8"/>
        <v>5593340</v>
      </c>
      <c r="T24">
        <f t="shared" si="9"/>
        <v>2773</v>
      </c>
      <c r="U24">
        <f t="shared" si="10"/>
        <v>135</v>
      </c>
      <c r="V24">
        <f t="shared" si="11"/>
        <v>20567210</v>
      </c>
      <c r="W24">
        <f>IF($A24="","",Allocation!CD24)</f>
        <v>110180</v>
      </c>
      <c r="X24">
        <f>IF($A24="","",Allocation!CE24)</f>
        <v>244893.8</v>
      </c>
      <c r="Y24">
        <f>IF($A24="","",Allocation!CF24)</f>
        <v>78443</v>
      </c>
      <c r="Z24">
        <f>IF($A24="","",Allocation!CG24)</f>
        <v>18251</v>
      </c>
      <c r="AA24">
        <f>IF($A24="","",Allocation!CH24)</f>
        <v>550631.57</v>
      </c>
      <c r="AB24">
        <f>IF($A24="","",Allocation!CI24)</f>
        <v>2639292</v>
      </c>
      <c r="AC24">
        <f>IF($A24="","",IF(Allocation!$N$4="VOL_EFF",$G24,IF(Allocation!$N$4="VOL_CLASS",$H24,$I24)))</f>
        <v>2</v>
      </c>
      <c r="AD24">
        <f>IF($A24="","",IF(Allocation!$N$4="VOL_EFF",$L24,IF(Allocation!$N$4="VOL_CLASS",$M24,$N24)))</f>
        <v>10</v>
      </c>
      <c r="AE24">
        <f>IF($A24="","",IF(Allocation!$N$3="VOL_EFF",$L24,IF(Allocation!$N$3="VOL_CLASS",$M24,$N24)))</f>
        <v>206</v>
      </c>
      <c r="AF24">
        <f>IF($A24="","",IF(Allocation!$N$3="VOL_EFF",$Q24,IF(Allocation!$N$3="VOL_CLASS",$R24,$S24)))</f>
        <v>737</v>
      </c>
      <c r="AG24">
        <f>IF($A24="","",IF(Allocation!$N$1="VOL_EFF",$Q24,IF(Allocation!$N$1="VOL_CLASS",$R24,$S24)))</f>
        <v>35</v>
      </c>
      <c r="AH24">
        <f>IF($A24="","",IF(Allocation!$N$1="VOL_EFF",$T24,IF(Allocation!$N$1="VOL_CLASS",$U24,$V24)))</f>
        <v>135</v>
      </c>
      <c r="AI24">
        <f t="shared" si="12"/>
        <v>19281.5</v>
      </c>
      <c r="AJ24">
        <f t="shared" si="13"/>
        <v>42856.415</v>
      </c>
      <c r="AK24">
        <f t="shared" si="14"/>
        <v>25118.7330097087</v>
      </c>
      <c r="AL24">
        <f t="shared" si="15"/>
        <v>110126.314</v>
      </c>
      <c r="AM24">
        <f t="shared" si="16"/>
        <v>38251.7620382934</v>
      </c>
      <c r="AN24">
        <f t="shared" si="17"/>
        <v>62944.9662566193</v>
      </c>
      <c r="AO24">
        <f>IF($A24="","",Allocation!CJ24)</f>
        <v>499926</v>
      </c>
      <c r="AP24">
        <f>IF($A24="","",IF(Allocation!$N$2="VOL_EFF",$Q24,IF(Allocation!$N$2="VOL_CLASS",$R24,$S24)))</f>
        <v>5593340</v>
      </c>
      <c r="AQ24">
        <f>IF($A24="","",IF(Allocation!$N$2="VOL_EFF",$T24,IF(Allocation!$N$2="VOL_CLASS",$U24,$V24)))</f>
        <v>20567210</v>
      </c>
      <c r="AR24">
        <f t="shared" si="18"/>
        <v>7600.30969537865</v>
      </c>
      <c r="AS24" t="str">
        <f>IF($A24="","",$A24&amp;"|"&amp;Allocation!BG24)</f>
        <v>2024|ACT</v>
      </c>
    </row>
    <row r="25" ht="14.497499999999997" customHeight="1">
      <c r="A25" t="str">
        <f>IF(Allocation!BI25="","",Allocation!BI25)</f>
        <v>2024</v>
      </c>
      <c r="B25" t="str">
        <f>IF(Allocation!BJ25="","",Allocation!BJ25)</f>
        <v>ISCOM_TLS</v>
      </c>
      <c r="C25" t="str">
        <f>IF(Allocation!BK25="","",Allocation!BK25)</f>
        <v>ISCOM</v>
      </c>
      <c r="D25" t="str">
        <f>IF(Allocation!BL25="","",Allocation!BL25)</f>
        <v>MAS_COM</v>
      </c>
      <c r="E25" t="str">
        <f>IF(Allocation!BM25="","",Allocation!BM25)</f>
        <v>M2</v>
      </c>
      <c r="F25" t="str">
        <f>IF(Allocation!BN25="","",Allocation!BN25)</f>
        <v>ALT</v>
      </c>
      <c r="G25">
        <f>IF(Allocation!BO25="","",Allocation!BO25)</f>
        <v>41</v>
      </c>
      <c r="H25">
        <f>IF(Allocation!BP25="","",Allocation!BP25)</f>
        <v>2</v>
      </c>
      <c r="I25">
        <f>IF(Allocation!BQ25="","",Allocation!BQ25)</f>
        <v>295200</v>
      </c>
      <c r="J25">
        <f>IF(Allocation!CC25="","",Allocation!CC25)</f>
        <v>0</v>
      </c>
      <c r="K25">
        <f t="shared" si="0"/>
        <v>840</v>
      </c>
      <c r="L25">
        <f t="shared" si="1"/>
        <v>206</v>
      </c>
      <c r="M25">
        <f t="shared" si="2"/>
        <v>10</v>
      </c>
      <c r="N25">
        <f t="shared" si="3"/>
        <v>1451880</v>
      </c>
      <c r="O25">
        <f t="shared" si="4"/>
        <v>4800</v>
      </c>
      <c r="P25">
        <f t="shared" si="5"/>
        <v>84</v>
      </c>
      <c r="Q25">
        <f t="shared" si="6"/>
        <v>737</v>
      </c>
      <c r="R25">
        <f t="shared" si="7"/>
        <v>35</v>
      </c>
      <c r="S25">
        <f t="shared" si="8"/>
        <v>5593340</v>
      </c>
      <c r="T25">
        <f t="shared" si="9"/>
        <v>2773</v>
      </c>
      <c r="U25">
        <f t="shared" si="10"/>
        <v>135</v>
      </c>
      <c r="V25">
        <f t="shared" si="11"/>
        <v>20567210</v>
      </c>
      <c r="W25">
        <f>IF($A25="","",Allocation!CD25)</f>
        <v>110180</v>
      </c>
      <c r="X25">
        <f>IF($A25="","",Allocation!CE25)</f>
        <v>244893.8</v>
      </c>
      <c r="Y25">
        <f>IF($A25="","",Allocation!CF25)</f>
        <v>78443</v>
      </c>
      <c r="Z25">
        <f>IF($A25="","",Allocation!CG25)</f>
        <v>18251</v>
      </c>
      <c r="AA25">
        <f>IF($A25="","",Allocation!CH25)</f>
        <v>550631.57</v>
      </c>
      <c r="AB25">
        <f>IF($A25="","",Allocation!CI25)</f>
        <v>2639292</v>
      </c>
      <c r="AC25">
        <f>IF($A25="","",IF(Allocation!$N$4="VOL_EFF",$G25,IF(Allocation!$N$4="VOL_CLASS",$H25,$I25)))</f>
        <v>2</v>
      </c>
      <c r="AD25">
        <f>IF($A25="","",IF(Allocation!$N$4="VOL_EFF",$L25,IF(Allocation!$N$4="VOL_CLASS",$M25,$N25)))</f>
        <v>10</v>
      </c>
      <c r="AE25">
        <f>IF($A25="","",IF(Allocation!$N$3="VOL_EFF",$L25,IF(Allocation!$N$3="VOL_CLASS",$M25,$N25)))</f>
        <v>206</v>
      </c>
      <c r="AF25">
        <f>IF($A25="","",IF(Allocation!$N$3="VOL_EFF",$Q25,IF(Allocation!$N$3="VOL_CLASS",$R25,$S25)))</f>
        <v>737</v>
      </c>
      <c r="AG25">
        <f>IF($A25="","",IF(Allocation!$N$1="VOL_EFF",$Q25,IF(Allocation!$N$1="VOL_CLASS",$R25,$S25)))</f>
        <v>35</v>
      </c>
      <c r="AH25">
        <f>IF($A25="","",IF(Allocation!$N$1="VOL_EFF",$T25,IF(Allocation!$N$1="VOL_CLASS",$U25,$V25)))</f>
        <v>135</v>
      </c>
      <c r="AI25">
        <f t="shared" si="12"/>
        <v>19281.5</v>
      </c>
      <c r="AJ25">
        <f t="shared" si="13"/>
        <v>42856.415</v>
      </c>
      <c r="AK25">
        <f t="shared" si="14"/>
        <v>15612.4417475728</v>
      </c>
      <c r="AL25">
        <f t="shared" si="15"/>
        <v>110126.314</v>
      </c>
      <c r="AM25">
        <f t="shared" si="16"/>
        <v>38251.7620382934</v>
      </c>
      <c r="AN25">
        <f t="shared" si="17"/>
        <v>61471.2575187552</v>
      </c>
      <c r="AO25">
        <f>IF($A25="","",Allocation!CJ25)</f>
        <v>499926</v>
      </c>
      <c r="AP25">
        <f>IF($A25="","",IF(Allocation!$N$2="VOL_EFF",$Q25,IF(Allocation!$N$2="VOL_CLASS",$R25,$S25)))</f>
        <v>5593340</v>
      </c>
      <c r="AQ25">
        <f>IF($A25="","",IF(Allocation!$N$2="VOL_EFF",$T25,IF(Allocation!$N$2="VOL_CLASS",$U25,$V25)))</f>
        <v>20567210</v>
      </c>
      <c r="AR25">
        <f t="shared" si="18"/>
        <v>7600.30969537865</v>
      </c>
      <c r="AS25" t="str">
        <f>IF($A25="","",$A25&amp;"|"&amp;Allocation!BG25)</f>
        <v>2024|ACT</v>
      </c>
    </row>
    <row r="26" ht="14.497499999999997" customHeight="1">
      <c r="A26" t="str">
        <f>IF(Allocation!BI26="","",Allocation!BI26)</f>
        <v>2024</v>
      </c>
      <c r="B26" t="str">
        <f>IF(Allocation!BJ26="","",Allocation!BJ26)</f>
        <v>MBWAY_BOR</v>
      </c>
      <c r="C26" t="str">
        <f>IF(Allocation!BK26="","",Allocation!BK26)</f>
        <v>MBWAY</v>
      </c>
      <c r="D26" t="str">
        <f>IF(Allocation!BL26="","",Allocation!BL26)</f>
        <v>BAC_MGT</v>
      </c>
      <c r="E26" t="str">
        <f>IF(Allocation!BM26="","",Allocation!BM26)</f>
        <v>B1</v>
      </c>
      <c r="F26" t="str">
        <f>IF(Allocation!BN26="","",Allocation!BN26)</f>
        <v>INIT</v>
      </c>
      <c r="G26">
        <f>IF(Allocation!BO26="","",Allocation!BO26)</f>
        <v>45</v>
      </c>
      <c r="H26">
        <f>IF(Allocation!BP26="","",Allocation!BP26)</f>
        <v>2</v>
      </c>
      <c r="I26">
        <f>IF(Allocation!BQ26="","",Allocation!BQ26)</f>
        <v>331425</v>
      </c>
      <c r="J26">
        <f>IF(Allocation!CC26="","",Allocation!CC26)</f>
        <v>45</v>
      </c>
      <c r="K26">
        <f t="shared" si="0"/>
        <v>1200</v>
      </c>
      <c r="L26">
        <f t="shared" si="1"/>
        <v>221</v>
      </c>
      <c r="M26">
        <f t="shared" si="2"/>
        <v>10</v>
      </c>
      <c r="N26">
        <f t="shared" si="3"/>
        <v>1573680</v>
      </c>
      <c r="O26">
        <f t="shared" si="4"/>
        <v>4800</v>
      </c>
      <c r="P26">
        <f t="shared" si="5"/>
        <v>90</v>
      </c>
      <c r="Q26">
        <f t="shared" si="6"/>
        <v>1112</v>
      </c>
      <c r="R26">
        <f t="shared" si="7"/>
        <v>50</v>
      </c>
      <c r="S26">
        <f t="shared" si="8"/>
        <v>8517270</v>
      </c>
      <c r="T26">
        <f t="shared" si="9"/>
        <v>2773</v>
      </c>
      <c r="U26">
        <f t="shared" si="10"/>
        <v>135</v>
      </c>
      <c r="V26">
        <f t="shared" si="11"/>
        <v>20567210</v>
      </c>
      <c r="W26">
        <f>IF($A26="","",Allocation!CD26)</f>
        <v>110180</v>
      </c>
      <c r="X26">
        <f>IF($A26="","",Allocation!CE26)</f>
        <v>256743.58</v>
      </c>
      <c r="Y26">
        <f>IF($A26="","",Allocation!CF26)</f>
        <v>84556</v>
      </c>
      <c r="Z26">
        <f>IF($A26="","",Allocation!CG26)</f>
        <v>20597</v>
      </c>
      <c r="AA26">
        <f>IF($A26="","",Allocation!CH26)</f>
        <v>606963.18</v>
      </c>
      <c r="AB26">
        <f>IF($A26="","",Allocation!CI26)</f>
        <v>2639292</v>
      </c>
      <c r="AC26">
        <f>IF($A26="","",IF(Allocation!$N$4="VOL_EFF",$G26,IF(Allocation!$N$4="VOL_CLASS",$H26,$I26)))</f>
        <v>2</v>
      </c>
      <c r="AD26">
        <f>IF($A26="","",IF(Allocation!$N$4="VOL_EFF",$L26,IF(Allocation!$N$4="VOL_CLASS",$M26,$N26)))</f>
        <v>10</v>
      </c>
      <c r="AE26">
        <f>IF($A26="","",IF(Allocation!$N$3="VOL_EFF",$L26,IF(Allocation!$N$3="VOL_CLASS",$M26,$N26)))</f>
        <v>221</v>
      </c>
      <c r="AF26">
        <f>IF($A26="","",IF(Allocation!$N$3="VOL_EFF",$Q26,IF(Allocation!$N$3="VOL_CLASS",$R26,$S26)))</f>
        <v>1112</v>
      </c>
      <c r="AG26">
        <f>IF($A26="","",IF(Allocation!$N$1="VOL_EFF",$Q26,IF(Allocation!$N$1="VOL_CLASS",$R26,$S26)))</f>
        <v>50</v>
      </c>
      <c r="AH26">
        <f>IF($A26="","",IF(Allocation!$N$1="VOL_EFF",$T26,IF(Allocation!$N$1="VOL_CLASS",$U26,$V26)))</f>
        <v>135</v>
      </c>
      <c r="AI26">
        <f t="shared" si="12"/>
        <v>27545</v>
      </c>
      <c r="AJ26">
        <f t="shared" si="13"/>
        <v>64185.895</v>
      </c>
      <c r="AK26">
        <f t="shared" si="14"/>
        <v>27515.7850678733</v>
      </c>
      <c r="AL26">
        <f t="shared" si="15"/>
        <v>121392.636</v>
      </c>
      <c r="AM26">
        <f t="shared" si="16"/>
        <v>38854.4852118305</v>
      </c>
      <c r="AN26">
        <f t="shared" si="17"/>
        <v>43702.1764358726</v>
      </c>
      <c r="AO26">
        <f>IF($A26="","",Allocation!CJ26)</f>
        <v>499926</v>
      </c>
      <c r="AP26">
        <f>IF($A26="","",IF(Allocation!$N$2="VOL_EFF",$Q26,IF(Allocation!$N$2="VOL_CLASS",$R26,$S26)))</f>
        <v>8517270</v>
      </c>
      <c r="AQ26">
        <f>IF($A26="","",IF(Allocation!$N$2="VOL_EFF",$T26,IF(Allocation!$N$2="VOL_CLASS",$U26,$V26)))</f>
        <v>20567210</v>
      </c>
      <c r="AR26">
        <f t="shared" si="18"/>
        <v>8229.02228442365</v>
      </c>
      <c r="AS26" t="str">
        <f>IF($A26="","",$A26&amp;"|"&amp;Allocation!BG26)</f>
        <v>2024|ACT</v>
      </c>
    </row>
    <row r="27" ht="14.497499999999997" customHeight="1">
      <c r="A27" t="str">
        <f>IF(Allocation!BI27="","",Allocation!BI27)</f>
        <v>2024</v>
      </c>
      <c r="B27" t="str">
        <f>IF(Allocation!BJ27="","",Allocation!BJ27)</f>
        <v>MBWAY_BOR</v>
      </c>
      <c r="C27" t="str">
        <f>IF(Allocation!BK27="","",Allocation!BK27)</f>
        <v>MBWAY</v>
      </c>
      <c r="D27" t="str">
        <f>IF(Allocation!BL27="","",Allocation!BL27)</f>
        <v>BAC_MGT</v>
      </c>
      <c r="E27" t="str">
        <f>IF(Allocation!BM27="","",Allocation!BM27)</f>
        <v>B2</v>
      </c>
      <c r="F27" t="str">
        <f>IF(Allocation!BN27="","",Allocation!BN27)</f>
        <v>ALT</v>
      </c>
      <c r="G27">
        <f>IF(Allocation!BO27="","",Allocation!BO27)</f>
        <v>44</v>
      </c>
      <c r="H27">
        <f>IF(Allocation!BP27="","",Allocation!BP27)</f>
        <v>2</v>
      </c>
      <c r="I27">
        <f>IF(Allocation!BQ27="","",Allocation!BQ27)</f>
        <v>298760</v>
      </c>
      <c r="J27">
        <f>IF(Allocation!CC27="","",Allocation!CC27)</f>
        <v>0</v>
      </c>
      <c r="K27">
        <f t="shared" si="0"/>
        <v>960</v>
      </c>
      <c r="L27">
        <f t="shared" si="1"/>
        <v>221</v>
      </c>
      <c r="M27">
        <f t="shared" si="2"/>
        <v>10</v>
      </c>
      <c r="N27">
        <f t="shared" si="3"/>
        <v>1573680</v>
      </c>
      <c r="O27">
        <f t="shared" si="4"/>
        <v>4800</v>
      </c>
      <c r="P27">
        <f t="shared" si="5"/>
        <v>90</v>
      </c>
      <c r="Q27">
        <f t="shared" si="6"/>
        <v>1112</v>
      </c>
      <c r="R27">
        <f t="shared" si="7"/>
        <v>50</v>
      </c>
      <c r="S27">
        <f t="shared" si="8"/>
        <v>8517270</v>
      </c>
      <c r="T27">
        <f t="shared" si="9"/>
        <v>2773</v>
      </c>
      <c r="U27">
        <f t="shared" si="10"/>
        <v>135</v>
      </c>
      <c r="V27">
        <f t="shared" si="11"/>
        <v>20567210</v>
      </c>
      <c r="W27">
        <f>IF($A27="","",Allocation!CD27)</f>
        <v>110180</v>
      </c>
      <c r="X27">
        <f>IF($A27="","",Allocation!CE27)</f>
        <v>256743.58</v>
      </c>
      <c r="Y27">
        <f>IF($A27="","",Allocation!CF27)</f>
        <v>84556</v>
      </c>
      <c r="Z27">
        <f>IF($A27="","",Allocation!CG27)</f>
        <v>20597</v>
      </c>
      <c r="AA27">
        <f>IF($A27="","",Allocation!CH27)</f>
        <v>606963.18</v>
      </c>
      <c r="AB27">
        <f>IF($A27="","",Allocation!CI27)</f>
        <v>2639292</v>
      </c>
      <c r="AC27">
        <f>IF($A27="","",IF(Allocation!$N$4="VOL_EFF",$G27,IF(Allocation!$N$4="VOL_CLASS",$H27,$I27)))</f>
        <v>2</v>
      </c>
      <c r="AD27">
        <f>IF($A27="","",IF(Allocation!$N$4="VOL_EFF",$L27,IF(Allocation!$N$4="VOL_CLASS",$M27,$N27)))</f>
        <v>10</v>
      </c>
      <c r="AE27">
        <f>IF($A27="","",IF(Allocation!$N$3="VOL_EFF",$L27,IF(Allocation!$N$3="VOL_CLASS",$M27,$N27)))</f>
        <v>221</v>
      </c>
      <c r="AF27">
        <f>IF($A27="","",IF(Allocation!$N$3="VOL_EFF",$Q27,IF(Allocation!$N$3="VOL_CLASS",$R27,$S27)))</f>
        <v>1112</v>
      </c>
      <c r="AG27">
        <f>IF($A27="","",IF(Allocation!$N$1="VOL_EFF",$Q27,IF(Allocation!$N$1="VOL_CLASS",$R27,$S27)))</f>
        <v>50</v>
      </c>
      <c r="AH27">
        <f>IF($A27="","",IF(Allocation!$N$1="VOL_EFF",$T27,IF(Allocation!$N$1="VOL_CLASS",$U27,$V27)))</f>
        <v>135</v>
      </c>
      <c r="AI27">
        <f t="shared" si="12"/>
        <v>22036</v>
      </c>
      <c r="AJ27">
        <f t="shared" si="13"/>
        <v>51348.716</v>
      </c>
      <c r="AK27">
        <f t="shared" si="14"/>
        <v>16834.6787330317</v>
      </c>
      <c r="AL27">
        <f t="shared" si="15"/>
        <v>121392.636</v>
      </c>
      <c r="AM27">
        <f t="shared" si="16"/>
        <v>38854.4852118305</v>
      </c>
      <c r="AN27">
        <f t="shared" si="17"/>
        <v>40064.4617707142</v>
      </c>
      <c r="AO27">
        <f>IF($A27="","",Allocation!CJ27)</f>
        <v>499926</v>
      </c>
      <c r="AP27">
        <f>IF($A27="","",IF(Allocation!$N$2="VOL_EFF",$Q27,IF(Allocation!$N$2="VOL_CLASS",$R27,$S27)))</f>
        <v>8517270</v>
      </c>
      <c r="AQ27">
        <f>IF($A27="","",IF(Allocation!$N$2="VOL_EFF",$T27,IF(Allocation!$N$2="VOL_CLASS",$U27,$V27)))</f>
        <v>20567210</v>
      </c>
      <c r="AR27">
        <f t="shared" si="18"/>
        <v>8229.02228442365</v>
      </c>
      <c r="AS27" t="str">
        <f>IF($A27="","",$A27&amp;"|"&amp;Allocation!BG27)</f>
        <v>2024|ACT</v>
      </c>
    </row>
    <row r="28" ht="14.497499999999997" customHeight="1">
      <c r="A28" t="str">
        <f>IF(Allocation!BI28="","",Allocation!BI28)</f>
        <v>2024</v>
      </c>
      <c r="B28" t="str">
        <f>IF(Allocation!BJ28="","",Allocation!BJ28)</f>
        <v>MBWAY_BOR</v>
      </c>
      <c r="C28" t="str">
        <f>IF(Allocation!BK28="","",Allocation!BK28)</f>
        <v>MBWAY</v>
      </c>
      <c r="D28" t="str">
        <f>IF(Allocation!BL28="","",Allocation!BL28)</f>
        <v>BAC_MGT</v>
      </c>
      <c r="E28" t="str">
        <f>IF(Allocation!BM28="","",Allocation!BM28)</f>
        <v>B3</v>
      </c>
      <c r="F28" t="str">
        <f>IF(Allocation!BN28="","",Allocation!BN28)</f>
        <v>ALT</v>
      </c>
      <c r="G28">
        <f>IF(Allocation!BO28="","",Allocation!BO28)</f>
        <v>43</v>
      </c>
      <c r="H28">
        <f>IF(Allocation!BP28="","",Allocation!BP28)</f>
        <v>2</v>
      </c>
      <c r="I28">
        <f>IF(Allocation!BQ28="","",Allocation!BQ28)</f>
        <v>291970</v>
      </c>
      <c r="J28">
        <f>IF(Allocation!CC28="","",Allocation!CC28)</f>
        <v>0</v>
      </c>
      <c r="K28">
        <f t="shared" si="0"/>
        <v>960</v>
      </c>
      <c r="L28">
        <f t="shared" si="1"/>
        <v>221</v>
      </c>
      <c r="M28">
        <f t="shared" si="2"/>
        <v>10</v>
      </c>
      <c r="N28">
        <f t="shared" si="3"/>
        <v>1573680</v>
      </c>
      <c r="O28">
        <f t="shared" si="4"/>
        <v>4800</v>
      </c>
      <c r="P28">
        <f t="shared" si="5"/>
        <v>90</v>
      </c>
      <c r="Q28">
        <f t="shared" si="6"/>
        <v>1112</v>
      </c>
      <c r="R28">
        <f t="shared" si="7"/>
        <v>50</v>
      </c>
      <c r="S28">
        <f t="shared" si="8"/>
        <v>8517270</v>
      </c>
      <c r="T28">
        <f t="shared" si="9"/>
        <v>2773</v>
      </c>
      <c r="U28">
        <f t="shared" si="10"/>
        <v>135</v>
      </c>
      <c r="V28">
        <f t="shared" si="11"/>
        <v>20567210</v>
      </c>
      <c r="W28">
        <f>IF($A28="","",Allocation!CD28)</f>
        <v>110180</v>
      </c>
      <c r="X28">
        <f>IF($A28="","",Allocation!CE28)</f>
        <v>256743.58</v>
      </c>
      <c r="Y28">
        <f>IF($A28="","",Allocation!CF28)</f>
        <v>84556</v>
      </c>
      <c r="Z28">
        <f>IF($A28="","",Allocation!CG28)</f>
        <v>20597</v>
      </c>
      <c r="AA28">
        <f>IF($A28="","",Allocation!CH28)</f>
        <v>606963.18</v>
      </c>
      <c r="AB28">
        <f>IF($A28="","",Allocation!CI28)</f>
        <v>2639292</v>
      </c>
      <c r="AC28">
        <f>IF($A28="","",IF(Allocation!$N$4="VOL_EFF",$G28,IF(Allocation!$N$4="VOL_CLASS",$H28,$I28)))</f>
        <v>2</v>
      </c>
      <c r="AD28">
        <f>IF($A28="","",IF(Allocation!$N$4="VOL_EFF",$L28,IF(Allocation!$N$4="VOL_CLASS",$M28,$N28)))</f>
        <v>10</v>
      </c>
      <c r="AE28">
        <f>IF($A28="","",IF(Allocation!$N$3="VOL_EFF",$L28,IF(Allocation!$N$3="VOL_CLASS",$M28,$N28)))</f>
        <v>221</v>
      </c>
      <c r="AF28">
        <f>IF($A28="","",IF(Allocation!$N$3="VOL_EFF",$Q28,IF(Allocation!$N$3="VOL_CLASS",$R28,$S28)))</f>
        <v>1112</v>
      </c>
      <c r="AG28">
        <f>IF($A28="","",IF(Allocation!$N$1="VOL_EFF",$Q28,IF(Allocation!$N$1="VOL_CLASS",$R28,$S28)))</f>
        <v>50</v>
      </c>
      <c r="AH28">
        <f>IF($A28="","",IF(Allocation!$N$1="VOL_EFF",$T28,IF(Allocation!$N$1="VOL_CLASS",$U28,$V28)))</f>
        <v>135</v>
      </c>
      <c r="AI28">
        <f t="shared" si="12"/>
        <v>22036</v>
      </c>
      <c r="AJ28">
        <f t="shared" si="13"/>
        <v>51348.716</v>
      </c>
      <c r="AK28">
        <f t="shared" si="14"/>
        <v>16452.07239819</v>
      </c>
      <c r="AL28">
        <f t="shared" si="15"/>
        <v>121392.636</v>
      </c>
      <c r="AM28">
        <f t="shared" si="16"/>
        <v>38854.4852118305</v>
      </c>
      <c r="AN28">
        <f t="shared" si="17"/>
        <v>33657.0681055559</v>
      </c>
      <c r="AO28">
        <f>IF($A28="","",Allocation!CJ28)</f>
        <v>499926</v>
      </c>
      <c r="AP28">
        <f>IF($A28="","",IF(Allocation!$N$2="VOL_EFF",$Q28,IF(Allocation!$N$2="VOL_CLASS",$R28,$S28)))</f>
        <v>8517270</v>
      </c>
      <c r="AQ28">
        <f>IF($A28="","",IF(Allocation!$N$2="VOL_EFF",$T28,IF(Allocation!$N$2="VOL_CLASS",$U28,$V28)))</f>
        <v>20567210</v>
      </c>
      <c r="AR28">
        <f t="shared" si="18"/>
        <v>8229.02228442365</v>
      </c>
      <c r="AS28" t="str">
        <f>IF($A28="","",$A28&amp;"|"&amp;Allocation!BG28)</f>
        <v>2024|ACT</v>
      </c>
    </row>
    <row r="29" ht="14.497499999999997" customHeight="1">
      <c r="A29" t="str">
        <f>IF(Allocation!BI29="","",Allocation!BI29)</f>
        <v>2024</v>
      </c>
      <c r="B29" t="str">
        <f>IF(Allocation!BJ29="","",Allocation!BJ29)</f>
        <v>MBWAY_BOR</v>
      </c>
      <c r="C29" t="str">
        <f>IF(Allocation!BK29="","",Allocation!BK29)</f>
        <v>MBWAY</v>
      </c>
      <c r="D29" t="str">
        <f>IF(Allocation!BL29="","",Allocation!BL29)</f>
        <v>MAS_MGT</v>
      </c>
      <c r="E29" t="str">
        <f>IF(Allocation!BM29="","",Allocation!BM29)</f>
        <v>M1</v>
      </c>
      <c r="F29" t="str">
        <f>IF(Allocation!BN29="","",Allocation!BN29)</f>
        <v>ALT</v>
      </c>
      <c r="G29">
        <f>IF(Allocation!BO29="","",Allocation!BO29)</f>
        <v>45</v>
      </c>
      <c r="H29">
        <f>IF(Allocation!BP29="","",Allocation!BP29)</f>
        <v>2</v>
      </c>
      <c r="I29">
        <f>IF(Allocation!BQ29="","",Allocation!BQ29)</f>
        <v>331425</v>
      </c>
      <c r="J29">
        <f>IF(Allocation!CC29="","",Allocation!CC29)</f>
        <v>45</v>
      </c>
      <c r="K29">
        <f t="shared" si="0"/>
        <v>840</v>
      </c>
      <c r="L29">
        <f t="shared" si="1"/>
        <v>221</v>
      </c>
      <c r="M29">
        <f t="shared" si="2"/>
        <v>10</v>
      </c>
      <c r="N29">
        <f t="shared" si="3"/>
        <v>1573680</v>
      </c>
      <c r="O29">
        <f t="shared" si="4"/>
        <v>4800</v>
      </c>
      <c r="P29">
        <f t="shared" si="5"/>
        <v>90</v>
      </c>
      <c r="Q29">
        <f t="shared" si="6"/>
        <v>1112</v>
      </c>
      <c r="R29">
        <f t="shared" si="7"/>
        <v>50</v>
      </c>
      <c r="S29">
        <f t="shared" si="8"/>
        <v>8517270</v>
      </c>
      <c r="T29">
        <f t="shared" si="9"/>
        <v>2773</v>
      </c>
      <c r="U29">
        <f t="shared" si="10"/>
        <v>135</v>
      </c>
      <c r="V29">
        <f t="shared" si="11"/>
        <v>20567210</v>
      </c>
      <c r="W29">
        <f>IF($A29="","",Allocation!CD29)</f>
        <v>110180</v>
      </c>
      <c r="X29">
        <f>IF($A29="","",Allocation!CE29)</f>
        <v>256743.58</v>
      </c>
      <c r="Y29">
        <f>IF($A29="","",Allocation!CF29)</f>
        <v>84556</v>
      </c>
      <c r="Z29">
        <f>IF($A29="","",Allocation!CG29)</f>
        <v>20597</v>
      </c>
      <c r="AA29">
        <f>IF($A29="","",Allocation!CH29)</f>
        <v>606963.18</v>
      </c>
      <c r="AB29">
        <f>IF($A29="","",Allocation!CI29)</f>
        <v>2639292</v>
      </c>
      <c r="AC29">
        <f>IF($A29="","",IF(Allocation!$N$4="VOL_EFF",$G29,IF(Allocation!$N$4="VOL_CLASS",$H29,$I29)))</f>
        <v>2</v>
      </c>
      <c r="AD29">
        <f>IF($A29="","",IF(Allocation!$N$4="VOL_EFF",$L29,IF(Allocation!$N$4="VOL_CLASS",$M29,$N29)))</f>
        <v>10</v>
      </c>
      <c r="AE29">
        <f>IF($A29="","",IF(Allocation!$N$3="VOL_EFF",$L29,IF(Allocation!$N$3="VOL_CLASS",$M29,$N29)))</f>
        <v>221</v>
      </c>
      <c r="AF29">
        <f>IF($A29="","",IF(Allocation!$N$3="VOL_EFF",$Q29,IF(Allocation!$N$3="VOL_CLASS",$R29,$S29)))</f>
        <v>1112</v>
      </c>
      <c r="AG29">
        <f>IF($A29="","",IF(Allocation!$N$1="VOL_EFF",$Q29,IF(Allocation!$N$1="VOL_CLASS",$R29,$S29)))</f>
        <v>50</v>
      </c>
      <c r="AH29">
        <f>IF($A29="","",IF(Allocation!$N$1="VOL_EFF",$T29,IF(Allocation!$N$1="VOL_CLASS",$U29,$V29)))</f>
        <v>135</v>
      </c>
      <c r="AI29">
        <f t="shared" si="12"/>
        <v>19281.5</v>
      </c>
      <c r="AJ29">
        <f t="shared" si="13"/>
        <v>44930.1265</v>
      </c>
      <c r="AK29">
        <f t="shared" si="14"/>
        <v>27515.7850678733</v>
      </c>
      <c r="AL29">
        <f t="shared" si="15"/>
        <v>121392.636</v>
      </c>
      <c r="AM29">
        <f t="shared" si="16"/>
        <v>38854.4852118305</v>
      </c>
      <c r="AN29">
        <f t="shared" si="17"/>
        <v>71221.4449358726</v>
      </c>
      <c r="AO29">
        <f>IF($A29="","",Allocation!CJ29)</f>
        <v>499926</v>
      </c>
      <c r="AP29">
        <f>IF($A29="","",IF(Allocation!$N$2="VOL_EFF",$Q29,IF(Allocation!$N$2="VOL_CLASS",$R29,$S29)))</f>
        <v>8517270</v>
      </c>
      <c r="AQ29">
        <f>IF($A29="","",IF(Allocation!$N$2="VOL_EFF",$T29,IF(Allocation!$N$2="VOL_CLASS",$U29,$V29)))</f>
        <v>20567210</v>
      </c>
      <c r="AR29">
        <f t="shared" si="18"/>
        <v>8229.02228442365</v>
      </c>
      <c r="AS29" t="str">
        <f>IF($A29="","",$A29&amp;"|"&amp;Allocation!BG29)</f>
        <v>2024|ACT</v>
      </c>
    </row>
    <row r="30" ht="14.497499999999997" customHeight="1">
      <c r="A30" t="str">
        <f>IF(Allocation!BI30="","",Allocation!BI30)</f>
        <v>2024</v>
      </c>
      <c r="B30" t="str">
        <f>IF(Allocation!BJ30="","",Allocation!BJ30)</f>
        <v>MBWAY_BOR</v>
      </c>
      <c r="C30" t="str">
        <f>IF(Allocation!BK30="","",Allocation!BK30)</f>
        <v>MBWAY</v>
      </c>
      <c r="D30" t="str">
        <f>IF(Allocation!BL30="","",Allocation!BL30)</f>
        <v>MAS_MGT</v>
      </c>
      <c r="E30" t="str">
        <f>IF(Allocation!BM30="","",Allocation!BM30)</f>
        <v>M2</v>
      </c>
      <c r="F30" t="str">
        <f>IF(Allocation!BN30="","",Allocation!BN30)</f>
        <v>ALT</v>
      </c>
      <c r="G30">
        <f>IF(Allocation!BO30="","",Allocation!BO30)</f>
        <v>44</v>
      </c>
      <c r="H30">
        <f>IF(Allocation!BP30="","",Allocation!BP30)</f>
        <v>2</v>
      </c>
      <c r="I30">
        <f>IF(Allocation!BQ30="","",Allocation!BQ30)</f>
        <v>320100</v>
      </c>
      <c r="J30">
        <f>IF(Allocation!CC30="","",Allocation!CC30)</f>
        <v>0</v>
      </c>
      <c r="K30">
        <f t="shared" si="0"/>
        <v>840</v>
      </c>
      <c r="L30">
        <f t="shared" si="1"/>
        <v>221</v>
      </c>
      <c r="M30">
        <f t="shared" si="2"/>
        <v>10</v>
      </c>
      <c r="N30">
        <f t="shared" si="3"/>
        <v>1573680</v>
      </c>
      <c r="O30">
        <f t="shared" si="4"/>
        <v>4800</v>
      </c>
      <c r="P30">
        <f t="shared" si="5"/>
        <v>90</v>
      </c>
      <c r="Q30">
        <f t="shared" si="6"/>
        <v>1112</v>
      </c>
      <c r="R30">
        <f t="shared" si="7"/>
        <v>50</v>
      </c>
      <c r="S30">
        <f t="shared" si="8"/>
        <v>8517270</v>
      </c>
      <c r="T30">
        <f t="shared" si="9"/>
        <v>2773</v>
      </c>
      <c r="U30">
        <f t="shared" si="10"/>
        <v>135</v>
      </c>
      <c r="V30">
        <f t="shared" si="11"/>
        <v>20567210</v>
      </c>
      <c r="W30">
        <f>IF($A30="","",Allocation!CD30)</f>
        <v>110180</v>
      </c>
      <c r="X30">
        <f>IF($A30="","",Allocation!CE30)</f>
        <v>256743.58</v>
      </c>
      <c r="Y30">
        <f>IF($A30="","",Allocation!CF30)</f>
        <v>84556</v>
      </c>
      <c r="Z30">
        <f>IF($A30="","",Allocation!CG30)</f>
        <v>20597</v>
      </c>
      <c r="AA30">
        <f>IF($A30="","",Allocation!CH30)</f>
        <v>606963.18</v>
      </c>
      <c r="AB30">
        <f>IF($A30="","",Allocation!CI30)</f>
        <v>2639292</v>
      </c>
      <c r="AC30">
        <f>IF($A30="","",IF(Allocation!$N$4="VOL_EFF",$G30,IF(Allocation!$N$4="VOL_CLASS",$H30,$I30)))</f>
        <v>2</v>
      </c>
      <c r="AD30">
        <f>IF($A30="","",IF(Allocation!$N$4="VOL_EFF",$L30,IF(Allocation!$N$4="VOL_CLASS",$M30,$N30)))</f>
        <v>10</v>
      </c>
      <c r="AE30">
        <f>IF($A30="","",IF(Allocation!$N$3="VOL_EFF",$L30,IF(Allocation!$N$3="VOL_CLASS",$M30,$N30)))</f>
        <v>221</v>
      </c>
      <c r="AF30">
        <f>IF($A30="","",IF(Allocation!$N$3="VOL_EFF",$Q30,IF(Allocation!$N$3="VOL_CLASS",$R30,$S30)))</f>
        <v>1112</v>
      </c>
      <c r="AG30">
        <f>IF($A30="","",IF(Allocation!$N$1="VOL_EFF",$Q30,IF(Allocation!$N$1="VOL_CLASS",$R30,$S30)))</f>
        <v>50</v>
      </c>
      <c r="AH30">
        <f>IF($A30="","",IF(Allocation!$N$1="VOL_EFF",$T30,IF(Allocation!$N$1="VOL_CLASS",$U30,$V30)))</f>
        <v>135</v>
      </c>
      <c r="AI30">
        <f t="shared" si="12"/>
        <v>19281.5</v>
      </c>
      <c r="AJ30">
        <f t="shared" si="13"/>
        <v>44930.1265</v>
      </c>
      <c r="AK30">
        <f t="shared" si="14"/>
        <v>16834.6787330317</v>
      </c>
      <c r="AL30">
        <f t="shared" si="15"/>
        <v>121392.636</v>
      </c>
      <c r="AM30">
        <f t="shared" si="16"/>
        <v>38854.4852118305</v>
      </c>
      <c r="AN30">
        <f t="shared" si="17"/>
        <v>70577.5512707142</v>
      </c>
      <c r="AO30">
        <f>IF($A30="","",Allocation!CJ30)</f>
        <v>499926</v>
      </c>
      <c r="AP30">
        <f>IF($A30="","",IF(Allocation!$N$2="VOL_EFF",$Q30,IF(Allocation!$N$2="VOL_CLASS",$R30,$S30)))</f>
        <v>8517270</v>
      </c>
      <c r="AQ30">
        <f>IF($A30="","",IF(Allocation!$N$2="VOL_EFF",$T30,IF(Allocation!$N$2="VOL_CLASS",$U30,$V30)))</f>
        <v>20567210</v>
      </c>
      <c r="AR30">
        <f t="shared" si="18"/>
        <v>8229.02228442365</v>
      </c>
      <c r="AS30" t="str">
        <f>IF($A30="","",$A30&amp;"|"&amp;Allocation!BG30)</f>
        <v>2024|ACT</v>
      </c>
    </row>
    <row r="31" ht="14.497499999999997" customHeight="1">
      <c r="A31" t="str">
        <f>IF(Allocation!BI31="","",Allocation!BI31)</f>
        <v>2024</v>
      </c>
      <c r="B31" t="str">
        <f>IF(Allocation!BJ31="","",Allocation!BJ31)</f>
        <v>MBWAY_LYO</v>
      </c>
      <c r="C31" t="str">
        <f>IF(Allocation!BK31="","",Allocation!BK31)</f>
        <v>MBWAY</v>
      </c>
      <c r="D31" t="str">
        <f>IF(Allocation!BL31="","",Allocation!BL31)</f>
        <v>BAC_MGT</v>
      </c>
      <c r="E31" t="str">
        <f>IF(Allocation!BM31="","",Allocation!BM31)</f>
        <v>B1</v>
      </c>
      <c r="F31" t="str">
        <f>IF(Allocation!BN31="","",Allocation!BN31)</f>
        <v>INIT</v>
      </c>
      <c r="G31">
        <f>IF(Allocation!BO31="","",Allocation!BO31)</f>
        <v>59</v>
      </c>
      <c r="H31">
        <f>IF(Allocation!BP31="","",Allocation!BP31)</f>
        <v>3</v>
      </c>
      <c r="I31">
        <f>IF(Allocation!BQ31="","",Allocation!BQ31)</f>
        <v>469935</v>
      </c>
      <c r="J31">
        <f>IF(Allocation!CC31="","",Allocation!CC31)</f>
        <v>59</v>
      </c>
      <c r="K31">
        <f t="shared" si="0"/>
        <v>1800</v>
      </c>
      <c r="L31">
        <f t="shared" si="1"/>
        <v>289</v>
      </c>
      <c r="M31">
        <f t="shared" si="2"/>
        <v>13</v>
      </c>
      <c r="N31">
        <f t="shared" si="3"/>
        <v>2227170</v>
      </c>
      <c r="O31">
        <f t="shared" si="4"/>
        <v>6240</v>
      </c>
      <c r="P31">
        <f t="shared" si="5"/>
        <v>118</v>
      </c>
      <c r="Q31">
        <f t="shared" si="6"/>
        <v>1112</v>
      </c>
      <c r="R31">
        <f t="shared" si="7"/>
        <v>50</v>
      </c>
      <c r="S31">
        <f t="shared" si="8"/>
        <v>8517270</v>
      </c>
      <c r="T31">
        <f t="shared" si="9"/>
        <v>2773</v>
      </c>
      <c r="U31">
        <f t="shared" si="10"/>
        <v>135</v>
      </c>
      <c r="V31">
        <f t="shared" si="11"/>
        <v>20567210</v>
      </c>
      <c r="W31">
        <f>IF($A31="","",Allocation!CD31)</f>
        <v>143235</v>
      </c>
      <c r="X31">
        <f>IF($A31="","",Allocation!CE31)</f>
        <v>368902.58</v>
      </c>
      <c r="Y31">
        <f>IF($A31="","",Allocation!CF31)</f>
        <v>110025</v>
      </c>
      <c r="Z31">
        <f>IF($A31="","",Allocation!CG31)</f>
        <v>34532</v>
      </c>
      <c r="AA31">
        <f>IF($A31="","",Allocation!CH31)</f>
        <v>872661.51</v>
      </c>
      <c r="AB31">
        <f>IF($A31="","",Allocation!CI31)</f>
        <v>2639292</v>
      </c>
      <c r="AC31">
        <f>IF($A31="","",IF(Allocation!$N$4="VOL_EFF",$G31,IF(Allocation!$N$4="VOL_CLASS",$H31,$I31)))</f>
        <v>3</v>
      </c>
      <c r="AD31">
        <f>IF($A31="","",IF(Allocation!$N$4="VOL_EFF",$L31,IF(Allocation!$N$4="VOL_CLASS",$M31,$N31)))</f>
        <v>13</v>
      </c>
      <c r="AE31">
        <f>IF($A31="","",IF(Allocation!$N$3="VOL_EFF",$L31,IF(Allocation!$N$3="VOL_CLASS",$M31,$N31)))</f>
        <v>289</v>
      </c>
      <c r="AF31">
        <f>IF($A31="","",IF(Allocation!$N$3="VOL_EFF",$Q31,IF(Allocation!$N$3="VOL_CLASS",$R31,$S31)))</f>
        <v>1112</v>
      </c>
      <c r="AG31">
        <f>IF($A31="","",IF(Allocation!$N$1="VOL_EFF",$Q31,IF(Allocation!$N$1="VOL_CLASS",$R31,$S31)))</f>
        <v>50</v>
      </c>
      <c r="AH31">
        <f>IF($A31="","",IF(Allocation!$N$1="VOL_EFF",$T31,IF(Allocation!$N$1="VOL_CLASS",$U31,$V31)))</f>
        <v>135</v>
      </c>
      <c r="AI31">
        <f t="shared" si="12"/>
        <v>41317.7884615385</v>
      </c>
      <c r="AJ31">
        <f t="shared" si="13"/>
        <v>106414.205769231</v>
      </c>
      <c r="AK31">
        <f t="shared" si="14"/>
        <v>39727.8512110727</v>
      </c>
      <c r="AL31">
        <f t="shared" si="15"/>
        <v>201383.425384615</v>
      </c>
      <c r="AM31">
        <f t="shared" si="16"/>
        <v>58626.5901125254</v>
      </c>
      <c r="AN31">
        <f t="shared" si="17"/>
        <v>10048.5669750527</v>
      </c>
      <c r="AO31">
        <f>IF($A31="","",Allocation!CJ31)</f>
        <v>499926</v>
      </c>
      <c r="AP31">
        <f>IF($A31="","",IF(Allocation!$N$2="VOL_EFF",$Q31,IF(Allocation!$N$2="VOL_CLASS",$R31,$S31)))</f>
        <v>8517270</v>
      </c>
      <c r="AQ31">
        <f>IF($A31="","",IF(Allocation!$N$2="VOL_EFF",$T31,IF(Allocation!$N$2="VOL_CLASS",$U31,$V31)))</f>
        <v>20567210</v>
      </c>
      <c r="AR31">
        <f t="shared" si="18"/>
        <v>12416.5720859647</v>
      </c>
      <c r="AS31" t="str">
        <f>IF($A31="","",$A31&amp;"|"&amp;Allocation!BG31)</f>
        <v>2024|ACT</v>
      </c>
    </row>
    <row r="32" ht="14.497499999999997" customHeight="1">
      <c r="A32" t="str">
        <f>IF(Allocation!BI32="","",Allocation!BI32)</f>
        <v>2024</v>
      </c>
      <c r="B32" t="str">
        <f>IF(Allocation!BJ32="","",Allocation!BJ32)</f>
        <v>MBWAY_LYO</v>
      </c>
      <c r="C32" t="str">
        <f>IF(Allocation!BK32="","",Allocation!BK32)</f>
        <v>MBWAY</v>
      </c>
      <c r="D32" t="str">
        <f>IF(Allocation!BL32="","",Allocation!BL32)</f>
        <v>BAC_MGT</v>
      </c>
      <c r="E32" t="str">
        <f>IF(Allocation!BM32="","",Allocation!BM32)</f>
        <v>B2</v>
      </c>
      <c r="F32" t="str">
        <f>IF(Allocation!BN32="","",Allocation!BN32)</f>
        <v>ALT</v>
      </c>
      <c r="G32">
        <f>IF(Allocation!BO32="","",Allocation!BO32)</f>
        <v>57</v>
      </c>
      <c r="H32">
        <f>IF(Allocation!BP32="","",Allocation!BP32)</f>
        <v>2</v>
      </c>
      <c r="I32">
        <f>IF(Allocation!BQ32="","",Allocation!BQ32)</f>
        <v>418950</v>
      </c>
      <c r="J32">
        <f>IF(Allocation!CC32="","",Allocation!CC32)</f>
        <v>0</v>
      </c>
      <c r="K32">
        <f t="shared" si="0"/>
        <v>960</v>
      </c>
      <c r="L32">
        <f t="shared" si="1"/>
        <v>289</v>
      </c>
      <c r="M32">
        <f t="shared" si="2"/>
        <v>13</v>
      </c>
      <c r="N32">
        <f t="shared" si="3"/>
        <v>2227170</v>
      </c>
      <c r="O32">
        <f t="shared" si="4"/>
        <v>6240</v>
      </c>
      <c r="P32">
        <f t="shared" si="5"/>
        <v>118</v>
      </c>
      <c r="Q32">
        <f t="shared" si="6"/>
        <v>1112</v>
      </c>
      <c r="R32">
        <f t="shared" si="7"/>
        <v>50</v>
      </c>
      <c r="S32">
        <f t="shared" si="8"/>
        <v>8517270</v>
      </c>
      <c r="T32">
        <f t="shared" si="9"/>
        <v>2773</v>
      </c>
      <c r="U32">
        <f t="shared" si="10"/>
        <v>135</v>
      </c>
      <c r="V32">
        <f t="shared" si="11"/>
        <v>20567210</v>
      </c>
      <c r="W32">
        <f>IF($A32="","",Allocation!CD32)</f>
        <v>143235</v>
      </c>
      <c r="X32">
        <f>IF($A32="","",Allocation!CE32)</f>
        <v>368902.58</v>
      </c>
      <c r="Y32">
        <f>IF($A32="","",Allocation!CF32)</f>
        <v>110025</v>
      </c>
      <c r="Z32">
        <f>IF($A32="","",Allocation!CG32)</f>
        <v>34532</v>
      </c>
      <c r="AA32">
        <f>IF($A32="","",Allocation!CH32)</f>
        <v>872661.51</v>
      </c>
      <c r="AB32">
        <f>IF($A32="","",Allocation!CI32)</f>
        <v>2639292</v>
      </c>
      <c r="AC32">
        <f>IF($A32="","",IF(Allocation!$N$4="VOL_EFF",$G32,IF(Allocation!$N$4="VOL_CLASS",$H32,$I32)))</f>
        <v>2</v>
      </c>
      <c r="AD32">
        <f>IF($A32="","",IF(Allocation!$N$4="VOL_EFF",$L32,IF(Allocation!$N$4="VOL_CLASS",$M32,$N32)))</f>
        <v>13</v>
      </c>
      <c r="AE32">
        <f>IF($A32="","",IF(Allocation!$N$3="VOL_EFF",$L32,IF(Allocation!$N$3="VOL_CLASS",$M32,$N32)))</f>
        <v>289</v>
      </c>
      <c r="AF32">
        <f>IF($A32="","",IF(Allocation!$N$3="VOL_EFF",$Q32,IF(Allocation!$N$3="VOL_CLASS",$R32,$S32)))</f>
        <v>1112</v>
      </c>
      <c r="AG32">
        <f>IF($A32="","",IF(Allocation!$N$1="VOL_EFF",$Q32,IF(Allocation!$N$1="VOL_CLASS",$R32,$S32)))</f>
        <v>50</v>
      </c>
      <c r="AH32">
        <f>IF($A32="","",IF(Allocation!$N$1="VOL_EFF",$T32,IF(Allocation!$N$1="VOL_CLASS",$U32,$V32)))</f>
        <v>135</v>
      </c>
      <c r="AI32">
        <f t="shared" si="12"/>
        <v>22036.1538461538</v>
      </c>
      <c r="AJ32">
        <f t="shared" si="13"/>
        <v>56754.2430769231</v>
      </c>
      <c r="AK32">
        <f t="shared" si="14"/>
        <v>21700.4325259516</v>
      </c>
      <c r="AL32">
        <f t="shared" si="15"/>
        <v>134255.616923077</v>
      </c>
      <c r="AM32">
        <f t="shared" si="16"/>
        <v>39084.3934083502</v>
      </c>
      <c r="AN32">
        <f t="shared" si="17"/>
        <v>136841.445495568</v>
      </c>
      <c r="AO32">
        <f>IF($A32="","",Allocation!CJ32)</f>
        <v>499926</v>
      </c>
      <c r="AP32">
        <f>IF($A32="","",IF(Allocation!$N$2="VOL_EFF",$Q32,IF(Allocation!$N$2="VOL_CLASS",$R32,$S32)))</f>
        <v>8517270</v>
      </c>
      <c r="AQ32">
        <f>IF($A32="","",IF(Allocation!$N$2="VOL_EFF",$T32,IF(Allocation!$N$2="VOL_CLASS",$U32,$V32)))</f>
        <v>20567210</v>
      </c>
      <c r="AR32">
        <f t="shared" si="18"/>
        <v>8277.71472397645</v>
      </c>
      <c r="AS32" t="str">
        <f>IF($A32="","",$A32&amp;"|"&amp;Allocation!BG32)</f>
        <v>2024|ACT</v>
      </c>
    </row>
    <row r="33" ht="14.497499999999997" customHeight="1">
      <c r="A33" t="str">
        <f>IF(Allocation!BI33="","",Allocation!BI33)</f>
        <v>2024</v>
      </c>
      <c r="B33" t="str">
        <f>IF(Allocation!BJ33="","",Allocation!BJ33)</f>
        <v>MBWAY_LYO</v>
      </c>
      <c r="C33" t="str">
        <f>IF(Allocation!BK33="","",Allocation!BK33)</f>
        <v>MBWAY</v>
      </c>
      <c r="D33" t="str">
        <f>IF(Allocation!BL33="","",Allocation!BL33)</f>
        <v>BAC_MGT</v>
      </c>
      <c r="E33" t="str">
        <f>IF(Allocation!BM33="","",Allocation!BM33)</f>
        <v>B3</v>
      </c>
      <c r="F33" t="str">
        <f>IF(Allocation!BN33="","",Allocation!BN33)</f>
        <v>ALT</v>
      </c>
      <c r="G33">
        <f>IF(Allocation!BO33="","",Allocation!BO33)</f>
        <v>56</v>
      </c>
      <c r="H33">
        <f>IF(Allocation!BP33="","",Allocation!BP33)</f>
        <v>2</v>
      </c>
      <c r="I33">
        <f>IF(Allocation!BQ33="","",Allocation!BQ33)</f>
        <v>411600</v>
      </c>
      <c r="J33">
        <f>IF(Allocation!CC33="","",Allocation!CC33)</f>
        <v>0</v>
      </c>
      <c r="K33">
        <f t="shared" si="0"/>
        <v>960</v>
      </c>
      <c r="L33">
        <f t="shared" si="1"/>
        <v>289</v>
      </c>
      <c r="M33">
        <f t="shared" si="2"/>
        <v>13</v>
      </c>
      <c r="N33">
        <f t="shared" si="3"/>
        <v>2227170</v>
      </c>
      <c r="O33">
        <f t="shared" si="4"/>
        <v>6240</v>
      </c>
      <c r="P33">
        <f t="shared" si="5"/>
        <v>118</v>
      </c>
      <c r="Q33">
        <f t="shared" si="6"/>
        <v>1112</v>
      </c>
      <c r="R33">
        <f t="shared" si="7"/>
        <v>50</v>
      </c>
      <c r="S33">
        <f t="shared" si="8"/>
        <v>8517270</v>
      </c>
      <c r="T33">
        <f t="shared" si="9"/>
        <v>2773</v>
      </c>
      <c r="U33">
        <f t="shared" si="10"/>
        <v>135</v>
      </c>
      <c r="V33">
        <f t="shared" si="11"/>
        <v>20567210</v>
      </c>
      <c r="W33">
        <f>IF($A33="","",Allocation!CD33)</f>
        <v>143235</v>
      </c>
      <c r="X33">
        <f>IF($A33="","",Allocation!CE33)</f>
        <v>368902.58</v>
      </c>
      <c r="Y33">
        <f>IF($A33="","",Allocation!CF33)</f>
        <v>110025</v>
      </c>
      <c r="Z33">
        <f>IF($A33="","",Allocation!CG33)</f>
        <v>34532</v>
      </c>
      <c r="AA33">
        <f>IF($A33="","",Allocation!CH33)</f>
        <v>872661.51</v>
      </c>
      <c r="AB33">
        <f>IF($A33="","",Allocation!CI33)</f>
        <v>2639292</v>
      </c>
      <c r="AC33">
        <f>IF($A33="","",IF(Allocation!$N$4="VOL_EFF",$G33,IF(Allocation!$N$4="VOL_CLASS",$H33,$I33)))</f>
        <v>2</v>
      </c>
      <c r="AD33">
        <f>IF($A33="","",IF(Allocation!$N$4="VOL_EFF",$L33,IF(Allocation!$N$4="VOL_CLASS",$M33,$N33)))</f>
        <v>13</v>
      </c>
      <c r="AE33">
        <f>IF($A33="","",IF(Allocation!$N$3="VOL_EFF",$L33,IF(Allocation!$N$3="VOL_CLASS",$M33,$N33)))</f>
        <v>289</v>
      </c>
      <c r="AF33">
        <f>IF($A33="","",IF(Allocation!$N$3="VOL_EFF",$Q33,IF(Allocation!$N$3="VOL_CLASS",$R33,$S33)))</f>
        <v>1112</v>
      </c>
      <c r="AG33">
        <f>IF($A33="","",IF(Allocation!$N$1="VOL_EFF",$Q33,IF(Allocation!$N$1="VOL_CLASS",$R33,$S33)))</f>
        <v>50</v>
      </c>
      <c r="AH33">
        <f>IF($A33="","",IF(Allocation!$N$1="VOL_EFF",$T33,IF(Allocation!$N$1="VOL_CLASS",$U33,$V33)))</f>
        <v>135</v>
      </c>
      <c r="AI33">
        <f t="shared" si="12"/>
        <v>22036.1538461538</v>
      </c>
      <c r="AJ33">
        <f t="shared" si="13"/>
        <v>56754.2430769231</v>
      </c>
      <c r="AK33">
        <f t="shared" si="14"/>
        <v>21319.723183391</v>
      </c>
      <c r="AL33">
        <f t="shared" si="15"/>
        <v>134255.616923077</v>
      </c>
      <c r="AM33">
        <f t="shared" si="16"/>
        <v>39084.3934083502</v>
      </c>
      <c r="AN33">
        <f t="shared" si="17"/>
        <v>129872.154838128</v>
      </c>
      <c r="AO33">
        <f>IF($A33="","",Allocation!CJ33)</f>
        <v>499926</v>
      </c>
      <c r="AP33">
        <f>IF($A33="","",IF(Allocation!$N$2="VOL_EFF",$Q33,IF(Allocation!$N$2="VOL_CLASS",$R33,$S33)))</f>
        <v>8517270</v>
      </c>
      <c r="AQ33">
        <f>IF($A33="","",IF(Allocation!$N$2="VOL_EFF",$T33,IF(Allocation!$N$2="VOL_CLASS",$U33,$V33)))</f>
        <v>20567210</v>
      </c>
      <c r="AR33">
        <f t="shared" si="18"/>
        <v>8277.71472397645</v>
      </c>
      <c r="AS33" t="str">
        <f>IF($A33="","",$A33&amp;"|"&amp;Allocation!BG33)</f>
        <v>2024|ACT</v>
      </c>
    </row>
    <row r="34" ht="14.497499999999997" customHeight="1">
      <c r="A34" t="str">
        <f>IF(Allocation!BI34="","",Allocation!BI34)</f>
        <v>2024</v>
      </c>
      <c r="B34" t="str">
        <f>IF(Allocation!BJ34="","",Allocation!BJ34)</f>
        <v>MBWAY_LYO</v>
      </c>
      <c r="C34" t="str">
        <f>IF(Allocation!BK34="","",Allocation!BK34)</f>
        <v>MBWAY</v>
      </c>
      <c r="D34" t="str">
        <f>IF(Allocation!BL34="","",Allocation!BL34)</f>
        <v>MAS_MGT</v>
      </c>
      <c r="E34" t="str">
        <f>IF(Allocation!BM34="","",Allocation!BM34)</f>
        <v>M1</v>
      </c>
      <c r="F34" t="str">
        <f>IF(Allocation!BN34="","",Allocation!BN34)</f>
        <v>ALT</v>
      </c>
      <c r="G34">
        <f>IF(Allocation!BO34="","",Allocation!BO34)</f>
        <v>59</v>
      </c>
      <c r="H34">
        <f>IF(Allocation!BP34="","",Allocation!BP34)</f>
        <v>3</v>
      </c>
      <c r="I34">
        <f>IF(Allocation!BQ34="","",Allocation!BQ34)</f>
        <v>469935</v>
      </c>
      <c r="J34">
        <f>IF(Allocation!CC34="","",Allocation!CC34)</f>
        <v>59</v>
      </c>
      <c r="K34">
        <f t="shared" si="0"/>
        <v>1260</v>
      </c>
      <c r="L34">
        <f t="shared" si="1"/>
        <v>289</v>
      </c>
      <c r="M34">
        <f t="shared" si="2"/>
        <v>13</v>
      </c>
      <c r="N34">
        <f t="shared" si="3"/>
        <v>2227170</v>
      </c>
      <c r="O34">
        <f t="shared" si="4"/>
        <v>6240</v>
      </c>
      <c r="P34">
        <f t="shared" si="5"/>
        <v>118</v>
      </c>
      <c r="Q34">
        <f t="shared" si="6"/>
        <v>1112</v>
      </c>
      <c r="R34">
        <f t="shared" si="7"/>
        <v>50</v>
      </c>
      <c r="S34">
        <f t="shared" si="8"/>
        <v>8517270</v>
      </c>
      <c r="T34">
        <f t="shared" si="9"/>
        <v>2773</v>
      </c>
      <c r="U34">
        <f t="shared" si="10"/>
        <v>135</v>
      </c>
      <c r="V34">
        <f t="shared" si="11"/>
        <v>20567210</v>
      </c>
      <c r="W34">
        <f>IF($A34="","",Allocation!CD34)</f>
        <v>143235</v>
      </c>
      <c r="X34">
        <f>IF($A34="","",Allocation!CE34)</f>
        <v>368902.58</v>
      </c>
      <c r="Y34">
        <f>IF($A34="","",Allocation!CF34)</f>
        <v>110025</v>
      </c>
      <c r="Z34">
        <f>IF($A34="","",Allocation!CG34)</f>
        <v>34532</v>
      </c>
      <c r="AA34">
        <f>IF($A34="","",Allocation!CH34)</f>
        <v>872661.51</v>
      </c>
      <c r="AB34">
        <f>IF($A34="","",Allocation!CI34)</f>
        <v>2639292</v>
      </c>
      <c r="AC34">
        <f>IF($A34="","",IF(Allocation!$N$4="VOL_EFF",$G34,IF(Allocation!$N$4="VOL_CLASS",$H34,$I34)))</f>
        <v>3</v>
      </c>
      <c r="AD34">
        <f>IF($A34="","",IF(Allocation!$N$4="VOL_EFF",$L34,IF(Allocation!$N$4="VOL_CLASS",$M34,$N34)))</f>
        <v>13</v>
      </c>
      <c r="AE34">
        <f>IF($A34="","",IF(Allocation!$N$3="VOL_EFF",$L34,IF(Allocation!$N$3="VOL_CLASS",$M34,$N34)))</f>
        <v>289</v>
      </c>
      <c r="AF34">
        <f>IF($A34="","",IF(Allocation!$N$3="VOL_EFF",$Q34,IF(Allocation!$N$3="VOL_CLASS",$R34,$S34)))</f>
        <v>1112</v>
      </c>
      <c r="AG34">
        <f>IF($A34="","",IF(Allocation!$N$1="VOL_EFF",$Q34,IF(Allocation!$N$1="VOL_CLASS",$R34,$S34)))</f>
        <v>50</v>
      </c>
      <c r="AH34">
        <f>IF($A34="","",IF(Allocation!$N$1="VOL_EFF",$T34,IF(Allocation!$N$1="VOL_CLASS",$U34,$V34)))</f>
        <v>135</v>
      </c>
      <c r="AI34">
        <f t="shared" si="12"/>
        <v>28922.4519230769</v>
      </c>
      <c r="AJ34">
        <f t="shared" si="13"/>
        <v>74489.9440384615</v>
      </c>
      <c r="AK34">
        <f t="shared" si="14"/>
        <v>39727.8512110727</v>
      </c>
      <c r="AL34">
        <f t="shared" si="15"/>
        <v>201383.425384615</v>
      </c>
      <c r="AM34">
        <f t="shared" si="16"/>
        <v>58626.5901125254</v>
      </c>
      <c r="AN34">
        <f t="shared" si="17"/>
        <v>54368.1652442838</v>
      </c>
      <c r="AO34">
        <f>IF($A34="","",Allocation!CJ34)</f>
        <v>499926</v>
      </c>
      <c r="AP34">
        <f>IF($A34="","",IF(Allocation!$N$2="VOL_EFF",$Q34,IF(Allocation!$N$2="VOL_CLASS",$R34,$S34)))</f>
        <v>8517270</v>
      </c>
      <c r="AQ34">
        <f>IF($A34="","",IF(Allocation!$N$2="VOL_EFF",$T34,IF(Allocation!$N$2="VOL_CLASS",$U34,$V34)))</f>
        <v>20567210</v>
      </c>
      <c r="AR34">
        <f t="shared" si="18"/>
        <v>12416.5720859647</v>
      </c>
      <c r="AS34" t="str">
        <f>IF($A34="","",$A34&amp;"|"&amp;Allocation!BG34)</f>
        <v>2024|ACT</v>
      </c>
    </row>
    <row r="35" ht="14.497499999999997" customHeight="1">
      <c r="A35" t="str">
        <f>IF(Allocation!BI35="","",Allocation!BI35)</f>
        <v>2024</v>
      </c>
      <c r="B35" t="str">
        <f>IF(Allocation!BJ35="","",Allocation!BJ35)</f>
        <v>MBWAY_LYO</v>
      </c>
      <c r="C35" t="str">
        <f>IF(Allocation!BK35="","",Allocation!BK35)</f>
        <v>MBWAY</v>
      </c>
      <c r="D35" t="str">
        <f>IF(Allocation!BL35="","",Allocation!BL35)</f>
        <v>MAS_MGT</v>
      </c>
      <c r="E35" t="str">
        <f>IF(Allocation!BM35="","",Allocation!BM35)</f>
        <v>M2</v>
      </c>
      <c r="F35" t="str">
        <f>IF(Allocation!BN35="","",Allocation!BN35)</f>
        <v>ALT</v>
      </c>
      <c r="G35">
        <f>IF(Allocation!BO35="","",Allocation!BO35)</f>
        <v>58</v>
      </c>
      <c r="H35">
        <f>IF(Allocation!BP35="","",Allocation!BP35)</f>
        <v>3</v>
      </c>
      <c r="I35">
        <f>IF(Allocation!BQ35="","",Allocation!BQ35)</f>
        <v>456750</v>
      </c>
      <c r="J35">
        <f>IF(Allocation!CC35="","",Allocation!CC35)</f>
        <v>0</v>
      </c>
      <c r="K35">
        <f t="shared" si="0"/>
        <v>1260</v>
      </c>
      <c r="L35">
        <f t="shared" si="1"/>
        <v>289</v>
      </c>
      <c r="M35">
        <f t="shared" si="2"/>
        <v>13</v>
      </c>
      <c r="N35">
        <f t="shared" si="3"/>
        <v>2227170</v>
      </c>
      <c r="O35">
        <f t="shared" si="4"/>
        <v>6240</v>
      </c>
      <c r="P35">
        <f t="shared" si="5"/>
        <v>118</v>
      </c>
      <c r="Q35">
        <f t="shared" si="6"/>
        <v>1112</v>
      </c>
      <c r="R35">
        <f t="shared" si="7"/>
        <v>50</v>
      </c>
      <c r="S35">
        <f t="shared" si="8"/>
        <v>8517270</v>
      </c>
      <c r="T35">
        <f t="shared" si="9"/>
        <v>2773</v>
      </c>
      <c r="U35">
        <f t="shared" si="10"/>
        <v>135</v>
      </c>
      <c r="V35">
        <f t="shared" si="11"/>
        <v>20567210</v>
      </c>
      <c r="W35">
        <f>IF($A35="","",Allocation!CD35)</f>
        <v>143235</v>
      </c>
      <c r="X35">
        <f>IF($A35="","",Allocation!CE35)</f>
        <v>368902.58</v>
      </c>
      <c r="Y35">
        <f>IF($A35="","",Allocation!CF35)</f>
        <v>110025</v>
      </c>
      <c r="Z35">
        <f>IF($A35="","",Allocation!CG35)</f>
        <v>34532</v>
      </c>
      <c r="AA35">
        <f>IF($A35="","",Allocation!CH35)</f>
        <v>872661.51</v>
      </c>
      <c r="AB35">
        <f>IF($A35="","",Allocation!CI35)</f>
        <v>2639292</v>
      </c>
      <c r="AC35">
        <f>IF($A35="","",IF(Allocation!$N$4="VOL_EFF",$G35,IF(Allocation!$N$4="VOL_CLASS",$H35,$I35)))</f>
        <v>3</v>
      </c>
      <c r="AD35">
        <f>IF($A35="","",IF(Allocation!$N$4="VOL_EFF",$L35,IF(Allocation!$N$4="VOL_CLASS",$M35,$N35)))</f>
        <v>13</v>
      </c>
      <c r="AE35">
        <f>IF($A35="","",IF(Allocation!$N$3="VOL_EFF",$L35,IF(Allocation!$N$3="VOL_CLASS",$M35,$N35)))</f>
        <v>289</v>
      </c>
      <c r="AF35">
        <f>IF($A35="","",IF(Allocation!$N$3="VOL_EFF",$Q35,IF(Allocation!$N$3="VOL_CLASS",$R35,$S35)))</f>
        <v>1112</v>
      </c>
      <c r="AG35">
        <f>IF($A35="","",IF(Allocation!$N$1="VOL_EFF",$Q35,IF(Allocation!$N$1="VOL_CLASS",$R35,$S35)))</f>
        <v>50</v>
      </c>
      <c r="AH35">
        <f>IF($A35="","",IF(Allocation!$N$1="VOL_EFF",$T35,IF(Allocation!$N$1="VOL_CLASS",$U35,$V35)))</f>
        <v>135</v>
      </c>
      <c r="AI35">
        <f t="shared" si="12"/>
        <v>28922.4519230769</v>
      </c>
      <c r="AJ35">
        <f t="shared" si="13"/>
        <v>74489.9440384615</v>
      </c>
      <c r="AK35">
        <f t="shared" si="14"/>
        <v>22081.1418685121</v>
      </c>
      <c r="AL35">
        <f t="shared" si="15"/>
        <v>201383.425384615</v>
      </c>
      <c r="AM35">
        <f t="shared" si="16"/>
        <v>58626.5901125254</v>
      </c>
      <c r="AN35">
        <f t="shared" si="17"/>
        <v>58829.8745868444</v>
      </c>
      <c r="AO35">
        <f>IF($A35="","",Allocation!CJ35)</f>
        <v>499926</v>
      </c>
      <c r="AP35">
        <f>IF($A35="","",IF(Allocation!$N$2="VOL_EFF",$Q35,IF(Allocation!$N$2="VOL_CLASS",$R35,$S35)))</f>
        <v>8517270</v>
      </c>
      <c r="AQ35">
        <f>IF($A35="","",IF(Allocation!$N$2="VOL_EFF",$T35,IF(Allocation!$N$2="VOL_CLASS",$U35,$V35)))</f>
        <v>20567210</v>
      </c>
      <c r="AR35">
        <f t="shared" si="18"/>
        <v>12416.5720859647</v>
      </c>
      <c r="AS35" t="str">
        <f>IF($A35="","",$A35&amp;"|"&amp;Allocation!BG35)</f>
        <v>2024|ACT</v>
      </c>
    </row>
    <row r="36" ht="14.497499999999997" customHeight="1">
      <c r="A36" t="str">
        <f>IF(Allocation!BI36="","",Allocation!BI36)</f>
        <v>2024</v>
      </c>
      <c r="B36" t="str">
        <f>IF(Allocation!BJ36="","",Allocation!BJ36)</f>
        <v>MBWAY_NAN</v>
      </c>
      <c r="C36" t="str">
        <f>IF(Allocation!BK36="","",Allocation!BK36)</f>
        <v>MBWAY</v>
      </c>
      <c r="D36" t="str">
        <f>IF(Allocation!BL36="","",Allocation!BL36)</f>
        <v>BAC_MGT</v>
      </c>
      <c r="E36" t="str">
        <f>IF(Allocation!BM36="","",Allocation!BM36)</f>
        <v>B1</v>
      </c>
      <c r="F36" t="str">
        <f>IF(Allocation!BN36="","",Allocation!BN36)</f>
        <v>INIT</v>
      </c>
      <c r="G36">
        <f>IF(Allocation!BO36="","",Allocation!BO36)</f>
        <v>53</v>
      </c>
      <c r="H36">
        <f>IF(Allocation!BP36="","",Allocation!BP36)</f>
        <v>2</v>
      </c>
      <c r="I36">
        <f>IF(Allocation!BQ36="","",Allocation!BQ36)</f>
        <v>402270</v>
      </c>
      <c r="J36">
        <f>IF(Allocation!CC36="","",Allocation!CC36)</f>
        <v>53</v>
      </c>
      <c r="K36">
        <f t="shared" si="0"/>
        <v>1200</v>
      </c>
      <c r="L36">
        <f t="shared" si="1"/>
        <v>262</v>
      </c>
      <c r="M36">
        <f t="shared" si="2"/>
        <v>12</v>
      </c>
      <c r="N36">
        <f t="shared" si="3"/>
        <v>1923040</v>
      </c>
      <c r="O36">
        <f t="shared" si="4"/>
        <v>5640</v>
      </c>
      <c r="P36">
        <f t="shared" si="5"/>
        <v>106</v>
      </c>
      <c r="Q36">
        <f t="shared" si="6"/>
        <v>1112</v>
      </c>
      <c r="R36">
        <f t="shared" si="7"/>
        <v>50</v>
      </c>
      <c r="S36">
        <f t="shared" si="8"/>
        <v>8517270</v>
      </c>
      <c r="T36">
        <f t="shared" si="9"/>
        <v>2773</v>
      </c>
      <c r="U36">
        <f t="shared" si="10"/>
        <v>135</v>
      </c>
      <c r="V36">
        <f t="shared" si="11"/>
        <v>20567210</v>
      </c>
      <c r="W36">
        <f>IF($A36="","",Allocation!CD36)</f>
        <v>132216</v>
      </c>
      <c r="X36">
        <f>IF($A36="","",Allocation!CE36)</f>
        <v>316903.04</v>
      </c>
      <c r="Y36">
        <f>IF($A36="","",Allocation!CF36)</f>
        <v>99837</v>
      </c>
      <c r="Z36">
        <f>IF($A36="","",Allocation!CG36)</f>
        <v>26060</v>
      </c>
      <c r="AA36">
        <f>IF($A36="","",Allocation!CH36)</f>
        <v>741040.34</v>
      </c>
      <c r="AB36">
        <f>IF($A36="","",Allocation!CI36)</f>
        <v>2639292</v>
      </c>
      <c r="AC36">
        <f>IF($A36="","",IF(Allocation!$N$4="VOL_EFF",$G36,IF(Allocation!$N$4="VOL_CLASS",$H36,$I36)))</f>
        <v>2</v>
      </c>
      <c r="AD36">
        <f>IF($A36="","",IF(Allocation!$N$4="VOL_EFF",$L36,IF(Allocation!$N$4="VOL_CLASS",$M36,$N36)))</f>
        <v>12</v>
      </c>
      <c r="AE36">
        <f>IF($A36="","",IF(Allocation!$N$3="VOL_EFF",$L36,IF(Allocation!$N$3="VOL_CLASS",$M36,$N36)))</f>
        <v>262</v>
      </c>
      <c r="AF36">
        <f>IF($A36="","",IF(Allocation!$N$3="VOL_EFF",$Q36,IF(Allocation!$N$3="VOL_CLASS",$R36,$S36)))</f>
        <v>1112</v>
      </c>
      <c r="AG36">
        <f>IF($A36="","",IF(Allocation!$N$1="VOL_EFF",$Q36,IF(Allocation!$N$1="VOL_CLASS",$R36,$S36)))</f>
        <v>50</v>
      </c>
      <c r="AH36">
        <f>IF($A36="","",IF(Allocation!$N$1="VOL_EFF",$T36,IF(Allocation!$N$1="VOL_CLASS",$U36,$V36)))</f>
        <v>135</v>
      </c>
      <c r="AI36">
        <f t="shared" si="12"/>
        <v>28131.0638297872</v>
      </c>
      <c r="AJ36">
        <f t="shared" si="13"/>
        <v>67426.1787234043</v>
      </c>
      <c r="AK36">
        <f t="shared" si="14"/>
        <v>33226.034351145</v>
      </c>
      <c r="AL36">
        <f t="shared" si="15"/>
        <v>123506.723333333</v>
      </c>
      <c r="AM36">
        <f t="shared" si="16"/>
        <v>38385.6528110845</v>
      </c>
      <c r="AN36">
        <f t="shared" si="17"/>
        <v>103464.619053361</v>
      </c>
      <c r="AO36">
        <f>IF($A36="","",Allocation!CJ36)</f>
        <v>499926</v>
      </c>
      <c r="AP36">
        <f>IF($A36="","",IF(Allocation!$N$2="VOL_EFF",$Q36,IF(Allocation!$N$2="VOL_CLASS",$R36,$S36)))</f>
        <v>8517270</v>
      </c>
      <c r="AQ36">
        <f>IF($A36="","",IF(Allocation!$N$2="VOL_EFF",$T36,IF(Allocation!$N$2="VOL_CLASS",$U36,$V36)))</f>
        <v>20567210</v>
      </c>
      <c r="AR36">
        <f t="shared" si="18"/>
        <v>8129.7278978846</v>
      </c>
      <c r="AS36" t="str">
        <f>IF($A36="","",$A36&amp;"|"&amp;Allocation!BG36)</f>
        <v>2024|ACT</v>
      </c>
    </row>
    <row r="37" ht="14.497499999999997" customHeight="1">
      <c r="A37" t="str">
        <f>IF(Allocation!BI37="","",Allocation!BI37)</f>
        <v>2024</v>
      </c>
      <c r="B37" t="str">
        <f>IF(Allocation!BJ37="","",Allocation!BJ37)</f>
        <v>MBWAY_NAN</v>
      </c>
      <c r="C37" t="str">
        <f>IF(Allocation!BK37="","",Allocation!BK37)</f>
        <v>MBWAY</v>
      </c>
      <c r="D37" t="str">
        <f>IF(Allocation!BL37="","",Allocation!BL37)</f>
        <v>BAC_MGT</v>
      </c>
      <c r="E37" t="str">
        <f>IF(Allocation!BM37="","",Allocation!BM37)</f>
        <v>B2</v>
      </c>
      <c r="F37" t="str">
        <f>IF(Allocation!BN37="","",Allocation!BN37)</f>
        <v>ALT</v>
      </c>
      <c r="G37">
        <f>IF(Allocation!BO37="","",Allocation!BO37)</f>
        <v>52</v>
      </c>
      <c r="H37">
        <f>IF(Allocation!BP37="","",Allocation!BP37)</f>
        <v>2</v>
      </c>
      <c r="I37">
        <f>IF(Allocation!BQ37="","",Allocation!BQ37)</f>
        <v>364000</v>
      </c>
      <c r="J37">
        <f>IF(Allocation!CC37="","",Allocation!CC37)</f>
        <v>0</v>
      </c>
      <c r="K37">
        <f t="shared" si="0"/>
        <v>960</v>
      </c>
      <c r="L37">
        <f t="shared" si="1"/>
        <v>262</v>
      </c>
      <c r="M37">
        <f t="shared" si="2"/>
        <v>12</v>
      </c>
      <c r="N37">
        <f t="shared" si="3"/>
        <v>1923040</v>
      </c>
      <c r="O37">
        <f t="shared" si="4"/>
        <v>5640</v>
      </c>
      <c r="P37">
        <f t="shared" si="5"/>
        <v>106</v>
      </c>
      <c r="Q37">
        <f t="shared" si="6"/>
        <v>1112</v>
      </c>
      <c r="R37">
        <f t="shared" si="7"/>
        <v>50</v>
      </c>
      <c r="S37">
        <f t="shared" si="8"/>
        <v>8517270</v>
      </c>
      <c r="T37">
        <f t="shared" si="9"/>
        <v>2773</v>
      </c>
      <c r="U37">
        <f t="shared" si="10"/>
        <v>135</v>
      </c>
      <c r="V37">
        <f t="shared" si="11"/>
        <v>20567210</v>
      </c>
      <c r="W37">
        <f>IF($A37="","",Allocation!CD37)</f>
        <v>132216</v>
      </c>
      <c r="X37">
        <f>IF($A37="","",Allocation!CE37)</f>
        <v>316903.04</v>
      </c>
      <c r="Y37">
        <f>IF($A37="","",Allocation!CF37)</f>
        <v>99837</v>
      </c>
      <c r="Z37">
        <f>IF($A37="","",Allocation!CG37)</f>
        <v>26060</v>
      </c>
      <c r="AA37">
        <f>IF($A37="","",Allocation!CH37)</f>
        <v>741040.34</v>
      </c>
      <c r="AB37">
        <f>IF($A37="","",Allocation!CI37)</f>
        <v>2639292</v>
      </c>
      <c r="AC37">
        <f>IF($A37="","",IF(Allocation!$N$4="VOL_EFF",$G37,IF(Allocation!$N$4="VOL_CLASS",$H37,$I37)))</f>
        <v>2</v>
      </c>
      <c r="AD37">
        <f>IF($A37="","",IF(Allocation!$N$4="VOL_EFF",$L37,IF(Allocation!$N$4="VOL_CLASS",$M37,$N37)))</f>
        <v>12</v>
      </c>
      <c r="AE37">
        <f>IF($A37="","",IF(Allocation!$N$3="VOL_EFF",$L37,IF(Allocation!$N$3="VOL_CLASS",$M37,$N37)))</f>
        <v>262</v>
      </c>
      <c r="AF37">
        <f>IF($A37="","",IF(Allocation!$N$3="VOL_EFF",$Q37,IF(Allocation!$N$3="VOL_CLASS",$R37,$S37)))</f>
        <v>1112</v>
      </c>
      <c r="AG37">
        <f>IF($A37="","",IF(Allocation!$N$1="VOL_EFF",$Q37,IF(Allocation!$N$1="VOL_CLASS",$R37,$S37)))</f>
        <v>50</v>
      </c>
      <c r="AH37">
        <f>IF($A37="","",IF(Allocation!$N$1="VOL_EFF",$T37,IF(Allocation!$N$1="VOL_CLASS",$U37,$V37)))</f>
        <v>135</v>
      </c>
      <c r="AI37">
        <f t="shared" si="12"/>
        <v>22504.8510638298</v>
      </c>
      <c r="AJ37">
        <f t="shared" si="13"/>
        <v>53940.9429787234</v>
      </c>
      <c r="AK37">
        <f t="shared" si="14"/>
        <v>19814.9770992366</v>
      </c>
      <c r="AL37">
        <f t="shared" si="15"/>
        <v>123506.723333333</v>
      </c>
      <c r="AM37">
        <f t="shared" si="16"/>
        <v>38385.6528110845</v>
      </c>
      <c r="AN37">
        <f t="shared" si="17"/>
        <v>97717.1248159081</v>
      </c>
      <c r="AO37">
        <f>IF($A37="","",Allocation!CJ37)</f>
        <v>499926</v>
      </c>
      <c r="AP37">
        <f>IF($A37="","",IF(Allocation!$N$2="VOL_EFF",$Q37,IF(Allocation!$N$2="VOL_CLASS",$R37,$S37)))</f>
        <v>8517270</v>
      </c>
      <c r="AQ37">
        <f>IF($A37="","",IF(Allocation!$N$2="VOL_EFF",$T37,IF(Allocation!$N$2="VOL_CLASS",$U37,$V37)))</f>
        <v>20567210</v>
      </c>
      <c r="AR37">
        <f t="shared" si="18"/>
        <v>8129.7278978846</v>
      </c>
      <c r="AS37" t="str">
        <f>IF($A37="","",$A37&amp;"|"&amp;Allocation!BG37)</f>
        <v>2024|ACT</v>
      </c>
    </row>
    <row r="38" ht="14.497499999999997" customHeight="1">
      <c r="A38" t="str">
        <f>IF(Allocation!BI38="","",Allocation!BI38)</f>
        <v>2024</v>
      </c>
      <c r="B38" t="str">
        <f>IF(Allocation!BJ38="","",Allocation!BJ38)</f>
        <v>MBWAY_NAN</v>
      </c>
      <c r="C38" t="str">
        <f>IF(Allocation!BK38="","",Allocation!BK38)</f>
        <v>MBWAY</v>
      </c>
      <c r="D38" t="str">
        <f>IF(Allocation!BL38="","",Allocation!BL38)</f>
        <v>BAC_MGT</v>
      </c>
      <c r="E38" t="str">
        <f>IF(Allocation!BM38="","",Allocation!BM38)</f>
        <v>B3</v>
      </c>
      <c r="F38" t="str">
        <f>IF(Allocation!BN38="","",Allocation!BN38)</f>
        <v>ALT</v>
      </c>
      <c r="G38">
        <f>IF(Allocation!BO38="","",Allocation!BO38)</f>
        <v>51</v>
      </c>
      <c r="H38">
        <f>IF(Allocation!BP38="","",Allocation!BP38)</f>
        <v>2</v>
      </c>
      <c r="I38">
        <f>IF(Allocation!BQ38="","",Allocation!BQ38)</f>
        <v>357000</v>
      </c>
      <c r="J38">
        <f>IF(Allocation!CC38="","",Allocation!CC38)</f>
        <v>0</v>
      </c>
      <c r="K38">
        <f t="shared" si="0"/>
        <v>960</v>
      </c>
      <c r="L38">
        <f t="shared" si="1"/>
        <v>262</v>
      </c>
      <c r="M38">
        <f t="shared" si="2"/>
        <v>12</v>
      </c>
      <c r="N38">
        <f t="shared" si="3"/>
        <v>1923040</v>
      </c>
      <c r="O38">
        <f t="shared" si="4"/>
        <v>5640</v>
      </c>
      <c r="P38">
        <f t="shared" si="5"/>
        <v>106</v>
      </c>
      <c r="Q38">
        <f t="shared" si="6"/>
        <v>1112</v>
      </c>
      <c r="R38">
        <f t="shared" si="7"/>
        <v>50</v>
      </c>
      <c r="S38">
        <f t="shared" si="8"/>
        <v>8517270</v>
      </c>
      <c r="T38">
        <f t="shared" si="9"/>
        <v>2773</v>
      </c>
      <c r="U38">
        <f t="shared" si="10"/>
        <v>135</v>
      </c>
      <c r="V38">
        <f t="shared" si="11"/>
        <v>20567210</v>
      </c>
      <c r="W38">
        <f>IF($A38="","",Allocation!CD38)</f>
        <v>132216</v>
      </c>
      <c r="X38">
        <f>IF($A38="","",Allocation!CE38)</f>
        <v>316903.04</v>
      </c>
      <c r="Y38">
        <f>IF($A38="","",Allocation!CF38)</f>
        <v>99837</v>
      </c>
      <c r="Z38">
        <f>IF($A38="","",Allocation!CG38)</f>
        <v>26060</v>
      </c>
      <c r="AA38">
        <f>IF($A38="","",Allocation!CH38)</f>
        <v>741040.34</v>
      </c>
      <c r="AB38">
        <f>IF($A38="","",Allocation!CI38)</f>
        <v>2639292</v>
      </c>
      <c r="AC38">
        <f>IF($A38="","",IF(Allocation!$N$4="VOL_EFF",$G38,IF(Allocation!$N$4="VOL_CLASS",$H38,$I38)))</f>
        <v>2</v>
      </c>
      <c r="AD38">
        <f>IF($A38="","",IF(Allocation!$N$4="VOL_EFF",$L38,IF(Allocation!$N$4="VOL_CLASS",$M38,$N38)))</f>
        <v>12</v>
      </c>
      <c r="AE38">
        <f>IF($A38="","",IF(Allocation!$N$3="VOL_EFF",$L38,IF(Allocation!$N$3="VOL_CLASS",$M38,$N38)))</f>
        <v>262</v>
      </c>
      <c r="AF38">
        <f>IF($A38="","",IF(Allocation!$N$3="VOL_EFF",$Q38,IF(Allocation!$N$3="VOL_CLASS",$R38,$S38)))</f>
        <v>1112</v>
      </c>
      <c r="AG38">
        <f>IF($A38="","",IF(Allocation!$N$1="VOL_EFF",$Q38,IF(Allocation!$N$1="VOL_CLASS",$R38,$S38)))</f>
        <v>50</v>
      </c>
      <c r="AH38">
        <f>IF($A38="","",IF(Allocation!$N$1="VOL_EFF",$T38,IF(Allocation!$N$1="VOL_CLASS",$U38,$V38)))</f>
        <v>135</v>
      </c>
      <c r="AI38">
        <f t="shared" si="12"/>
        <v>22504.8510638298</v>
      </c>
      <c r="AJ38">
        <f t="shared" si="13"/>
        <v>53940.9429787234</v>
      </c>
      <c r="AK38">
        <f t="shared" si="14"/>
        <v>19433.9198473282</v>
      </c>
      <c r="AL38">
        <f t="shared" si="15"/>
        <v>123506.723333333</v>
      </c>
      <c r="AM38">
        <f t="shared" si="16"/>
        <v>38385.6528110845</v>
      </c>
      <c r="AN38">
        <f t="shared" si="17"/>
        <v>91098.1820678165</v>
      </c>
      <c r="AO38">
        <f>IF($A38="","",Allocation!CJ38)</f>
        <v>499926</v>
      </c>
      <c r="AP38">
        <f>IF($A38="","",IF(Allocation!$N$2="VOL_EFF",$Q38,IF(Allocation!$N$2="VOL_CLASS",$R38,$S38)))</f>
        <v>8517270</v>
      </c>
      <c r="AQ38">
        <f>IF($A38="","",IF(Allocation!$N$2="VOL_EFF",$T38,IF(Allocation!$N$2="VOL_CLASS",$U38,$V38)))</f>
        <v>20567210</v>
      </c>
      <c r="AR38">
        <f t="shared" si="18"/>
        <v>8129.7278978846</v>
      </c>
      <c r="AS38" t="str">
        <f>IF($A38="","",$A38&amp;"|"&amp;Allocation!BG38)</f>
        <v>2024|ACT</v>
      </c>
    </row>
    <row r="39" ht="14.497499999999997" customHeight="1">
      <c r="A39" t="str">
        <f>IF(Allocation!BI39="","",Allocation!BI39)</f>
        <v>2024</v>
      </c>
      <c r="B39" t="str">
        <f>IF(Allocation!BJ39="","",Allocation!BJ39)</f>
        <v>MBWAY_NAN</v>
      </c>
      <c r="C39" t="str">
        <f>IF(Allocation!BK39="","",Allocation!BK39)</f>
        <v>MBWAY</v>
      </c>
      <c r="D39" t="str">
        <f>IF(Allocation!BL39="","",Allocation!BL39)</f>
        <v>MAS_MGT</v>
      </c>
      <c r="E39" t="str">
        <f>IF(Allocation!BM39="","",Allocation!BM39)</f>
        <v>M1</v>
      </c>
      <c r="F39" t="str">
        <f>IF(Allocation!BN39="","",Allocation!BN39)</f>
        <v>ALT</v>
      </c>
      <c r="G39">
        <f>IF(Allocation!BO39="","",Allocation!BO39)</f>
        <v>53</v>
      </c>
      <c r="H39">
        <f>IF(Allocation!BP39="","",Allocation!BP39)</f>
        <v>3</v>
      </c>
      <c r="I39">
        <f>IF(Allocation!BQ39="","",Allocation!BQ39)</f>
        <v>402270</v>
      </c>
      <c r="J39">
        <f>IF(Allocation!CC39="","",Allocation!CC39)</f>
        <v>53</v>
      </c>
      <c r="K39">
        <f t="shared" si="0"/>
        <v>1260</v>
      </c>
      <c r="L39">
        <f t="shared" si="1"/>
        <v>262</v>
      </c>
      <c r="M39">
        <f t="shared" si="2"/>
        <v>12</v>
      </c>
      <c r="N39">
        <f t="shared" si="3"/>
        <v>1923040</v>
      </c>
      <c r="O39">
        <f t="shared" si="4"/>
        <v>5640</v>
      </c>
      <c r="P39">
        <f t="shared" si="5"/>
        <v>106</v>
      </c>
      <c r="Q39">
        <f t="shared" si="6"/>
        <v>1112</v>
      </c>
      <c r="R39">
        <f t="shared" si="7"/>
        <v>50</v>
      </c>
      <c r="S39">
        <f t="shared" si="8"/>
        <v>8517270</v>
      </c>
      <c r="T39">
        <f t="shared" si="9"/>
        <v>2773</v>
      </c>
      <c r="U39">
        <f t="shared" si="10"/>
        <v>135</v>
      </c>
      <c r="V39">
        <f t="shared" si="11"/>
        <v>20567210</v>
      </c>
      <c r="W39">
        <f>IF($A39="","",Allocation!CD39)</f>
        <v>132216</v>
      </c>
      <c r="X39">
        <f>IF($A39="","",Allocation!CE39)</f>
        <v>316903.04</v>
      </c>
      <c r="Y39">
        <f>IF($A39="","",Allocation!CF39)</f>
        <v>99837</v>
      </c>
      <c r="Z39">
        <f>IF($A39="","",Allocation!CG39)</f>
        <v>26060</v>
      </c>
      <c r="AA39">
        <f>IF($A39="","",Allocation!CH39)</f>
        <v>741040.34</v>
      </c>
      <c r="AB39">
        <f>IF($A39="","",Allocation!CI39)</f>
        <v>2639292</v>
      </c>
      <c r="AC39">
        <f>IF($A39="","",IF(Allocation!$N$4="VOL_EFF",$G39,IF(Allocation!$N$4="VOL_CLASS",$H39,$I39)))</f>
        <v>3</v>
      </c>
      <c r="AD39">
        <f>IF($A39="","",IF(Allocation!$N$4="VOL_EFF",$L39,IF(Allocation!$N$4="VOL_CLASS",$M39,$N39)))</f>
        <v>12</v>
      </c>
      <c r="AE39">
        <f>IF($A39="","",IF(Allocation!$N$3="VOL_EFF",$L39,IF(Allocation!$N$3="VOL_CLASS",$M39,$N39)))</f>
        <v>262</v>
      </c>
      <c r="AF39">
        <f>IF($A39="","",IF(Allocation!$N$3="VOL_EFF",$Q39,IF(Allocation!$N$3="VOL_CLASS",$R39,$S39)))</f>
        <v>1112</v>
      </c>
      <c r="AG39">
        <f>IF($A39="","",IF(Allocation!$N$1="VOL_EFF",$Q39,IF(Allocation!$N$1="VOL_CLASS",$R39,$S39)))</f>
        <v>50</v>
      </c>
      <c r="AH39">
        <f>IF($A39="","",IF(Allocation!$N$1="VOL_EFF",$T39,IF(Allocation!$N$1="VOL_CLASS",$U39,$V39)))</f>
        <v>135</v>
      </c>
      <c r="AI39">
        <f t="shared" si="12"/>
        <v>29537.6170212766</v>
      </c>
      <c r="AJ39">
        <f t="shared" si="13"/>
        <v>70797.4876595745</v>
      </c>
      <c r="AK39">
        <f t="shared" si="14"/>
        <v>33226.034351145</v>
      </c>
      <c r="AL39">
        <f t="shared" si="15"/>
        <v>185260.085</v>
      </c>
      <c r="AM39">
        <f t="shared" si="16"/>
        <v>57578.4792166267</v>
      </c>
      <c r="AN39">
        <f t="shared" si="17"/>
        <v>13675.7049045503</v>
      </c>
      <c r="AO39">
        <f>IF($A39="","",Allocation!CJ39)</f>
        <v>499926</v>
      </c>
      <c r="AP39">
        <f>IF($A39="","",IF(Allocation!$N$2="VOL_EFF",$Q39,IF(Allocation!$N$2="VOL_CLASS",$R39,$S39)))</f>
        <v>8517270</v>
      </c>
      <c r="AQ39">
        <f>IF($A39="","",IF(Allocation!$N$2="VOL_EFF",$T39,IF(Allocation!$N$2="VOL_CLASS",$U39,$V39)))</f>
        <v>20567210</v>
      </c>
      <c r="AR39">
        <f t="shared" si="18"/>
        <v>12194.5918468269</v>
      </c>
      <c r="AS39" t="str">
        <f>IF($A39="","",$A39&amp;"|"&amp;Allocation!BG39)</f>
        <v>2024|ACT</v>
      </c>
    </row>
    <row r="40" ht="14.497499999999997" customHeight="1">
      <c r="A40" t="str">
        <f>IF(Allocation!BI40="","",Allocation!BI40)</f>
        <v>2024</v>
      </c>
      <c r="B40" t="str">
        <f>IF(Allocation!BJ40="","",Allocation!BJ40)</f>
        <v>MBWAY_NAN</v>
      </c>
      <c r="C40" t="str">
        <f>IF(Allocation!BK40="","",Allocation!BK40)</f>
        <v>MBWAY</v>
      </c>
      <c r="D40" t="str">
        <f>IF(Allocation!BL40="","",Allocation!BL40)</f>
        <v>MAS_MGT</v>
      </c>
      <c r="E40" t="str">
        <f>IF(Allocation!BM40="","",Allocation!BM40)</f>
        <v>M2</v>
      </c>
      <c r="F40" t="str">
        <f>IF(Allocation!BN40="","",Allocation!BN40)</f>
        <v>ALT</v>
      </c>
      <c r="G40">
        <f>IF(Allocation!BO40="","",Allocation!BO40)</f>
        <v>53</v>
      </c>
      <c r="H40">
        <f>IF(Allocation!BP40="","",Allocation!BP40)</f>
        <v>3</v>
      </c>
      <c r="I40">
        <f>IF(Allocation!BQ40="","",Allocation!BQ40)</f>
        <v>397500</v>
      </c>
      <c r="J40">
        <f>IF(Allocation!CC40="","",Allocation!CC40)</f>
        <v>0</v>
      </c>
      <c r="K40">
        <f t="shared" si="0"/>
        <v>1260</v>
      </c>
      <c r="L40">
        <f t="shared" si="1"/>
        <v>262</v>
      </c>
      <c r="M40">
        <f t="shared" si="2"/>
        <v>12</v>
      </c>
      <c r="N40">
        <f t="shared" si="3"/>
        <v>1923040</v>
      </c>
      <c r="O40">
        <f t="shared" si="4"/>
        <v>5640</v>
      </c>
      <c r="P40">
        <f t="shared" si="5"/>
        <v>106</v>
      </c>
      <c r="Q40">
        <f t="shared" si="6"/>
        <v>1112</v>
      </c>
      <c r="R40">
        <f t="shared" si="7"/>
        <v>50</v>
      </c>
      <c r="S40">
        <f t="shared" si="8"/>
        <v>8517270</v>
      </c>
      <c r="T40">
        <f t="shared" si="9"/>
        <v>2773</v>
      </c>
      <c r="U40">
        <f t="shared" si="10"/>
        <v>135</v>
      </c>
      <c r="V40">
        <f t="shared" si="11"/>
        <v>20567210</v>
      </c>
      <c r="W40">
        <f>IF($A40="","",Allocation!CD40)</f>
        <v>132216</v>
      </c>
      <c r="X40">
        <f>IF($A40="","",Allocation!CE40)</f>
        <v>316903.04</v>
      </c>
      <c r="Y40">
        <f>IF($A40="","",Allocation!CF40)</f>
        <v>99837</v>
      </c>
      <c r="Z40">
        <f>IF($A40="","",Allocation!CG40)</f>
        <v>26060</v>
      </c>
      <c r="AA40">
        <f>IF($A40="","",Allocation!CH40)</f>
        <v>741040.34</v>
      </c>
      <c r="AB40">
        <f>IF($A40="","",Allocation!CI40)</f>
        <v>2639292</v>
      </c>
      <c r="AC40">
        <f>IF($A40="","",IF(Allocation!$N$4="VOL_EFF",$G40,IF(Allocation!$N$4="VOL_CLASS",$H40,$I40)))</f>
        <v>3</v>
      </c>
      <c r="AD40">
        <f>IF($A40="","",IF(Allocation!$N$4="VOL_EFF",$L40,IF(Allocation!$N$4="VOL_CLASS",$M40,$N40)))</f>
        <v>12</v>
      </c>
      <c r="AE40">
        <f>IF($A40="","",IF(Allocation!$N$3="VOL_EFF",$L40,IF(Allocation!$N$3="VOL_CLASS",$M40,$N40)))</f>
        <v>262</v>
      </c>
      <c r="AF40">
        <f>IF($A40="","",IF(Allocation!$N$3="VOL_EFF",$Q40,IF(Allocation!$N$3="VOL_CLASS",$R40,$S40)))</f>
        <v>1112</v>
      </c>
      <c r="AG40">
        <f>IF($A40="","",IF(Allocation!$N$1="VOL_EFF",$Q40,IF(Allocation!$N$1="VOL_CLASS",$R40,$S40)))</f>
        <v>50</v>
      </c>
      <c r="AH40">
        <f>IF($A40="","",IF(Allocation!$N$1="VOL_EFF",$T40,IF(Allocation!$N$1="VOL_CLASS",$U40,$V40)))</f>
        <v>135</v>
      </c>
      <c r="AI40">
        <f t="shared" si="12"/>
        <v>29537.6170212766</v>
      </c>
      <c r="AJ40">
        <f t="shared" si="13"/>
        <v>70797.4876595745</v>
      </c>
      <c r="AK40">
        <f t="shared" si="14"/>
        <v>20196.034351145</v>
      </c>
      <c r="AL40">
        <f t="shared" si="15"/>
        <v>185260.085</v>
      </c>
      <c r="AM40">
        <f t="shared" si="16"/>
        <v>57578.4792166267</v>
      </c>
      <c r="AN40">
        <f t="shared" si="17"/>
        <v>21935.7049045503</v>
      </c>
      <c r="AO40">
        <f>IF($A40="","",Allocation!CJ40)</f>
        <v>499926</v>
      </c>
      <c r="AP40">
        <f>IF($A40="","",IF(Allocation!$N$2="VOL_EFF",$Q40,IF(Allocation!$N$2="VOL_CLASS",$R40,$S40)))</f>
        <v>8517270</v>
      </c>
      <c r="AQ40">
        <f>IF($A40="","",IF(Allocation!$N$2="VOL_EFF",$T40,IF(Allocation!$N$2="VOL_CLASS",$U40,$V40)))</f>
        <v>20567210</v>
      </c>
      <c r="AR40">
        <f t="shared" si="18"/>
        <v>12194.5918468269</v>
      </c>
      <c r="AS40" t="str">
        <f>IF($A40="","",$A40&amp;"|"&amp;Allocation!BG40)</f>
        <v>2024|ACT</v>
      </c>
    </row>
    <row r="41" ht="14.497499999999997" customHeight="1">
      <c r="A41" t="str">
        <f>IF(Allocation!BI41="","",Allocation!BI41)</f>
        <v>2024</v>
      </c>
      <c r="B41" t="str">
        <f>IF(Allocation!BJ41="","",Allocation!BJ41)</f>
        <v>MBWAY_PAR</v>
      </c>
      <c r="C41" t="str">
        <f>IF(Allocation!BK41="","",Allocation!BK41)</f>
        <v>MBWAY</v>
      </c>
      <c r="D41" t="str">
        <f>IF(Allocation!BL41="","",Allocation!BL41)</f>
        <v>BAC_MGT</v>
      </c>
      <c r="E41" t="str">
        <f>IF(Allocation!BM41="","",Allocation!BM41)</f>
        <v>B1</v>
      </c>
      <c r="F41" t="str">
        <f>IF(Allocation!BN41="","",Allocation!BN41)</f>
        <v>INIT</v>
      </c>
      <c r="G41">
        <f>IF(Allocation!BO41="","",Allocation!BO41)</f>
        <v>69</v>
      </c>
      <c r="H41">
        <f>IF(Allocation!BP41="","",Allocation!BP41)</f>
        <v>3</v>
      </c>
      <c r="I41">
        <f>IF(Allocation!BQ41="","",Allocation!BQ41)</f>
        <v>585810</v>
      </c>
      <c r="J41">
        <f>IF(Allocation!CC41="","",Allocation!CC41)</f>
        <v>69</v>
      </c>
      <c r="K41">
        <f t="shared" si="0"/>
        <v>1800</v>
      </c>
      <c r="L41">
        <f t="shared" si="1"/>
        <v>340</v>
      </c>
      <c r="M41">
        <f t="shared" si="2"/>
        <v>15</v>
      </c>
      <c r="N41">
        <f t="shared" si="3"/>
        <v>2793380</v>
      </c>
      <c r="O41">
        <f t="shared" si="4"/>
        <v>7200</v>
      </c>
      <c r="P41">
        <f t="shared" si="5"/>
        <v>138</v>
      </c>
      <c r="Q41">
        <f t="shared" si="6"/>
        <v>1112</v>
      </c>
      <c r="R41">
        <f t="shared" si="7"/>
        <v>50</v>
      </c>
      <c r="S41">
        <f t="shared" si="8"/>
        <v>8517270</v>
      </c>
      <c r="T41">
        <f t="shared" si="9"/>
        <v>2773</v>
      </c>
      <c r="U41">
        <f t="shared" si="10"/>
        <v>135</v>
      </c>
      <c r="V41">
        <f t="shared" si="11"/>
        <v>20567210</v>
      </c>
      <c r="W41">
        <f>IF($A41="","",Allocation!CD41)</f>
        <v>165271</v>
      </c>
      <c r="X41">
        <f>IF($A41="","",Allocation!CE41)</f>
        <v>461593.76</v>
      </c>
      <c r="Y41">
        <f>IF($A41="","",Allocation!CF41)</f>
        <v>129720</v>
      </c>
      <c r="Z41">
        <f>IF($A41="","",Allocation!CG41)</f>
        <v>56438</v>
      </c>
      <c r="AA41">
        <f>IF($A41="","",Allocation!CH41)</f>
        <v>1108043.31</v>
      </c>
      <c r="AB41">
        <f>IF($A41="","",Allocation!CI41)</f>
        <v>2639292</v>
      </c>
      <c r="AC41">
        <f>IF($A41="","",IF(Allocation!$N$4="VOL_EFF",$G41,IF(Allocation!$N$4="VOL_CLASS",$H41,$I41)))</f>
        <v>3</v>
      </c>
      <c r="AD41">
        <f>IF($A41="","",IF(Allocation!$N$4="VOL_EFF",$L41,IF(Allocation!$N$4="VOL_CLASS",$M41,$N41)))</f>
        <v>15</v>
      </c>
      <c r="AE41">
        <f>IF($A41="","",IF(Allocation!$N$3="VOL_EFF",$L41,IF(Allocation!$N$3="VOL_CLASS",$M41,$N41)))</f>
        <v>340</v>
      </c>
      <c r="AF41">
        <f>IF($A41="","",IF(Allocation!$N$3="VOL_EFF",$Q41,IF(Allocation!$N$3="VOL_CLASS",$R41,$S41)))</f>
        <v>1112</v>
      </c>
      <c r="AG41">
        <f>IF($A41="","",IF(Allocation!$N$1="VOL_EFF",$Q41,IF(Allocation!$N$1="VOL_CLASS",$R41,$S41)))</f>
        <v>50</v>
      </c>
      <c r="AH41">
        <f>IF($A41="","",IF(Allocation!$N$1="VOL_EFF",$T41,IF(Allocation!$N$1="VOL_CLASS",$U41,$V41)))</f>
        <v>135</v>
      </c>
      <c r="AI41">
        <f t="shared" si="12"/>
        <v>41317.75</v>
      </c>
      <c r="AJ41">
        <f t="shared" si="13"/>
        <v>115398.44</v>
      </c>
      <c r="AK41">
        <f t="shared" si="14"/>
        <v>54544.5294117647</v>
      </c>
      <c r="AL41">
        <f t="shared" si="15"/>
        <v>221608.662</v>
      </c>
      <c r="AM41">
        <f t="shared" si="16"/>
        <v>59776.1310951239</v>
      </c>
      <c r="AN41">
        <f t="shared" si="17"/>
        <v>80504.4532093827</v>
      </c>
      <c r="AO41">
        <f>IF($A41="","",Allocation!CJ41)</f>
        <v>499926</v>
      </c>
      <c r="AP41">
        <f>IF($A41="","",IF(Allocation!$N$2="VOL_EFF",$Q41,IF(Allocation!$N$2="VOL_CLASS",$R41,$S41)))</f>
        <v>8517270</v>
      </c>
      <c r="AQ41">
        <f>IF($A41="","",IF(Allocation!$N$2="VOL_EFF",$T41,IF(Allocation!$N$2="VOL_CLASS",$U41,$V41)))</f>
        <v>20567210</v>
      </c>
      <c r="AR41">
        <f t="shared" si="18"/>
        <v>12660.0342837287</v>
      </c>
      <c r="AS41" t="str">
        <f>IF($A41="","",$A41&amp;"|"&amp;Allocation!BG41)</f>
        <v>2024|ACT</v>
      </c>
    </row>
    <row r="42" ht="14.497499999999997" customHeight="1">
      <c r="A42" t="str">
        <f>IF(Allocation!BI42="","",Allocation!BI42)</f>
        <v>2024</v>
      </c>
      <c r="B42" t="str">
        <f>IF(Allocation!BJ42="","",Allocation!BJ42)</f>
        <v>MBWAY_PAR</v>
      </c>
      <c r="C42" t="str">
        <f>IF(Allocation!BK42="","",Allocation!BK42)</f>
        <v>MBWAY</v>
      </c>
      <c r="D42" t="str">
        <f>IF(Allocation!BL42="","",Allocation!BL42)</f>
        <v>BAC_MGT</v>
      </c>
      <c r="E42" t="str">
        <f>IF(Allocation!BM42="","",Allocation!BM42)</f>
        <v>B2</v>
      </c>
      <c r="F42" t="str">
        <f>IF(Allocation!BN42="","",Allocation!BN42)</f>
        <v>ALT</v>
      </c>
      <c r="G42">
        <f>IF(Allocation!BO42="","",Allocation!BO42)</f>
        <v>68</v>
      </c>
      <c r="H42">
        <f>IF(Allocation!BP42="","",Allocation!BP42)</f>
        <v>3</v>
      </c>
      <c r="I42">
        <f>IF(Allocation!BQ42="","",Allocation!BQ42)</f>
        <v>533120</v>
      </c>
      <c r="J42">
        <f>IF(Allocation!CC42="","",Allocation!CC42)</f>
        <v>0</v>
      </c>
      <c r="K42">
        <f t="shared" si="0"/>
        <v>1440</v>
      </c>
      <c r="L42">
        <f t="shared" si="1"/>
        <v>340</v>
      </c>
      <c r="M42">
        <f t="shared" si="2"/>
        <v>15</v>
      </c>
      <c r="N42">
        <f t="shared" si="3"/>
        <v>2793380</v>
      </c>
      <c r="O42">
        <f t="shared" si="4"/>
        <v>7200</v>
      </c>
      <c r="P42">
        <f t="shared" si="5"/>
        <v>138</v>
      </c>
      <c r="Q42">
        <f t="shared" si="6"/>
        <v>1112</v>
      </c>
      <c r="R42">
        <f t="shared" si="7"/>
        <v>50</v>
      </c>
      <c r="S42">
        <f t="shared" si="8"/>
        <v>8517270</v>
      </c>
      <c r="T42">
        <f t="shared" si="9"/>
        <v>2773</v>
      </c>
      <c r="U42">
        <f t="shared" si="10"/>
        <v>135</v>
      </c>
      <c r="V42">
        <f t="shared" si="11"/>
        <v>20567210</v>
      </c>
      <c r="W42">
        <f>IF($A42="","",Allocation!CD42)</f>
        <v>165271</v>
      </c>
      <c r="X42">
        <f>IF($A42="","",Allocation!CE42)</f>
        <v>461593.76</v>
      </c>
      <c r="Y42">
        <f>IF($A42="","",Allocation!CF42)</f>
        <v>129720</v>
      </c>
      <c r="Z42">
        <f>IF($A42="","",Allocation!CG42)</f>
        <v>56438</v>
      </c>
      <c r="AA42">
        <f>IF($A42="","",Allocation!CH42)</f>
        <v>1108043.31</v>
      </c>
      <c r="AB42">
        <f>IF($A42="","",Allocation!CI42)</f>
        <v>2639292</v>
      </c>
      <c r="AC42">
        <f>IF($A42="","",IF(Allocation!$N$4="VOL_EFF",$G42,IF(Allocation!$N$4="VOL_CLASS",$H42,$I42)))</f>
        <v>3</v>
      </c>
      <c r="AD42">
        <f>IF($A42="","",IF(Allocation!$N$4="VOL_EFF",$L42,IF(Allocation!$N$4="VOL_CLASS",$M42,$N42)))</f>
        <v>15</v>
      </c>
      <c r="AE42">
        <f>IF($A42="","",IF(Allocation!$N$3="VOL_EFF",$L42,IF(Allocation!$N$3="VOL_CLASS",$M42,$N42)))</f>
        <v>340</v>
      </c>
      <c r="AF42">
        <f>IF($A42="","",IF(Allocation!$N$3="VOL_EFF",$Q42,IF(Allocation!$N$3="VOL_CLASS",$R42,$S42)))</f>
        <v>1112</v>
      </c>
      <c r="AG42">
        <f>IF($A42="","",IF(Allocation!$N$1="VOL_EFF",$Q42,IF(Allocation!$N$1="VOL_CLASS",$R42,$S42)))</f>
        <v>50</v>
      </c>
      <c r="AH42">
        <f>IF($A42="","",IF(Allocation!$N$1="VOL_EFF",$T42,IF(Allocation!$N$1="VOL_CLASS",$U42,$V42)))</f>
        <v>135</v>
      </c>
      <c r="AI42">
        <f t="shared" si="12"/>
        <v>33054.2</v>
      </c>
      <c r="AJ42">
        <f t="shared" si="13"/>
        <v>92318.752</v>
      </c>
      <c r="AK42">
        <f t="shared" si="14"/>
        <v>25944</v>
      </c>
      <c r="AL42">
        <f t="shared" si="15"/>
        <v>221608.662</v>
      </c>
      <c r="AM42">
        <f t="shared" si="16"/>
        <v>59776.1310951239</v>
      </c>
      <c r="AN42">
        <f t="shared" si="17"/>
        <v>87758.2206211474</v>
      </c>
      <c r="AO42">
        <f>IF($A42="","",Allocation!CJ42)</f>
        <v>499926</v>
      </c>
      <c r="AP42">
        <f>IF($A42="","",IF(Allocation!$N$2="VOL_EFF",$Q42,IF(Allocation!$N$2="VOL_CLASS",$R42,$S42)))</f>
        <v>8517270</v>
      </c>
      <c r="AQ42">
        <f>IF($A42="","",IF(Allocation!$N$2="VOL_EFF",$T42,IF(Allocation!$N$2="VOL_CLASS",$U42,$V42)))</f>
        <v>20567210</v>
      </c>
      <c r="AR42">
        <f t="shared" si="18"/>
        <v>12660.0342837287</v>
      </c>
      <c r="AS42" t="str">
        <f>IF($A42="","",$A42&amp;"|"&amp;Allocation!BG42)</f>
        <v>2024|ACT</v>
      </c>
    </row>
    <row r="43" ht="14.497499999999997" customHeight="1">
      <c r="A43" t="str">
        <f>IF(Allocation!BI43="","",Allocation!BI43)</f>
        <v>2024</v>
      </c>
      <c r="B43" t="str">
        <f>IF(Allocation!BJ43="","",Allocation!BJ43)</f>
        <v>MBWAY_PAR</v>
      </c>
      <c r="C43" t="str">
        <f>IF(Allocation!BK43="","",Allocation!BK43)</f>
        <v>MBWAY</v>
      </c>
      <c r="D43" t="str">
        <f>IF(Allocation!BL43="","",Allocation!BL43)</f>
        <v>BAC_MGT</v>
      </c>
      <c r="E43" t="str">
        <f>IF(Allocation!BM43="","",Allocation!BM43)</f>
        <v>B3</v>
      </c>
      <c r="F43" t="str">
        <f>IF(Allocation!BN43="","",Allocation!BN43)</f>
        <v>ALT</v>
      </c>
      <c r="G43">
        <f>IF(Allocation!BO43="","",Allocation!BO43)</f>
        <v>66</v>
      </c>
      <c r="H43">
        <f>IF(Allocation!BP43="","",Allocation!BP43)</f>
        <v>3</v>
      </c>
      <c r="I43">
        <f>IF(Allocation!BQ43="","",Allocation!BQ43)</f>
        <v>517440</v>
      </c>
      <c r="J43">
        <f>IF(Allocation!CC43="","",Allocation!CC43)</f>
        <v>0</v>
      </c>
      <c r="K43">
        <f t="shared" si="0"/>
        <v>1440</v>
      </c>
      <c r="L43">
        <f t="shared" si="1"/>
        <v>340</v>
      </c>
      <c r="M43">
        <f t="shared" si="2"/>
        <v>15</v>
      </c>
      <c r="N43">
        <f t="shared" si="3"/>
        <v>2793380</v>
      </c>
      <c r="O43">
        <f t="shared" si="4"/>
        <v>7200</v>
      </c>
      <c r="P43">
        <f t="shared" si="5"/>
        <v>138</v>
      </c>
      <c r="Q43">
        <f t="shared" si="6"/>
        <v>1112</v>
      </c>
      <c r="R43">
        <f t="shared" si="7"/>
        <v>50</v>
      </c>
      <c r="S43">
        <f t="shared" si="8"/>
        <v>8517270</v>
      </c>
      <c r="T43">
        <f t="shared" si="9"/>
        <v>2773</v>
      </c>
      <c r="U43">
        <f t="shared" si="10"/>
        <v>135</v>
      </c>
      <c r="V43">
        <f t="shared" si="11"/>
        <v>20567210</v>
      </c>
      <c r="W43">
        <f>IF($A43="","",Allocation!CD43)</f>
        <v>165271</v>
      </c>
      <c r="X43">
        <f>IF($A43="","",Allocation!CE43)</f>
        <v>461593.76</v>
      </c>
      <c r="Y43">
        <f>IF($A43="","",Allocation!CF43)</f>
        <v>129720</v>
      </c>
      <c r="Z43">
        <f>IF($A43="","",Allocation!CG43)</f>
        <v>56438</v>
      </c>
      <c r="AA43">
        <f>IF($A43="","",Allocation!CH43)</f>
        <v>1108043.31</v>
      </c>
      <c r="AB43">
        <f>IF($A43="","",Allocation!CI43)</f>
        <v>2639292</v>
      </c>
      <c r="AC43">
        <f>IF($A43="","",IF(Allocation!$N$4="VOL_EFF",$G43,IF(Allocation!$N$4="VOL_CLASS",$H43,$I43)))</f>
        <v>3</v>
      </c>
      <c r="AD43">
        <f>IF($A43="","",IF(Allocation!$N$4="VOL_EFF",$L43,IF(Allocation!$N$4="VOL_CLASS",$M43,$N43)))</f>
        <v>15</v>
      </c>
      <c r="AE43">
        <f>IF($A43="","",IF(Allocation!$N$3="VOL_EFF",$L43,IF(Allocation!$N$3="VOL_CLASS",$M43,$N43)))</f>
        <v>340</v>
      </c>
      <c r="AF43">
        <f>IF($A43="","",IF(Allocation!$N$3="VOL_EFF",$Q43,IF(Allocation!$N$3="VOL_CLASS",$R43,$S43)))</f>
        <v>1112</v>
      </c>
      <c r="AG43">
        <f>IF($A43="","",IF(Allocation!$N$1="VOL_EFF",$Q43,IF(Allocation!$N$1="VOL_CLASS",$R43,$S43)))</f>
        <v>50</v>
      </c>
      <c r="AH43">
        <f>IF($A43="","",IF(Allocation!$N$1="VOL_EFF",$T43,IF(Allocation!$N$1="VOL_CLASS",$U43,$V43)))</f>
        <v>135</v>
      </c>
      <c r="AI43">
        <f t="shared" si="12"/>
        <v>33054.2</v>
      </c>
      <c r="AJ43">
        <f t="shared" si="13"/>
        <v>92318.752</v>
      </c>
      <c r="AK43">
        <f t="shared" si="14"/>
        <v>25180.9411764706</v>
      </c>
      <c r="AL43">
        <f t="shared" si="15"/>
        <v>221608.662</v>
      </c>
      <c r="AM43">
        <f t="shared" si="16"/>
        <v>59776.1310951239</v>
      </c>
      <c r="AN43">
        <f t="shared" si="17"/>
        <v>72841.2794446768</v>
      </c>
      <c r="AO43">
        <f>IF($A43="","",Allocation!CJ43)</f>
        <v>499926</v>
      </c>
      <c r="AP43">
        <f>IF($A43="","",IF(Allocation!$N$2="VOL_EFF",$Q43,IF(Allocation!$N$2="VOL_CLASS",$R43,$S43)))</f>
        <v>8517270</v>
      </c>
      <c r="AQ43">
        <f>IF($A43="","",IF(Allocation!$N$2="VOL_EFF",$T43,IF(Allocation!$N$2="VOL_CLASS",$U43,$V43)))</f>
        <v>20567210</v>
      </c>
      <c r="AR43">
        <f t="shared" si="18"/>
        <v>12660.0342837287</v>
      </c>
      <c r="AS43" t="str">
        <f>IF($A43="","",$A43&amp;"|"&amp;Allocation!BG43)</f>
        <v>2024|ACT</v>
      </c>
    </row>
    <row r="44" ht="14.497499999999997" customHeight="1">
      <c r="A44" t="str">
        <f>IF(Allocation!BI44="","",Allocation!BI44)</f>
        <v>2024</v>
      </c>
      <c r="B44" t="str">
        <f>IF(Allocation!BJ44="","",Allocation!BJ44)</f>
        <v>MBWAY_PAR</v>
      </c>
      <c r="C44" t="str">
        <f>IF(Allocation!BK44="","",Allocation!BK44)</f>
        <v>MBWAY</v>
      </c>
      <c r="D44" t="str">
        <f>IF(Allocation!BL44="","",Allocation!BL44)</f>
        <v>MAS_MGT</v>
      </c>
      <c r="E44" t="str">
        <f>IF(Allocation!BM44="","",Allocation!BM44)</f>
        <v>M1</v>
      </c>
      <c r="F44" t="str">
        <f>IF(Allocation!BN44="","",Allocation!BN44)</f>
        <v>ALT</v>
      </c>
      <c r="G44">
        <f>IF(Allocation!BO44="","",Allocation!BO44)</f>
        <v>69</v>
      </c>
      <c r="H44">
        <f>IF(Allocation!BP44="","",Allocation!BP44)</f>
        <v>3</v>
      </c>
      <c r="I44">
        <f>IF(Allocation!BQ44="","",Allocation!BQ44)</f>
        <v>585810</v>
      </c>
      <c r="J44">
        <f>IF(Allocation!CC44="","",Allocation!CC44)</f>
        <v>69</v>
      </c>
      <c r="K44">
        <f t="shared" si="0"/>
        <v>1260</v>
      </c>
      <c r="L44">
        <f t="shared" si="1"/>
        <v>340</v>
      </c>
      <c r="M44">
        <f t="shared" si="2"/>
        <v>15</v>
      </c>
      <c r="N44">
        <f t="shared" si="3"/>
        <v>2793380</v>
      </c>
      <c r="O44">
        <f t="shared" si="4"/>
        <v>7200</v>
      </c>
      <c r="P44">
        <f t="shared" si="5"/>
        <v>138</v>
      </c>
      <c r="Q44">
        <f t="shared" si="6"/>
        <v>1112</v>
      </c>
      <c r="R44">
        <f t="shared" si="7"/>
        <v>50</v>
      </c>
      <c r="S44">
        <f t="shared" si="8"/>
        <v>8517270</v>
      </c>
      <c r="T44">
        <f t="shared" si="9"/>
        <v>2773</v>
      </c>
      <c r="U44">
        <f t="shared" si="10"/>
        <v>135</v>
      </c>
      <c r="V44">
        <f t="shared" si="11"/>
        <v>20567210</v>
      </c>
      <c r="W44">
        <f>IF($A44="","",Allocation!CD44)</f>
        <v>165271</v>
      </c>
      <c r="X44">
        <f>IF($A44="","",Allocation!CE44)</f>
        <v>461593.76</v>
      </c>
      <c r="Y44">
        <f>IF($A44="","",Allocation!CF44)</f>
        <v>129720</v>
      </c>
      <c r="Z44">
        <f>IF($A44="","",Allocation!CG44)</f>
        <v>56438</v>
      </c>
      <c r="AA44">
        <f>IF($A44="","",Allocation!CH44)</f>
        <v>1108043.31</v>
      </c>
      <c r="AB44">
        <f>IF($A44="","",Allocation!CI44)</f>
        <v>2639292</v>
      </c>
      <c r="AC44">
        <f>IF($A44="","",IF(Allocation!$N$4="VOL_EFF",$G44,IF(Allocation!$N$4="VOL_CLASS",$H44,$I44)))</f>
        <v>3</v>
      </c>
      <c r="AD44">
        <f>IF($A44="","",IF(Allocation!$N$4="VOL_EFF",$L44,IF(Allocation!$N$4="VOL_CLASS",$M44,$N44)))</f>
        <v>15</v>
      </c>
      <c r="AE44">
        <f>IF($A44="","",IF(Allocation!$N$3="VOL_EFF",$L44,IF(Allocation!$N$3="VOL_CLASS",$M44,$N44)))</f>
        <v>340</v>
      </c>
      <c r="AF44">
        <f>IF($A44="","",IF(Allocation!$N$3="VOL_EFF",$Q44,IF(Allocation!$N$3="VOL_CLASS",$R44,$S44)))</f>
        <v>1112</v>
      </c>
      <c r="AG44">
        <f>IF($A44="","",IF(Allocation!$N$1="VOL_EFF",$Q44,IF(Allocation!$N$1="VOL_CLASS",$R44,$S44)))</f>
        <v>50</v>
      </c>
      <c r="AH44">
        <f>IF($A44="","",IF(Allocation!$N$1="VOL_EFF",$T44,IF(Allocation!$N$1="VOL_CLASS",$U44,$V44)))</f>
        <v>135</v>
      </c>
      <c r="AI44">
        <f t="shared" si="12"/>
        <v>28922.425</v>
      </c>
      <c r="AJ44">
        <f t="shared" si="13"/>
        <v>80778.908</v>
      </c>
      <c r="AK44">
        <f t="shared" si="14"/>
        <v>54544.5294117647</v>
      </c>
      <c r="AL44">
        <f t="shared" si="15"/>
        <v>221608.662</v>
      </c>
      <c r="AM44">
        <f t="shared" si="16"/>
        <v>59776.1310951239</v>
      </c>
      <c r="AN44">
        <f t="shared" si="17"/>
        <v>127519.310209383</v>
      </c>
      <c r="AO44">
        <f>IF($A44="","",Allocation!CJ44)</f>
        <v>499926</v>
      </c>
      <c r="AP44">
        <f>IF($A44="","",IF(Allocation!$N$2="VOL_EFF",$Q44,IF(Allocation!$N$2="VOL_CLASS",$R44,$S44)))</f>
        <v>8517270</v>
      </c>
      <c r="AQ44">
        <f>IF($A44="","",IF(Allocation!$N$2="VOL_EFF",$T44,IF(Allocation!$N$2="VOL_CLASS",$U44,$V44)))</f>
        <v>20567210</v>
      </c>
      <c r="AR44">
        <f t="shared" si="18"/>
        <v>12660.0342837287</v>
      </c>
      <c r="AS44" t="str">
        <f>IF($A44="","",$A44&amp;"|"&amp;Allocation!BG44)</f>
        <v>2024|ACT</v>
      </c>
    </row>
    <row r="45" ht="14.497499999999997" customHeight="1">
      <c r="A45" t="str">
        <f>IF(Allocation!BI45="","",Allocation!BI45)</f>
        <v>2024</v>
      </c>
      <c r="B45" t="str">
        <f>IF(Allocation!BJ45="","",Allocation!BJ45)</f>
        <v>MBWAY_PAR</v>
      </c>
      <c r="C45" t="str">
        <f>IF(Allocation!BK45="","",Allocation!BK45)</f>
        <v>MBWAY</v>
      </c>
      <c r="D45" t="str">
        <f>IF(Allocation!BL45="","",Allocation!BL45)</f>
        <v>MAS_MGT</v>
      </c>
      <c r="E45" t="str">
        <f>IF(Allocation!BM45="","",Allocation!BM45)</f>
        <v>M2</v>
      </c>
      <c r="F45" t="str">
        <f>IF(Allocation!BN45="","",Allocation!BN45)</f>
        <v>ALT</v>
      </c>
      <c r="G45">
        <f>IF(Allocation!BO45="","",Allocation!BO45)</f>
        <v>68</v>
      </c>
      <c r="H45">
        <f>IF(Allocation!BP45="","",Allocation!BP45)</f>
        <v>3</v>
      </c>
      <c r="I45">
        <f>IF(Allocation!BQ45="","",Allocation!BQ45)</f>
        <v>571200</v>
      </c>
      <c r="J45">
        <f>IF(Allocation!CC45="","",Allocation!CC45)</f>
        <v>0</v>
      </c>
      <c r="K45">
        <f t="shared" si="0"/>
        <v>1260</v>
      </c>
      <c r="L45">
        <f t="shared" si="1"/>
        <v>340</v>
      </c>
      <c r="M45">
        <f t="shared" si="2"/>
        <v>15</v>
      </c>
      <c r="N45">
        <f t="shared" si="3"/>
        <v>2793380</v>
      </c>
      <c r="O45">
        <f t="shared" si="4"/>
        <v>7200</v>
      </c>
      <c r="P45">
        <f t="shared" si="5"/>
        <v>138</v>
      </c>
      <c r="Q45">
        <f t="shared" si="6"/>
        <v>1112</v>
      </c>
      <c r="R45">
        <f t="shared" si="7"/>
        <v>50</v>
      </c>
      <c r="S45">
        <f t="shared" si="8"/>
        <v>8517270</v>
      </c>
      <c r="T45">
        <f t="shared" si="9"/>
        <v>2773</v>
      </c>
      <c r="U45">
        <f t="shared" si="10"/>
        <v>135</v>
      </c>
      <c r="V45">
        <f t="shared" si="11"/>
        <v>20567210</v>
      </c>
      <c r="W45">
        <f>IF($A45="","",Allocation!CD45)</f>
        <v>165271</v>
      </c>
      <c r="X45">
        <f>IF($A45="","",Allocation!CE45)</f>
        <v>461593.76</v>
      </c>
      <c r="Y45">
        <f>IF($A45="","",Allocation!CF45)</f>
        <v>129720</v>
      </c>
      <c r="Z45">
        <f>IF($A45="","",Allocation!CG45)</f>
        <v>56438</v>
      </c>
      <c r="AA45">
        <f>IF($A45="","",Allocation!CH45)</f>
        <v>1108043.31</v>
      </c>
      <c r="AB45">
        <f>IF($A45="","",Allocation!CI45)</f>
        <v>2639292</v>
      </c>
      <c r="AC45">
        <f>IF($A45="","",IF(Allocation!$N$4="VOL_EFF",$G45,IF(Allocation!$N$4="VOL_CLASS",$H45,$I45)))</f>
        <v>3</v>
      </c>
      <c r="AD45">
        <f>IF($A45="","",IF(Allocation!$N$4="VOL_EFF",$L45,IF(Allocation!$N$4="VOL_CLASS",$M45,$N45)))</f>
        <v>15</v>
      </c>
      <c r="AE45">
        <f>IF($A45="","",IF(Allocation!$N$3="VOL_EFF",$L45,IF(Allocation!$N$3="VOL_CLASS",$M45,$N45)))</f>
        <v>340</v>
      </c>
      <c r="AF45">
        <f>IF($A45="","",IF(Allocation!$N$3="VOL_EFF",$Q45,IF(Allocation!$N$3="VOL_CLASS",$R45,$S45)))</f>
        <v>1112</v>
      </c>
      <c r="AG45">
        <f>IF($A45="","",IF(Allocation!$N$1="VOL_EFF",$Q45,IF(Allocation!$N$1="VOL_CLASS",$R45,$S45)))</f>
        <v>50</v>
      </c>
      <c r="AH45">
        <f>IF($A45="","",IF(Allocation!$N$1="VOL_EFF",$T45,IF(Allocation!$N$1="VOL_CLASS",$U45,$V45)))</f>
        <v>135</v>
      </c>
      <c r="AI45">
        <f t="shared" si="12"/>
        <v>28922.425</v>
      </c>
      <c r="AJ45">
        <f t="shared" si="13"/>
        <v>80778.908</v>
      </c>
      <c r="AK45">
        <f t="shared" si="14"/>
        <v>25944</v>
      </c>
      <c r="AL45">
        <f t="shared" si="15"/>
        <v>221608.662</v>
      </c>
      <c r="AM45">
        <f t="shared" si="16"/>
        <v>59776.1310951239</v>
      </c>
      <c r="AN45">
        <f t="shared" si="17"/>
        <v>141509.839621147</v>
      </c>
      <c r="AO45">
        <f>IF($A45="","",Allocation!CJ45)</f>
        <v>499926</v>
      </c>
      <c r="AP45">
        <f>IF($A45="","",IF(Allocation!$N$2="VOL_EFF",$Q45,IF(Allocation!$N$2="VOL_CLASS",$R45,$S45)))</f>
        <v>8517270</v>
      </c>
      <c r="AQ45">
        <f>IF($A45="","",IF(Allocation!$N$2="VOL_EFF",$T45,IF(Allocation!$N$2="VOL_CLASS",$U45,$V45)))</f>
        <v>20567210</v>
      </c>
      <c r="AR45">
        <f t="shared" si="18"/>
        <v>12660.0342837287</v>
      </c>
      <c r="AS45" t="str">
        <f>IF($A45="","",$A45&amp;"|"&amp;Allocation!BG45)</f>
        <v>2024|ACT</v>
      </c>
    </row>
    <row r="46" ht="14.497499999999997" customHeight="1">
      <c r="A46" t="str">
        <f>IF(Allocation!BI46="","",Allocation!BI46)</f>
        <v>2024</v>
      </c>
      <c r="B46" t="str">
        <f>IF(Allocation!BJ46="","",Allocation!BJ46)</f>
        <v>PIGIER_BOR</v>
      </c>
      <c r="C46" t="str">
        <f>IF(Allocation!BK46="","",Allocation!BK46)</f>
        <v>PIGIER</v>
      </c>
      <c r="D46" t="str">
        <f>IF(Allocation!BL46="","",Allocation!BL46)</f>
        <v>BTS_GES</v>
      </c>
      <c r="E46" t="str">
        <f>IF(Allocation!BM46="","",Allocation!BM46)</f>
        <v>BTS1</v>
      </c>
      <c r="F46" t="str">
        <f>IF(Allocation!BN46="","",Allocation!BN46)</f>
        <v>ALT</v>
      </c>
      <c r="G46">
        <f>IF(Allocation!BO46="","",Allocation!BO46)</f>
        <v>32</v>
      </c>
      <c r="H46">
        <f>IF(Allocation!BP46="","",Allocation!BP46)</f>
        <v>2</v>
      </c>
      <c r="I46">
        <f>IF(Allocation!BQ46="","",Allocation!BQ46)</f>
        <v>189120</v>
      </c>
      <c r="J46">
        <f>IF(Allocation!CC46="","",Allocation!CC46)</f>
        <v>32</v>
      </c>
      <c r="K46">
        <f t="shared" si="0"/>
        <v>1400</v>
      </c>
      <c r="L46">
        <f t="shared" si="1"/>
        <v>156</v>
      </c>
      <c r="M46">
        <f t="shared" si="2"/>
        <v>10</v>
      </c>
      <c r="N46">
        <f t="shared" si="3"/>
        <v>1003890</v>
      </c>
      <c r="O46">
        <f t="shared" si="4"/>
        <v>5680</v>
      </c>
      <c r="P46">
        <f t="shared" si="5"/>
        <v>64</v>
      </c>
      <c r="Q46">
        <f t="shared" si="6"/>
        <v>357</v>
      </c>
      <c r="R46">
        <f t="shared" si="7"/>
        <v>20</v>
      </c>
      <c r="S46">
        <f t="shared" si="8"/>
        <v>2403570</v>
      </c>
      <c r="T46">
        <f t="shared" si="9"/>
        <v>2773</v>
      </c>
      <c r="U46">
        <f t="shared" si="10"/>
        <v>135</v>
      </c>
      <c r="V46">
        <f t="shared" si="11"/>
        <v>20567210</v>
      </c>
      <c r="W46">
        <f>IF($A46="","",Allocation!CD46)</f>
        <v>88144</v>
      </c>
      <c r="X46">
        <f>IF($A46="","",Allocation!CE46)</f>
        <v>166342.4</v>
      </c>
      <c r="Y46">
        <f>IF($A46="","",Allocation!CF46)</f>
        <v>48220</v>
      </c>
      <c r="Z46">
        <f>IF($A46="","",Allocation!CG46)</f>
        <v>18155</v>
      </c>
      <c r="AA46">
        <f>IF($A46="","",Allocation!CH46)</f>
        <v>316851.76</v>
      </c>
      <c r="AB46">
        <f>IF($A46="","",Allocation!CI46)</f>
        <v>2639292</v>
      </c>
      <c r="AC46">
        <f>IF($A46="","",IF(Allocation!$N$4="VOL_EFF",$G46,IF(Allocation!$N$4="VOL_CLASS",$H46,$I46)))</f>
        <v>2</v>
      </c>
      <c r="AD46">
        <f>IF($A46="","",IF(Allocation!$N$4="VOL_EFF",$L46,IF(Allocation!$N$4="VOL_CLASS",$M46,$N46)))</f>
        <v>10</v>
      </c>
      <c r="AE46">
        <f>IF($A46="","",IF(Allocation!$N$3="VOL_EFF",$L46,IF(Allocation!$N$3="VOL_CLASS",$M46,$N46)))</f>
        <v>156</v>
      </c>
      <c r="AF46">
        <f>IF($A46="","",IF(Allocation!$N$3="VOL_EFF",$Q46,IF(Allocation!$N$3="VOL_CLASS",$R46,$S46)))</f>
        <v>357</v>
      </c>
      <c r="AG46">
        <f>IF($A46="","",IF(Allocation!$N$1="VOL_EFF",$Q46,IF(Allocation!$N$1="VOL_CLASS",$R46,$S46)))</f>
        <v>20</v>
      </c>
      <c r="AH46">
        <f>IF($A46="","",IF(Allocation!$N$1="VOL_EFF",$T46,IF(Allocation!$N$1="VOL_CLASS",$U46,$V46)))</f>
        <v>135</v>
      </c>
      <c r="AI46">
        <f t="shared" si="12"/>
        <v>21725.6338028169</v>
      </c>
      <c r="AJ46">
        <f t="shared" si="13"/>
        <v>40999.8873239437</v>
      </c>
      <c r="AK46">
        <f t="shared" si="14"/>
        <v>18968.7820512821</v>
      </c>
      <c r="AL46">
        <f t="shared" si="15"/>
        <v>63370.352</v>
      </c>
      <c r="AM46">
        <f t="shared" si="16"/>
        <v>34171.9723622782</v>
      </c>
      <c r="AN46">
        <f t="shared" si="17"/>
        <v>4777.45847585268</v>
      </c>
      <c r="AO46">
        <f>IF($A46="","",Allocation!CJ46)</f>
        <v>499926</v>
      </c>
      <c r="AP46">
        <f>IF($A46="","",IF(Allocation!$N$2="VOL_EFF",$Q46,IF(Allocation!$N$2="VOL_CLASS",$R46,$S46)))</f>
        <v>2403570</v>
      </c>
      <c r="AQ46">
        <f>IF($A46="","",IF(Allocation!$N$2="VOL_EFF",$T46,IF(Allocation!$N$2="VOL_CLASS",$U46,$V46)))</f>
        <v>20567210</v>
      </c>
      <c r="AR46">
        <f t="shared" si="18"/>
        <v>5105.9139838264</v>
      </c>
      <c r="AS46" t="str">
        <f>IF($A46="","",$A46&amp;"|"&amp;Allocation!BG46)</f>
        <v>2024|ACT</v>
      </c>
    </row>
    <row r="47" ht="14.497499999999997" customHeight="1">
      <c r="A47" t="str">
        <f>IF(Allocation!BI47="","",Allocation!BI47)</f>
        <v>2024</v>
      </c>
      <c r="B47" t="str">
        <f>IF(Allocation!BJ47="","",Allocation!BJ47)</f>
        <v>PIGIER_BOR</v>
      </c>
      <c r="C47" t="str">
        <f>IF(Allocation!BK47="","",Allocation!BK47)</f>
        <v>PIGIER</v>
      </c>
      <c r="D47" t="str">
        <f>IF(Allocation!BL47="","",Allocation!BL47)</f>
        <v>BTS_GES</v>
      </c>
      <c r="E47" t="str">
        <f>IF(Allocation!BM47="","",Allocation!BM47)</f>
        <v>BTS2</v>
      </c>
      <c r="F47" t="str">
        <f>IF(Allocation!BN47="","",Allocation!BN47)</f>
        <v>ALT</v>
      </c>
      <c r="G47">
        <f>IF(Allocation!BO47="","",Allocation!BO47)</f>
        <v>31</v>
      </c>
      <c r="H47">
        <f>IF(Allocation!BP47="","",Allocation!BP47)</f>
        <v>2</v>
      </c>
      <c r="I47">
        <f>IF(Allocation!BQ47="","",Allocation!BQ47)</f>
        <v>180420</v>
      </c>
      <c r="J47">
        <f>IF(Allocation!CC47="","",Allocation!CC47)</f>
        <v>0</v>
      </c>
      <c r="K47">
        <f t="shared" si="0"/>
        <v>1400</v>
      </c>
      <c r="L47">
        <f t="shared" si="1"/>
        <v>156</v>
      </c>
      <c r="M47">
        <f t="shared" si="2"/>
        <v>10</v>
      </c>
      <c r="N47">
        <f t="shared" si="3"/>
        <v>1003890</v>
      </c>
      <c r="O47">
        <f t="shared" si="4"/>
        <v>5680</v>
      </c>
      <c r="P47">
        <f t="shared" si="5"/>
        <v>64</v>
      </c>
      <c r="Q47">
        <f t="shared" si="6"/>
        <v>357</v>
      </c>
      <c r="R47">
        <f t="shared" si="7"/>
        <v>20</v>
      </c>
      <c r="S47">
        <f t="shared" si="8"/>
        <v>2403570</v>
      </c>
      <c r="T47">
        <f t="shared" si="9"/>
        <v>2773</v>
      </c>
      <c r="U47">
        <f t="shared" si="10"/>
        <v>135</v>
      </c>
      <c r="V47">
        <f t="shared" si="11"/>
        <v>20567210</v>
      </c>
      <c r="W47">
        <f>IF($A47="","",Allocation!CD47)</f>
        <v>88144</v>
      </c>
      <c r="X47">
        <f>IF($A47="","",Allocation!CE47)</f>
        <v>166342.4</v>
      </c>
      <c r="Y47">
        <f>IF($A47="","",Allocation!CF47)</f>
        <v>48220</v>
      </c>
      <c r="Z47">
        <f>IF($A47="","",Allocation!CG47)</f>
        <v>18155</v>
      </c>
      <c r="AA47">
        <f>IF($A47="","",Allocation!CH47)</f>
        <v>316851.76</v>
      </c>
      <c r="AB47">
        <f>IF($A47="","",Allocation!CI47)</f>
        <v>2639292</v>
      </c>
      <c r="AC47">
        <f>IF($A47="","",IF(Allocation!$N$4="VOL_EFF",$G47,IF(Allocation!$N$4="VOL_CLASS",$H47,$I47)))</f>
        <v>2</v>
      </c>
      <c r="AD47">
        <f>IF($A47="","",IF(Allocation!$N$4="VOL_EFF",$L47,IF(Allocation!$N$4="VOL_CLASS",$M47,$N47)))</f>
        <v>10</v>
      </c>
      <c r="AE47">
        <f>IF($A47="","",IF(Allocation!$N$3="VOL_EFF",$L47,IF(Allocation!$N$3="VOL_CLASS",$M47,$N47)))</f>
        <v>156</v>
      </c>
      <c r="AF47">
        <f>IF($A47="","",IF(Allocation!$N$3="VOL_EFF",$Q47,IF(Allocation!$N$3="VOL_CLASS",$R47,$S47)))</f>
        <v>357</v>
      </c>
      <c r="AG47">
        <f>IF($A47="","",IF(Allocation!$N$1="VOL_EFF",$Q47,IF(Allocation!$N$1="VOL_CLASS",$R47,$S47)))</f>
        <v>20</v>
      </c>
      <c r="AH47">
        <f>IF($A47="","",IF(Allocation!$N$1="VOL_EFF",$T47,IF(Allocation!$N$1="VOL_CLASS",$U47,$V47)))</f>
        <v>135</v>
      </c>
      <c r="AI47">
        <f t="shared" si="12"/>
        <v>21725.6338028169</v>
      </c>
      <c r="AJ47">
        <f t="shared" si="13"/>
        <v>40999.8873239437</v>
      </c>
      <c r="AK47">
        <f t="shared" si="14"/>
        <v>9582.17948717949</v>
      </c>
      <c r="AL47">
        <f t="shared" si="15"/>
        <v>63370.352</v>
      </c>
      <c r="AM47">
        <f t="shared" si="16"/>
        <v>34171.9723622782</v>
      </c>
      <c r="AN47">
        <f t="shared" si="17"/>
        <v>5464.0610399553</v>
      </c>
      <c r="AO47">
        <f>IF($A47="","",Allocation!CJ47)</f>
        <v>499926</v>
      </c>
      <c r="AP47">
        <f>IF($A47="","",IF(Allocation!$N$2="VOL_EFF",$Q47,IF(Allocation!$N$2="VOL_CLASS",$R47,$S47)))</f>
        <v>2403570</v>
      </c>
      <c r="AQ47">
        <f>IF($A47="","",IF(Allocation!$N$2="VOL_EFF",$T47,IF(Allocation!$N$2="VOL_CLASS",$U47,$V47)))</f>
        <v>20567210</v>
      </c>
      <c r="AR47">
        <f t="shared" si="18"/>
        <v>5105.9139838264</v>
      </c>
      <c r="AS47" t="str">
        <f>IF($A47="","",$A47&amp;"|"&amp;Allocation!BG47)</f>
        <v>2024|ACT</v>
      </c>
    </row>
    <row r="48" ht="14.497499999999997" customHeight="1">
      <c r="A48" t="str">
        <f>IF(Allocation!BI48="","",Allocation!BI48)</f>
        <v>2024</v>
      </c>
      <c r="B48" t="str">
        <f>IF(Allocation!BJ48="","",Allocation!BJ48)</f>
        <v>PIGIER_BOR</v>
      </c>
      <c r="C48" t="str">
        <f>IF(Allocation!BK48="","",Allocation!BK48)</f>
        <v>PIGIER</v>
      </c>
      <c r="D48" t="str">
        <f>IF(Allocation!BL48="","",Allocation!BL48)</f>
        <v>BAC_RH</v>
      </c>
      <c r="E48" t="str">
        <f>IF(Allocation!BM48="","",Allocation!BM48)</f>
        <v>B1</v>
      </c>
      <c r="F48" t="str">
        <f>IF(Allocation!BN48="","",Allocation!BN48)</f>
        <v>ALT</v>
      </c>
      <c r="G48">
        <f>IF(Allocation!BO48="","",Allocation!BO48)</f>
        <v>32</v>
      </c>
      <c r="H48">
        <f>IF(Allocation!BP48="","",Allocation!BP48)</f>
        <v>2</v>
      </c>
      <c r="I48">
        <f>IF(Allocation!BQ48="","",Allocation!BQ48)</f>
        <v>220160</v>
      </c>
      <c r="J48">
        <f>IF(Allocation!CC48="","",Allocation!CC48)</f>
        <v>32</v>
      </c>
      <c r="K48">
        <f t="shared" si="0"/>
        <v>960</v>
      </c>
      <c r="L48">
        <f t="shared" si="1"/>
        <v>156</v>
      </c>
      <c r="M48">
        <f t="shared" si="2"/>
        <v>10</v>
      </c>
      <c r="N48">
        <f t="shared" si="3"/>
        <v>1003890</v>
      </c>
      <c r="O48">
        <f t="shared" si="4"/>
        <v>5680</v>
      </c>
      <c r="P48">
        <f t="shared" si="5"/>
        <v>64</v>
      </c>
      <c r="Q48">
        <f t="shared" si="6"/>
        <v>357</v>
      </c>
      <c r="R48">
        <f t="shared" si="7"/>
        <v>20</v>
      </c>
      <c r="S48">
        <f t="shared" si="8"/>
        <v>2403570</v>
      </c>
      <c r="T48">
        <f t="shared" si="9"/>
        <v>2773</v>
      </c>
      <c r="U48">
        <f t="shared" si="10"/>
        <v>135</v>
      </c>
      <c r="V48">
        <f t="shared" si="11"/>
        <v>20567210</v>
      </c>
      <c r="W48">
        <f>IF($A48="","",Allocation!CD48)</f>
        <v>88144</v>
      </c>
      <c r="X48">
        <f>IF($A48="","",Allocation!CE48)</f>
        <v>166342.4</v>
      </c>
      <c r="Y48">
        <f>IF($A48="","",Allocation!CF48)</f>
        <v>48220</v>
      </c>
      <c r="Z48">
        <f>IF($A48="","",Allocation!CG48)</f>
        <v>18155</v>
      </c>
      <c r="AA48">
        <f>IF($A48="","",Allocation!CH48)</f>
        <v>316851.76</v>
      </c>
      <c r="AB48">
        <f>IF($A48="","",Allocation!CI48)</f>
        <v>2639292</v>
      </c>
      <c r="AC48">
        <f>IF($A48="","",IF(Allocation!$N$4="VOL_EFF",$G48,IF(Allocation!$N$4="VOL_CLASS",$H48,$I48)))</f>
        <v>2</v>
      </c>
      <c r="AD48">
        <f>IF($A48="","",IF(Allocation!$N$4="VOL_EFF",$L48,IF(Allocation!$N$4="VOL_CLASS",$M48,$N48)))</f>
        <v>10</v>
      </c>
      <c r="AE48">
        <f>IF($A48="","",IF(Allocation!$N$3="VOL_EFF",$L48,IF(Allocation!$N$3="VOL_CLASS",$M48,$N48)))</f>
        <v>156</v>
      </c>
      <c r="AF48">
        <f>IF($A48="","",IF(Allocation!$N$3="VOL_EFF",$Q48,IF(Allocation!$N$3="VOL_CLASS",$R48,$S48)))</f>
        <v>357</v>
      </c>
      <c r="AG48">
        <f>IF($A48="","",IF(Allocation!$N$1="VOL_EFF",$Q48,IF(Allocation!$N$1="VOL_CLASS",$R48,$S48)))</f>
        <v>20</v>
      </c>
      <c r="AH48">
        <f>IF($A48="","",IF(Allocation!$N$1="VOL_EFF",$T48,IF(Allocation!$N$1="VOL_CLASS",$U48,$V48)))</f>
        <v>135</v>
      </c>
      <c r="AI48">
        <f t="shared" si="12"/>
        <v>14897.5774647887</v>
      </c>
      <c r="AJ48">
        <f t="shared" si="13"/>
        <v>28114.2084507042</v>
      </c>
      <c r="AK48">
        <f t="shared" si="14"/>
        <v>18968.7820512821</v>
      </c>
      <c r="AL48">
        <f t="shared" si="15"/>
        <v>63370.352</v>
      </c>
      <c r="AM48">
        <f t="shared" si="16"/>
        <v>34171.9723622782</v>
      </c>
      <c r="AN48">
        <f t="shared" si="17"/>
        <v>55531.1936871204</v>
      </c>
      <c r="AO48">
        <f>IF($A48="","",Allocation!CJ48)</f>
        <v>499926</v>
      </c>
      <c r="AP48">
        <f>IF($A48="","",IF(Allocation!$N$2="VOL_EFF",$Q48,IF(Allocation!$N$2="VOL_CLASS",$R48,$S48)))</f>
        <v>2403570</v>
      </c>
      <c r="AQ48">
        <f>IF($A48="","",IF(Allocation!$N$2="VOL_EFF",$T48,IF(Allocation!$N$2="VOL_CLASS",$U48,$V48)))</f>
        <v>20567210</v>
      </c>
      <c r="AR48">
        <f t="shared" si="18"/>
        <v>5105.9139838264</v>
      </c>
      <c r="AS48" t="str">
        <f>IF($A48="","",$A48&amp;"|"&amp;Allocation!BG48)</f>
        <v>2024|ACT</v>
      </c>
    </row>
    <row r="49" ht="14.497499999999997" customHeight="1">
      <c r="A49" t="str">
        <f>IF(Allocation!BI49="","",Allocation!BI49)</f>
        <v>2024</v>
      </c>
      <c r="B49" t="str">
        <f>IF(Allocation!BJ49="","",Allocation!BJ49)</f>
        <v>PIGIER_BOR</v>
      </c>
      <c r="C49" t="str">
        <f>IF(Allocation!BK49="","",Allocation!BK49)</f>
        <v>PIGIER</v>
      </c>
      <c r="D49" t="str">
        <f>IF(Allocation!BL49="","",Allocation!BL49)</f>
        <v>BAC_RH</v>
      </c>
      <c r="E49" t="str">
        <f>IF(Allocation!BM49="","",Allocation!BM49)</f>
        <v>B2</v>
      </c>
      <c r="F49" t="str">
        <f>IF(Allocation!BN49="","",Allocation!BN49)</f>
        <v>ALT</v>
      </c>
      <c r="G49">
        <f>IF(Allocation!BO49="","",Allocation!BO49)</f>
        <v>31</v>
      </c>
      <c r="H49">
        <f>IF(Allocation!BP49="","",Allocation!BP49)</f>
        <v>2</v>
      </c>
      <c r="I49">
        <f>IF(Allocation!BQ49="","",Allocation!BQ49)</f>
        <v>210490</v>
      </c>
      <c r="J49">
        <f>IF(Allocation!CC49="","",Allocation!CC49)</f>
        <v>0</v>
      </c>
      <c r="K49">
        <f t="shared" si="0"/>
        <v>960</v>
      </c>
      <c r="L49">
        <f t="shared" si="1"/>
        <v>156</v>
      </c>
      <c r="M49">
        <f t="shared" si="2"/>
        <v>10</v>
      </c>
      <c r="N49">
        <f t="shared" si="3"/>
        <v>1003890</v>
      </c>
      <c r="O49">
        <f t="shared" si="4"/>
        <v>5680</v>
      </c>
      <c r="P49">
        <f t="shared" si="5"/>
        <v>64</v>
      </c>
      <c r="Q49">
        <f t="shared" si="6"/>
        <v>357</v>
      </c>
      <c r="R49">
        <f t="shared" si="7"/>
        <v>20</v>
      </c>
      <c r="S49">
        <f t="shared" si="8"/>
        <v>2403570</v>
      </c>
      <c r="T49">
        <f t="shared" si="9"/>
        <v>2773</v>
      </c>
      <c r="U49">
        <f t="shared" si="10"/>
        <v>135</v>
      </c>
      <c r="V49">
        <f t="shared" si="11"/>
        <v>20567210</v>
      </c>
      <c r="W49">
        <f>IF($A49="","",Allocation!CD49)</f>
        <v>88144</v>
      </c>
      <c r="X49">
        <f>IF($A49="","",Allocation!CE49)</f>
        <v>166342.4</v>
      </c>
      <c r="Y49">
        <f>IF($A49="","",Allocation!CF49)</f>
        <v>48220</v>
      </c>
      <c r="Z49">
        <f>IF($A49="","",Allocation!CG49)</f>
        <v>18155</v>
      </c>
      <c r="AA49">
        <f>IF($A49="","",Allocation!CH49)</f>
        <v>316851.76</v>
      </c>
      <c r="AB49">
        <f>IF($A49="","",Allocation!CI49)</f>
        <v>2639292</v>
      </c>
      <c r="AC49">
        <f>IF($A49="","",IF(Allocation!$N$4="VOL_EFF",$G49,IF(Allocation!$N$4="VOL_CLASS",$H49,$I49)))</f>
        <v>2</v>
      </c>
      <c r="AD49">
        <f>IF($A49="","",IF(Allocation!$N$4="VOL_EFF",$L49,IF(Allocation!$N$4="VOL_CLASS",$M49,$N49)))</f>
        <v>10</v>
      </c>
      <c r="AE49">
        <f>IF($A49="","",IF(Allocation!$N$3="VOL_EFF",$L49,IF(Allocation!$N$3="VOL_CLASS",$M49,$N49)))</f>
        <v>156</v>
      </c>
      <c r="AF49">
        <f>IF($A49="","",IF(Allocation!$N$3="VOL_EFF",$Q49,IF(Allocation!$N$3="VOL_CLASS",$R49,$S49)))</f>
        <v>357</v>
      </c>
      <c r="AG49">
        <f>IF($A49="","",IF(Allocation!$N$1="VOL_EFF",$Q49,IF(Allocation!$N$1="VOL_CLASS",$R49,$S49)))</f>
        <v>20</v>
      </c>
      <c r="AH49">
        <f>IF($A49="","",IF(Allocation!$N$1="VOL_EFF",$T49,IF(Allocation!$N$1="VOL_CLASS",$U49,$V49)))</f>
        <v>135</v>
      </c>
      <c r="AI49">
        <f t="shared" si="12"/>
        <v>14897.5774647887</v>
      </c>
      <c r="AJ49">
        <f t="shared" si="13"/>
        <v>28114.2084507042</v>
      </c>
      <c r="AK49">
        <f t="shared" si="14"/>
        <v>9582.17948717949</v>
      </c>
      <c r="AL49">
        <f t="shared" si="15"/>
        <v>63370.352</v>
      </c>
      <c r="AM49">
        <f t="shared" si="16"/>
        <v>34171.9723622782</v>
      </c>
      <c r="AN49">
        <f t="shared" si="17"/>
        <v>55247.796251223</v>
      </c>
      <c r="AO49">
        <f>IF($A49="","",Allocation!CJ49)</f>
        <v>499926</v>
      </c>
      <c r="AP49">
        <f>IF($A49="","",IF(Allocation!$N$2="VOL_EFF",$Q49,IF(Allocation!$N$2="VOL_CLASS",$R49,$S49)))</f>
        <v>2403570</v>
      </c>
      <c r="AQ49">
        <f>IF($A49="","",IF(Allocation!$N$2="VOL_EFF",$T49,IF(Allocation!$N$2="VOL_CLASS",$U49,$V49)))</f>
        <v>20567210</v>
      </c>
      <c r="AR49">
        <f t="shared" si="18"/>
        <v>5105.9139838264</v>
      </c>
      <c r="AS49" t="str">
        <f>IF($A49="","",$A49&amp;"|"&amp;Allocation!BG49)</f>
        <v>2024|ACT</v>
      </c>
    </row>
    <row r="50" ht="14.497499999999997" customHeight="1">
      <c r="A50" t="str">
        <f>IF(Allocation!BI50="","",Allocation!BI50)</f>
        <v>2024</v>
      </c>
      <c r="B50" t="str">
        <f>IF(Allocation!BJ50="","",Allocation!BJ50)</f>
        <v>PIGIER_BOR</v>
      </c>
      <c r="C50" t="str">
        <f>IF(Allocation!BK50="","",Allocation!BK50)</f>
        <v>PIGIER</v>
      </c>
      <c r="D50" t="str">
        <f>IF(Allocation!BL50="","",Allocation!BL50)</f>
        <v>BAC_RH</v>
      </c>
      <c r="E50" t="str">
        <f>IF(Allocation!BM50="","",Allocation!BM50)</f>
        <v>B3</v>
      </c>
      <c r="F50" t="str">
        <f>IF(Allocation!BN50="","",Allocation!BN50)</f>
        <v>ALT</v>
      </c>
      <c r="G50">
        <f>IF(Allocation!BO50="","",Allocation!BO50)</f>
        <v>30</v>
      </c>
      <c r="H50">
        <f>IF(Allocation!BP50="","",Allocation!BP50)</f>
        <v>2</v>
      </c>
      <c r="I50">
        <f>IF(Allocation!BQ50="","",Allocation!BQ50)</f>
        <v>203700</v>
      </c>
      <c r="J50">
        <f>IF(Allocation!CC50="","",Allocation!CC50)</f>
        <v>0</v>
      </c>
      <c r="K50">
        <f t="shared" si="0"/>
        <v>960</v>
      </c>
      <c r="L50">
        <f t="shared" si="1"/>
        <v>156</v>
      </c>
      <c r="M50">
        <f t="shared" si="2"/>
        <v>10</v>
      </c>
      <c r="N50">
        <f t="shared" si="3"/>
        <v>1003890</v>
      </c>
      <c r="O50">
        <f t="shared" si="4"/>
        <v>5680</v>
      </c>
      <c r="P50">
        <f t="shared" si="5"/>
        <v>64</v>
      </c>
      <c r="Q50">
        <f t="shared" si="6"/>
        <v>357</v>
      </c>
      <c r="R50">
        <f t="shared" si="7"/>
        <v>20</v>
      </c>
      <c r="S50">
        <f t="shared" si="8"/>
        <v>2403570</v>
      </c>
      <c r="T50">
        <f t="shared" si="9"/>
        <v>2773</v>
      </c>
      <c r="U50">
        <f t="shared" si="10"/>
        <v>135</v>
      </c>
      <c r="V50">
        <f t="shared" si="11"/>
        <v>20567210</v>
      </c>
      <c r="W50">
        <f>IF($A50="","",Allocation!CD50)</f>
        <v>88144</v>
      </c>
      <c r="X50">
        <f>IF($A50="","",Allocation!CE50)</f>
        <v>166342.4</v>
      </c>
      <c r="Y50">
        <f>IF($A50="","",Allocation!CF50)</f>
        <v>48220</v>
      </c>
      <c r="Z50">
        <f>IF($A50="","",Allocation!CG50)</f>
        <v>18155</v>
      </c>
      <c r="AA50">
        <f>IF($A50="","",Allocation!CH50)</f>
        <v>316851.76</v>
      </c>
      <c r="AB50">
        <f>IF($A50="","",Allocation!CI50)</f>
        <v>2639292</v>
      </c>
      <c r="AC50">
        <f>IF($A50="","",IF(Allocation!$N$4="VOL_EFF",$G50,IF(Allocation!$N$4="VOL_CLASS",$H50,$I50)))</f>
        <v>2</v>
      </c>
      <c r="AD50">
        <f>IF($A50="","",IF(Allocation!$N$4="VOL_EFF",$L50,IF(Allocation!$N$4="VOL_CLASS",$M50,$N50)))</f>
        <v>10</v>
      </c>
      <c r="AE50">
        <f>IF($A50="","",IF(Allocation!$N$3="VOL_EFF",$L50,IF(Allocation!$N$3="VOL_CLASS",$M50,$N50)))</f>
        <v>156</v>
      </c>
      <c r="AF50">
        <f>IF($A50="","",IF(Allocation!$N$3="VOL_EFF",$Q50,IF(Allocation!$N$3="VOL_CLASS",$R50,$S50)))</f>
        <v>357</v>
      </c>
      <c r="AG50">
        <f>IF($A50="","",IF(Allocation!$N$1="VOL_EFF",$Q50,IF(Allocation!$N$1="VOL_CLASS",$R50,$S50)))</f>
        <v>20</v>
      </c>
      <c r="AH50">
        <f>IF($A50="","",IF(Allocation!$N$1="VOL_EFF",$T50,IF(Allocation!$N$1="VOL_CLASS",$U50,$V50)))</f>
        <v>135</v>
      </c>
      <c r="AI50">
        <f t="shared" si="12"/>
        <v>14897.5774647887</v>
      </c>
      <c r="AJ50">
        <f t="shared" si="13"/>
        <v>28114.2084507042</v>
      </c>
      <c r="AK50">
        <f t="shared" si="14"/>
        <v>9273.07692307692</v>
      </c>
      <c r="AL50">
        <f t="shared" si="15"/>
        <v>63370.352</v>
      </c>
      <c r="AM50">
        <f t="shared" si="16"/>
        <v>34171.9723622782</v>
      </c>
      <c r="AN50">
        <f t="shared" si="17"/>
        <v>48766.8988153256</v>
      </c>
      <c r="AO50">
        <f>IF($A50="","",Allocation!CJ50)</f>
        <v>499926</v>
      </c>
      <c r="AP50">
        <f>IF($A50="","",IF(Allocation!$N$2="VOL_EFF",$Q50,IF(Allocation!$N$2="VOL_CLASS",$R50,$S50)))</f>
        <v>2403570</v>
      </c>
      <c r="AQ50">
        <f>IF($A50="","",IF(Allocation!$N$2="VOL_EFF",$T50,IF(Allocation!$N$2="VOL_CLASS",$U50,$V50)))</f>
        <v>20567210</v>
      </c>
      <c r="AR50">
        <f t="shared" si="18"/>
        <v>5105.9139838264</v>
      </c>
      <c r="AS50" t="str">
        <f>IF($A50="","",$A50&amp;"|"&amp;Allocation!BG50)</f>
        <v>2024|ACT</v>
      </c>
    </row>
    <row r="51" ht="14.497499999999997" customHeight="1">
      <c r="A51" t="str">
        <f>IF(Allocation!BI51="","",Allocation!BI51)</f>
        <v>2024</v>
      </c>
      <c r="B51" t="str">
        <f>IF(Allocation!BJ51="","",Allocation!BJ51)</f>
        <v>PIGIER_LYO</v>
      </c>
      <c r="C51" t="str">
        <f>IF(Allocation!BK51="","",Allocation!BK51)</f>
        <v>PIGIER</v>
      </c>
      <c r="D51" t="str">
        <f>IF(Allocation!BL51="","",Allocation!BL51)</f>
        <v>BAC_RH</v>
      </c>
      <c r="E51" t="str">
        <f>IF(Allocation!BM51="","",Allocation!BM51)</f>
        <v>B3</v>
      </c>
      <c r="F51" t="str">
        <f>IF(Allocation!BN51="","",Allocation!BN51)</f>
        <v>ALT</v>
      </c>
      <c r="G51">
        <f>IF(Allocation!BO51="","",Allocation!BO51)</f>
        <v>39</v>
      </c>
      <c r="H51">
        <f>IF(Allocation!BP51="","",Allocation!BP51)</f>
        <v>2</v>
      </c>
      <c r="I51">
        <f>IF(Allocation!BQ51="","",Allocation!BQ51)</f>
        <v>286650</v>
      </c>
      <c r="J51">
        <f>IF(Allocation!CC51="","",Allocation!CC51)</f>
        <v>0</v>
      </c>
      <c r="K51">
        <f t="shared" si="0"/>
        <v>960</v>
      </c>
      <c r="L51">
        <f t="shared" si="1"/>
        <v>201</v>
      </c>
      <c r="M51">
        <f t="shared" si="2"/>
        <v>10</v>
      </c>
      <c r="N51">
        <f t="shared" si="3"/>
        <v>1399680</v>
      </c>
      <c r="O51">
        <f t="shared" si="4"/>
        <v>5680</v>
      </c>
      <c r="P51">
        <f t="shared" si="5"/>
        <v>82</v>
      </c>
      <c r="Q51">
        <f t="shared" si="6"/>
        <v>357</v>
      </c>
      <c r="R51">
        <f t="shared" si="7"/>
        <v>20</v>
      </c>
      <c r="S51">
        <f t="shared" si="8"/>
        <v>2403570</v>
      </c>
      <c r="T51">
        <f t="shared" si="9"/>
        <v>2773</v>
      </c>
      <c r="U51">
        <f t="shared" si="10"/>
        <v>135</v>
      </c>
      <c r="V51">
        <f t="shared" si="11"/>
        <v>20567210</v>
      </c>
      <c r="W51">
        <f>IF($A51="","",Allocation!CD51)</f>
        <v>88144</v>
      </c>
      <c r="X51">
        <f>IF($A51="","",Allocation!CE51)</f>
        <v>220599.82</v>
      </c>
      <c r="Y51">
        <f>IF($A51="","",Allocation!CF51)</f>
        <v>61804</v>
      </c>
      <c r="Z51">
        <f>IF($A51="","",Allocation!CG51)</f>
        <v>30258</v>
      </c>
      <c r="AA51">
        <f>IF($A51="","",Allocation!CH51)</f>
        <v>491052.17</v>
      </c>
      <c r="AB51">
        <f>IF($A51="","",Allocation!CI51)</f>
        <v>2639292</v>
      </c>
      <c r="AC51">
        <f>IF($A51="","",IF(Allocation!$N$4="VOL_EFF",$G51,IF(Allocation!$N$4="VOL_CLASS",$H51,$I51)))</f>
        <v>2</v>
      </c>
      <c r="AD51">
        <f>IF($A51="","",IF(Allocation!$N$4="VOL_EFF",$L51,IF(Allocation!$N$4="VOL_CLASS",$M51,$N51)))</f>
        <v>10</v>
      </c>
      <c r="AE51">
        <f>IF($A51="","",IF(Allocation!$N$3="VOL_EFF",$L51,IF(Allocation!$N$3="VOL_CLASS",$M51,$N51)))</f>
        <v>201</v>
      </c>
      <c r="AF51">
        <f>IF($A51="","",IF(Allocation!$N$3="VOL_EFF",$Q51,IF(Allocation!$N$3="VOL_CLASS",$R51,$S51)))</f>
        <v>357</v>
      </c>
      <c r="AG51">
        <f>IF($A51="","",IF(Allocation!$N$1="VOL_EFF",$Q51,IF(Allocation!$N$1="VOL_CLASS",$R51,$S51)))</f>
        <v>20</v>
      </c>
      <c r="AH51">
        <f>IF($A51="","",IF(Allocation!$N$1="VOL_EFF",$T51,IF(Allocation!$N$1="VOL_CLASS",$U51,$V51)))</f>
        <v>135</v>
      </c>
      <c r="AI51">
        <f t="shared" si="12"/>
        <v>14897.5774647887</v>
      </c>
      <c r="AJ51">
        <f t="shared" si="13"/>
        <v>37284.4766197183</v>
      </c>
      <c r="AK51">
        <f t="shared" si="14"/>
        <v>11991.8208955224</v>
      </c>
      <c r="AL51">
        <f t="shared" si="15"/>
        <v>98210.434</v>
      </c>
      <c r="AM51">
        <f t="shared" si="16"/>
        <v>44029.2720821662</v>
      </c>
      <c r="AN51">
        <f t="shared" si="17"/>
        <v>73657.6451509512</v>
      </c>
      <c r="AO51">
        <f>IF($A51="","",Allocation!CJ51)</f>
        <v>499926</v>
      </c>
      <c r="AP51">
        <f>IF($A51="","",IF(Allocation!$N$2="VOL_EFF",$Q51,IF(Allocation!$N$2="VOL_CLASS",$R51,$S51)))</f>
        <v>2403570</v>
      </c>
      <c r="AQ51">
        <f>IF($A51="","",IF(Allocation!$N$2="VOL_EFF",$T51,IF(Allocation!$N$2="VOL_CLASS",$U51,$V51)))</f>
        <v>20567210</v>
      </c>
      <c r="AR51">
        <f t="shared" si="18"/>
        <v>6578.77378685324</v>
      </c>
      <c r="AS51" t="str">
        <f>IF($A51="","",$A51&amp;"|"&amp;Allocation!BG51)</f>
        <v>2024|ACT</v>
      </c>
    </row>
    <row r="52" ht="14.497499999999997" customHeight="1">
      <c r="A52" t="str">
        <f>IF(Allocation!BI52="","",Allocation!BI52)</f>
        <v>2024</v>
      </c>
      <c r="B52" t="str">
        <f>IF(Allocation!BJ52="","",Allocation!BJ52)</f>
        <v>PIGIER_LYO</v>
      </c>
      <c r="C52" t="str">
        <f>IF(Allocation!BK52="","",Allocation!BK52)</f>
        <v>PIGIER</v>
      </c>
      <c r="D52" t="str">
        <f>IF(Allocation!BL52="","",Allocation!BL52)</f>
        <v>BTS_GES</v>
      </c>
      <c r="E52" t="str">
        <f>IF(Allocation!BM52="","",Allocation!BM52)</f>
        <v>BTS1</v>
      </c>
      <c r="F52" t="str">
        <f>IF(Allocation!BN52="","",Allocation!BN52)</f>
        <v>ALT</v>
      </c>
      <c r="G52">
        <f>IF(Allocation!BO52="","",Allocation!BO52)</f>
        <v>41</v>
      </c>
      <c r="H52">
        <f>IF(Allocation!BP52="","",Allocation!BP52)</f>
        <v>2</v>
      </c>
      <c r="I52">
        <f>IF(Allocation!BQ52="","",Allocation!BQ52)</f>
        <v>261990</v>
      </c>
      <c r="J52">
        <f>IF(Allocation!CC52="","",Allocation!CC52)</f>
        <v>41</v>
      </c>
      <c r="K52">
        <f t="shared" si="0"/>
        <v>1400</v>
      </c>
      <c r="L52">
        <f t="shared" si="1"/>
        <v>201</v>
      </c>
      <c r="M52">
        <f t="shared" si="2"/>
        <v>10</v>
      </c>
      <c r="N52">
        <f t="shared" si="3"/>
        <v>1399680</v>
      </c>
      <c r="O52">
        <f t="shared" si="4"/>
        <v>5680</v>
      </c>
      <c r="P52">
        <f t="shared" si="5"/>
        <v>82</v>
      </c>
      <c r="Q52">
        <f t="shared" si="6"/>
        <v>357</v>
      </c>
      <c r="R52">
        <f t="shared" si="7"/>
        <v>20</v>
      </c>
      <c r="S52">
        <f t="shared" si="8"/>
        <v>2403570</v>
      </c>
      <c r="T52">
        <f t="shared" si="9"/>
        <v>2773</v>
      </c>
      <c r="U52">
        <f t="shared" si="10"/>
        <v>135</v>
      </c>
      <c r="V52">
        <f t="shared" si="11"/>
        <v>20567210</v>
      </c>
      <c r="W52">
        <f>IF($A52="","",Allocation!CD52)</f>
        <v>88144</v>
      </c>
      <c r="X52">
        <f>IF($A52="","",Allocation!CE52)</f>
        <v>220599.82</v>
      </c>
      <c r="Y52">
        <f>IF($A52="","",Allocation!CF52)</f>
        <v>61804</v>
      </c>
      <c r="Z52">
        <f>IF($A52="","",Allocation!CG52)</f>
        <v>30258</v>
      </c>
      <c r="AA52">
        <f>IF($A52="","",Allocation!CH52)</f>
        <v>491052.17</v>
      </c>
      <c r="AB52">
        <f>IF($A52="","",Allocation!CI52)</f>
        <v>2639292</v>
      </c>
      <c r="AC52">
        <f>IF($A52="","",IF(Allocation!$N$4="VOL_EFF",$G52,IF(Allocation!$N$4="VOL_CLASS",$H52,$I52)))</f>
        <v>2</v>
      </c>
      <c r="AD52">
        <f>IF($A52="","",IF(Allocation!$N$4="VOL_EFF",$L52,IF(Allocation!$N$4="VOL_CLASS",$M52,$N52)))</f>
        <v>10</v>
      </c>
      <c r="AE52">
        <f>IF($A52="","",IF(Allocation!$N$3="VOL_EFF",$L52,IF(Allocation!$N$3="VOL_CLASS",$M52,$N52)))</f>
        <v>201</v>
      </c>
      <c r="AF52">
        <f>IF($A52="","",IF(Allocation!$N$3="VOL_EFF",$Q52,IF(Allocation!$N$3="VOL_CLASS",$R52,$S52)))</f>
        <v>357</v>
      </c>
      <c r="AG52">
        <f>IF($A52="","",IF(Allocation!$N$1="VOL_EFF",$Q52,IF(Allocation!$N$1="VOL_CLASS",$R52,$S52)))</f>
        <v>20</v>
      </c>
      <c r="AH52">
        <f>IF($A52="","",IF(Allocation!$N$1="VOL_EFF",$T52,IF(Allocation!$N$1="VOL_CLASS",$U52,$V52)))</f>
        <v>135</v>
      </c>
      <c r="AI52">
        <f t="shared" si="12"/>
        <v>21725.6338028169</v>
      </c>
      <c r="AJ52">
        <f t="shared" si="13"/>
        <v>54373.1950704225</v>
      </c>
      <c r="AK52">
        <f t="shared" si="14"/>
        <v>27735.7860696517</v>
      </c>
      <c r="AL52">
        <f t="shared" si="15"/>
        <v>98210.434</v>
      </c>
      <c r="AM52">
        <f t="shared" si="16"/>
        <v>44029.2720821662</v>
      </c>
      <c r="AN52">
        <f t="shared" si="17"/>
        <v>9336.90518808947</v>
      </c>
      <c r="AO52">
        <f>IF($A52="","",Allocation!CJ52)</f>
        <v>499926</v>
      </c>
      <c r="AP52">
        <f>IF($A52="","",IF(Allocation!$N$2="VOL_EFF",$Q52,IF(Allocation!$N$2="VOL_CLASS",$R52,$S52)))</f>
        <v>2403570</v>
      </c>
      <c r="AQ52">
        <f>IF($A52="","",IF(Allocation!$N$2="VOL_EFF",$T52,IF(Allocation!$N$2="VOL_CLASS",$U52,$V52)))</f>
        <v>20567210</v>
      </c>
      <c r="AR52">
        <f t="shared" si="18"/>
        <v>6578.77378685324</v>
      </c>
      <c r="AS52" t="str">
        <f>IF($A52="","",$A52&amp;"|"&amp;Allocation!BG52)</f>
        <v>2024|ACT</v>
      </c>
    </row>
    <row r="53" ht="14.497499999999997" customHeight="1">
      <c r="A53" t="str">
        <f>IF(Allocation!BI53="","",Allocation!BI53)</f>
        <v>2024</v>
      </c>
      <c r="B53" t="str">
        <f>IF(Allocation!BJ53="","",Allocation!BJ53)</f>
        <v>PIGIER_LYO</v>
      </c>
      <c r="C53" t="str">
        <f>IF(Allocation!BK53="","",Allocation!BK53)</f>
        <v>PIGIER</v>
      </c>
      <c r="D53" t="str">
        <f>IF(Allocation!BL53="","",Allocation!BL53)</f>
        <v>BTS_GES</v>
      </c>
      <c r="E53" t="str">
        <f>IF(Allocation!BM53="","",Allocation!BM53)</f>
        <v>BTS2</v>
      </c>
      <c r="F53" t="str">
        <f>IF(Allocation!BN53="","",Allocation!BN53)</f>
        <v>ALT</v>
      </c>
      <c r="G53">
        <f>IF(Allocation!BO53="","",Allocation!BO53)</f>
        <v>40</v>
      </c>
      <c r="H53">
        <f>IF(Allocation!BP53="","",Allocation!BP53)</f>
        <v>2</v>
      </c>
      <c r="I53">
        <f>IF(Allocation!BQ53="","",Allocation!BQ53)</f>
        <v>252000</v>
      </c>
      <c r="J53">
        <f>IF(Allocation!CC53="","",Allocation!CC53)</f>
        <v>0</v>
      </c>
      <c r="K53">
        <f t="shared" si="0"/>
        <v>1400</v>
      </c>
      <c r="L53">
        <f t="shared" si="1"/>
        <v>201</v>
      </c>
      <c r="M53">
        <f t="shared" si="2"/>
        <v>10</v>
      </c>
      <c r="N53">
        <f t="shared" si="3"/>
        <v>1399680</v>
      </c>
      <c r="O53">
        <f t="shared" si="4"/>
        <v>5680</v>
      </c>
      <c r="P53">
        <f t="shared" si="5"/>
        <v>82</v>
      </c>
      <c r="Q53">
        <f t="shared" si="6"/>
        <v>357</v>
      </c>
      <c r="R53">
        <f t="shared" si="7"/>
        <v>20</v>
      </c>
      <c r="S53">
        <f t="shared" si="8"/>
        <v>2403570</v>
      </c>
      <c r="T53">
        <f t="shared" si="9"/>
        <v>2773</v>
      </c>
      <c r="U53">
        <f t="shared" si="10"/>
        <v>135</v>
      </c>
      <c r="V53">
        <f t="shared" si="11"/>
        <v>20567210</v>
      </c>
      <c r="W53">
        <f>IF($A53="","",Allocation!CD53)</f>
        <v>88144</v>
      </c>
      <c r="X53">
        <f>IF($A53="","",Allocation!CE53)</f>
        <v>220599.82</v>
      </c>
      <c r="Y53">
        <f>IF($A53="","",Allocation!CF53)</f>
        <v>61804</v>
      </c>
      <c r="Z53">
        <f>IF($A53="","",Allocation!CG53)</f>
        <v>30258</v>
      </c>
      <c r="AA53">
        <f>IF($A53="","",Allocation!CH53)</f>
        <v>491052.17</v>
      </c>
      <c r="AB53">
        <f>IF($A53="","",Allocation!CI53)</f>
        <v>2639292</v>
      </c>
      <c r="AC53">
        <f>IF($A53="","",IF(Allocation!$N$4="VOL_EFF",$G53,IF(Allocation!$N$4="VOL_CLASS",$H53,$I53)))</f>
        <v>2</v>
      </c>
      <c r="AD53">
        <f>IF($A53="","",IF(Allocation!$N$4="VOL_EFF",$L53,IF(Allocation!$N$4="VOL_CLASS",$M53,$N53)))</f>
        <v>10</v>
      </c>
      <c r="AE53">
        <f>IF($A53="","",IF(Allocation!$N$3="VOL_EFF",$L53,IF(Allocation!$N$3="VOL_CLASS",$M53,$N53)))</f>
        <v>201</v>
      </c>
      <c r="AF53">
        <f>IF($A53="","",IF(Allocation!$N$3="VOL_EFF",$Q53,IF(Allocation!$N$3="VOL_CLASS",$R53,$S53)))</f>
        <v>357</v>
      </c>
      <c r="AG53">
        <f>IF($A53="","",IF(Allocation!$N$1="VOL_EFF",$Q53,IF(Allocation!$N$1="VOL_CLASS",$R53,$S53)))</f>
        <v>20</v>
      </c>
      <c r="AH53">
        <f>IF($A53="","",IF(Allocation!$N$1="VOL_EFF",$T53,IF(Allocation!$N$1="VOL_CLASS",$U53,$V53)))</f>
        <v>135</v>
      </c>
      <c r="AI53">
        <f t="shared" si="12"/>
        <v>21725.6338028169</v>
      </c>
      <c r="AJ53">
        <f t="shared" si="13"/>
        <v>54373.1950704225</v>
      </c>
      <c r="AK53">
        <f t="shared" si="14"/>
        <v>12299.3034825871</v>
      </c>
      <c r="AL53">
        <f t="shared" si="15"/>
        <v>98210.434</v>
      </c>
      <c r="AM53">
        <f t="shared" si="16"/>
        <v>44029.2720821662</v>
      </c>
      <c r="AN53">
        <f t="shared" si="17"/>
        <v>14783.3877751541</v>
      </c>
      <c r="AO53">
        <f>IF($A53="","",Allocation!CJ53)</f>
        <v>499926</v>
      </c>
      <c r="AP53">
        <f>IF($A53="","",IF(Allocation!$N$2="VOL_EFF",$Q53,IF(Allocation!$N$2="VOL_CLASS",$R53,$S53)))</f>
        <v>2403570</v>
      </c>
      <c r="AQ53">
        <f>IF($A53="","",IF(Allocation!$N$2="VOL_EFF",$T53,IF(Allocation!$N$2="VOL_CLASS",$U53,$V53)))</f>
        <v>20567210</v>
      </c>
      <c r="AR53">
        <f t="shared" si="18"/>
        <v>6578.77378685324</v>
      </c>
      <c r="AS53" t="str">
        <f>IF($A53="","",$A53&amp;"|"&amp;Allocation!BG53)</f>
        <v>2024|ACT</v>
      </c>
    </row>
    <row r="54" ht="14.497499999999997" customHeight="1">
      <c r="A54" t="str">
        <f>IF(Allocation!BI54="","",Allocation!BI54)</f>
        <v>2024</v>
      </c>
      <c r="B54" t="str">
        <f>IF(Allocation!BJ54="","",Allocation!BJ54)</f>
        <v>PIGIER_LYO</v>
      </c>
      <c r="C54" t="str">
        <f>IF(Allocation!BK54="","",Allocation!BK54)</f>
        <v>PIGIER</v>
      </c>
      <c r="D54" t="str">
        <f>IF(Allocation!BL54="","",Allocation!BL54)</f>
        <v>BAC_RH</v>
      </c>
      <c r="E54" t="str">
        <f>IF(Allocation!BM54="","",Allocation!BM54)</f>
        <v>B1</v>
      </c>
      <c r="F54" t="str">
        <f>IF(Allocation!BN54="","",Allocation!BN54)</f>
        <v>ALT</v>
      </c>
      <c r="G54">
        <f>IF(Allocation!BO54="","",Allocation!BO54)</f>
        <v>41</v>
      </c>
      <c r="H54">
        <f>IF(Allocation!BP54="","",Allocation!BP54)</f>
        <v>2</v>
      </c>
      <c r="I54">
        <f>IF(Allocation!BQ54="","",Allocation!BQ54)</f>
        <v>305040</v>
      </c>
      <c r="J54">
        <f>IF(Allocation!CC54="","",Allocation!CC54)</f>
        <v>41</v>
      </c>
      <c r="K54">
        <f t="shared" si="0"/>
        <v>960</v>
      </c>
      <c r="L54">
        <f t="shared" si="1"/>
        <v>201</v>
      </c>
      <c r="M54">
        <f t="shared" si="2"/>
        <v>10</v>
      </c>
      <c r="N54">
        <f t="shared" si="3"/>
        <v>1399680</v>
      </c>
      <c r="O54">
        <f t="shared" si="4"/>
        <v>5680</v>
      </c>
      <c r="P54">
        <f t="shared" si="5"/>
        <v>82</v>
      </c>
      <c r="Q54">
        <f t="shared" si="6"/>
        <v>357</v>
      </c>
      <c r="R54">
        <f t="shared" si="7"/>
        <v>20</v>
      </c>
      <c r="S54">
        <f t="shared" si="8"/>
        <v>2403570</v>
      </c>
      <c r="T54">
        <f t="shared" si="9"/>
        <v>2773</v>
      </c>
      <c r="U54">
        <f t="shared" si="10"/>
        <v>135</v>
      </c>
      <c r="V54">
        <f t="shared" si="11"/>
        <v>20567210</v>
      </c>
      <c r="W54">
        <f>IF($A54="","",Allocation!CD54)</f>
        <v>88144</v>
      </c>
      <c r="X54">
        <f>IF($A54="","",Allocation!CE54)</f>
        <v>220599.82</v>
      </c>
      <c r="Y54">
        <f>IF($A54="","",Allocation!CF54)</f>
        <v>61804</v>
      </c>
      <c r="Z54">
        <f>IF($A54="","",Allocation!CG54)</f>
        <v>30258</v>
      </c>
      <c r="AA54">
        <f>IF($A54="","",Allocation!CH54)</f>
        <v>491052.17</v>
      </c>
      <c r="AB54">
        <f>IF($A54="","",Allocation!CI54)</f>
        <v>2639292</v>
      </c>
      <c r="AC54">
        <f>IF($A54="","",IF(Allocation!$N$4="VOL_EFF",$G54,IF(Allocation!$N$4="VOL_CLASS",$H54,$I54)))</f>
        <v>2</v>
      </c>
      <c r="AD54">
        <f>IF($A54="","",IF(Allocation!$N$4="VOL_EFF",$L54,IF(Allocation!$N$4="VOL_CLASS",$M54,$N54)))</f>
        <v>10</v>
      </c>
      <c r="AE54">
        <f>IF($A54="","",IF(Allocation!$N$3="VOL_EFF",$L54,IF(Allocation!$N$3="VOL_CLASS",$M54,$N54)))</f>
        <v>201</v>
      </c>
      <c r="AF54">
        <f>IF($A54="","",IF(Allocation!$N$3="VOL_EFF",$Q54,IF(Allocation!$N$3="VOL_CLASS",$R54,$S54)))</f>
        <v>357</v>
      </c>
      <c r="AG54">
        <f>IF($A54="","",IF(Allocation!$N$1="VOL_EFF",$Q54,IF(Allocation!$N$1="VOL_CLASS",$R54,$S54)))</f>
        <v>20</v>
      </c>
      <c r="AH54">
        <f>IF($A54="","",IF(Allocation!$N$1="VOL_EFF",$T54,IF(Allocation!$N$1="VOL_CLASS",$U54,$V54)))</f>
        <v>135</v>
      </c>
      <c r="AI54">
        <f t="shared" si="12"/>
        <v>14897.5774647887</v>
      </c>
      <c r="AJ54">
        <f t="shared" si="13"/>
        <v>37284.4766197183</v>
      </c>
      <c r="AK54">
        <f t="shared" si="14"/>
        <v>27735.7860696517</v>
      </c>
      <c r="AL54">
        <f t="shared" si="15"/>
        <v>98210.434</v>
      </c>
      <c r="AM54">
        <f t="shared" si="16"/>
        <v>44029.2720821662</v>
      </c>
      <c r="AN54">
        <f t="shared" si="17"/>
        <v>76303.6799768219</v>
      </c>
      <c r="AO54">
        <f>IF($A54="","",Allocation!CJ54)</f>
        <v>499926</v>
      </c>
      <c r="AP54">
        <f>IF($A54="","",IF(Allocation!$N$2="VOL_EFF",$Q54,IF(Allocation!$N$2="VOL_CLASS",$R54,$S54)))</f>
        <v>2403570</v>
      </c>
      <c r="AQ54">
        <f>IF($A54="","",IF(Allocation!$N$2="VOL_EFF",$T54,IF(Allocation!$N$2="VOL_CLASS",$U54,$V54)))</f>
        <v>20567210</v>
      </c>
      <c r="AR54">
        <f t="shared" si="18"/>
        <v>6578.77378685324</v>
      </c>
      <c r="AS54" t="str">
        <f>IF($A54="","",$A54&amp;"|"&amp;Allocation!BG54)</f>
        <v>2024|ACT</v>
      </c>
    </row>
    <row r="55" ht="14.497499999999997" customHeight="1">
      <c r="A55" t="str">
        <f>IF(Allocation!BI55="","",Allocation!BI55)</f>
        <v>2024</v>
      </c>
      <c r="B55" t="str">
        <f>IF(Allocation!BJ55="","",Allocation!BJ55)</f>
        <v>PIGIER_LYO</v>
      </c>
      <c r="C55" t="str">
        <f>IF(Allocation!BK55="","",Allocation!BK55)</f>
        <v>PIGIER</v>
      </c>
      <c r="D55" t="str">
        <f>IF(Allocation!BL55="","",Allocation!BL55)</f>
        <v>BAC_RH</v>
      </c>
      <c r="E55" t="str">
        <f>IF(Allocation!BM55="","",Allocation!BM55)</f>
        <v>B2</v>
      </c>
      <c r="F55" t="str">
        <f>IF(Allocation!BN55="","",Allocation!BN55)</f>
        <v>ALT</v>
      </c>
      <c r="G55">
        <f>IF(Allocation!BO55="","",Allocation!BO55)</f>
        <v>40</v>
      </c>
      <c r="H55">
        <f>IF(Allocation!BP55="","",Allocation!BP55)</f>
        <v>2</v>
      </c>
      <c r="I55">
        <f>IF(Allocation!BQ55="","",Allocation!BQ55)</f>
        <v>294000</v>
      </c>
      <c r="J55">
        <f>IF(Allocation!CC55="","",Allocation!CC55)</f>
        <v>0</v>
      </c>
      <c r="K55">
        <f t="shared" si="0"/>
        <v>960</v>
      </c>
      <c r="L55">
        <f t="shared" si="1"/>
        <v>201</v>
      </c>
      <c r="M55">
        <f t="shared" si="2"/>
        <v>10</v>
      </c>
      <c r="N55">
        <f t="shared" si="3"/>
        <v>1399680</v>
      </c>
      <c r="O55">
        <f t="shared" si="4"/>
        <v>5680</v>
      </c>
      <c r="P55">
        <f t="shared" si="5"/>
        <v>82</v>
      </c>
      <c r="Q55">
        <f t="shared" si="6"/>
        <v>357</v>
      </c>
      <c r="R55">
        <f t="shared" si="7"/>
        <v>20</v>
      </c>
      <c r="S55">
        <f t="shared" si="8"/>
        <v>2403570</v>
      </c>
      <c r="T55">
        <f t="shared" si="9"/>
        <v>2773</v>
      </c>
      <c r="U55">
        <f t="shared" si="10"/>
        <v>135</v>
      </c>
      <c r="V55">
        <f t="shared" si="11"/>
        <v>20567210</v>
      </c>
      <c r="W55">
        <f>IF($A55="","",Allocation!CD55)</f>
        <v>88144</v>
      </c>
      <c r="X55">
        <f>IF($A55="","",Allocation!CE55)</f>
        <v>220599.82</v>
      </c>
      <c r="Y55">
        <f>IF($A55="","",Allocation!CF55)</f>
        <v>61804</v>
      </c>
      <c r="Z55">
        <f>IF($A55="","",Allocation!CG55)</f>
        <v>30258</v>
      </c>
      <c r="AA55">
        <f>IF($A55="","",Allocation!CH55)</f>
        <v>491052.17</v>
      </c>
      <c r="AB55">
        <f>IF($A55="","",Allocation!CI55)</f>
        <v>2639292</v>
      </c>
      <c r="AC55">
        <f>IF($A55="","",IF(Allocation!$N$4="VOL_EFF",$G55,IF(Allocation!$N$4="VOL_CLASS",$H55,$I55)))</f>
        <v>2</v>
      </c>
      <c r="AD55">
        <f>IF($A55="","",IF(Allocation!$N$4="VOL_EFF",$L55,IF(Allocation!$N$4="VOL_CLASS",$M55,$N55)))</f>
        <v>10</v>
      </c>
      <c r="AE55">
        <f>IF($A55="","",IF(Allocation!$N$3="VOL_EFF",$L55,IF(Allocation!$N$3="VOL_CLASS",$M55,$N55)))</f>
        <v>201</v>
      </c>
      <c r="AF55">
        <f>IF($A55="","",IF(Allocation!$N$3="VOL_EFF",$Q55,IF(Allocation!$N$3="VOL_CLASS",$R55,$S55)))</f>
        <v>357</v>
      </c>
      <c r="AG55">
        <f>IF($A55="","",IF(Allocation!$N$1="VOL_EFF",$Q55,IF(Allocation!$N$1="VOL_CLASS",$R55,$S55)))</f>
        <v>20</v>
      </c>
      <c r="AH55">
        <f>IF($A55="","",IF(Allocation!$N$1="VOL_EFF",$T55,IF(Allocation!$N$1="VOL_CLASS",$U55,$V55)))</f>
        <v>135</v>
      </c>
      <c r="AI55">
        <f t="shared" si="12"/>
        <v>14897.5774647887</v>
      </c>
      <c r="AJ55">
        <f t="shared" si="13"/>
        <v>37284.4766197183</v>
      </c>
      <c r="AK55">
        <f t="shared" si="14"/>
        <v>12299.3034825871</v>
      </c>
      <c r="AL55">
        <f t="shared" si="15"/>
        <v>98210.434</v>
      </c>
      <c r="AM55">
        <f t="shared" si="16"/>
        <v>44029.2720821662</v>
      </c>
      <c r="AN55">
        <f t="shared" si="17"/>
        <v>80700.1625638865</v>
      </c>
      <c r="AO55">
        <f>IF($A55="","",Allocation!CJ55)</f>
        <v>499926</v>
      </c>
      <c r="AP55">
        <f>IF($A55="","",IF(Allocation!$N$2="VOL_EFF",$Q55,IF(Allocation!$N$2="VOL_CLASS",$R55,$S55)))</f>
        <v>2403570</v>
      </c>
      <c r="AQ55">
        <f>IF($A55="","",IF(Allocation!$N$2="VOL_EFF",$T55,IF(Allocation!$N$2="VOL_CLASS",$U55,$V55)))</f>
        <v>20567210</v>
      </c>
      <c r="AR55">
        <f t="shared" si="18"/>
        <v>6578.77378685324</v>
      </c>
      <c r="AS55" t="str">
        <f>IF($A55="","",$A55&amp;"|"&amp;Allocation!BG55)</f>
        <v>2024|ACT</v>
      </c>
    </row>
    <row r="56" ht="14.497499999999997" customHeight="1">
      <c r="A56" t="str">
        <f>IF(Allocation!BI56="","",Allocation!BI56)</f>
        <v>2024</v>
      </c>
      <c r="B56" t="str">
        <f>IF(Allocation!BJ56="","",Allocation!BJ56)</f>
        <v>TUNON_LYO</v>
      </c>
      <c r="C56" t="str">
        <f>IF(Allocation!BK56="","",Allocation!BK56)</f>
        <v>TUNON</v>
      </c>
      <c r="D56" t="str">
        <f>IF(Allocation!BL56="","",Allocation!BL56)</f>
        <v>BAC_TOU</v>
      </c>
      <c r="E56" t="str">
        <f>IF(Allocation!BM56="","",Allocation!BM56)</f>
        <v>B1</v>
      </c>
      <c r="F56" t="str">
        <f>IF(Allocation!BN56="","",Allocation!BN56)</f>
        <v>ALT</v>
      </c>
      <c r="G56">
        <f>IF(Allocation!BO56="","",Allocation!BO56)</f>
        <v>36</v>
      </c>
      <c r="H56">
        <f>IF(Allocation!BP56="","",Allocation!BP56)</f>
        <v>2</v>
      </c>
      <c r="I56">
        <f>IF(Allocation!BQ56="","",Allocation!BQ56)</f>
        <v>267840</v>
      </c>
      <c r="J56">
        <f>IF(Allocation!CC56="","",Allocation!CC56)</f>
        <v>36</v>
      </c>
      <c r="K56">
        <f t="shared" si="0"/>
        <v>960</v>
      </c>
      <c r="L56">
        <f t="shared" si="1"/>
        <v>105</v>
      </c>
      <c r="M56">
        <f t="shared" si="2"/>
        <v>6</v>
      </c>
      <c r="N56">
        <f t="shared" si="3"/>
        <v>774990</v>
      </c>
      <c r="O56">
        <f t="shared" si="4"/>
        <v>2880</v>
      </c>
      <c r="P56">
        <f t="shared" si="5"/>
        <v>36</v>
      </c>
      <c r="Q56">
        <f t="shared" si="6"/>
        <v>228</v>
      </c>
      <c r="R56">
        <f t="shared" si="7"/>
        <v>12</v>
      </c>
      <c r="S56">
        <f t="shared" si="8"/>
        <v>1743090</v>
      </c>
      <c r="T56">
        <f t="shared" si="9"/>
        <v>2773</v>
      </c>
      <c r="U56">
        <f t="shared" si="10"/>
        <v>135</v>
      </c>
      <c r="V56">
        <f t="shared" si="11"/>
        <v>20567210</v>
      </c>
      <c r="W56">
        <f>IF($A56="","",Allocation!CD56)</f>
        <v>66108</v>
      </c>
      <c r="X56">
        <f>IF($A56="","",Allocation!CE56)</f>
        <v>161858.54</v>
      </c>
      <c r="Y56">
        <f>IF($A56="","",Allocation!CF56)</f>
        <v>39731</v>
      </c>
      <c r="Z56">
        <f>IF($A56="","",Allocation!CG56)</f>
        <v>15578</v>
      </c>
      <c r="AA56">
        <f>IF($A56="","",Allocation!CH56)</f>
        <v>326504.08</v>
      </c>
      <c r="AB56">
        <f>IF($A56="","",Allocation!CI56)</f>
        <v>2639292</v>
      </c>
      <c r="AC56">
        <f>IF($A56="","",IF(Allocation!$N$4="VOL_EFF",$G56,IF(Allocation!$N$4="VOL_CLASS",$H56,$I56)))</f>
        <v>2</v>
      </c>
      <c r="AD56">
        <f>IF($A56="","",IF(Allocation!$N$4="VOL_EFF",$L56,IF(Allocation!$N$4="VOL_CLASS",$M56,$N56)))</f>
        <v>6</v>
      </c>
      <c r="AE56">
        <f>IF($A56="","",IF(Allocation!$N$3="VOL_EFF",$L56,IF(Allocation!$N$3="VOL_CLASS",$M56,$N56)))</f>
        <v>105</v>
      </c>
      <c r="AF56">
        <f>IF($A56="","",IF(Allocation!$N$3="VOL_EFF",$Q56,IF(Allocation!$N$3="VOL_CLASS",$R56,$S56)))</f>
        <v>228</v>
      </c>
      <c r="AG56">
        <f>IF($A56="","",IF(Allocation!$N$1="VOL_EFF",$Q56,IF(Allocation!$N$1="VOL_CLASS",$R56,$S56)))</f>
        <v>12</v>
      </c>
      <c r="AH56">
        <f>IF($A56="","",IF(Allocation!$N$1="VOL_EFF",$T56,IF(Allocation!$N$1="VOL_CLASS",$U56,$V56)))</f>
        <v>135</v>
      </c>
      <c r="AI56">
        <f t="shared" si="12"/>
        <v>22036</v>
      </c>
      <c r="AJ56">
        <f t="shared" si="13"/>
        <v>53952.8466666667</v>
      </c>
      <c r="AK56">
        <f t="shared" si="14"/>
        <v>29200.0571428571</v>
      </c>
      <c r="AL56">
        <f t="shared" si="15"/>
        <v>108834.693333333</v>
      </c>
      <c r="AM56">
        <f t="shared" si="16"/>
        <v>36013.730994152</v>
      </c>
      <c r="AN56">
        <f t="shared" si="17"/>
        <v>11298.6296647159</v>
      </c>
      <c r="AO56">
        <f>IF($A56="","",Allocation!CJ56)</f>
        <v>499926</v>
      </c>
      <c r="AP56">
        <f>IF($A56="","",IF(Allocation!$N$2="VOL_EFF",$Q56,IF(Allocation!$N$2="VOL_CLASS",$R56,$S56)))</f>
        <v>1743090</v>
      </c>
      <c r="AQ56">
        <f>IF($A56="","",IF(Allocation!$N$2="VOL_EFF",$T56,IF(Allocation!$N$2="VOL_CLASS",$U56,$V56)))</f>
        <v>20567210</v>
      </c>
      <c r="AR56">
        <f t="shared" si="18"/>
        <v>6504.04219827529</v>
      </c>
      <c r="AS56" t="str">
        <f>IF($A56="","",$A56&amp;"|"&amp;Allocation!BG56)</f>
        <v>2024|ACT</v>
      </c>
    </row>
    <row r="57" ht="14.497499999999997" customHeight="1">
      <c r="A57" t="str">
        <f>IF(Allocation!BI57="","",Allocation!BI57)</f>
        <v>2024</v>
      </c>
      <c r="B57" t="str">
        <f>IF(Allocation!BJ57="","",Allocation!BJ57)</f>
        <v>TUNON_LYO</v>
      </c>
      <c r="C57" t="str">
        <f>IF(Allocation!BK57="","",Allocation!BK57)</f>
        <v>TUNON</v>
      </c>
      <c r="D57" t="str">
        <f>IF(Allocation!BL57="","",Allocation!BL57)</f>
        <v>BAC_TOU</v>
      </c>
      <c r="E57" t="str">
        <f>IF(Allocation!BM57="","",Allocation!BM57)</f>
        <v>B2</v>
      </c>
      <c r="F57" t="str">
        <f>IF(Allocation!BN57="","",Allocation!BN57)</f>
        <v>ALT</v>
      </c>
      <c r="G57">
        <f>IF(Allocation!BO57="","",Allocation!BO57)</f>
        <v>35</v>
      </c>
      <c r="H57">
        <f>IF(Allocation!BP57="","",Allocation!BP57)</f>
        <v>2</v>
      </c>
      <c r="I57">
        <f>IF(Allocation!BQ57="","",Allocation!BQ57)</f>
        <v>257250</v>
      </c>
      <c r="J57">
        <f>IF(Allocation!CC57="","",Allocation!CC57)</f>
        <v>0</v>
      </c>
      <c r="K57">
        <f t="shared" si="0"/>
        <v>960</v>
      </c>
      <c r="L57">
        <f t="shared" si="1"/>
        <v>105</v>
      </c>
      <c r="M57">
        <f t="shared" si="2"/>
        <v>6</v>
      </c>
      <c r="N57">
        <f t="shared" si="3"/>
        <v>774990</v>
      </c>
      <c r="O57">
        <f t="shared" si="4"/>
        <v>2880</v>
      </c>
      <c r="P57">
        <f t="shared" si="5"/>
        <v>36</v>
      </c>
      <c r="Q57">
        <f t="shared" si="6"/>
        <v>228</v>
      </c>
      <c r="R57">
        <f t="shared" si="7"/>
        <v>12</v>
      </c>
      <c r="S57">
        <f t="shared" si="8"/>
        <v>1743090</v>
      </c>
      <c r="T57">
        <f t="shared" si="9"/>
        <v>2773</v>
      </c>
      <c r="U57">
        <f t="shared" si="10"/>
        <v>135</v>
      </c>
      <c r="V57">
        <f t="shared" si="11"/>
        <v>20567210</v>
      </c>
      <c r="W57">
        <f>IF($A57="","",Allocation!CD57)</f>
        <v>66108</v>
      </c>
      <c r="X57">
        <f>IF($A57="","",Allocation!CE57)</f>
        <v>161858.54</v>
      </c>
      <c r="Y57">
        <f>IF($A57="","",Allocation!CF57)</f>
        <v>39731</v>
      </c>
      <c r="Z57">
        <f>IF($A57="","",Allocation!CG57)</f>
        <v>15578</v>
      </c>
      <c r="AA57">
        <f>IF($A57="","",Allocation!CH57)</f>
        <v>326504.08</v>
      </c>
      <c r="AB57">
        <f>IF($A57="","",Allocation!CI57)</f>
        <v>2639292</v>
      </c>
      <c r="AC57">
        <f>IF($A57="","",IF(Allocation!$N$4="VOL_EFF",$G57,IF(Allocation!$N$4="VOL_CLASS",$H57,$I57)))</f>
        <v>2</v>
      </c>
      <c r="AD57">
        <f>IF($A57="","",IF(Allocation!$N$4="VOL_EFF",$L57,IF(Allocation!$N$4="VOL_CLASS",$M57,$N57)))</f>
        <v>6</v>
      </c>
      <c r="AE57">
        <f>IF($A57="","",IF(Allocation!$N$3="VOL_EFF",$L57,IF(Allocation!$N$3="VOL_CLASS",$M57,$N57)))</f>
        <v>105</v>
      </c>
      <c r="AF57">
        <f>IF($A57="","",IF(Allocation!$N$3="VOL_EFF",$Q57,IF(Allocation!$N$3="VOL_CLASS",$R57,$S57)))</f>
        <v>228</v>
      </c>
      <c r="AG57">
        <f>IF($A57="","",IF(Allocation!$N$1="VOL_EFF",$Q57,IF(Allocation!$N$1="VOL_CLASS",$R57,$S57)))</f>
        <v>12</v>
      </c>
      <c r="AH57">
        <f>IF($A57="","",IF(Allocation!$N$1="VOL_EFF",$T57,IF(Allocation!$N$1="VOL_CLASS",$U57,$V57)))</f>
        <v>135</v>
      </c>
      <c r="AI57">
        <f t="shared" si="12"/>
        <v>22036</v>
      </c>
      <c r="AJ57">
        <f t="shared" si="13"/>
        <v>53952.8466666667</v>
      </c>
      <c r="AK57">
        <f t="shared" si="14"/>
        <v>13243.6666666667</v>
      </c>
      <c r="AL57">
        <f t="shared" si="15"/>
        <v>108834.693333333</v>
      </c>
      <c r="AM57">
        <f t="shared" si="16"/>
        <v>36013.730994152</v>
      </c>
      <c r="AN57">
        <f t="shared" si="17"/>
        <v>16665.0201409063</v>
      </c>
      <c r="AO57">
        <f>IF($A57="","",Allocation!CJ57)</f>
        <v>499926</v>
      </c>
      <c r="AP57">
        <f>IF($A57="","",IF(Allocation!$N$2="VOL_EFF",$Q57,IF(Allocation!$N$2="VOL_CLASS",$R57,$S57)))</f>
        <v>1743090</v>
      </c>
      <c r="AQ57">
        <f>IF($A57="","",IF(Allocation!$N$2="VOL_EFF",$T57,IF(Allocation!$N$2="VOL_CLASS",$U57,$V57)))</f>
        <v>20567210</v>
      </c>
      <c r="AR57">
        <f t="shared" si="18"/>
        <v>6504.04219827529</v>
      </c>
      <c r="AS57" t="str">
        <f>IF($A57="","",$A57&amp;"|"&amp;Allocation!BG57)</f>
        <v>2024|ACT</v>
      </c>
    </row>
    <row r="58" ht="14.497499999999997" customHeight="1">
      <c r="A58" t="str">
        <f>IF(Allocation!BI58="","",Allocation!BI58)</f>
        <v>2024</v>
      </c>
      <c r="B58" t="str">
        <f>IF(Allocation!BJ58="","",Allocation!BJ58)</f>
        <v>TUNON_LYO</v>
      </c>
      <c r="C58" t="str">
        <f>IF(Allocation!BK58="","",Allocation!BK58)</f>
        <v>TUNON</v>
      </c>
      <c r="D58" t="str">
        <f>IF(Allocation!BL58="","",Allocation!BL58)</f>
        <v>BAC_TOU</v>
      </c>
      <c r="E58" t="str">
        <f>IF(Allocation!BM58="","",Allocation!BM58)</f>
        <v>B3</v>
      </c>
      <c r="F58" t="str">
        <f>IF(Allocation!BN58="","",Allocation!BN58)</f>
        <v>ALT</v>
      </c>
      <c r="G58">
        <f>IF(Allocation!BO58="","",Allocation!BO58)</f>
        <v>34</v>
      </c>
      <c r="H58">
        <f>IF(Allocation!BP58="","",Allocation!BP58)</f>
        <v>2</v>
      </c>
      <c r="I58">
        <f>IF(Allocation!BQ58="","",Allocation!BQ58)</f>
        <v>249900</v>
      </c>
      <c r="J58">
        <f>IF(Allocation!CC58="","",Allocation!CC58)</f>
        <v>0</v>
      </c>
      <c r="K58">
        <f t="shared" si="0"/>
        <v>960</v>
      </c>
      <c r="L58">
        <f t="shared" si="1"/>
        <v>105</v>
      </c>
      <c r="M58">
        <f t="shared" si="2"/>
        <v>6</v>
      </c>
      <c r="N58">
        <f t="shared" si="3"/>
        <v>774990</v>
      </c>
      <c r="O58">
        <f t="shared" si="4"/>
        <v>2880</v>
      </c>
      <c r="P58">
        <f t="shared" si="5"/>
        <v>36</v>
      </c>
      <c r="Q58">
        <f t="shared" si="6"/>
        <v>228</v>
      </c>
      <c r="R58">
        <f t="shared" si="7"/>
        <v>12</v>
      </c>
      <c r="S58">
        <f t="shared" si="8"/>
        <v>1743090</v>
      </c>
      <c r="T58">
        <f t="shared" si="9"/>
        <v>2773</v>
      </c>
      <c r="U58">
        <f t="shared" si="10"/>
        <v>135</v>
      </c>
      <c r="V58">
        <f t="shared" si="11"/>
        <v>20567210</v>
      </c>
      <c r="W58">
        <f>IF($A58="","",Allocation!CD58)</f>
        <v>66108</v>
      </c>
      <c r="X58">
        <f>IF($A58="","",Allocation!CE58)</f>
        <v>161858.54</v>
      </c>
      <c r="Y58">
        <f>IF($A58="","",Allocation!CF58)</f>
        <v>39731</v>
      </c>
      <c r="Z58">
        <f>IF($A58="","",Allocation!CG58)</f>
        <v>15578</v>
      </c>
      <c r="AA58">
        <f>IF($A58="","",Allocation!CH58)</f>
        <v>326504.08</v>
      </c>
      <c r="AB58">
        <f>IF($A58="","",Allocation!CI58)</f>
        <v>2639292</v>
      </c>
      <c r="AC58">
        <f>IF($A58="","",IF(Allocation!$N$4="VOL_EFF",$G58,IF(Allocation!$N$4="VOL_CLASS",$H58,$I58)))</f>
        <v>2</v>
      </c>
      <c r="AD58">
        <f>IF($A58="","",IF(Allocation!$N$4="VOL_EFF",$L58,IF(Allocation!$N$4="VOL_CLASS",$M58,$N58)))</f>
        <v>6</v>
      </c>
      <c r="AE58">
        <f>IF($A58="","",IF(Allocation!$N$3="VOL_EFF",$L58,IF(Allocation!$N$3="VOL_CLASS",$M58,$N58)))</f>
        <v>105</v>
      </c>
      <c r="AF58">
        <f>IF($A58="","",IF(Allocation!$N$3="VOL_EFF",$Q58,IF(Allocation!$N$3="VOL_CLASS",$R58,$S58)))</f>
        <v>228</v>
      </c>
      <c r="AG58">
        <f>IF($A58="","",IF(Allocation!$N$1="VOL_EFF",$Q58,IF(Allocation!$N$1="VOL_CLASS",$R58,$S58)))</f>
        <v>12</v>
      </c>
      <c r="AH58">
        <f>IF($A58="","",IF(Allocation!$N$1="VOL_EFF",$T58,IF(Allocation!$N$1="VOL_CLASS",$U58,$V58)))</f>
        <v>135</v>
      </c>
      <c r="AI58">
        <f t="shared" si="12"/>
        <v>22036</v>
      </c>
      <c r="AJ58">
        <f t="shared" si="13"/>
        <v>53952.8466666667</v>
      </c>
      <c r="AK58">
        <f t="shared" si="14"/>
        <v>12865.2761904762</v>
      </c>
      <c r="AL58">
        <f t="shared" si="15"/>
        <v>108834.693333333</v>
      </c>
      <c r="AM58">
        <f t="shared" si="16"/>
        <v>36013.730994152</v>
      </c>
      <c r="AN58">
        <f t="shared" si="17"/>
        <v>9693.41061709682</v>
      </c>
      <c r="AO58">
        <f>IF($A58="","",Allocation!CJ58)</f>
        <v>499926</v>
      </c>
      <c r="AP58">
        <f>IF($A58="","",IF(Allocation!$N$2="VOL_EFF",$Q58,IF(Allocation!$N$2="VOL_CLASS",$R58,$S58)))</f>
        <v>1743090</v>
      </c>
      <c r="AQ58">
        <f>IF($A58="","",IF(Allocation!$N$2="VOL_EFF",$T58,IF(Allocation!$N$2="VOL_CLASS",$U58,$V58)))</f>
        <v>20567210</v>
      </c>
      <c r="AR58">
        <f t="shared" si="18"/>
        <v>6504.04219827529</v>
      </c>
      <c r="AS58" t="str">
        <f>IF($A58="","",$A58&amp;"|"&amp;Allocation!BG58)</f>
        <v>2024|ACT</v>
      </c>
    </row>
    <row r="59" ht="14.497499999999997" customHeight="1">
      <c r="A59" t="str">
        <f>IF(Allocation!BI59="","",Allocation!BI59)</f>
        <v>2024</v>
      </c>
      <c r="B59" t="str">
        <f>IF(Allocation!BJ59="","",Allocation!BJ59)</f>
        <v>TUNON_PAR</v>
      </c>
      <c r="C59" t="str">
        <f>IF(Allocation!BK59="","",Allocation!BK59)</f>
        <v>TUNON</v>
      </c>
      <c r="D59" t="str">
        <f>IF(Allocation!BL59="","",Allocation!BL59)</f>
        <v>BAC_TOU</v>
      </c>
      <c r="E59" t="str">
        <f>IF(Allocation!BM59="","",Allocation!BM59)</f>
        <v>B1</v>
      </c>
      <c r="F59" t="str">
        <f>IF(Allocation!BN59="","",Allocation!BN59)</f>
        <v>ALT</v>
      </c>
      <c r="G59">
        <f>IF(Allocation!BO59="","",Allocation!BO59)</f>
        <v>42</v>
      </c>
      <c r="H59">
        <f>IF(Allocation!BP59="","",Allocation!BP59)</f>
        <v>2</v>
      </c>
      <c r="I59">
        <f>IF(Allocation!BQ59="","",Allocation!BQ59)</f>
        <v>333060</v>
      </c>
      <c r="J59">
        <f>IF(Allocation!CC59="","",Allocation!CC59)</f>
        <v>42</v>
      </c>
      <c r="K59">
        <f t="shared" si="0"/>
        <v>960</v>
      </c>
      <c r="L59">
        <f t="shared" si="1"/>
        <v>123</v>
      </c>
      <c r="M59">
        <f t="shared" si="2"/>
        <v>6</v>
      </c>
      <c r="N59">
        <f t="shared" si="3"/>
        <v>968100</v>
      </c>
      <c r="O59">
        <f t="shared" si="4"/>
        <v>2880</v>
      </c>
      <c r="P59">
        <f t="shared" si="5"/>
        <v>42</v>
      </c>
      <c r="Q59">
        <f t="shared" si="6"/>
        <v>228</v>
      </c>
      <c r="R59">
        <f t="shared" si="7"/>
        <v>12</v>
      </c>
      <c r="S59">
        <f t="shared" si="8"/>
        <v>1743090</v>
      </c>
      <c r="T59">
        <f t="shared" si="9"/>
        <v>2773</v>
      </c>
      <c r="U59">
        <f t="shared" si="10"/>
        <v>135</v>
      </c>
      <c r="V59">
        <f t="shared" si="11"/>
        <v>20567210</v>
      </c>
      <c r="W59">
        <f>IF($A59="","",Allocation!CD59)</f>
        <v>66108</v>
      </c>
      <c r="X59">
        <f>IF($A59="","",Allocation!CE59)</f>
        <v>193142.69</v>
      </c>
      <c r="Y59">
        <f>IF($A59="","",Allocation!CF59)</f>
        <v>46862</v>
      </c>
      <c r="Z59">
        <f>IF($A59="","",Allocation!CG59)</f>
        <v>24992</v>
      </c>
      <c r="AA59">
        <f>IF($A59="","",Allocation!CH59)</f>
        <v>433033.08</v>
      </c>
      <c r="AB59">
        <f>IF($A59="","",Allocation!CI59)</f>
        <v>2639292</v>
      </c>
      <c r="AC59">
        <f>IF($A59="","",IF(Allocation!$N$4="VOL_EFF",$G59,IF(Allocation!$N$4="VOL_CLASS",$H59,$I59)))</f>
        <v>2</v>
      </c>
      <c r="AD59">
        <f>IF($A59="","",IF(Allocation!$N$4="VOL_EFF",$L59,IF(Allocation!$N$4="VOL_CLASS",$M59,$N59)))</f>
        <v>6</v>
      </c>
      <c r="AE59">
        <f>IF($A59="","",IF(Allocation!$N$3="VOL_EFF",$L59,IF(Allocation!$N$3="VOL_CLASS",$M59,$N59)))</f>
        <v>123</v>
      </c>
      <c r="AF59">
        <f>IF($A59="","",IF(Allocation!$N$3="VOL_EFF",$Q59,IF(Allocation!$N$3="VOL_CLASS",$R59,$S59)))</f>
        <v>228</v>
      </c>
      <c r="AG59">
        <f>IF($A59="","",IF(Allocation!$N$1="VOL_EFF",$Q59,IF(Allocation!$N$1="VOL_CLASS",$R59,$S59)))</f>
        <v>12</v>
      </c>
      <c r="AH59">
        <f>IF($A59="","",IF(Allocation!$N$1="VOL_EFF",$T59,IF(Allocation!$N$1="VOL_CLASS",$U59,$V59)))</f>
        <v>135</v>
      </c>
      <c r="AI59">
        <f t="shared" si="12"/>
        <v>22036</v>
      </c>
      <c r="AJ59">
        <f t="shared" si="13"/>
        <v>64380.8966666667</v>
      </c>
      <c r="AK59">
        <f t="shared" si="14"/>
        <v>40993.6585365854</v>
      </c>
      <c r="AL59">
        <f t="shared" si="15"/>
        <v>144344.36</v>
      </c>
      <c r="AM59">
        <f t="shared" si="16"/>
        <v>42187.5134502924</v>
      </c>
      <c r="AN59">
        <f t="shared" si="17"/>
        <v>11498.5504856187</v>
      </c>
      <c r="AO59">
        <f>IF($A59="","",Allocation!CJ59)</f>
        <v>499926</v>
      </c>
      <c r="AP59">
        <f>IF($A59="","",IF(Allocation!$N$2="VOL_EFF",$Q59,IF(Allocation!$N$2="VOL_CLASS",$R59,$S59)))</f>
        <v>1743090</v>
      </c>
      <c r="AQ59">
        <f>IF($A59="","",IF(Allocation!$N$2="VOL_EFF",$T59,IF(Allocation!$N$2="VOL_CLASS",$U59,$V59)))</f>
        <v>20567210</v>
      </c>
      <c r="AR59">
        <f t="shared" si="18"/>
        <v>7619.02086083677</v>
      </c>
      <c r="AS59" t="str">
        <f>IF($A59="","",$A59&amp;"|"&amp;Allocation!BG59)</f>
        <v>2024|ACT</v>
      </c>
    </row>
    <row r="60" ht="14.497499999999997" customHeight="1">
      <c r="A60" t="str">
        <f>IF(Allocation!BI60="","",Allocation!BI60)</f>
        <v>2024</v>
      </c>
      <c r="B60" t="str">
        <f>IF(Allocation!BJ60="","",Allocation!BJ60)</f>
        <v>TUNON_PAR</v>
      </c>
      <c r="C60" t="str">
        <f>IF(Allocation!BK60="","",Allocation!BK60)</f>
        <v>TUNON</v>
      </c>
      <c r="D60" t="str">
        <f>IF(Allocation!BL60="","",Allocation!BL60)</f>
        <v>BAC_TOU</v>
      </c>
      <c r="E60" t="str">
        <f>IF(Allocation!BM60="","",Allocation!BM60)</f>
        <v>B2</v>
      </c>
      <c r="F60" t="str">
        <f>IF(Allocation!BN60="","",Allocation!BN60)</f>
        <v>ALT</v>
      </c>
      <c r="G60">
        <f>IF(Allocation!BO60="","",Allocation!BO60)</f>
        <v>41</v>
      </c>
      <c r="H60">
        <f>IF(Allocation!BP60="","",Allocation!BP60)</f>
        <v>2</v>
      </c>
      <c r="I60">
        <f>IF(Allocation!BQ60="","",Allocation!BQ60)</f>
        <v>321440</v>
      </c>
      <c r="J60">
        <f>IF(Allocation!CC60="","",Allocation!CC60)</f>
        <v>0</v>
      </c>
      <c r="K60">
        <f t="shared" si="0"/>
        <v>960</v>
      </c>
      <c r="L60">
        <f t="shared" si="1"/>
        <v>123</v>
      </c>
      <c r="M60">
        <f t="shared" si="2"/>
        <v>6</v>
      </c>
      <c r="N60">
        <f t="shared" si="3"/>
        <v>968100</v>
      </c>
      <c r="O60">
        <f t="shared" si="4"/>
        <v>2880</v>
      </c>
      <c r="P60">
        <f t="shared" si="5"/>
        <v>42</v>
      </c>
      <c r="Q60">
        <f t="shared" si="6"/>
        <v>228</v>
      </c>
      <c r="R60">
        <f t="shared" si="7"/>
        <v>12</v>
      </c>
      <c r="S60">
        <f t="shared" si="8"/>
        <v>1743090</v>
      </c>
      <c r="T60">
        <f t="shared" si="9"/>
        <v>2773</v>
      </c>
      <c r="U60">
        <f t="shared" si="10"/>
        <v>135</v>
      </c>
      <c r="V60">
        <f t="shared" si="11"/>
        <v>20567210</v>
      </c>
      <c r="W60">
        <f>IF($A60="","",Allocation!CD60)</f>
        <v>66108</v>
      </c>
      <c r="X60">
        <f>IF($A60="","",Allocation!CE60)</f>
        <v>193142.69</v>
      </c>
      <c r="Y60">
        <f>IF($A60="","",Allocation!CF60)</f>
        <v>46862</v>
      </c>
      <c r="Z60">
        <f>IF($A60="","",Allocation!CG60)</f>
        <v>24992</v>
      </c>
      <c r="AA60">
        <f>IF($A60="","",Allocation!CH60)</f>
        <v>433033.08</v>
      </c>
      <c r="AB60">
        <f>IF($A60="","",Allocation!CI60)</f>
        <v>2639292</v>
      </c>
      <c r="AC60">
        <f>IF($A60="","",IF(Allocation!$N$4="VOL_EFF",$G60,IF(Allocation!$N$4="VOL_CLASS",$H60,$I60)))</f>
        <v>2</v>
      </c>
      <c r="AD60">
        <f>IF($A60="","",IF(Allocation!$N$4="VOL_EFF",$L60,IF(Allocation!$N$4="VOL_CLASS",$M60,$N60)))</f>
        <v>6</v>
      </c>
      <c r="AE60">
        <f>IF($A60="","",IF(Allocation!$N$3="VOL_EFF",$L60,IF(Allocation!$N$3="VOL_CLASS",$M60,$N60)))</f>
        <v>123</v>
      </c>
      <c r="AF60">
        <f>IF($A60="","",IF(Allocation!$N$3="VOL_EFF",$Q60,IF(Allocation!$N$3="VOL_CLASS",$R60,$S60)))</f>
        <v>228</v>
      </c>
      <c r="AG60">
        <f>IF($A60="","",IF(Allocation!$N$1="VOL_EFF",$Q60,IF(Allocation!$N$1="VOL_CLASS",$R60,$S60)))</f>
        <v>12</v>
      </c>
      <c r="AH60">
        <f>IF($A60="","",IF(Allocation!$N$1="VOL_EFF",$T60,IF(Allocation!$N$1="VOL_CLASS",$U60,$V60)))</f>
        <v>135</v>
      </c>
      <c r="AI60">
        <f t="shared" si="12"/>
        <v>22036</v>
      </c>
      <c r="AJ60">
        <f t="shared" si="13"/>
        <v>64380.8966666667</v>
      </c>
      <c r="AK60">
        <f t="shared" si="14"/>
        <v>15620.6666666667</v>
      </c>
      <c r="AL60">
        <f t="shared" si="15"/>
        <v>144344.36</v>
      </c>
      <c r="AM60">
        <f t="shared" si="16"/>
        <v>42187.5134502924</v>
      </c>
      <c r="AN60">
        <f t="shared" si="17"/>
        <v>25251.5423555374</v>
      </c>
      <c r="AO60">
        <f>IF($A60="","",Allocation!CJ60)</f>
        <v>499926</v>
      </c>
      <c r="AP60">
        <f>IF($A60="","",IF(Allocation!$N$2="VOL_EFF",$Q60,IF(Allocation!$N$2="VOL_CLASS",$R60,$S60)))</f>
        <v>1743090</v>
      </c>
      <c r="AQ60">
        <f>IF($A60="","",IF(Allocation!$N$2="VOL_EFF",$T60,IF(Allocation!$N$2="VOL_CLASS",$U60,$V60)))</f>
        <v>20567210</v>
      </c>
      <c r="AR60">
        <f t="shared" si="18"/>
        <v>7619.02086083677</v>
      </c>
      <c r="AS60" t="str">
        <f>IF($A60="","",$A60&amp;"|"&amp;Allocation!BG60)</f>
        <v>2024|ACT</v>
      </c>
    </row>
    <row r="61" ht="14.497499999999997" customHeight="1">
      <c r="A61" t="str">
        <f>IF(Allocation!BI61="","",Allocation!BI61)</f>
        <v>2024</v>
      </c>
      <c r="B61" t="str">
        <f>IF(Allocation!BJ61="","",Allocation!BJ61)</f>
        <v>TUNON_PAR</v>
      </c>
      <c r="C61" t="str">
        <f>IF(Allocation!BK61="","",Allocation!BK61)</f>
        <v>TUNON</v>
      </c>
      <c r="D61" t="str">
        <f>IF(Allocation!BL61="","",Allocation!BL61)</f>
        <v>BAC_TOU</v>
      </c>
      <c r="E61" t="str">
        <f>IF(Allocation!BM61="","",Allocation!BM61)</f>
        <v>B3</v>
      </c>
      <c r="F61" t="str">
        <f>IF(Allocation!BN61="","",Allocation!BN61)</f>
        <v>ALT</v>
      </c>
      <c r="G61">
        <f>IF(Allocation!BO61="","",Allocation!BO61)</f>
        <v>40</v>
      </c>
      <c r="H61">
        <f>IF(Allocation!BP61="","",Allocation!BP61)</f>
        <v>2</v>
      </c>
      <c r="I61">
        <f>IF(Allocation!BQ61="","",Allocation!BQ61)</f>
        <v>313600</v>
      </c>
      <c r="J61">
        <f>IF(Allocation!CC61="","",Allocation!CC61)</f>
        <v>0</v>
      </c>
      <c r="K61">
        <f t="shared" si="0"/>
        <v>960</v>
      </c>
      <c r="L61">
        <f t="shared" si="1"/>
        <v>123</v>
      </c>
      <c r="M61">
        <f t="shared" si="2"/>
        <v>6</v>
      </c>
      <c r="N61">
        <f t="shared" si="3"/>
        <v>968100</v>
      </c>
      <c r="O61">
        <f t="shared" si="4"/>
        <v>2880</v>
      </c>
      <c r="P61">
        <f t="shared" si="5"/>
        <v>42</v>
      </c>
      <c r="Q61">
        <f t="shared" si="6"/>
        <v>228</v>
      </c>
      <c r="R61">
        <f t="shared" si="7"/>
        <v>12</v>
      </c>
      <c r="S61">
        <f t="shared" si="8"/>
        <v>1743090</v>
      </c>
      <c r="T61">
        <f t="shared" si="9"/>
        <v>2773</v>
      </c>
      <c r="U61">
        <f t="shared" si="10"/>
        <v>135</v>
      </c>
      <c r="V61">
        <f t="shared" si="11"/>
        <v>20567210</v>
      </c>
      <c r="W61">
        <f>IF($A61="","",Allocation!CD61)</f>
        <v>66108</v>
      </c>
      <c r="X61">
        <f>IF($A61="","",Allocation!CE61)</f>
        <v>193142.69</v>
      </c>
      <c r="Y61">
        <f>IF($A61="","",Allocation!CF61)</f>
        <v>46862</v>
      </c>
      <c r="Z61">
        <f>IF($A61="","",Allocation!CG61)</f>
        <v>24992</v>
      </c>
      <c r="AA61">
        <f>IF($A61="","",Allocation!CH61)</f>
        <v>433033.08</v>
      </c>
      <c r="AB61">
        <f>IF($A61="","",Allocation!CI61)</f>
        <v>2639292</v>
      </c>
      <c r="AC61">
        <f>IF($A61="","",IF(Allocation!$N$4="VOL_EFF",$G61,IF(Allocation!$N$4="VOL_CLASS",$H61,$I61)))</f>
        <v>2</v>
      </c>
      <c r="AD61">
        <f>IF($A61="","",IF(Allocation!$N$4="VOL_EFF",$L61,IF(Allocation!$N$4="VOL_CLASS",$M61,$N61)))</f>
        <v>6</v>
      </c>
      <c r="AE61">
        <f>IF($A61="","",IF(Allocation!$N$3="VOL_EFF",$L61,IF(Allocation!$N$3="VOL_CLASS",$M61,$N61)))</f>
        <v>123</v>
      </c>
      <c r="AF61">
        <f>IF($A61="","",IF(Allocation!$N$3="VOL_EFF",$Q61,IF(Allocation!$N$3="VOL_CLASS",$R61,$S61)))</f>
        <v>228</v>
      </c>
      <c r="AG61">
        <f>IF($A61="","",IF(Allocation!$N$1="VOL_EFF",$Q61,IF(Allocation!$N$1="VOL_CLASS",$R61,$S61)))</f>
        <v>12</v>
      </c>
      <c r="AH61">
        <f>IF($A61="","",IF(Allocation!$N$1="VOL_EFF",$T61,IF(Allocation!$N$1="VOL_CLASS",$U61,$V61)))</f>
        <v>135</v>
      </c>
      <c r="AI61">
        <f t="shared" si="12"/>
        <v>22036</v>
      </c>
      <c r="AJ61">
        <f t="shared" si="13"/>
        <v>64380.8966666667</v>
      </c>
      <c r="AK61">
        <f t="shared" si="14"/>
        <v>15239.674796748</v>
      </c>
      <c r="AL61">
        <f t="shared" si="15"/>
        <v>144344.36</v>
      </c>
      <c r="AM61">
        <f t="shared" si="16"/>
        <v>42187.5134502924</v>
      </c>
      <c r="AN61">
        <f t="shared" si="17"/>
        <v>17792.5342254561</v>
      </c>
      <c r="AO61">
        <f>IF($A61="","",Allocation!CJ61)</f>
        <v>499926</v>
      </c>
      <c r="AP61">
        <f>IF($A61="","",IF(Allocation!$N$2="VOL_EFF",$Q61,IF(Allocation!$N$2="VOL_CLASS",$R61,$S61)))</f>
        <v>1743090</v>
      </c>
      <c r="AQ61">
        <f>IF($A61="","",IF(Allocation!$N$2="VOL_EFF",$T61,IF(Allocation!$N$2="VOL_CLASS",$U61,$V61)))</f>
        <v>20567210</v>
      </c>
      <c r="AR61">
        <f t="shared" si="18"/>
        <v>7619.02086083677</v>
      </c>
      <c r="AS61" t="str">
        <f>IF($A61="","",$A61&amp;"|"&amp;Allocation!BG61)</f>
        <v>2024|ACT</v>
      </c>
    </row>
    <row r="62" ht="14.497499999999997" customHeight="1">
      <c r="A62" t="str">
        <f>IF(Allocation!BI62="","",Allocation!BI62)</f>
        <v>2025</v>
      </c>
      <c r="B62" t="str">
        <f>IF(Allocation!BJ62="","",Allocation!BJ62)</f>
        <v>IPAC_MTP</v>
      </c>
      <c r="C62" t="str">
        <f>IF(Allocation!BK62="","",Allocation!BK62)</f>
        <v>IPAC</v>
      </c>
      <c r="D62" t="str">
        <f>IF(Allocation!BL62="","",Allocation!BL62)</f>
        <v>BAC_CCE</v>
      </c>
      <c r="E62" t="str">
        <f>IF(Allocation!BM62="","",Allocation!BM62)</f>
        <v>B1</v>
      </c>
      <c r="F62" t="str">
        <f>IF(Allocation!BN62="","",Allocation!BN62)</f>
        <v>ALT</v>
      </c>
      <c r="G62">
        <f>IF(Allocation!BO62="","",Allocation!BO62)</f>
        <v>38</v>
      </c>
      <c r="H62">
        <f>IF(Allocation!BP62="","",Allocation!BP62)</f>
        <v>2</v>
      </c>
      <c r="I62">
        <f>IF(Allocation!BQ62="","",Allocation!BQ62)</f>
        <v>256120</v>
      </c>
      <c r="J62">
        <f>IF(Allocation!CC62="","",Allocation!CC62)</f>
        <v>38</v>
      </c>
      <c r="K62">
        <f t="shared" si="0"/>
        <v>960</v>
      </c>
      <c r="L62">
        <f t="shared" si="1"/>
        <v>111</v>
      </c>
      <c r="M62">
        <f t="shared" si="2"/>
        <v>6</v>
      </c>
      <c r="N62">
        <f t="shared" si="3"/>
        <v>741570</v>
      </c>
      <c r="O62">
        <f t="shared" si="4"/>
        <v>2880</v>
      </c>
      <c r="P62">
        <f t="shared" si="5"/>
        <v>38</v>
      </c>
      <c r="Q62">
        <f t="shared" si="6"/>
        <v>358</v>
      </c>
      <c r="R62">
        <f t="shared" si="7"/>
        <v>18</v>
      </c>
      <c r="S62">
        <f t="shared" si="8"/>
        <v>2439370</v>
      </c>
      <c r="T62">
        <f t="shared" si="9"/>
        <v>2933</v>
      </c>
      <c r="U62">
        <f t="shared" si="10"/>
        <v>135</v>
      </c>
      <c r="V62">
        <f t="shared" si="11"/>
        <v>21758770</v>
      </c>
      <c r="W62">
        <f>IF($A62="","",Allocation!CD62)</f>
        <v>69137</v>
      </c>
      <c r="X62">
        <f>IF($A62="","",Allocation!CE62)</f>
        <v>132183.02</v>
      </c>
      <c r="Y62">
        <f>IF($A62="","",Allocation!CF62)</f>
        <v>41552</v>
      </c>
      <c r="Z62">
        <f>IF($A62="","",Allocation!CG62)</f>
        <v>13798</v>
      </c>
      <c r="AA62">
        <f>IF($A62="","",Allocation!CH62)</f>
        <v>266642.99</v>
      </c>
      <c r="AB62">
        <f>IF($A62="","",Allocation!CI62)</f>
        <v>2760232</v>
      </c>
      <c r="AC62">
        <f>IF($A62="","",IF(Allocation!$N$4="VOL_EFF",$G62,IF(Allocation!$N$4="VOL_CLASS",$H62,$I62)))</f>
        <v>2</v>
      </c>
      <c r="AD62">
        <f>IF($A62="","",IF(Allocation!$N$4="VOL_EFF",$L62,IF(Allocation!$N$4="VOL_CLASS",$M62,$N62)))</f>
        <v>6</v>
      </c>
      <c r="AE62">
        <f>IF($A62="","",IF(Allocation!$N$3="VOL_EFF",$L62,IF(Allocation!$N$3="VOL_CLASS",$M62,$N62)))</f>
        <v>111</v>
      </c>
      <c r="AF62">
        <f>IF($A62="","",IF(Allocation!$N$3="VOL_EFF",$Q62,IF(Allocation!$N$3="VOL_CLASS",$R62,$S62)))</f>
        <v>358</v>
      </c>
      <c r="AG62">
        <f>IF($A62="","",IF(Allocation!$N$1="VOL_EFF",$Q62,IF(Allocation!$N$1="VOL_CLASS",$R62,$S62)))</f>
        <v>18</v>
      </c>
      <c r="AH62">
        <f>IF($A62="","",IF(Allocation!$N$1="VOL_EFF",$T62,IF(Allocation!$N$1="VOL_CLASS",$U62,$V62)))</f>
        <v>135</v>
      </c>
      <c r="AI62">
        <f t="shared" si="12"/>
        <v>23045.6666666667</v>
      </c>
      <c r="AJ62">
        <f t="shared" si="13"/>
        <v>44061.0066666667</v>
      </c>
      <c r="AK62">
        <f t="shared" si="14"/>
        <v>28023.009009009</v>
      </c>
      <c r="AL62">
        <f t="shared" si="15"/>
        <v>88880.9966666667</v>
      </c>
      <c r="AM62">
        <f t="shared" si="16"/>
        <v>38036.7165735568</v>
      </c>
      <c r="AN62">
        <f t="shared" si="17"/>
        <v>27350.348273017</v>
      </c>
      <c r="AO62">
        <f>IF($A62="","",Allocation!CJ62)</f>
        <v>580167</v>
      </c>
      <c r="AP62">
        <f>IF($A62="","",IF(Allocation!$N$2="VOL_EFF",$Q62,IF(Allocation!$N$2="VOL_CLASS",$R62,$S62)))</f>
        <v>2439370</v>
      </c>
      <c r="AQ62">
        <f>IF($A62="","",IF(Allocation!$N$2="VOL_EFF",$T62,IF(Allocation!$N$2="VOL_CLASS",$U62,$V62)))</f>
        <v>21758770</v>
      </c>
      <c r="AR62">
        <f t="shared" si="18"/>
        <v>6722.25614441708</v>
      </c>
      <c r="AS62" t="str">
        <f>IF($A62="","",$A62&amp;"|"&amp;Allocation!BG62)</f>
        <v>2025|ACT</v>
      </c>
    </row>
    <row r="63" ht="14.497499999999997" customHeight="1">
      <c r="A63" t="str">
        <f>IF(Allocation!BI63="","",Allocation!BI63)</f>
        <v>2025</v>
      </c>
      <c r="B63" t="str">
        <f>IF(Allocation!BJ63="","",Allocation!BJ63)</f>
        <v>IPAC_MTP</v>
      </c>
      <c r="C63" t="str">
        <f>IF(Allocation!BK63="","",Allocation!BK63)</f>
        <v>IPAC</v>
      </c>
      <c r="D63" t="str">
        <f>IF(Allocation!BL63="","",Allocation!BL63)</f>
        <v>BAC_CCE</v>
      </c>
      <c r="E63" t="str">
        <f>IF(Allocation!BM63="","",Allocation!BM63)</f>
        <v>B2</v>
      </c>
      <c r="F63" t="str">
        <f>IF(Allocation!BN63="","",Allocation!BN63)</f>
        <v>ALT</v>
      </c>
      <c r="G63">
        <f>IF(Allocation!BO63="","",Allocation!BO63)</f>
        <v>37</v>
      </c>
      <c r="H63">
        <f>IF(Allocation!BP63="","",Allocation!BP63)</f>
        <v>2</v>
      </c>
      <c r="I63">
        <f>IF(Allocation!BQ63="","",Allocation!BQ63)</f>
        <v>246050</v>
      </c>
      <c r="J63">
        <f>IF(Allocation!CC63="","",Allocation!CC63)</f>
        <v>0</v>
      </c>
      <c r="K63">
        <f t="shared" si="0"/>
        <v>960</v>
      </c>
      <c r="L63">
        <f t="shared" si="1"/>
        <v>111</v>
      </c>
      <c r="M63">
        <f t="shared" si="2"/>
        <v>6</v>
      </c>
      <c r="N63">
        <f t="shared" si="3"/>
        <v>741570</v>
      </c>
      <c r="O63">
        <f t="shared" si="4"/>
        <v>2880</v>
      </c>
      <c r="P63">
        <f t="shared" si="5"/>
        <v>38</v>
      </c>
      <c r="Q63">
        <f t="shared" si="6"/>
        <v>358</v>
      </c>
      <c r="R63">
        <f t="shared" si="7"/>
        <v>18</v>
      </c>
      <c r="S63">
        <f t="shared" si="8"/>
        <v>2439370</v>
      </c>
      <c r="T63">
        <f t="shared" si="9"/>
        <v>2933</v>
      </c>
      <c r="U63">
        <f t="shared" si="10"/>
        <v>135</v>
      </c>
      <c r="V63">
        <f t="shared" si="11"/>
        <v>21758770</v>
      </c>
      <c r="W63">
        <f>IF($A63="","",Allocation!CD63)</f>
        <v>69137</v>
      </c>
      <c r="X63">
        <f>IF($A63="","",Allocation!CE63)</f>
        <v>132183.02</v>
      </c>
      <c r="Y63">
        <f>IF($A63="","",Allocation!CF63)</f>
        <v>41552</v>
      </c>
      <c r="Z63">
        <f>IF($A63="","",Allocation!CG63)</f>
        <v>13798</v>
      </c>
      <c r="AA63">
        <f>IF($A63="","",Allocation!CH63)</f>
        <v>266642.99</v>
      </c>
      <c r="AB63">
        <f>IF($A63="","",Allocation!CI63)</f>
        <v>2760232</v>
      </c>
      <c r="AC63">
        <f>IF($A63="","",IF(Allocation!$N$4="VOL_EFF",$G63,IF(Allocation!$N$4="VOL_CLASS",$H63,$I63)))</f>
        <v>2</v>
      </c>
      <c r="AD63">
        <f>IF($A63="","",IF(Allocation!$N$4="VOL_EFF",$L63,IF(Allocation!$N$4="VOL_CLASS",$M63,$N63)))</f>
        <v>6</v>
      </c>
      <c r="AE63">
        <f>IF($A63="","",IF(Allocation!$N$3="VOL_EFF",$L63,IF(Allocation!$N$3="VOL_CLASS",$M63,$N63)))</f>
        <v>111</v>
      </c>
      <c r="AF63">
        <f>IF($A63="","",IF(Allocation!$N$3="VOL_EFF",$Q63,IF(Allocation!$N$3="VOL_CLASS",$R63,$S63)))</f>
        <v>358</v>
      </c>
      <c r="AG63">
        <f>IF($A63="","",IF(Allocation!$N$1="VOL_EFF",$Q63,IF(Allocation!$N$1="VOL_CLASS",$R63,$S63)))</f>
        <v>18</v>
      </c>
      <c r="AH63">
        <f>IF($A63="","",IF(Allocation!$N$1="VOL_EFF",$T63,IF(Allocation!$N$1="VOL_CLASS",$U63,$V63)))</f>
        <v>135</v>
      </c>
      <c r="AI63">
        <f t="shared" si="12"/>
        <v>23045.6666666667</v>
      </c>
      <c r="AJ63">
        <f t="shared" si="13"/>
        <v>44061.0066666667</v>
      </c>
      <c r="AK63">
        <f t="shared" si="14"/>
        <v>13850.6666666667</v>
      </c>
      <c r="AL63">
        <f t="shared" si="15"/>
        <v>88880.9966666667</v>
      </c>
      <c r="AM63">
        <f t="shared" si="16"/>
        <v>38036.7165735568</v>
      </c>
      <c r="AN63">
        <f t="shared" si="17"/>
        <v>31452.6906153593</v>
      </c>
      <c r="AO63">
        <f>IF($A63="","",Allocation!CJ63)</f>
        <v>580167</v>
      </c>
      <c r="AP63">
        <f>IF($A63="","",IF(Allocation!$N$2="VOL_EFF",$Q63,IF(Allocation!$N$2="VOL_CLASS",$R63,$S63)))</f>
        <v>2439370</v>
      </c>
      <c r="AQ63">
        <f>IF($A63="","",IF(Allocation!$N$2="VOL_EFF",$T63,IF(Allocation!$N$2="VOL_CLASS",$U63,$V63)))</f>
        <v>21758770</v>
      </c>
      <c r="AR63">
        <f t="shared" si="18"/>
        <v>6722.25614441708</v>
      </c>
      <c r="AS63" t="str">
        <f>IF($A63="","",$A63&amp;"|"&amp;Allocation!BG63)</f>
        <v>2025|ACT</v>
      </c>
    </row>
    <row r="64" ht="14.497499999999997" customHeight="1">
      <c r="A64" t="str">
        <f>IF(Allocation!BI64="","",Allocation!BI64)</f>
        <v>2025</v>
      </c>
      <c r="B64" t="str">
        <f>IF(Allocation!BJ64="","",Allocation!BJ64)</f>
        <v>IPAC_MTP</v>
      </c>
      <c r="C64" t="str">
        <f>IF(Allocation!BK64="","",Allocation!BK64)</f>
        <v>IPAC</v>
      </c>
      <c r="D64" t="str">
        <f>IF(Allocation!BL64="","",Allocation!BL64)</f>
        <v>BAC_CCE</v>
      </c>
      <c r="E64" t="str">
        <f>IF(Allocation!BM64="","",Allocation!BM64)</f>
        <v>B3</v>
      </c>
      <c r="F64" t="str">
        <f>IF(Allocation!BN64="","",Allocation!BN64)</f>
        <v>ALT</v>
      </c>
      <c r="G64">
        <f>IF(Allocation!BO64="","",Allocation!BO64)</f>
        <v>36</v>
      </c>
      <c r="H64">
        <f>IF(Allocation!BP64="","",Allocation!BP64)</f>
        <v>2</v>
      </c>
      <c r="I64">
        <f>IF(Allocation!BQ64="","",Allocation!BQ64)</f>
        <v>239400</v>
      </c>
      <c r="J64">
        <f>IF(Allocation!CC64="","",Allocation!CC64)</f>
        <v>0</v>
      </c>
      <c r="K64">
        <f t="shared" si="0"/>
        <v>960</v>
      </c>
      <c r="L64">
        <f t="shared" si="1"/>
        <v>111</v>
      </c>
      <c r="M64">
        <f t="shared" si="2"/>
        <v>6</v>
      </c>
      <c r="N64">
        <f t="shared" si="3"/>
        <v>741570</v>
      </c>
      <c r="O64">
        <f t="shared" si="4"/>
        <v>2880</v>
      </c>
      <c r="P64">
        <f t="shared" si="5"/>
        <v>38</v>
      </c>
      <c r="Q64">
        <f t="shared" si="6"/>
        <v>358</v>
      </c>
      <c r="R64">
        <f t="shared" si="7"/>
        <v>18</v>
      </c>
      <c r="S64">
        <f t="shared" si="8"/>
        <v>2439370</v>
      </c>
      <c r="T64">
        <f t="shared" si="9"/>
        <v>2933</v>
      </c>
      <c r="U64">
        <f t="shared" si="10"/>
        <v>135</v>
      </c>
      <c r="V64">
        <f t="shared" si="11"/>
        <v>21758770</v>
      </c>
      <c r="W64">
        <f>IF($A64="","",Allocation!CD64)</f>
        <v>69137</v>
      </c>
      <c r="X64">
        <f>IF($A64="","",Allocation!CE64)</f>
        <v>132183.02</v>
      </c>
      <c r="Y64">
        <f>IF($A64="","",Allocation!CF64)</f>
        <v>41552</v>
      </c>
      <c r="Z64">
        <f>IF($A64="","",Allocation!CG64)</f>
        <v>13798</v>
      </c>
      <c r="AA64">
        <f>IF($A64="","",Allocation!CH64)</f>
        <v>266642.99</v>
      </c>
      <c r="AB64">
        <f>IF($A64="","",Allocation!CI64)</f>
        <v>2760232</v>
      </c>
      <c r="AC64">
        <f>IF($A64="","",IF(Allocation!$N$4="VOL_EFF",$G64,IF(Allocation!$N$4="VOL_CLASS",$H64,$I64)))</f>
        <v>2</v>
      </c>
      <c r="AD64">
        <f>IF($A64="","",IF(Allocation!$N$4="VOL_EFF",$L64,IF(Allocation!$N$4="VOL_CLASS",$M64,$N64)))</f>
        <v>6</v>
      </c>
      <c r="AE64">
        <f>IF($A64="","",IF(Allocation!$N$3="VOL_EFF",$L64,IF(Allocation!$N$3="VOL_CLASS",$M64,$N64)))</f>
        <v>111</v>
      </c>
      <c r="AF64">
        <f>IF($A64="","",IF(Allocation!$N$3="VOL_EFF",$Q64,IF(Allocation!$N$3="VOL_CLASS",$R64,$S64)))</f>
        <v>358</v>
      </c>
      <c r="AG64">
        <f>IF($A64="","",IF(Allocation!$N$1="VOL_EFF",$Q64,IF(Allocation!$N$1="VOL_CLASS",$R64,$S64)))</f>
        <v>18</v>
      </c>
      <c r="AH64">
        <f>IF($A64="","",IF(Allocation!$N$1="VOL_EFF",$T64,IF(Allocation!$N$1="VOL_CLASS",$U64,$V64)))</f>
        <v>135</v>
      </c>
      <c r="AI64">
        <f t="shared" si="12"/>
        <v>23045.6666666667</v>
      </c>
      <c r="AJ64">
        <f t="shared" si="13"/>
        <v>44061.0066666667</v>
      </c>
      <c r="AK64">
        <f t="shared" si="14"/>
        <v>13476.3243243243</v>
      </c>
      <c r="AL64">
        <f t="shared" si="15"/>
        <v>88880.9966666667</v>
      </c>
      <c r="AM64">
        <f t="shared" si="16"/>
        <v>38036.7165735568</v>
      </c>
      <c r="AN64">
        <f t="shared" si="17"/>
        <v>25177.0329577017</v>
      </c>
      <c r="AO64">
        <f>IF($A64="","",Allocation!CJ64)</f>
        <v>580167</v>
      </c>
      <c r="AP64">
        <f>IF($A64="","",IF(Allocation!$N$2="VOL_EFF",$Q64,IF(Allocation!$N$2="VOL_CLASS",$R64,$S64)))</f>
        <v>2439370</v>
      </c>
      <c r="AQ64">
        <f>IF($A64="","",IF(Allocation!$N$2="VOL_EFF",$T64,IF(Allocation!$N$2="VOL_CLASS",$U64,$V64)))</f>
        <v>21758770</v>
      </c>
      <c r="AR64">
        <f t="shared" si="18"/>
        <v>6722.25614441708</v>
      </c>
      <c r="AS64" t="str">
        <f>IF($A64="","",$A64&amp;"|"&amp;Allocation!BG64)</f>
        <v>2025|ACT</v>
      </c>
    </row>
    <row r="65" ht="14.497499999999997" customHeight="1">
      <c r="A65" t="str">
        <f>IF(Allocation!BI65="","",Allocation!BI65)</f>
        <v>2025</v>
      </c>
      <c r="B65" t="str">
        <f>IF(Allocation!BJ65="","",Allocation!BJ65)</f>
        <v>IPAC_NAN</v>
      </c>
      <c r="C65" t="str">
        <f>IF(Allocation!BK65="","",Allocation!BK65)</f>
        <v>IPAC</v>
      </c>
      <c r="D65" t="str">
        <f>IF(Allocation!BL65="","",Allocation!BL65)</f>
        <v>BAC_CCE</v>
      </c>
      <c r="E65" t="str">
        <f>IF(Allocation!BM65="","",Allocation!BM65)</f>
        <v>B1</v>
      </c>
      <c r="F65" t="str">
        <f>IF(Allocation!BN65="","",Allocation!BN65)</f>
        <v>ALT</v>
      </c>
      <c r="G65">
        <f>IF(Allocation!BO65="","",Allocation!BO65)</f>
        <v>47</v>
      </c>
      <c r="H65">
        <f>IF(Allocation!BP65="","",Allocation!BP65)</f>
        <v>2</v>
      </c>
      <c r="I65">
        <f>IF(Allocation!BQ65="","",Allocation!BQ65)</f>
        <v>333230</v>
      </c>
      <c r="J65">
        <f>IF(Allocation!CC65="","",Allocation!CC65)</f>
        <v>47</v>
      </c>
      <c r="K65">
        <f t="shared" si="0"/>
        <v>960</v>
      </c>
      <c r="L65">
        <f t="shared" si="1"/>
        <v>136</v>
      </c>
      <c r="M65">
        <f t="shared" si="2"/>
        <v>6</v>
      </c>
      <c r="N65">
        <f t="shared" si="3"/>
        <v>956230</v>
      </c>
      <c r="O65">
        <f t="shared" si="4"/>
        <v>2880</v>
      </c>
      <c r="P65">
        <f t="shared" si="5"/>
        <v>47</v>
      </c>
      <c r="Q65">
        <f t="shared" si="6"/>
        <v>358</v>
      </c>
      <c r="R65">
        <f t="shared" si="7"/>
        <v>18</v>
      </c>
      <c r="S65">
        <f t="shared" si="8"/>
        <v>2439370</v>
      </c>
      <c r="T65">
        <f t="shared" si="9"/>
        <v>2933</v>
      </c>
      <c r="U65">
        <f t="shared" si="10"/>
        <v>135</v>
      </c>
      <c r="V65">
        <f t="shared" si="11"/>
        <v>21758770</v>
      </c>
      <c r="W65">
        <f>IF($A65="","",Allocation!CD65)</f>
        <v>69137</v>
      </c>
      <c r="X65">
        <f>IF($A65="","",Allocation!CE65)</f>
        <v>160911.47</v>
      </c>
      <c r="Y65">
        <f>IF($A65="","",Allocation!CF65)</f>
        <v>51495</v>
      </c>
      <c r="Z65">
        <f>IF($A65="","",Allocation!CG65)</f>
        <v>19782</v>
      </c>
      <c r="AA65">
        <f>IF($A65="","",Allocation!CH65)</f>
        <v>372827.21</v>
      </c>
      <c r="AB65">
        <f>IF($A65="","",Allocation!CI65)</f>
        <v>2760232</v>
      </c>
      <c r="AC65">
        <f>IF($A65="","",IF(Allocation!$N$4="VOL_EFF",$G65,IF(Allocation!$N$4="VOL_CLASS",$H65,$I65)))</f>
        <v>2</v>
      </c>
      <c r="AD65">
        <f>IF($A65="","",IF(Allocation!$N$4="VOL_EFF",$L65,IF(Allocation!$N$4="VOL_CLASS",$M65,$N65)))</f>
        <v>6</v>
      </c>
      <c r="AE65">
        <f>IF($A65="","",IF(Allocation!$N$3="VOL_EFF",$L65,IF(Allocation!$N$3="VOL_CLASS",$M65,$N65)))</f>
        <v>136</v>
      </c>
      <c r="AF65">
        <f>IF($A65="","",IF(Allocation!$N$3="VOL_EFF",$Q65,IF(Allocation!$N$3="VOL_CLASS",$R65,$S65)))</f>
        <v>358</v>
      </c>
      <c r="AG65">
        <f>IF($A65="","",IF(Allocation!$N$1="VOL_EFF",$Q65,IF(Allocation!$N$1="VOL_CLASS",$R65,$S65)))</f>
        <v>18</v>
      </c>
      <c r="AH65">
        <f>IF($A65="","",IF(Allocation!$N$1="VOL_EFF",$T65,IF(Allocation!$N$1="VOL_CLASS",$U65,$V65)))</f>
        <v>135</v>
      </c>
      <c r="AI65">
        <f t="shared" si="12"/>
        <v>23045.6666666667</v>
      </c>
      <c r="AJ65">
        <f t="shared" si="13"/>
        <v>53637.1566666667</v>
      </c>
      <c r="AK65">
        <f t="shared" si="14"/>
        <v>37578.0661764706</v>
      </c>
      <c r="AL65">
        <f t="shared" si="15"/>
        <v>124275.736666667</v>
      </c>
      <c r="AM65">
        <f t="shared" si="16"/>
        <v>46603.5446306642</v>
      </c>
      <c r="AN65">
        <f t="shared" si="17"/>
        <v>39853.5513942998</v>
      </c>
      <c r="AO65">
        <f>IF($A65="","",Allocation!CJ65)</f>
        <v>580167</v>
      </c>
      <c r="AP65">
        <f>IF($A65="","",IF(Allocation!$N$2="VOL_EFF",$Q65,IF(Allocation!$N$2="VOL_CLASS",$R65,$S65)))</f>
        <v>2439370</v>
      </c>
      <c r="AQ65">
        <f>IF($A65="","",IF(Allocation!$N$2="VOL_EFF",$T65,IF(Allocation!$N$2="VOL_CLASS",$U65,$V65)))</f>
        <v>21758770</v>
      </c>
      <c r="AR65">
        <f t="shared" si="18"/>
        <v>8236.27779856507</v>
      </c>
      <c r="AS65" t="str">
        <f>IF($A65="","",$A65&amp;"|"&amp;Allocation!BG65)</f>
        <v>2025|ACT</v>
      </c>
    </row>
    <row r="66" ht="14.497499999999997" customHeight="1">
      <c r="A66" t="str">
        <f>IF(Allocation!BI66="","",Allocation!BI66)</f>
        <v>2025</v>
      </c>
      <c r="B66" t="str">
        <f>IF(Allocation!BJ66="","",Allocation!BJ66)</f>
        <v>IPAC_NAN</v>
      </c>
      <c r="C66" t="str">
        <f>IF(Allocation!BK66="","",Allocation!BK66)</f>
        <v>IPAC</v>
      </c>
      <c r="D66" t="str">
        <f>IF(Allocation!BL66="","",Allocation!BL66)</f>
        <v>BAC_CCE</v>
      </c>
      <c r="E66" t="str">
        <f>IF(Allocation!BM66="","",Allocation!BM66)</f>
        <v>B2</v>
      </c>
      <c r="F66" t="str">
        <f>IF(Allocation!BN66="","",Allocation!BN66)</f>
        <v>ALT</v>
      </c>
      <c r="G66">
        <f>IF(Allocation!BO66="","",Allocation!BO66)</f>
        <v>45</v>
      </c>
      <c r="H66">
        <f>IF(Allocation!BP66="","",Allocation!BP66)</f>
        <v>2</v>
      </c>
      <c r="I66">
        <f>IF(Allocation!BQ66="","",Allocation!BQ66)</f>
        <v>315000</v>
      </c>
      <c r="J66">
        <f>IF(Allocation!CC66="","",Allocation!CC66)</f>
        <v>0</v>
      </c>
      <c r="K66">
        <f t="shared" si="0"/>
        <v>960</v>
      </c>
      <c r="L66">
        <f t="shared" si="1"/>
        <v>136</v>
      </c>
      <c r="M66">
        <f t="shared" si="2"/>
        <v>6</v>
      </c>
      <c r="N66">
        <f t="shared" si="3"/>
        <v>956230</v>
      </c>
      <c r="O66">
        <f t="shared" si="4"/>
        <v>2880</v>
      </c>
      <c r="P66">
        <f t="shared" si="5"/>
        <v>47</v>
      </c>
      <c r="Q66">
        <f t="shared" si="6"/>
        <v>358</v>
      </c>
      <c r="R66">
        <f t="shared" si="7"/>
        <v>18</v>
      </c>
      <c r="S66">
        <f t="shared" si="8"/>
        <v>2439370</v>
      </c>
      <c r="T66">
        <f t="shared" si="9"/>
        <v>2933</v>
      </c>
      <c r="U66">
        <f t="shared" si="10"/>
        <v>135</v>
      </c>
      <c r="V66">
        <f t="shared" si="11"/>
        <v>21758770</v>
      </c>
      <c r="W66">
        <f>IF($A66="","",Allocation!CD66)</f>
        <v>69137</v>
      </c>
      <c r="X66">
        <f>IF($A66="","",Allocation!CE66)</f>
        <v>160911.47</v>
      </c>
      <c r="Y66">
        <f>IF($A66="","",Allocation!CF66)</f>
        <v>51495</v>
      </c>
      <c r="Z66">
        <f>IF($A66="","",Allocation!CG66)</f>
        <v>19782</v>
      </c>
      <c r="AA66">
        <f>IF($A66="","",Allocation!CH66)</f>
        <v>372827.21</v>
      </c>
      <c r="AB66">
        <f>IF($A66="","",Allocation!CI66)</f>
        <v>2760232</v>
      </c>
      <c r="AC66">
        <f>IF($A66="","",IF(Allocation!$N$4="VOL_EFF",$G66,IF(Allocation!$N$4="VOL_CLASS",$H66,$I66)))</f>
        <v>2</v>
      </c>
      <c r="AD66">
        <f>IF($A66="","",IF(Allocation!$N$4="VOL_EFF",$L66,IF(Allocation!$N$4="VOL_CLASS",$M66,$N66)))</f>
        <v>6</v>
      </c>
      <c r="AE66">
        <f>IF($A66="","",IF(Allocation!$N$3="VOL_EFF",$L66,IF(Allocation!$N$3="VOL_CLASS",$M66,$N66)))</f>
        <v>136</v>
      </c>
      <c r="AF66">
        <f>IF($A66="","",IF(Allocation!$N$3="VOL_EFF",$Q66,IF(Allocation!$N$3="VOL_CLASS",$R66,$S66)))</f>
        <v>358</v>
      </c>
      <c r="AG66">
        <f>IF($A66="","",IF(Allocation!$N$1="VOL_EFF",$Q66,IF(Allocation!$N$1="VOL_CLASS",$R66,$S66)))</f>
        <v>18</v>
      </c>
      <c r="AH66">
        <f>IF($A66="","",IF(Allocation!$N$1="VOL_EFF",$T66,IF(Allocation!$N$1="VOL_CLASS",$U66,$V66)))</f>
        <v>135</v>
      </c>
      <c r="AI66">
        <f t="shared" si="12"/>
        <v>23045.6666666667</v>
      </c>
      <c r="AJ66">
        <f t="shared" si="13"/>
        <v>53637.1566666667</v>
      </c>
      <c r="AK66">
        <f t="shared" si="14"/>
        <v>17038.7867647059</v>
      </c>
      <c r="AL66">
        <f t="shared" si="15"/>
        <v>124275.736666667</v>
      </c>
      <c r="AM66">
        <f t="shared" si="16"/>
        <v>46603.5446306642</v>
      </c>
      <c r="AN66">
        <f t="shared" si="17"/>
        <v>42162.8308060645</v>
      </c>
      <c r="AO66">
        <f>IF($A66="","",Allocation!CJ66)</f>
        <v>580167</v>
      </c>
      <c r="AP66">
        <f>IF($A66="","",IF(Allocation!$N$2="VOL_EFF",$Q66,IF(Allocation!$N$2="VOL_CLASS",$R66,$S66)))</f>
        <v>2439370</v>
      </c>
      <c r="AQ66">
        <f>IF($A66="","",IF(Allocation!$N$2="VOL_EFF",$T66,IF(Allocation!$N$2="VOL_CLASS",$U66,$V66)))</f>
        <v>21758770</v>
      </c>
      <c r="AR66">
        <f t="shared" si="18"/>
        <v>8236.27779856507</v>
      </c>
      <c r="AS66" t="str">
        <f>IF($A66="","",$A66&amp;"|"&amp;Allocation!BG66)</f>
        <v>2025|ACT</v>
      </c>
    </row>
    <row r="67" ht="14.497499999999997" customHeight="1">
      <c r="A67" t="str">
        <f>IF(Allocation!BI67="","",Allocation!BI67)</f>
        <v>2025</v>
      </c>
      <c r="B67" t="str">
        <f>IF(Allocation!BJ67="","",Allocation!BJ67)</f>
        <v>IPAC_NAN</v>
      </c>
      <c r="C67" t="str">
        <f>IF(Allocation!BK67="","",Allocation!BK67)</f>
        <v>IPAC</v>
      </c>
      <c r="D67" t="str">
        <f>IF(Allocation!BL67="","",Allocation!BL67)</f>
        <v>BAC_CCE</v>
      </c>
      <c r="E67" t="str">
        <f>IF(Allocation!BM67="","",Allocation!BM67)</f>
        <v>B3</v>
      </c>
      <c r="F67" t="str">
        <f>IF(Allocation!BN67="","",Allocation!BN67)</f>
        <v>ALT</v>
      </c>
      <c r="G67">
        <f>IF(Allocation!BO67="","",Allocation!BO67)</f>
        <v>44</v>
      </c>
      <c r="H67">
        <f>IF(Allocation!BP67="","",Allocation!BP67)</f>
        <v>2</v>
      </c>
      <c r="I67">
        <f>IF(Allocation!BQ67="","",Allocation!BQ67)</f>
        <v>308000</v>
      </c>
      <c r="J67">
        <f>IF(Allocation!CC67="","",Allocation!CC67)</f>
        <v>0</v>
      </c>
      <c r="K67">
        <f t="shared" si="0"/>
        <v>960</v>
      </c>
      <c r="L67">
        <f t="shared" si="1"/>
        <v>136</v>
      </c>
      <c r="M67">
        <f t="shared" si="2"/>
        <v>6</v>
      </c>
      <c r="N67">
        <f t="shared" si="3"/>
        <v>956230</v>
      </c>
      <c r="O67">
        <f t="shared" si="4"/>
        <v>2880</v>
      </c>
      <c r="P67">
        <f t="shared" si="5"/>
        <v>47</v>
      </c>
      <c r="Q67">
        <f t="shared" si="6"/>
        <v>358</v>
      </c>
      <c r="R67">
        <f t="shared" si="7"/>
        <v>18</v>
      </c>
      <c r="S67">
        <f t="shared" si="8"/>
        <v>2439370</v>
      </c>
      <c r="T67">
        <f t="shared" si="9"/>
        <v>2933</v>
      </c>
      <c r="U67">
        <f t="shared" si="10"/>
        <v>135</v>
      </c>
      <c r="V67">
        <f t="shared" si="11"/>
        <v>21758770</v>
      </c>
      <c r="W67">
        <f>IF($A67="","",Allocation!CD67)</f>
        <v>69137</v>
      </c>
      <c r="X67">
        <f>IF($A67="","",Allocation!CE67)</f>
        <v>160911.47</v>
      </c>
      <c r="Y67">
        <f>IF($A67="","",Allocation!CF67)</f>
        <v>51495</v>
      </c>
      <c r="Z67">
        <f>IF($A67="","",Allocation!CG67)</f>
        <v>19782</v>
      </c>
      <c r="AA67">
        <f>IF($A67="","",Allocation!CH67)</f>
        <v>372827.21</v>
      </c>
      <c r="AB67">
        <f>IF($A67="","",Allocation!CI67)</f>
        <v>2760232</v>
      </c>
      <c r="AC67">
        <f>IF($A67="","",IF(Allocation!$N$4="VOL_EFF",$G67,IF(Allocation!$N$4="VOL_CLASS",$H67,$I67)))</f>
        <v>2</v>
      </c>
      <c r="AD67">
        <f>IF($A67="","",IF(Allocation!$N$4="VOL_EFF",$L67,IF(Allocation!$N$4="VOL_CLASS",$M67,$N67)))</f>
        <v>6</v>
      </c>
      <c r="AE67">
        <f>IF($A67="","",IF(Allocation!$N$3="VOL_EFF",$L67,IF(Allocation!$N$3="VOL_CLASS",$M67,$N67)))</f>
        <v>136</v>
      </c>
      <c r="AF67">
        <f>IF($A67="","",IF(Allocation!$N$3="VOL_EFF",$Q67,IF(Allocation!$N$3="VOL_CLASS",$R67,$S67)))</f>
        <v>358</v>
      </c>
      <c r="AG67">
        <f>IF($A67="","",IF(Allocation!$N$1="VOL_EFF",$Q67,IF(Allocation!$N$1="VOL_CLASS",$R67,$S67)))</f>
        <v>18</v>
      </c>
      <c r="AH67">
        <f>IF($A67="","",IF(Allocation!$N$1="VOL_EFF",$T67,IF(Allocation!$N$1="VOL_CLASS",$U67,$V67)))</f>
        <v>135</v>
      </c>
      <c r="AI67">
        <f t="shared" si="12"/>
        <v>23045.6666666667</v>
      </c>
      <c r="AJ67">
        <f t="shared" si="13"/>
        <v>53637.1566666667</v>
      </c>
      <c r="AK67">
        <f t="shared" si="14"/>
        <v>16660.1470588235</v>
      </c>
      <c r="AL67">
        <f t="shared" si="15"/>
        <v>124275.736666667</v>
      </c>
      <c r="AM67">
        <f t="shared" si="16"/>
        <v>46603.5446306642</v>
      </c>
      <c r="AN67">
        <f t="shared" si="17"/>
        <v>35541.4705119469</v>
      </c>
      <c r="AO67">
        <f>IF($A67="","",Allocation!CJ67)</f>
        <v>580167</v>
      </c>
      <c r="AP67">
        <f>IF($A67="","",IF(Allocation!$N$2="VOL_EFF",$Q67,IF(Allocation!$N$2="VOL_CLASS",$R67,$S67)))</f>
        <v>2439370</v>
      </c>
      <c r="AQ67">
        <f>IF($A67="","",IF(Allocation!$N$2="VOL_EFF",$T67,IF(Allocation!$N$2="VOL_CLASS",$U67,$V67)))</f>
        <v>21758770</v>
      </c>
      <c r="AR67">
        <f t="shared" si="18"/>
        <v>8236.27779856507</v>
      </c>
      <c r="AS67" t="str">
        <f>IF($A67="","",$A67&amp;"|"&amp;Allocation!BG67)</f>
        <v>2025|ACT</v>
      </c>
    </row>
    <row r="68" ht="14.497499999999997" customHeight="1">
      <c r="A68" t="str">
        <f>IF(Allocation!BI68="","",Allocation!BI68)</f>
        <v>2025</v>
      </c>
      <c r="B68" t="str">
        <f>IF(Allocation!BJ68="","",Allocation!BJ68)</f>
        <v>IPAC_REN</v>
      </c>
      <c r="C68" t="str">
        <f>IF(Allocation!BK68="","",Allocation!BK68)</f>
        <v>IPAC</v>
      </c>
      <c r="D68" t="str">
        <f>IF(Allocation!BL68="","",Allocation!BL68)</f>
        <v>BAC_CCE</v>
      </c>
      <c r="E68" t="str">
        <f>IF(Allocation!BM68="","",Allocation!BM68)</f>
        <v>B1</v>
      </c>
      <c r="F68" t="str">
        <f>IF(Allocation!BN68="","",Allocation!BN68)</f>
        <v>ALT</v>
      </c>
      <c r="G68">
        <f>IF(Allocation!BO68="","",Allocation!BO68)</f>
        <v>38</v>
      </c>
      <c r="H68">
        <f>IF(Allocation!BP68="","",Allocation!BP68)</f>
        <v>2</v>
      </c>
      <c r="I68">
        <f>IF(Allocation!BQ68="","",Allocation!BQ68)</f>
        <v>256120</v>
      </c>
      <c r="J68">
        <f>IF(Allocation!CC68="","",Allocation!CC68)</f>
        <v>38</v>
      </c>
      <c r="K68">
        <f t="shared" si="0"/>
        <v>960</v>
      </c>
      <c r="L68">
        <f t="shared" si="1"/>
        <v>111</v>
      </c>
      <c r="M68">
        <f t="shared" si="2"/>
        <v>6</v>
      </c>
      <c r="N68">
        <f t="shared" si="3"/>
        <v>741570</v>
      </c>
      <c r="O68">
        <f t="shared" si="4"/>
        <v>2880</v>
      </c>
      <c r="P68">
        <f t="shared" si="5"/>
        <v>38</v>
      </c>
      <c r="Q68">
        <f t="shared" si="6"/>
        <v>358</v>
      </c>
      <c r="R68">
        <f t="shared" si="7"/>
        <v>18</v>
      </c>
      <c r="S68">
        <f t="shared" si="8"/>
        <v>2439370</v>
      </c>
      <c r="T68">
        <f t="shared" si="9"/>
        <v>2933</v>
      </c>
      <c r="U68">
        <f t="shared" si="10"/>
        <v>135</v>
      </c>
      <c r="V68">
        <f t="shared" si="11"/>
        <v>21758770</v>
      </c>
      <c r="W68">
        <f>IF($A68="","",Allocation!CD68)</f>
        <v>69137</v>
      </c>
      <c r="X68">
        <f>IF($A68="","",Allocation!CE68)</f>
        <v>132256.93</v>
      </c>
      <c r="Y68">
        <f>IF($A68="","",Allocation!CF68)</f>
        <v>41552</v>
      </c>
      <c r="Z68">
        <f>IF($A68="","",Allocation!CG68)</f>
        <v>13575</v>
      </c>
      <c r="AA68">
        <f>IF($A68="","",Allocation!CH68)</f>
        <v>266792.1</v>
      </c>
      <c r="AB68">
        <f>IF($A68="","",Allocation!CI68)</f>
        <v>2760232</v>
      </c>
      <c r="AC68">
        <f>IF($A68="","",IF(Allocation!$N$4="VOL_EFF",$G68,IF(Allocation!$N$4="VOL_CLASS",$H68,$I68)))</f>
        <v>2</v>
      </c>
      <c r="AD68">
        <f>IF($A68="","",IF(Allocation!$N$4="VOL_EFF",$L68,IF(Allocation!$N$4="VOL_CLASS",$M68,$N68)))</f>
        <v>6</v>
      </c>
      <c r="AE68">
        <f>IF($A68="","",IF(Allocation!$N$3="VOL_EFF",$L68,IF(Allocation!$N$3="VOL_CLASS",$M68,$N68)))</f>
        <v>111</v>
      </c>
      <c r="AF68">
        <f>IF($A68="","",IF(Allocation!$N$3="VOL_EFF",$Q68,IF(Allocation!$N$3="VOL_CLASS",$R68,$S68)))</f>
        <v>358</v>
      </c>
      <c r="AG68">
        <f>IF($A68="","",IF(Allocation!$N$1="VOL_EFF",$Q68,IF(Allocation!$N$1="VOL_CLASS",$R68,$S68)))</f>
        <v>18</v>
      </c>
      <c r="AH68">
        <f>IF($A68="","",IF(Allocation!$N$1="VOL_EFF",$T68,IF(Allocation!$N$1="VOL_CLASS",$U68,$V68)))</f>
        <v>135</v>
      </c>
      <c r="AI68">
        <f t="shared" si="12"/>
        <v>23045.6666666667</v>
      </c>
      <c r="AJ68">
        <f t="shared" si="13"/>
        <v>44085.6433333333</v>
      </c>
      <c r="AK68">
        <f t="shared" si="14"/>
        <v>27800.009009009</v>
      </c>
      <c r="AL68">
        <f t="shared" si="15"/>
        <v>88930.7</v>
      </c>
      <c r="AM68">
        <f t="shared" si="16"/>
        <v>38036.7165735568</v>
      </c>
      <c r="AN68">
        <f t="shared" si="17"/>
        <v>27499.0082730171</v>
      </c>
      <c r="AO68">
        <f>IF($A68="","",Allocation!CJ68)</f>
        <v>580167</v>
      </c>
      <c r="AP68">
        <f>IF($A68="","",IF(Allocation!$N$2="VOL_EFF",$Q68,IF(Allocation!$N$2="VOL_CLASS",$R68,$S68)))</f>
        <v>2439370</v>
      </c>
      <c r="AQ68">
        <f>IF($A68="","",IF(Allocation!$N$2="VOL_EFF",$T68,IF(Allocation!$N$2="VOL_CLASS",$U68,$V68)))</f>
        <v>21758770</v>
      </c>
      <c r="AR68">
        <f t="shared" si="18"/>
        <v>6722.25614441708</v>
      </c>
      <c r="AS68" t="str">
        <f>IF($A68="","",$A68&amp;"|"&amp;Allocation!BG68)</f>
        <v>2025|ACT</v>
      </c>
    </row>
    <row r="69" ht="14.497499999999997" customHeight="1">
      <c r="A69" t="str">
        <f>IF(Allocation!BI69="","",Allocation!BI69)</f>
        <v>2025</v>
      </c>
      <c r="B69" t="str">
        <f>IF(Allocation!BJ69="","",Allocation!BJ69)</f>
        <v>IPAC_REN</v>
      </c>
      <c r="C69" t="str">
        <f>IF(Allocation!BK69="","",Allocation!BK69)</f>
        <v>IPAC</v>
      </c>
      <c r="D69" t="str">
        <f>IF(Allocation!BL69="","",Allocation!BL69)</f>
        <v>BAC_CCE</v>
      </c>
      <c r="E69" t="str">
        <f>IF(Allocation!BM69="","",Allocation!BM69)</f>
        <v>B2</v>
      </c>
      <c r="F69" t="str">
        <f>IF(Allocation!BN69="","",Allocation!BN69)</f>
        <v>ALT</v>
      </c>
      <c r="G69">
        <f>IF(Allocation!BO69="","",Allocation!BO69)</f>
        <v>37</v>
      </c>
      <c r="H69">
        <f>IF(Allocation!BP69="","",Allocation!BP69)</f>
        <v>2</v>
      </c>
      <c r="I69">
        <f>IF(Allocation!BQ69="","",Allocation!BQ69)</f>
        <v>246050</v>
      </c>
      <c r="J69">
        <f>IF(Allocation!CC69="","",Allocation!CC69)</f>
        <v>0</v>
      </c>
      <c r="K69">
        <f t="shared" si="0"/>
        <v>960</v>
      </c>
      <c r="L69">
        <f t="shared" si="1"/>
        <v>111</v>
      </c>
      <c r="M69">
        <f t="shared" si="2"/>
        <v>6</v>
      </c>
      <c r="N69">
        <f t="shared" si="3"/>
        <v>741570</v>
      </c>
      <c r="O69">
        <f t="shared" si="4"/>
        <v>2880</v>
      </c>
      <c r="P69">
        <f t="shared" si="5"/>
        <v>38</v>
      </c>
      <c r="Q69">
        <f t="shared" si="6"/>
        <v>358</v>
      </c>
      <c r="R69">
        <f t="shared" si="7"/>
        <v>18</v>
      </c>
      <c r="S69">
        <f t="shared" si="8"/>
        <v>2439370</v>
      </c>
      <c r="T69">
        <f t="shared" si="9"/>
        <v>2933</v>
      </c>
      <c r="U69">
        <f t="shared" si="10"/>
        <v>135</v>
      </c>
      <c r="V69">
        <f t="shared" si="11"/>
        <v>21758770</v>
      </c>
      <c r="W69">
        <f>IF($A69="","",Allocation!CD69)</f>
        <v>69137</v>
      </c>
      <c r="X69">
        <f>IF($A69="","",Allocation!CE69)</f>
        <v>132256.93</v>
      </c>
      <c r="Y69">
        <f>IF($A69="","",Allocation!CF69)</f>
        <v>41552</v>
      </c>
      <c r="Z69">
        <f>IF($A69="","",Allocation!CG69)</f>
        <v>13575</v>
      </c>
      <c r="AA69">
        <f>IF($A69="","",Allocation!CH69)</f>
        <v>266792.1</v>
      </c>
      <c r="AB69">
        <f>IF($A69="","",Allocation!CI69)</f>
        <v>2760232</v>
      </c>
      <c r="AC69">
        <f>IF($A69="","",IF(Allocation!$N$4="VOL_EFF",$G69,IF(Allocation!$N$4="VOL_CLASS",$H69,$I69)))</f>
        <v>2</v>
      </c>
      <c r="AD69">
        <f>IF($A69="","",IF(Allocation!$N$4="VOL_EFF",$L69,IF(Allocation!$N$4="VOL_CLASS",$M69,$N69)))</f>
        <v>6</v>
      </c>
      <c r="AE69">
        <f>IF($A69="","",IF(Allocation!$N$3="VOL_EFF",$L69,IF(Allocation!$N$3="VOL_CLASS",$M69,$N69)))</f>
        <v>111</v>
      </c>
      <c r="AF69">
        <f>IF($A69="","",IF(Allocation!$N$3="VOL_EFF",$Q69,IF(Allocation!$N$3="VOL_CLASS",$R69,$S69)))</f>
        <v>358</v>
      </c>
      <c r="AG69">
        <f>IF($A69="","",IF(Allocation!$N$1="VOL_EFF",$Q69,IF(Allocation!$N$1="VOL_CLASS",$R69,$S69)))</f>
        <v>18</v>
      </c>
      <c r="AH69">
        <f>IF($A69="","",IF(Allocation!$N$1="VOL_EFF",$T69,IF(Allocation!$N$1="VOL_CLASS",$U69,$V69)))</f>
        <v>135</v>
      </c>
      <c r="AI69">
        <f t="shared" si="12"/>
        <v>23045.6666666667</v>
      </c>
      <c r="AJ69">
        <f t="shared" si="13"/>
        <v>44085.6433333333</v>
      </c>
      <c r="AK69">
        <f t="shared" si="14"/>
        <v>13850.6666666667</v>
      </c>
      <c r="AL69">
        <f t="shared" si="15"/>
        <v>88930.7</v>
      </c>
      <c r="AM69">
        <f t="shared" si="16"/>
        <v>38036.7165735568</v>
      </c>
      <c r="AN69">
        <f t="shared" si="17"/>
        <v>31378.3506153594</v>
      </c>
      <c r="AO69">
        <f>IF($A69="","",Allocation!CJ69)</f>
        <v>580167</v>
      </c>
      <c r="AP69">
        <f>IF($A69="","",IF(Allocation!$N$2="VOL_EFF",$Q69,IF(Allocation!$N$2="VOL_CLASS",$R69,$S69)))</f>
        <v>2439370</v>
      </c>
      <c r="AQ69">
        <f>IF($A69="","",IF(Allocation!$N$2="VOL_EFF",$T69,IF(Allocation!$N$2="VOL_CLASS",$U69,$V69)))</f>
        <v>21758770</v>
      </c>
      <c r="AR69">
        <f t="shared" si="18"/>
        <v>6722.25614441708</v>
      </c>
      <c r="AS69" t="str">
        <f>IF($A69="","",$A69&amp;"|"&amp;Allocation!BG69)</f>
        <v>2025|ACT</v>
      </c>
    </row>
    <row r="70" ht="14.497499999999997" customHeight="1">
      <c r="A70" t="str">
        <f>IF(Allocation!BI70="","",Allocation!BI70)</f>
        <v>2025</v>
      </c>
      <c r="B70" t="str">
        <f>IF(Allocation!BJ70="","",Allocation!BJ70)</f>
        <v>IPAC_REN</v>
      </c>
      <c r="C70" t="str">
        <f>IF(Allocation!BK70="","",Allocation!BK70)</f>
        <v>IPAC</v>
      </c>
      <c r="D70" t="str">
        <f>IF(Allocation!BL70="","",Allocation!BL70)</f>
        <v>BAC_CCE</v>
      </c>
      <c r="E70" t="str">
        <f>IF(Allocation!BM70="","",Allocation!BM70)</f>
        <v>B3</v>
      </c>
      <c r="F70" t="str">
        <f>IF(Allocation!BN70="","",Allocation!BN70)</f>
        <v>ALT</v>
      </c>
      <c r="G70">
        <f>IF(Allocation!BO70="","",Allocation!BO70)</f>
        <v>36</v>
      </c>
      <c r="H70">
        <f>IF(Allocation!BP70="","",Allocation!BP70)</f>
        <v>2</v>
      </c>
      <c r="I70">
        <f>IF(Allocation!BQ70="","",Allocation!BQ70)</f>
        <v>239400</v>
      </c>
      <c r="J70">
        <f>IF(Allocation!CC70="","",Allocation!CC70)</f>
        <v>0</v>
      </c>
      <c r="K70">
        <f t="shared" si="0"/>
        <v>960</v>
      </c>
      <c r="L70">
        <f t="shared" si="1"/>
        <v>111</v>
      </c>
      <c r="M70">
        <f t="shared" si="2"/>
        <v>6</v>
      </c>
      <c r="N70">
        <f t="shared" si="3"/>
        <v>741570</v>
      </c>
      <c r="O70">
        <f t="shared" si="4"/>
        <v>2880</v>
      </c>
      <c r="P70">
        <f t="shared" si="5"/>
        <v>38</v>
      </c>
      <c r="Q70">
        <f t="shared" si="6"/>
        <v>358</v>
      </c>
      <c r="R70">
        <f t="shared" si="7"/>
        <v>18</v>
      </c>
      <c r="S70">
        <f t="shared" si="8"/>
        <v>2439370</v>
      </c>
      <c r="T70">
        <f t="shared" si="9"/>
        <v>2933</v>
      </c>
      <c r="U70">
        <f t="shared" si="10"/>
        <v>135</v>
      </c>
      <c r="V70">
        <f t="shared" si="11"/>
        <v>21758770</v>
      </c>
      <c r="W70">
        <f>IF($A70="","",Allocation!CD70)</f>
        <v>69137</v>
      </c>
      <c r="X70">
        <f>IF($A70="","",Allocation!CE70)</f>
        <v>132256.93</v>
      </c>
      <c r="Y70">
        <f>IF($A70="","",Allocation!CF70)</f>
        <v>41552</v>
      </c>
      <c r="Z70">
        <f>IF($A70="","",Allocation!CG70)</f>
        <v>13575</v>
      </c>
      <c r="AA70">
        <f>IF($A70="","",Allocation!CH70)</f>
        <v>266792.1</v>
      </c>
      <c r="AB70">
        <f>IF($A70="","",Allocation!CI70)</f>
        <v>2760232</v>
      </c>
      <c r="AC70">
        <f>IF($A70="","",IF(Allocation!$N$4="VOL_EFF",$G70,IF(Allocation!$N$4="VOL_CLASS",$H70,$I70)))</f>
        <v>2</v>
      </c>
      <c r="AD70">
        <f>IF($A70="","",IF(Allocation!$N$4="VOL_EFF",$L70,IF(Allocation!$N$4="VOL_CLASS",$M70,$N70)))</f>
        <v>6</v>
      </c>
      <c r="AE70">
        <f>IF($A70="","",IF(Allocation!$N$3="VOL_EFF",$L70,IF(Allocation!$N$3="VOL_CLASS",$M70,$N70)))</f>
        <v>111</v>
      </c>
      <c r="AF70">
        <f>IF($A70="","",IF(Allocation!$N$3="VOL_EFF",$Q70,IF(Allocation!$N$3="VOL_CLASS",$R70,$S70)))</f>
        <v>358</v>
      </c>
      <c r="AG70">
        <f>IF($A70="","",IF(Allocation!$N$1="VOL_EFF",$Q70,IF(Allocation!$N$1="VOL_CLASS",$R70,$S70)))</f>
        <v>18</v>
      </c>
      <c r="AH70">
        <f>IF($A70="","",IF(Allocation!$N$1="VOL_EFF",$T70,IF(Allocation!$N$1="VOL_CLASS",$U70,$V70)))</f>
        <v>135</v>
      </c>
      <c r="AI70">
        <f t="shared" si="12"/>
        <v>23045.6666666667</v>
      </c>
      <c r="AJ70">
        <f t="shared" si="13"/>
        <v>44085.6433333333</v>
      </c>
      <c r="AK70">
        <f t="shared" si="14"/>
        <v>13476.3243243243</v>
      </c>
      <c r="AL70">
        <f t="shared" si="15"/>
        <v>88930.7</v>
      </c>
      <c r="AM70">
        <f t="shared" si="16"/>
        <v>38036.7165735568</v>
      </c>
      <c r="AN70">
        <f t="shared" si="17"/>
        <v>25102.6929577018</v>
      </c>
      <c r="AO70">
        <f>IF($A70="","",Allocation!CJ70)</f>
        <v>580167</v>
      </c>
      <c r="AP70">
        <f>IF($A70="","",IF(Allocation!$N$2="VOL_EFF",$Q70,IF(Allocation!$N$2="VOL_CLASS",$R70,$S70)))</f>
        <v>2439370</v>
      </c>
      <c r="AQ70">
        <f>IF($A70="","",IF(Allocation!$N$2="VOL_EFF",$T70,IF(Allocation!$N$2="VOL_CLASS",$U70,$V70)))</f>
        <v>21758770</v>
      </c>
      <c r="AR70">
        <f t="shared" si="18"/>
        <v>6722.25614441708</v>
      </c>
      <c r="AS70" t="str">
        <f>IF($A70="","",$A70&amp;"|"&amp;Allocation!BG70)</f>
        <v>2025|ACT</v>
      </c>
    </row>
    <row r="71" ht="14.497499999999997" customHeight="1">
      <c r="A71" t="str">
        <f>IF(Allocation!BI71="","",Allocation!BI71)</f>
        <v>2025</v>
      </c>
      <c r="B71" t="str">
        <f>IF(Allocation!BJ71="","",Allocation!BJ71)</f>
        <v>ISCOM_LIL</v>
      </c>
      <c r="C71" t="str">
        <f>IF(Allocation!BK71="","",Allocation!BK71)</f>
        <v>ISCOM</v>
      </c>
      <c r="D71" t="str">
        <f>IF(Allocation!BL71="","",Allocation!BL71)</f>
        <v>BAC_COM</v>
      </c>
      <c r="E71" t="str">
        <f>IF(Allocation!BM71="","",Allocation!BM71)</f>
        <v>B1</v>
      </c>
      <c r="F71" t="str">
        <f>IF(Allocation!BN71="","",Allocation!BN71)</f>
        <v>INIT</v>
      </c>
      <c r="G71">
        <f>IF(Allocation!BO71="","",Allocation!BO71)</f>
        <v>47</v>
      </c>
      <c r="H71">
        <f>IF(Allocation!BP71="","",Allocation!BP71)</f>
        <v>2</v>
      </c>
      <c r="I71">
        <f>IF(Allocation!BQ71="","",Allocation!BQ71)</f>
        <v>349680</v>
      </c>
      <c r="J71">
        <f>IF(Allocation!CC71="","",Allocation!CC71)</f>
        <v>47</v>
      </c>
      <c r="K71">
        <f t="shared" si="0"/>
        <v>1200</v>
      </c>
      <c r="L71">
        <f t="shared" si="1"/>
        <v>229</v>
      </c>
      <c r="M71">
        <f t="shared" si="2"/>
        <v>10</v>
      </c>
      <c r="N71">
        <f t="shared" si="3"/>
        <v>1648000</v>
      </c>
      <c r="O71">
        <f t="shared" si="4"/>
        <v>4800</v>
      </c>
      <c r="P71">
        <f t="shared" si="5"/>
        <v>94</v>
      </c>
      <c r="Q71">
        <f t="shared" si="6"/>
        <v>779</v>
      </c>
      <c r="R71">
        <f t="shared" si="7"/>
        <v>35</v>
      </c>
      <c r="S71">
        <f t="shared" si="8"/>
        <v>5914800</v>
      </c>
      <c r="T71">
        <f t="shared" si="9"/>
        <v>2933</v>
      </c>
      <c r="U71">
        <f t="shared" si="10"/>
        <v>135</v>
      </c>
      <c r="V71">
        <f t="shared" si="11"/>
        <v>21758770</v>
      </c>
      <c r="W71">
        <f>IF($A71="","",Allocation!CD71)</f>
        <v>115229</v>
      </c>
      <c r="X71">
        <f>IF($A71="","",Allocation!CE71)</f>
        <v>270570.21</v>
      </c>
      <c r="Y71">
        <f>IF($A71="","",Allocation!CF71)</f>
        <v>86655</v>
      </c>
      <c r="Z71">
        <f>IF($A71="","",Allocation!CG71)</f>
        <v>22927</v>
      </c>
      <c r="AA71">
        <f>IF($A71="","",Allocation!CH71)</f>
        <v>630959.32</v>
      </c>
      <c r="AB71">
        <f>IF($A71="","",Allocation!CI71)</f>
        <v>2760232</v>
      </c>
      <c r="AC71">
        <f>IF($A71="","",IF(Allocation!$N$4="VOL_EFF",$G71,IF(Allocation!$N$4="VOL_CLASS",$H71,$I71)))</f>
        <v>2</v>
      </c>
      <c r="AD71">
        <f>IF($A71="","",IF(Allocation!$N$4="VOL_EFF",$L71,IF(Allocation!$N$4="VOL_CLASS",$M71,$N71)))</f>
        <v>10</v>
      </c>
      <c r="AE71">
        <f>IF($A71="","",IF(Allocation!$N$3="VOL_EFF",$L71,IF(Allocation!$N$3="VOL_CLASS",$M71,$N71)))</f>
        <v>229</v>
      </c>
      <c r="AF71">
        <f>IF($A71="","",IF(Allocation!$N$3="VOL_EFF",$Q71,IF(Allocation!$N$3="VOL_CLASS",$R71,$S71)))</f>
        <v>779</v>
      </c>
      <c r="AG71">
        <f>IF($A71="","",IF(Allocation!$N$1="VOL_EFF",$Q71,IF(Allocation!$N$1="VOL_CLASS",$R71,$S71)))</f>
        <v>35</v>
      </c>
      <c r="AH71">
        <f>IF($A71="","",IF(Allocation!$N$1="VOL_EFF",$T71,IF(Allocation!$N$1="VOL_CLASS",$U71,$V71)))</f>
        <v>135</v>
      </c>
      <c r="AI71">
        <f t="shared" si="12"/>
        <v>28807.25</v>
      </c>
      <c r="AJ71">
        <f t="shared" si="13"/>
        <v>67642.5525</v>
      </c>
      <c r="AK71">
        <f t="shared" si="14"/>
        <v>29248.5873362445</v>
      </c>
      <c r="AL71">
        <f t="shared" si="15"/>
        <v>126191.864</v>
      </c>
      <c r="AM71">
        <f t="shared" si="16"/>
        <v>42073.4264821946</v>
      </c>
      <c r="AN71">
        <f t="shared" si="17"/>
        <v>46444.0348208995</v>
      </c>
      <c r="AO71">
        <f>IF($A71="","",Allocation!CJ71)</f>
        <v>580167</v>
      </c>
      <c r="AP71">
        <f>IF($A71="","",IF(Allocation!$N$2="VOL_EFF",$Q71,IF(Allocation!$N$2="VOL_CLASS",$R71,$S71)))</f>
        <v>5914800</v>
      </c>
      <c r="AQ71">
        <f>IF($A71="","",IF(Allocation!$N$2="VOL_EFF",$T71,IF(Allocation!$N$2="VOL_CLASS",$U71,$V71)))</f>
        <v>21758770</v>
      </c>
      <c r="AR71">
        <f t="shared" si="18"/>
        <v>9272.28486066135</v>
      </c>
      <c r="AS71" t="str">
        <f>IF($A71="","",$A71&amp;"|"&amp;Allocation!BG71)</f>
        <v>2025|ACT</v>
      </c>
    </row>
    <row r="72" ht="14.497499999999997" customHeight="1">
      <c r="A72" t="str">
        <f>IF(Allocation!BI72="","",Allocation!BI72)</f>
        <v>2025</v>
      </c>
      <c r="B72" t="str">
        <f>IF(Allocation!BJ72="","",Allocation!BJ72)</f>
        <v>ISCOM_LIL</v>
      </c>
      <c r="C72" t="str">
        <f>IF(Allocation!BK72="","",Allocation!BK72)</f>
        <v>ISCOM</v>
      </c>
      <c r="D72" t="str">
        <f>IF(Allocation!BL72="","",Allocation!BL72)</f>
        <v>BAC_COM</v>
      </c>
      <c r="E72" t="str">
        <f>IF(Allocation!BM72="","",Allocation!BM72)</f>
        <v>B2</v>
      </c>
      <c r="F72" t="str">
        <f>IF(Allocation!BN72="","",Allocation!BN72)</f>
        <v>ALT</v>
      </c>
      <c r="G72">
        <f>IF(Allocation!BO72="","",Allocation!BO72)</f>
        <v>45</v>
      </c>
      <c r="H72">
        <f>IF(Allocation!BP72="","",Allocation!BP72)</f>
        <v>2</v>
      </c>
      <c r="I72">
        <f>IF(Allocation!BQ72="","",Allocation!BQ72)</f>
        <v>308700</v>
      </c>
      <c r="J72">
        <f>IF(Allocation!CC72="","",Allocation!CC72)</f>
        <v>0</v>
      </c>
      <c r="K72">
        <f t="shared" si="0"/>
        <v>960</v>
      </c>
      <c r="L72">
        <f t="shared" si="1"/>
        <v>229</v>
      </c>
      <c r="M72">
        <f t="shared" si="2"/>
        <v>10</v>
      </c>
      <c r="N72">
        <f t="shared" si="3"/>
        <v>1648000</v>
      </c>
      <c r="O72">
        <f t="shared" si="4"/>
        <v>4800</v>
      </c>
      <c r="P72">
        <f t="shared" si="5"/>
        <v>94</v>
      </c>
      <c r="Q72">
        <f t="shared" si="6"/>
        <v>779</v>
      </c>
      <c r="R72">
        <f t="shared" si="7"/>
        <v>35</v>
      </c>
      <c r="S72">
        <f t="shared" si="8"/>
        <v>5914800</v>
      </c>
      <c r="T72">
        <f t="shared" si="9"/>
        <v>2933</v>
      </c>
      <c r="U72">
        <f t="shared" si="10"/>
        <v>135</v>
      </c>
      <c r="V72">
        <f t="shared" si="11"/>
        <v>21758770</v>
      </c>
      <c r="W72">
        <f>IF($A72="","",Allocation!CD72)</f>
        <v>115229</v>
      </c>
      <c r="X72">
        <f>IF($A72="","",Allocation!CE72)</f>
        <v>270570.21</v>
      </c>
      <c r="Y72">
        <f>IF($A72="","",Allocation!CF72)</f>
        <v>86655</v>
      </c>
      <c r="Z72">
        <f>IF($A72="","",Allocation!CG72)</f>
        <v>22927</v>
      </c>
      <c r="AA72">
        <f>IF($A72="","",Allocation!CH72)</f>
        <v>630959.32</v>
      </c>
      <c r="AB72">
        <f>IF($A72="","",Allocation!CI72)</f>
        <v>2760232</v>
      </c>
      <c r="AC72">
        <f>IF($A72="","",IF(Allocation!$N$4="VOL_EFF",$G72,IF(Allocation!$N$4="VOL_CLASS",$H72,$I72)))</f>
        <v>2</v>
      </c>
      <c r="AD72">
        <f>IF($A72="","",IF(Allocation!$N$4="VOL_EFF",$L72,IF(Allocation!$N$4="VOL_CLASS",$M72,$N72)))</f>
        <v>10</v>
      </c>
      <c r="AE72">
        <f>IF($A72="","",IF(Allocation!$N$3="VOL_EFF",$L72,IF(Allocation!$N$3="VOL_CLASS",$M72,$N72)))</f>
        <v>229</v>
      </c>
      <c r="AF72">
        <f>IF($A72="","",IF(Allocation!$N$3="VOL_EFF",$Q72,IF(Allocation!$N$3="VOL_CLASS",$R72,$S72)))</f>
        <v>779</v>
      </c>
      <c r="AG72">
        <f>IF($A72="","",IF(Allocation!$N$1="VOL_EFF",$Q72,IF(Allocation!$N$1="VOL_CLASS",$R72,$S72)))</f>
        <v>35</v>
      </c>
      <c r="AH72">
        <f>IF($A72="","",IF(Allocation!$N$1="VOL_EFF",$T72,IF(Allocation!$N$1="VOL_CLASS",$U72,$V72)))</f>
        <v>135</v>
      </c>
      <c r="AI72">
        <f t="shared" si="12"/>
        <v>23045.8</v>
      </c>
      <c r="AJ72">
        <f t="shared" si="13"/>
        <v>54114.042</v>
      </c>
      <c r="AK72">
        <f t="shared" si="14"/>
        <v>17028.2751091703</v>
      </c>
      <c r="AL72">
        <f t="shared" si="15"/>
        <v>126191.864</v>
      </c>
      <c r="AM72">
        <f t="shared" si="16"/>
        <v>42073.4264821946</v>
      </c>
      <c r="AN72">
        <f t="shared" si="17"/>
        <v>36974.3075479737</v>
      </c>
      <c r="AO72">
        <f>IF($A72="","",Allocation!CJ72)</f>
        <v>580167</v>
      </c>
      <c r="AP72">
        <f>IF($A72="","",IF(Allocation!$N$2="VOL_EFF",$Q72,IF(Allocation!$N$2="VOL_CLASS",$R72,$S72)))</f>
        <v>5914800</v>
      </c>
      <c r="AQ72">
        <f>IF($A72="","",IF(Allocation!$N$2="VOL_EFF",$T72,IF(Allocation!$N$2="VOL_CLASS",$U72,$V72)))</f>
        <v>21758770</v>
      </c>
      <c r="AR72">
        <f t="shared" si="18"/>
        <v>9272.28486066135</v>
      </c>
      <c r="AS72" t="str">
        <f>IF($A72="","",$A72&amp;"|"&amp;Allocation!BG72)</f>
        <v>2025|ACT</v>
      </c>
    </row>
    <row r="73" ht="14.497499999999997" customHeight="1">
      <c r="A73" t="str">
        <f>IF(Allocation!BI73="","",Allocation!BI73)</f>
        <v>2025</v>
      </c>
      <c r="B73" t="str">
        <f>IF(Allocation!BJ73="","",Allocation!BJ73)</f>
        <v>ISCOM_LIL</v>
      </c>
      <c r="C73" t="str">
        <f>IF(Allocation!BK73="","",Allocation!BK73)</f>
        <v>ISCOM</v>
      </c>
      <c r="D73" t="str">
        <f>IF(Allocation!BL73="","",Allocation!BL73)</f>
        <v>BAC_COM</v>
      </c>
      <c r="E73" t="str">
        <f>IF(Allocation!BM73="","",Allocation!BM73)</f>
        <v>B3</v>
      </c>
      <c r="F73" t="str">
        <f>IF(Allocation!BN73="","",Allocation!BN73)</f>
        <v>ALT</v>
      </c>
      <c r="G73">
        <f>IF(Allocation!BO73="","",Allocation!BO73)</f>
        <v>44</v>
      </c>
      <c r="H73">
        <f>IF(Allocation!BP73="","",Allocation!BP73)</f>
        <v>2</v>
      </c>
      <c r="I73">
        <f>IF(Allocation!BQ73="","",Allocation!BQ73)</f>
        <v>301840</v>
      </c>
      <c r="J73">
        <f>IF(Allocation!CC73="","",Allocation!CC73)</f>
        <v>0</v>
      </c>
      <c r="K73">
        <f t="shared" si="0"/>
        <v>960</v>
      </c>
      <c r="L73">
        <f t="shared" si="1"/>
        <v>229</v>
      </c>
      <c r="M73">
        <f t="shared" si="2"/>
        <v>10</v>
      </c>
      <c r="N73">
        <f t="shared" si="3"/>
        <v>1648000</v>
      </c>
      <c r="O73">
        <f t="shared" si="4"/>
        <v>4800</v>
      </c>
      <c r="P73">
        <f t="shared" si="5"/>
        <v>94</v>
      </c>
      <c r="Q73">
        <f t="shared" si="6"/>
        <v>779</v>
      </c>
      <c r="R73">
        <f t="shared" si="7"/>
        <v>35</v>
      </c>
      <c r="S73">
        <f t="shared" si="8"/>
        <v>5914800</v>
      </c>
      <c r="T73">
        <f t="shared" si="9"/>
        <v>2933</v>
      </c>
      <c r="U73">
        <f t="shared" si="10"/>
        <v>135</v>
      </c>
      <c r="V73">
        <f t="shared" si="11"/>
        <v>21758770</v>
      </c>
      <c r="W73">
        <f>IF($A73="","",Allocation!CD73)</f>
        <v>115229</v>
      </c>
      <c r="X73">
        <f>IF($A73="","",Allocation!CE73)</f>
        <v>270570.21</v>
      </c>
      <c r="Y73">
        <f>IF($A73="","",Allocation!CF73)</f>
        <v>86655</v>
      </c>
      <c r="Z73">
        <f>IF($A73="","",Allocation!CG73)</f>
        <v>22927</v>
      </c>
      <c r="AA73">
        <f>IF($A73="","",Allocation!CH73)</f>
        <v>630959.32</v>
      </c>
      <c r="AB73">
        <f>IF($A73="","",Allocation!CI73)</f>
        <v>2760232</v>
      </c>
      <c r="AC73">
        <f>IF($A73="","",IF(Allocation!$N$4="VOL_EFF",$G73,IF(Allocation!$N$4="VOL_CLASS",$H73,$I73)))</f>
        <v>2</v>
      </c>
      <c r="AD73">
        <f>IF($A73="","",IF(Allocation!$N$4="VOL_EFF",$L73,IF(Allocation!$N$4="VOL_CLASS",$M73,$N73)))</f>
        <v>10</v>
      </c>
      <c r="AE73">
        <f>IF($A73="","",IF(Allocation!$N$3="VOL_EFF",$L73,IF(Allocation!$N$3="VOL_CLASS",$M73,$N73)))</f>
        <v>229</v>
      </c>
      <c r="AF73">
        <f>IF($A73="","",IF(Allocation!$N$3="VOL_EFF",$Q73,IF(Allocation!$N$3="VOL_CLASS",$R73,$S73)))</f>
        <v>779</v>
      </c>
      <c r="AG73">
        <f>IF($A73="","",IF(Allocation!$N$1="VOL_EFF",$Q73,IF(Allocation!$N$1="VOL_CLASS",$R73,$S73)))</f>
        <v>35</v>
      </c>
      <c r="AH73">
        <f>IF($A73="","",IF(Allocation!$N$1="VOL_EFF",$T73,IF(Allocation!$N$1="VOL_CLASS",$U73,$V73)))</f>
        <v>135</v>
      </c>
      <c r="AI73">
        <f t="shared" si="12"/>
        <v>23045.8</v>
      </c>
      <c r="AJ73">
        <f t="shared" si="13"/>
        <v>54114.042</v>
      </c>
      <c r="AK73">
        <f t="shared" si="14"/>
        <v>16649.8689956332</v>
      </c>
      <c r="AL73">
        <f t="shared" si="15"/>
        <v>126191.864</v>
      </c>
      <c r="AM73">
        <f t="shared" si="16"/>
        <v>42073.4264821946</v>
      </c>
      <c r="AN73">
        <f t="shared" si="17"/>
        <v>30492.7136615108</v>
      </c>
      <c r="AO73">
        <f>IF($A73="","",Allocation!CJ73)</f>
        <v>580167</v>
      </c>
      <c r="AP73">
        <f>IF($A73="","",IF(Allocation!$N$2="VOL_EFF",$Q73,IF(Allocation!$N$2="VOL_CLASS",$R73,$S73)))</f>
        <v>5914800</v>
      </c>
      <c r="AQ73">
        <f>IF($A73="","",IF(Allocation!$N$2="VOL_EFF",$T73,IF(Allocation!$N$2="VOL_CLASS",$U73,$V73)))</f>
        <v>21758770</v>
      </c>
      <c r="AR73">
        <f t="shared" si="18"/>
        <v>9272.28486066135</v>
      </c>
      <c r="AS73" t="str">
        <f>IF($A73="","",$A73&amp;"|"&amp;Allocation!BG73)</f>
        <v>2025|ACT</v>
      </c>
    </row>
    <row r="74" ht="14.497499999999997" customHeight="1">
      <c r="A74" t="str">
        <f>IF(Allocation!BI74="","",Allocation!BI74)</f>
        <v>2025</v>
      </c>
      <c r="B74" t="str">
        <f>IF(Allocation!BJ74="","",Allocation!BJ74)</f>
        <v>ISCOM_LIL</v>
      </c>
      <c r="C74" t="str">
        <f>IF(Allocation!BK74="","",Allocation!BK74)</f>
        <v>ISCOM</v>
      </c>
      <c r="D74" t="str">
        <f>IF(Allocation!BL74="","",Allocation!BL74)</f>
        <v>MAS_COM</v>
      </c>
      <c r="E74" t="str">
        <f>IF(Allocation!BM74="","",Allocation!BM74)</f>
        <v>M1</v>
      </c>
      <c r="F74" t="str">
        <f>IF(Allocation!BN74="","",Allocation!BN74)</f>
        <v>ALT</v>
      </c>
      <c r="G74">
        <f>IF(Allocation!BO74="","",Allocation!BO74)</f>
        <v>47</v>
      </c>
      <c r="H74">
        <f>IF(Allocation!BP74="","",Allocation!BP74)</f>
        <v>2</v>
      </c>
      <c r="I74">
        <f>IF(Allocation!BQ74="","",Allocation!BQ74)</f>
        <v>349680</v>
      </c>
      <c r="J74">
        <f>IF(Allocation!CC74="","",Allocation!CC74)</f>
        <v>47</v>
      </c>
      <c r="K74">
        <f t="shared" si="0"/>
        <v>840</v>
      </c>
      <c r="L74">
        <f t="shared" si="1"/>
        <v>229</v>
      </c>
      <c r="M74">
        <f t="shared" si="2"/>
        <v>10</v>
      </c>
      <c r="N74">
        <f t="shared" si="3"/>
        <v>1648000</v>
      </c>
      <c r="O74">
        <f t="shared" si="4"/>
        <v>4800</v>
      </c>
      <c r="P74">
        <f t="shared" si="5"/>
        <v>94</v>
      </c>
      <c r="Q74">
        <f t="shared" si="6"/>
        <v>779</v>
      </c>
      <c r="R74">
        <f t="shared" si="7"/>
        <v>35</v>
      </c>
      <c r="S74">
        <f t="shared" si="8"/>
        <v>5914800</v>
      </c>
      <c r="T74">
        <f t="shared" si="9"/>
        <v>2933</v>
      </c>
      <c r="U74">
        <f t="shared" si="10"/>
        <v>135</v>
      </c>
      <c r="V74">
        <f t="shared" si="11"/>
        <v>21758770</v>
      </c>
      <c r="W74">
        <f>IF($A74="","",Allocation!CD74)</f>
        <v>115229</v>
      </c>
      <c r="X74">
        <f>IF($A74="","",Allocation!CE74)</f>
        <v>270570.21</v>
      </c>
      <c r="Y74">
        <f>IF($A74="","",Allocation!CF74)</f>
        <v>86655</v>
      </c>
      <c r="Z74">
        <f>IF($A74="","",Allocation!CG74)</f>
        <v>22927</v>
      </c>
      <c r="AA74">
        <f>IF($A74="","",Allocation!CH74)</f>
        <v>630959.32</v>
      </c>
      <c r="AB74">
        <f>IF($A74="","",Allocation!CI74)</f>
        <v>2760232</v>
      </c>
      <c r="AC74">
        <f>IF($A74="","",IF(Allocation!$N$4="VOL_EFF",$G74,IF(Allocation!$N$4="VOL_CLASS",$H74,$I74)))</f>
        <v>2</v>
      </c>
      <c r="AD74">
        <f>IF($A74="","",IF(Allocation!$N$4="VOL_EFF",$L74,IF(Allocation!$N$4="VOL_CLASS",$M74,$N74)))</f>
        <v>10</v>
      </c>
      <c r="AE74">
        <f>IF($A74="","",IF(Allocation!$N$3="VOL_EFF",$L74,IF(Allocation!$N$3="VOL_CLASS",$M74,$N74)))</f>
        <v>229</v>
      </c>
      <c r="AF74">
        <f>IF($A74="","",IF(Allocation!$N$3="VOL_EFF",$Q74,IF(Allocation!$N$3="VOL_CLASS",$R74,$S74)))</f>
        <v>779</v>
      </c>
      <c r="AG74">
        <f>IF($A74="","",IF(Allocation!$N$1="VOL_EFF",$Q74,IF(Allocation!$N$1="VOL_CLASS",$R74,$S74)))</f>
        <v>35</v>
      </c>
      <c r="AH74">
        <f>IF($A74="","",IF(Allocation!$N$1="VOL_EFF",$T74,IF(Allocation!$N$1="VOL_CLASS",$U74,$V74)))</f>
        <v>135</v>
      </c>
      <c r="AI74">
        <f t="shared" si="12"/>
        <v>20165.075</v>
      </c>
      <c r="AJ74">
        <f t="shared" si="13"/>
        <v>47349.78675</v>
      </c>
      <c r="AK74">
        <f t="shared" si="14"/>
        <v>29248.5873362445</v>
      </c>
      <c r="AL74">
        <f t="shared" si="15"/>
        <v>126191.864</v>
      </c>
      <c r="AM74">
        <f t="shared" si="16"/>
        <v>42073.4264821946</v>
      </c>
      <c r="AN74">
        <f t="shared" si="17"/>
        <v>75378.9755708996</v>
      </c>
      <c r="AO74">
        <f>IF($A74="","",Allocation!CJ74)</f>
        <v>580167</v>
      </c>
      <c r="AP74">
        <f>IF($A74="","",IF(Allocation!$N$2="VOL_EFF",$Q74,IF(Allocation!$N$2="VOL_CLASS",$R74,$S74)))</f>
        <v>5914800</v>
      </c>
      <c r="AQ74">
        <f>IF($A74="","",IF(Allocation!$N$2="VOL_EFF",$T74,IF(Allocation!$N$2="VOL_CLASS",$U74,$V74)))</f>
        <v>21758770</v>
      </c>
      <c r="AR74">
        <f t="shared" si="18"/>
        <v>9272.28486066135</v>
      </c>
      <c r="AS74" t="str">
        <f>IF($A74="","",$A74&amp;"|"&amp;Allocation!BG74)</f>
        <v>2025|ACT</v>
      </c>
    </row>
    <row r="75" ht="14.497499999999997" customHeight="1">
      <c r="A75" t="str">
        <f>IF(Allocation!BI75="","",Allocation!BI75)</f>
        <v>2025</v>
      </c>
      <c r="B75" t="str">
        <f>IF(Allocation!BJ75="","",Allocation!BJ75)</f>
        <v>ISCOM_LIL</v>
      </c>
      <c r="C75" t="str">
        <f>IF(Allocation!BK75="","",Allocation!BK75)</f>
        <v>ISCOM</v>
      </c>
      <c r="D75" t="str">
        <f>IF(Allocation!BL75="","",Allocation!BL75)</f>
        <v>MAS_COM</v>
      </c>
      <c r="E75" t="str">
        <f>IF(Allocation!BM75="","",Allocation!BM75)</f>
        <v>M2</v>
      </c>
      <c r="F75" t="str">
        <f>IF(Allocation!BN75="","",Allocation!BN75)</f>
        <v>ALT</v>
      </c>
      <c r="G75">
        <f>IF(Allocation!BO75="","",Allocation!BO75)</f>
        <v>46</v>
      </c>
      <c r="H75">
        <f>IF(Allocation!BP75="","",Allocation!BP75)</f>
        <v>2</v>
      </c>
      <c r="I75">
        <f>IF(Allocation!BQ75="","",Allocation!BQ75)</f>
        <v>338100</v>
      </c>
      <c r="J75">
        <f>IF(Allocation!CC75="","",Allocation!CC75)</f>
        <v>0</v>
      </c>
      <c r="K75">
        <f t="shared" si="0"/>
        <v>840</v>
      </c>
      <c r="L75">
        <f t="shared" si="1"/>
        <v>229</v>
      </c>
      <c r="M75">
        <f t="shared" si="2"/>
        <v>10</v>
      </c>
      <c r="N75">
        <f t="shared" si="3"/>
        <v>1648000</v>
      </c>
      <c r="O75">
        <f t="shared" si="4"/>
        <v>4800</v>
      </c>
      <c r="P75">
        <f t="shared" si="5"/>
        <v>94</v>
      </c>
      <c r="Q75">
        <f t="shared" si="6"/>
        <v>779</v>
      </c>
      <c r="R75">
        <f t="shared" si="7"/>
        <v>35</v>
      </c>
      <c r="S75">
        <f t="shared" si="8"/>
        <v>5914800</v>
      </c>
      <c r="T75">
        <f t="shared" si="9"/>
        <v>2933</v>
      </c>
      <c r="U75">
        <f t="shared" si="10"/>
        <v>135</v>
      </c>
      <c r="V75">
        <f t="shared" si="11"/>
        <v>21758770</v>
      </c>
      <c r="W75">
        <f>IF($A75="","",Allocation!CD75)</f>
        <v>115229</v>
      </c>
      <c r="X75">
        <f>IF($A75="","",Allocation!CE75)</f>
        <v>270570.21</v>
      </c>
      <c r="Y75">
        <f>IF($A75="","",Allocation!CF75)</f>
        <v>86655</v>
      </c>
      <c r="Z75">
        <f>IF($A75="","",Allocation!CG75)</f>
        <v>22927</v>
      </c>
      <c r="AA75">
        <f>IF($A75="","",Allocation!CH75)</f>
        <v>630959.32</v>
      </c>
      <c r="AB75">
        <f>IF($A75="","",Allocation!CI75)</f>
        <v>2760232</v>
      </c>
      <c r="AC75">
        <f>IF($A75="","",IF(Allocation!$N$4="VOL_EFF",$G75,IF(Allocation!$N$4="VOL_CLASS",$H75,$I75)))</f>
        <v>2</v>
      </c>
      <c r="AD75">
        <f>IF($A75="","",IF(Allocation!$N$4="VOL_EFF",$L75,IF(Allocation!$N$4="VOL_CLASS",$M75,$N75)))</f>
        <v>10</v>
      </c>
      <c r="AE75">
        <f>IF($A75="","",IF(Allocation!$N$3="VOL_EFF",$L75,IF(Allocation!$N$3="VOL_CLASS",$M75,$N75)))</f>
        <v>229</v>
      </c>
      <c r="AF75">
        <f>IF($A75="","",IF(Allocation!$N$3="VOL_EFF",$Q75,IF(Allocation!$N$3="VOL_CLASS",$R75,$S75)))</f>
        <v>779</v>
      </c>
      <c r="AG75">
        <f>IF($A75="","",IF(Allocation!$N$1="VOL_EFF",$Q75,IF(Allocation!$N$1="VOL_CLASS",$R75,$S75)))</f>
        <v>35</v>
      </c>
      <c r="AH75">
        <f>IF($A75="","",IF(Allocation!$N$1="VOL_EFF",$T75,IF(Allocation!$N$1="VOL_CLASS",$U75,$V75)))</f>
        <v>135</v>
      </c>
      <c r="AI75">
        <f t="shared" si="12"/>
        <v>20165.075</v>
      </c>
      <c r="AJ75">
        <f t="shared" si="13"/>
        <v>47349.78675</v>
      </c>
      <c r="AK75">
        <f t="shared" si="14"/>
        <v>17406.6812227074</v>
      </c>
      <c r="AL75">
        <f t="shared" si="15"/>
        <v>126191.864</v>
      </c>
      <c r="AM75">
        <f t="shared" si="16"/>
        <v>42073.4264821946</v>
      </c>
      <c r="AN75">
        <f t="shared" si="17"/>
        <v>75640.8816844366</v>
      </c>
      <c r="AO75">
        <f>IF($A75="","",Allocation!CJ75)</f>
        <v>580167</v>
      </c>
      <c r="AP75">
        <f>IF($A75="","",IF(Allocation!$N$2="VOL_EFF",$Q75,IF(Allocation!$N$2="VOL_CLASS",$R75,$S75)))</f>
        <v>5914800</v>
      </c>
      <c r="AQ75">
        <f>IF($A75="","",IF(Allocation!$N$2="VOL_EFF",$T75,IF(Allocation!$N$2="VOL_CLASS",$U75,$V75)))</f>
        <v>21758770</v>
      </c>
      <c r="AR75">
        <f t="shared" si="18"/>
        <v>9272.28486066135</v>
      </c>
      <c r="AS75" t="str">
        <f>IF($A75="","",$A75&amp;"|"&amp;Allocation!BG75)</f>
        <v>2025|ACT</v>
      </c>
    </row>
    <row r="76" ht="14.497499999999997" customHeight="1">
      <c r="A76" t="str">
        <f>IF(Allocation!BI76="","",Allocation!BI76)</f>
        <v>2025</v>
      </c>
      <c r="B76" t="str">
        <f>IF(Allocation!BJ76="","",Allocation!BJ76)</f>
        <v>ISCOM_PAR</v>
      </c>
      <c r="C76" t="str">
        <f>IF(Allocation!BK76="","",Allocation!BK76)</f>
        <v>ISCOM</v>
      </c>
      <c r="D76" t="str">
        <f>IF(Allocation!BL76="","",Allocation!BL76)</f>
        <v>BAC_COM</v>
      </c>
      <c r="E76" t="str">
        <f>IF(Allocation!BM76="","",Allocation!BM76)</f>
        <v>B1</v>
      </c>
      <c r="F76" t="str">
        <f>IF(Allocation!BN76="","",Allocation!BN76)</f>
        <v>INIT</v>
      </c>
      <c r="G76">
        <f>IF(Allocation!BO76="","",Allocation!BO76)</f>
        <v>68</v>
      </c>
      <c r="H76">
        <f>IF(Allocation!BP76="","",Allocation!BP76)</f>
        <v>3</v>
      </c>
      <c r="I76">
        <f>IF(Allocation!BQ76="","",Allocation!BQ76)</f>
        <v>577320</v>
      </c>
      <c r="J76">
        <f>IF(Allocation!CC76="","",Allocation!CC76)</f>
        <v>68</v>
      </c>
      <c r="K76">
        <f t="shared" si="0"/>
        <v>1800</v>
      </c>
      <c r="L76">
        <f t="shared" si="1"/>
        <v>334</v>
      </c>
      <c r="M76">
        <f t="shared" si="2"/>
        <v>15</v>
      </c>
      <c r="N76">
        <f t="shared" si="3"/>
        <v>2744480</v>
      </c>
      <c r="O76">
        <f t="shared" si="4"/>
        <v>7200</v>
      </c>
      <c r="P76">
        <f t="shared" si="5"/>
        <v>136</v>
      </c>
      <c r="Q76">
        <f t="shared" si="6"/>
        <v>779</v>
      </c>
      <c r="R76">
        <f t="shared" si="7"/>
        <v>35</v>
      </c>
      <c r="S76">
        <f t="shared" si="8"/>
        <v>5914800</v>
      </c>
      <c r="T76">
        <f t="shared" si="9"/>
        <v>2933</v>
      </c>
      <c r="U76">
        <f t="shared" si="10"/>
        <v>135</v>
      </c>
      <c r="V76">
        <f t="shared" si="11"/>
        <v>21758770</v>
      </c>
      <c r="W76">
        <f>IF($A76="","",Allocation!CD76)</f>
        <v>172844</v>
      </c>
      <c r="X76">
        <f>IF($A76="","",Allocation!CE76)</f>
        <v>466993.12</v>
      </c>
      <c r="Y76">
        <f>IF($A76="","",Allocation!CF76)</f>
        <v>125720</v>
      </c>
      <c r="Z76">
        <f>IF($A76="","",Allocation!CG76)</f>
        <v>55272</v>
      </c>
      <c r="AA76">
        <f>IF($A76="","",Allocation!CH76)</f>
        <v>1065013.21</v>
      </c>
      <c r="AB76">
        <f>IF($A76="","",Allocation!CI76)</f>
        <v>2760232</v>
      </c>
      <c r="AC76">
        <f>IF($A76="","",IF(Allocation!$N$4="VOL_EFF",$G76,IF(Allocation!$N$4="VOL_CLASS",$H76,$I76)))</f>
        <v>3</v>
      </c>
      <c r="AD76">
        <f>IF($A76="","",IF(Allocation!$N$4="VOL_EFF",$L76,IF(Allocation!$N$4="VOL_CLASS",$M76,$N76)))</f>
        <v>15</v>
      </c>
      <c r="AE76">
        <f>IF($A76="","",IF(Allocation!$N$3="VOL_EFF",$L76,IF(Allocation!$N$3="VOL_CLASS",$M76,$N76)))</f>
        <v>334</v>
      </c>
      <c r="AF76">
        <f>IF($A76="","",IF(Allocation!$N$3="VOL_EFF",$Q76,IF(Allocation!$N$3="VOL_CLASS",$R76,$S76)))</f>
        <v>779</v>
      </c>
      <c r="AG76">
        <f>IF($A76="","",IF(Allocation!$N$1="VOL_EFF",$Q76,IF(Allocation!$N$1="VOL_CLASS",$R76,$S76)))</f>
        <v>35</v>
      </c>
      <c r="AH76">
        <f>IF($A76="","",IF(Allocation!$N$1="VOL_EFF",$T76,IF(Allocation!$N$1="VOL_CLASS",$U76,$V76)))</f>
        <v>135</v>
      </c>
      <c r="AI76">
        <f t="shared" si="12"/>
        <v>43211</v>
      </c>
      <c r="AJ76">
        <f t="shared" si="13"/>
        <v>116748.28</v>
      </c>
      <c r="AK76">
        <f t="shared" si="14"/>
        <v>53231.6886227545</v>
      </c>
      <c r="AL76">
        <f t="shared" si="15"/>
        <v>213002.642</v>
      </c>
      <c r="AM76">
        <f t="shared" si="16"/>
        <v>61364.7355679171</v>
      </c>
      <c r="AN76">
        <f t="shared" si="17"/>
        <v>76237.8846239097</v>
      </c>
      <c r="AO76">
        <f>IF($A76="","",Allocation!CJ76)</f>
        <v>580167</v>
      </c>
      <c r="AP76">
        <f>IF($A76="","",IF(Allocation!$N$2="VOL_EFF",$Q76,IF(Allocation!$N$2="VOL_CLASS",$R76,$S76)))</f>
        <v>5914800</v>
      </c>
      <c r="AQ76">
        <f>IF($A76="","",IF(Allocation!$N$2="VOL_EFF",$T76,IF(Allocation!$N$2="VOL_CLASS",$U76,$V76)))</f>
        <v>21758770</v>
      </c>
      <c r="AR76">
        <f t="shared" si="18"/>
        <v>13523.7691854187</v>
      </c>
      <c r="AS76" t="str">
        <f>IF($A76="","",$A76&amp;"|"&amp;Allocation!BG76)</f>
        <v>2025|ACT</v>
      </c>
    </row>
    <row r="77" ht="14.497499999999997" customHeight="1">
      <c r="A77" t="str">
        <f>IF(Allocation!BI77="","",Allocation!BI77)</f>
        <v>2025</v>
      </c>
      <c r="B77" t="str">
        <f>IF(Allocation!BJ77="","",Allocation!BJ77)</f>
        <v>ISCOM_PAR</v>
      </c>
      <c r="C77" t="str">
        <f>IF(Allocation!BK77="","",Allocation!BK77)</f>
        <v>ISCOM</v>
      </c>
      <c r="D77" t="str">
        <f>IF(Allocation!BL77="","",Allocation!BL77)</f>
        <v>BAC_COM</v>
      </c>
      <c r="E77" t="str">
        <f>IF(Allocation!BM77="","",Allocation!BM77)</f>
        <v>B2</v>
      </c>
      <c r="F77" t="str">
        <f>IF(Allocation!BN77="","",Allocation!BN77)</f>
        <v>ALT</v>
      </c>
      <c r="G77">
        <f>IF(Allocation!BO77="","",Allocation!BO77)</f>
        <v>66</v>
      </c>
      <c r="H77">
        <f>IF(Allocation!BP77="","",Allocation!BP77)</f>
        <v>3</v>
      </c>
      <c r="I77">
        <f>IF(Allocation!BQ77="","",Allocation!BQ77)</f>
        <v>517440</v>
      </c>
      <c r="J77">
        <f>IF(Allocation!CC77="","",Allocation!CC77)</f>
        <v>0</v>
      </c>
      <c r="K77">
        <f t="shared" si="0"/>
        <v>1440</v>
      </c>
      <c r="L77">
        <f t="shared" si="1"/>
        <v>334</v>
      </c>
      <c r="M77">
        <f t="shared" si="2"/>
        <v>15</v>
      </c>
      <c r="N77">
        <f t="shared" si="3"/>
        <v>2744480</v>
      </c>
      <c r="O77">
        <f t="shared" si="4"/>
        <v>7200</v>
      </c>
      <c r="P77">
        <f t="shared" si="5"/>
        <v>136</v>
      </c>
      <c r="Q77">
        <f t="shared" si="6"/>
        <v>779</v>
      </c>
      <c r="R77">
        <f t="shared" si="7"/>
        <v>35</v>
      </c>
      <c r="S77">
        <f t="shared" si="8"/>
        <v>5914800</v>
      </c>
      <c r="T77">
        <f t="shared" si="9"/>
        <v>2933</v>
      </c>
      <c r="U77">
        <f t="shared" si="10"/>
        <v>135</v>
      </c>
      <c r="V77">
        <f t="shared" si="11"/>
        <v>21758770</v>
      </c>
      <c r="W77">
        <f>IF($A77="","",Allocation!CD77)</f>
        <v>172844</v>
      </c>
      <c r="X77">
        <f>IF($A77="","",Allocation!CE77)</f>
        <v>466993.12</v>
      </c>
      <c r="Y77">
        <f>IF($A77="","",Allocation!CF77)</f>
        <v>125720</v>
      </c>
      <c r="Z77">
        <f>IF($A77="","",Allocation!CG77)</f>
        <v>55272</v>
      </c>
      <c r="AA77">
        <f>IF($A77="","",Allocation!CH77)</f>
        <v>1065013.21</v>
      </c>
      <c r="AB77">
        <f>IF($A77="","",Allocation!CI77)</f>
        <v>2760232</v>
      </c>
      <c r="AC77">
        <f>IF($A77="","",IF(Allocation!$N$4="VOL_EFF",$G77,IF(Allocation!$N$4="VOL_CLASS",$H77,$I77)))</f>
        <v>3</v>
      </c>
      <c r="AD77">
        <f>IF($A77="","",IF(Allocation!$N$4="VOL_EFF",$L77,IF(Allocation!$N$4="VOL_CLASS",$M77,$N77)))</f>
        <v>15</v>
      </c>
      <c r="AE77">
        <f>IF($A77="","",IF(Allocation!$N$3="VOL_EFF",$L77,IF(Allocation!$N$3="VOL_CLASS",$M77,$N77)))</f>
        <v>334</v>
      </c>
      <c r="AF77">
        <f>IF($A77="","",IF(Allocation!$N$3="VOL_EFF",$Q77,IF(Allocation!$N$3="VOL_CLASS",$R77,$S77)))</f>
        <v>779</v>
      </c>
      <c r="AG77">
        <f>IF($A77="","",IF(Allocation!$N$1="VOL_EFF",$Q77,IF(Allocation!$N$1="VOL_CLASS",$R77,$S77)))</f>
        <v>35</v>
      </c>
      <c r="AH77">
        <f>IF($A77="","",IF(Allocation!$N$1="VOL_EFF",$T77,IF(Allocation!$N$1="VOL_CLASS",$U77,$V77)))</f>
        <v>135</v>
      </c>
      <c r="AI77">
        <f t="shared" si="12"/>
        <v>34568.8</v>
      </c>
      <c r="AJ77">
        <f t="shared" si="13"/>
        <v>93398.624</v>
      </c>
      <c r="AK77">
        <f t="shared" si="14"/>
        <v>24842.874251497</v>
      </c>
      <c r="AL77">
        <f t="shared" si="15"/>
        <v>213002.642</v>
      </c>
      <c r="AM77">
        <f t="shared" si="16"/>
        <v>61364.7355679171</v>
      </c>
      <c r="AN77">
        <f t="shared" si="17"/>
        <v>76738.5549951672</v>
      </c>
      <c r="AO77">
        <f>IF($A77="","",Allocation!CJ77)</f>
        <v>580167</v>
      </c>
      <c r="AP77">
        <f>IF($A77="","",IF(Allocation!$N$2="VOL_EFF",$Q77,IF(Allocation!$N$2="VOL_CLASS",$R77,$S77)))</f>
        <v>5914800</v>
      </c>
      <c r="AQ77">
        <f>IF($A77="","",IF(Allocation!$N$2="VOL_EFF",$T77,IF(Allocation!$N$2="VOL_CLASS",$U77,$V77)))</f>
        <v>21758770</v>
      </c>
      <c r="AR77">
        <f t="shared" si="18"/>
        <v>13523.7691854187</v>
      </c>
      <c r="AS77" t="str">
        <f>IF($A77="","",$A77&amp;"|"&amp;Allocation!BG77)</f>
        <v>2025|ACT</v>
      </c>
    </row>
    <row r="78" ht="14.497499999999997" customHeight="1">
      <c r="A78" t="str">
        <f>IF(Allocation!BI78="","",Allocation!BI78)</f>
        <v>2025</v>
      </c>
      <c r="B78" t="str">
        <f>IF(Allocation!BJ78="","",Allocation!BJ78)</f>
        <v>ISCOM_PAR</v>
      </c>
      <c r="C78" t="str">
        <f>IF(Allocation!BK78="","",Allocation!BK78)</f>
        <v>ISCOM</v>
      </c>
      <c r="D78" t="str">
        <f>IF(Allocation!BL78="","",Allocation!BL78)</f>
        <v>BAC_COM</v>
      </c>
      <c r="E78" t="str">
        <f>IF(Allocation!BM78="","",Allocation!BM78)</f>
        <v>B3</v>
      </c>
      <c r="F78" t="str">
        <f>IF(Allocation!BN78="","",Allocation!BN78)</f>
        <v>ALT</v>
      </c>
      <c r="G78">
        <f>IF(Allocation!BO78="","",Allocation!BO78)</f>
        <v>65</v>
      </c>
      <c r="H78">
        <f>IF(Allocation!BP78="","",Allocation!BP78)</f>
        <v>3</v>
      </c>
      <c r="I78">
        <f>IF(Allocation!BQ78="","",Allocation!BQ78)</f>
        <v>509600</v>
      </c>
      <c r="J78">
        <f>IF(Allocation!CC78="","",Allocation!CC78)</f>
        <v>0</v>
      </c>
      <c r="K78">
        <f t="shared" si="0"/>
        <v>1440</v>
      </c>
      <c r="L78">
        <f t="shared" si="1"/>
        <v>334</v>
      </c>
      <c r="M78">
        <f t="shared" si="2"/>
        <v>15</v>
      </c>
      <c r="N78">
        <f t="shared" si="3"/>
        <v>2744480</v>
      </c>
      <c r="O78">
        <f t="shared" si="4"/>
        <v>7200</v>
      </c>
      <c r="P78">
        <f t="shared" si="5"/>
        <v>136</v>
      </c>
      <c r="Q78">
        <f t="shared" si="6"/>
        <v>779</v>
      </c>
      <c r="R78">
        <f t="shared" si="7"/>
        <v>35</v>
      </c>
      <c r="S78">
        <f t="shared" si="8"/>
        <v>5914800</v>
      </c>
      <c r="T78">
        <f t="shared" si="9"/>
        <v>2933</v>
      </c>
      <c r="U78">
        <f t="shared" si="10"/>
        <v>135</v>
      </c>
      <c r="V78">
        <f t="shared" si="11"/>
        <v>21758770</v>
      </c>
      <c r="W78">
        <f>IF($A78="","",Allocation!CD78)</f>
        <v>172844</v>
      </c>
      <c r="X78">
        <f>IF($A78="","",Allocation!CE78)</f>
        <v>466993.12</v>
      </c>
      <c r="Y78">
        <f>IF($A78="","",Allocation!CF78)</f>
        <v>125720</v>
      </c>
      <c r="Z78">
        <f>IF($A78="","",Allocation!CG78)</f>
        <v>55272</v>
      </c>
      <c r="AA78">
        <f>IF($A78="","",Allocation!CH78)</f>
        <v>1065013.21</v>
      </c>
      <c r="AB78">
        <f>IF($A78="","",Allocation!CI78)</f>
        <v>2760232</v>
      </c>
      <c r="AC78">
        <f>IF($A78="","",IF(Allocation!$N$4="VOL_EFF",$G78,IF(Allocation!$N$4="VOL_CLASS",$H78,$I78)))</f>
        <v>3</v>
      </c>
      <c r="AD78">
        <f>IF($A78="","",IF(Allocation!$N$4="VOL_EFF",$L78,IF(Allocation!$N$4="VOL_CLASS",$M78,$N78)))</f>
        <v>15</v>
      </c>
      <c r="AE78">
        <f>IF($A78="","",IF(Allocation!$N$3="VOL_EFF",$L78,IF(Allocation!$N$3="VOL_CLASS",$M78,$N78)))</f>
        <v>334</v>
      </c>
      <c r="AF78">
        <f>IF($A78="","",IF(Allocation!$N$3="VOL_EFF",$Q78,IF(Allocation!$N$3="VOL_CLASS",$R78,$S78)))</f>
        <v>779</v>
      </c>
      <c r="AG78">
        <f>IF($A78="","",IF(Allocation!$N$1="VOL_EFF",$Q78,IF(Allocation!$N$1="VOL_CLASS",$R78,$S78)))</f>
        <v>35</v>
      </c>
      <c r="AH78">
        <f>IF($A78="","",IF(Allocation!$N$1="VOL_EFF",$T78,IF(Allocation!$N$1="VOL_CLASS",$U78,$V78)))</f>
        <v>135</v>
      </c>
      <c r="AI78">
        <f t="shared" si="12"/>
        <v>34568.8</v>
      </c>
      <c r="AJ78">
        <f t="shared" si="13"/>
        <v>93398.624</v>
      </c>
      <c r="AK78">
        <f t="shared" si="14"/>
        <v>24466.4670658683</v>
      </c>
      <c r="AL78">
        <f t="shared" si="15"/>
        <v>213002.642</v>
      </c>
      <c r="AM78">
        <f t="shared" si="16"/>
        <v>61364.7355679171</v>
      </c>
      <c r="AN78">
        <f t="shared" si="17"/>
        <v>69274.9621807958</v>
      </c>
      <c r="AO78">
        <f>IF($A78="","",Allocation!CJ78)</f>
        <v>580167</v>
      </c>
      <c r="AP78">
        <f>IF($A78="","",IF(Allocation!$N$2="VOL_EFF",$Q78,IF(Allocation!$N$2="VOL_CLASS",$R78,$S78)))</f>
        <v>5914800</v>
      </c>
      <c r="AQ78">
        <f>IF($A78="","",IF(Allocation!$N$2="VOL_EFF",$T78,IF(Allocation!$N$2="VOL_CLASS",$U78,$V78)))</f>
        <v>21758770</v>
      </c>
      <c r="AR78">
        <f t="shared" si="18"/>
        <v>13523.7691854187</v>
      </c>
      <c r="AS78" t="str">
        <f>IF($A78="","",$A78&amp;"|"&amp;Allocation!BG78)</f>
        <v>2025|ACT</v>
      </c>
    </row>
    <row r="79" ht="14.497499999999997" customHeight="1">
      <c r="A79" t="str">
        <f>IF(Allocation!BI79="","",Allocation!BI79)</f>
        <v>2025</v>
      </c>
      <c r="B79" t="str">
        <f>IF(Allocation!BJ79="","",Allocation!BJ79)</f>
        <v>ISCOM_PAR</v>
      </c>
      <c r="C79" t="str">
        <f>IF(Allocation!BK79="","",Allocation!BK79)</f>
        <v>ISCOM</v>
      </c>
      <c r="D79" t="str">
        <f>IF(Allocation!BL79="","",Allocation!BL79)</f>
        <v>MAS_COM</v>
      </c>
      <c r="E79" t="str">
        <f>IF(Allocation!BM79="","",Allocation!BM79)</f>
        <v>M1</v>
      </c>
      <c r="F79" t="str">
        <f>IF(Allocation!BN79="","",Allocation!BN79)</f>
        <v>ALT</v>
      </c>
      <c r="G79">
        <f>IF(Allocation!BO79="","",Allocation!BO79)</f>
        <v>68</v>
      </c>
      <c r="H79">
        <f>IF(Allocation!BP79="","",Allocation!BP79)</f>
        <v>3</v>
      </c>
      <c r="I79">
        <f>IF(Allocation!BQ79="","",Allocation!BQ79)</f>
        <v>577320</v>
      </c>
      <c r="J79">
        <f>IF(Allocation!CC79="","",Allocation!CC79)</f>
        <v>68</v>
      </c>
      <c r="K79">
        <f t="shared" si="0"/>
        <v>1260</v>
      </c>
      <c r="L79">
        <f t="shared" si="1"/>
        <v>334</v>
      </c>
      <c r="M79">
        <f t="shared" si="2"/>
        <v>15</v>
      </c>
      <c r="N79">
        <f t="shared" si="3"/>
        <v>2744480</v>
      </c>
      <c r="O79">
        <f t="shared" si="4"/>
        <v>7200</v>
      </c>
      <c r="P79">
        <f t="shared" si="5"/>
        <v>136</v>
      </c>
      <c r="Q79">
        <f t="shared" si="6"/>
        <v>779</v>
      </c>
      <c r="R79">
        <f t="shared" si="7"/>
        <v>35</v>
      </c>
      <c r="S79">
        <f t="shared" si="8"/>
        <v>5914800</v>
      </c>
      <c r="T79">
        <f t="shared" si="9"/>
        <v>2933</v>
      </c>
      <c r="U79">
        <f t="shared" si="10"/>
        <v>135</v>
      </c>
      <c r="V79">
        <f t="shared" si="11"/>
        <v>21758770</v>
      </c>
      <c r="W79">
        <f>IF($A79="","",Allocation!CD79)</f>
        <v>172844</v>
      </c>
      <c r="X79">
        <f>IF($A79="","",Allocation!CE79)</f>
        <v>466993.12</v>
      </c>
      <c r="Y79">
        <f>IF($A79="","",Allocation!CF79)</f>
        <v>125720</v>
      </c>
      <c r="Z79">
        <f>IF($A79="","",Allocation!CG79)</f>
        <v>55272</v>
      </c>
      <c r="AA79">
        <f>IF($A79="","",Allocation!CH79)</f>
        <v>1065013.21</v>
      </c>
      <c r="AB79">
        <f>IF($A79="","",Allocation!CI79)</f>
        <v>2760232</v>
      </c>
      <c r="AC79">
        <f>IF($A79="","",IF(Allocation!$N$4="VOL_EFF",$G79,IF(Allocation!$N$4="VOL_CLASS",$H79,$I79)))</f>
        <v>3</v>
      </c>
      <c r="AD79">
        <f>IF($A79="","",IF(Allocation!$N$4="VOL_EFF",$L79,IF(Allocation!$N$4="VOL_CLASS",$M79,$N79)))</f>
        <v>15</v>
      </c>
      <c r="AE79">
        <f>IF($A79="","",IF(Allocation!$N$3="VOL_EFF",$L79,IF(Allocation!$N$3="VOL_CLASS",$M79,$N79)))</f>
        <v>334</v>
      </c>
      <c r="AF79">
        <f>IF($A79="","",IF(Allocation!$N$3="VOL_EFF",$Q79,IF(Allocation!$N$3="VOL_CLASS",$R79,$S79)))</f>
        <v>779</v>
      </c>
      <c r="AG79">
        <f>IF($A79="","",IF(Allocation!$N$1="VOL_EFF",$Q79,IF(Allocation!$N$1="VOL_CLASS",$R79,$S79)))</f>
        <v>35</v>
      </c>
      <c r="AH79">
        <f>IF($A79="","",IF(Allocation!$N$1="VOL_EFF",$T79,IF(Allocation!$N$1="VOL_CLASS",$U79,$V79)))</f>
        <v>135</v>
      </c>
      <c r="AI79">
        <f t="shared" si="12"/>
        <v>30247.7</v>
      </c>
      <c r="AJ79">
        <f t="shared" si="13"/>
        <v>81723.796</v>
      </c>
      <c r="AK79">
        <f t="shared" si="14"/>
        <v>53231.6886227545</v>
      </c>
      <c r="AL79">
        <f t="shared" si="15"/>
        <v>213002.642</v>
      </c>
      <c r="AM79">
        <f t="shared" si="16"/>
        <v>61364.7355679171</v>
      </c>
      <c r="AN79">
        <f t="shared" si="17"/>
        <v>124225.66862391</v>
      </c>
      <c r="AO79">
        <f>IF($A79="","",Allocation!CJ79)</f>
        <v>580167</v>
      </c>
      <c r="AP79">
        <f>IF($A79="","",IF(Allocation!$N$2="VOL_EFF",$Q79,IF(Allocation!$N$2="VOL_CLASS",$R79,$S79)))</f>
        <v>5914800</v>
      </c>
      <c r="AQ79">
        <f>IF($A79="","",IF(Allocation!$N$2="VOL_EFF",$T79,IF(Allocation!$N$2="VOL_CLASS",$U79,$V79)))</f>
        <v>21758770</v>
      </c>
      <c r="AR79">
        <f t="shared" si="18"/>
        <v>13523.7691854187</v>
      </c>
      <c r="AS79" t="str">
        <f>IF($A79="","",$A79&amp;"|"&amp;Allocation!BG79)</f>
        <v>2025|ACT</v>
      </c>
    </row>
    <row r="80" ht="14.497499999999997" customHeight="1">
      <c r="A80" t="str">
        <f>IF(Allocation!BI80="","",Allocation!BI80)</f>
        <v>2025</v>
      </c>
      <c r="B80" t="str">
        <f>IF(Allocation!BJ80="","",Allocation!BJ80)</f>
        <v>ISCOM_PAR</v>
      </c>
      <c r="C80" t="str">
        <f>IF(Allocation!BK80="","",Allocation!BK80)</f>
        <v>ISCOM</v>
      </c>
      <c r="D80" t="str">
        <f>IF(Allocation!BL80="","",Allocation!BL80)</f>
        <v>MAS_COM</v>
      </c>
      <c r="E80" t="str">
        <f>IF(Allocation!BM80="","",Allocation!BM80)</f>
        <v>M2</v>
      </c>
      <c r="F80" t="str">
        <f>IF(Allocation!BN80="","",Allocation!BN80)</f>
        <v>ALT</v>
      </c>
      <c r="G80">
        <f>IF(Allocation!BO80="","",Allocation!BO80)</f>
        <v>67</v>
      </c>
      <c r="H80">
        <f>IF(Allocation!BP80="","",Allocation!BP80)</f>
        <v>3</v>
      </c>
      <c r="I80">
        <f>IF(Allocation!BQ80="","",Allocation!BQ80)</f>
        <v>562800</v>
      </c>
      <c r="J80">
        <f>IF(Allocation!CC80="","",Allocation!CC80)</f>
        <v>0</v>
      </c>
      <c r="K80">
        <f t="shared" si="0"/>
        <v>1260</v>
      </c>
      <c r="L80">
        <f t="shared" si="1"/>
        <v>334</v>
      </c>
      <c r="M80">
        <f t="shared" si="2"/>
        <v>15</v>
      </c>
      <c r="N80">
        <f t="shared" si="3"/>
        <v>2744480</v>
      </c>
      <c r="O80">
        <f t="shared" si="4"/>
        <v>7200</v>
      </c>
      <c r="P80">
        <f t="shared" si="5"/>
        <v>136</v>
      </c>
      <c r="Q80">
        <f t="shared" si="6"/>
        <v>779</v>
      </c>
      <c r="R80">
        <f t="shared" si="7"/>
        <v>35</v>
      </c>
      <c r="S80">
        <f t="shared" si="8"/>
        <v>5914800</v>
      </c>
      <c r="T80">
        <f t="shared" si="9"/>
        <v>2933</v>
      </c>
      <c r="U80">
        <f t="shared" si="10"/>
        <v>135</v>
      </c>
      <c r="V80">
        <f t="shared" si="11"/>
        <v>21758770</v>
      </c>
      <c r="W80">
        <f>IF($A80="","",Allocation!CD80)</f>
        <v>172844</v>
      </c>
      <c r="X80">
        <f>IF($A80="","",Allocation!CE80)</f>
        <v>466993.12</v>
      </c>
      <c r="Y80">
        <f>IF($A80="","",Allocation!CF80)</f>
        <v>125720</v>
      </c>
      <c r="Z80">
        <f>IF($A80="","",Allocation!CG80)</f>
        <v>55272</v>
      </c>
      <c r="AA80">
        <f>IF($A80="","",Allocation!CH80)</f>
        <v>1065013.21</v>
      </c>
      <c r="AB80">
        <f>IF($A80="","",Allocation!CI80)</f>
        <v>2760232</v>
      </c>
      <c r="AC80">
        <f>IF($A80="","",IF(Allocation!$N$4="VOL_EFF",$G80,IF(Allocation!$N$4="VOL_CLASS",$H80,$I80)))</f>
        <v>3</v>
      </c>
      <c r="AD80">
        <f>IF($A80="","",IF(Allocation!$N$4="VOL_EFF",$L80,IF(Allocation!$N$4="VOL_CLASS",$M80,$N80)))</f>
        <v>15</v>
      </c>
      <c r="AE80">
        <f>IF($A80="","",IF(Allocation!$N$3="VOL_EFF",$L80,IF(Allocation!$N$3="VOL_CLASS",$M80,$N80)))</f>
        <v>334</v>
      </c>
      <c r="AF80">
        <f>IF($A80="","",IF(Allocation!$N$3="VOL_EFF",$Q80,IF(Allocation!$N$3="VOL_CLASS",$R80,$S80)))</f>
        <v>779</v>
      </c>
      <c r="AG80">
        <f>IF($A80="","",IF(Allocation!$N$1="VOL_EFF",$Q80,IF(Allocation!$N$1="VOL_CLASS",$R80,$S80)))</f>
        <v>35</v>
      </c>
      <c r="AH80">
        <f>IF($A80="","",IF(Allocation!$N$1="VOL_EFF",$T80,IF(Allocation!$N$1="VOL_CLASS",$U80,$V80)))</f>
        <v>135</v>
      </c>
      <c r="AI80">
        <f t="shared" si="12"/>
        <v>30247.7</v>
      </c>
      <c r="AJ80">
        <f t="shared" si="13"/>
        <v>81723.796</v>
      </c>
      <c r="AK80">
        <f t="shared" si="14"/>
        <v>25219.2814371257</v>
      </c>
      <c r="AL80">
        <f t="shared" si="15"/>
        <v>213002.642</v>
      </c>
      <c r="AM80">
        <f t="shared" si="16"/>
        <v>61364.7355679171</v>
      </c>
      <c r="AN80">
        <f t="shared" si="17"/>
        <v>137718.075809538</v>
      </c>
      <c r="AO80">
        <f>IF($A80="","",Allocation!CJ80)</f>
        <v>580167</v>
      </c>
      <c r="AP80">
        <f>IF($A80="","",IF(Allocation!$N$2="VOL_EFF",$Q80,IF(Allocation!$N$2="VOL_CLASS",$R80,$S80)))</f>
        <v>5914800</v>
      </c>
      <c r="AQ80">
        <f>IF($A80="","",IF(Allocation!$N$2="VOL_EFF",$T80,IF(Allocation!$N$2="VOL_CLASS",$U80,$V80)))</f>
        <v>21758770</v>
      </c>
      <c r="AR80">
        <f t="shared" si="18"/>
        <v>13523.7691854187</v>
      </c>
      <c r="AS80" t="str">
        <f>IF($A80="","",$A80&amp;"|"&amp;Allocation!BG80)</f>
        <v>2025|ACT</v>
      </c>
    </row>
    <row r="81" ht="14.497499999999997" customHeight="1">
      <c r="A81" t="str">
        <f>IF(Allocation!BI81="","",Allocation!BI81)</f>
        <v>2025</v>
      </c>
      <c r="B81" t="str">
        <f>IF(Allocation!BJ81="","",Allocation!BJ81)</f>
        <v>ISCOM_TLS</v>
      </c>
      <c r="C81" t="str">
        <f>IF(Allocation!BK81="","",Allocation!BK81)</f>
        <v>ISCOM</v>
      </c>
      <c r="D81" t="str">
        <f>IF(Allocation!BL81="","",Allocation!BL81)</f>
        <v>BAC_COM</v>
      </c>
      <c r="E81" t="str">
        <f>IF(Allocation!BM81="","",Allocation!BM81)</f>
        <v>B1</v>
      </c>
      <c r="F81" t="str">
        <f>IF(Allocation!BN81="","",Allocation!BN81)</f>
        <v>INIT</v>
      </c>
      <c r="G81">
        <f>IF(Allocation!BO81="","",Allocation!BO81)</f>
        <v>44</v>
      </c>
      <c r="H81">
        <f>IF(Allocation!BP81="","",Allocation!BP81)</f>
        <v>2</v>
      </c>
      <c r="I81">
        <f>IF(Allocation!BQ81="","",Allocation!BQ81)</f>
        <v>320760</v>
      </c>
      <c r="J81">
        <f>IF(Allocation!CC81="","",Allocation!CC81)</f>
        <v>44</v>
      </c>
      <c r="K81">
        <f t="shared" si="0"/>
        <v>1200</v>
      </c>
      <c r="L81">
        <f t="shared" si="1"/>
        <v>216</v>
      </c>
      <c r="M81">
        <f t="shared" si="2"/>
        <v>10</v>
      </c>
      <c r="N81">
        <f t="shared" si="3"/>
        <v>1522320</v>
      </c>
      <c r="O81">
        <f t="shared" si="4"/>
        <v>4800</v>
      </c>
      <c r="P81">
        <f t="shared" si="5"/>
        <v>88</v>
      </c>
      <c r="Q81">
        <f t="shared" si="6"/>
        <v>779</v>
      </c>
      <c r="R81">
        <f t="shared" si="7"/>
        <v>35</v>
      </c>
      <c r="S81">
        <f t="shared" si="8"/>
        <v>5914800</v>
      </c>
      <c r="T81">
        <f t="shared" si="9"/>
        <v>2933</v>
      </c>
      <c r="U81">
        <f t="shared" si="10"/>
        <v>135</v>
      </c>
      <c r="V81">
        <f t="shared" si="11"/>
        <v>21758770</v>
      </c>
      <c r="W81">
        <f>IF($A81="","",Allocation!CD81)</f>
        <v>115229</v>
      </c>
      <c r="X81">
        <f>IF($A81="","",Allocation!CE81)</f>
        <v>253220.84</v>
      </c>
      <c r="Y81">
        <f>IF($A81="","",Allocation!CF81)</f>
        <v>82038</v>
      </c>
      <c r="Z81">
        <f>IF($A81="","",Allocation!CG81)</f>
        <v>20076</v>
      </c>
      <c r="AA81">
        <f>IF($A81="","",Allocation!CH81)</f>
        <v>569357.18</v>
      </c>
      <c r="AB81">
        <f>IF($A81="","",Allocation!CI81)</f>
        <v>2760232</v>
      </c>
      <c r="AC81">
        <f>IF($A81="","",IF(Allocation!$N$4="VOL_EFF",$G81,IF(Allocation!$N$4="VOL_CLASS",$H81,$I81)))</f>
        <v>2</v>
      </c>
      <c r="AD81">
        <f>IF($A81="","",IF(Allocation!$N$4="VOL_EFF",$L81,IF(Allocation!$N$4="VOL_CLASS",$M81,$N81)))</f>
        <v>10</v>
      </c>
      <c r="AE81">
        <f>IF($A81="","",IF(Allocation!$N$3="VOL_EFF",$L81,IF(Allocation!$N$3="VOL_CLASS",$M81,$N81)))</f>
        <v>216</v>
      </c>
      <c r="AF81">
        <f>IF($A81="","",IF(Allocation!$N$3="VOL_EFF",$Q81,IF(Allocation!$N$3="VOL_CLASS",$R81,$S81)))</f>
        <v>779</v>
      </c>
      <c r="AG81">
        <f>IF($A81="","",IF(Allocation!$N$1="VOL_EFF",$Q81,IF(Allocation!$N$1="VOL_CLASS",$R81,$S81)))</f>
        <v>35</v>
      </c>
      <c r="AH81">
        <f>IF($A81="","",IF(Allocation!$N$1="VOL_EFF",$T81,IF(Allocation!$N$1="VOL_CLASS",$U81,$V81)))</f>
        <v>135</v>
      </c>
      <c r="AI81">
        <f t="shared" si="12"/>
        <v>28807.25</v>
      </c>
      <c r="AJ81">
        <f t="shared" si="13"/>
        <v>63305.21</v>
      </c>
      <c r="AK81">
        <f t="shared" si="14"/>
        <v>26749.4444444444</v>
      </c>
      <c r="AL81">
        <f t="shared" si="15"/>
        <v>113871.436</v>
      </c>
      <c r="AM81">
        <f t="shared" si="16"/>
        <v>39684.978690629</v>
      </c>
      <c r="AN81">
        <f t="shared" si="17"/>
        <v>39595.7702539971</v>
      </c>
      <c r="AO81">
        <f>IF($A81="","",Allocation!CJ81)</f>
        <v>580167</v>
      </c>
      <c r="AP81">
        <f>IF($A81="","",IF(Allocation!$N$2="VOL_EFF",$Q81,IF(Allocation!$N$2="VOL_CLASS",$R81,$S81)))</f>
        <v>5914800</v>
      </c>
      <c r="AQ81">
        <f>IF($A81="","",IF(Allocation!$N$2="VOL_EFF",$T81,IF(Allocation!$N$2="VOL_CLASS",$U81,$V81)))</f>
        <v>21758770</v>
      </c>
      <c r="AR81">
        <f t="shared" si="18"/>
        <v>8745.91061092948</v>
      </c>
      <c r="AS81" t="str">
        <f>IF($A81="","",$A81&amp;"|"&amp;Allocation!BG81)</f>
        <v>2025|ACT</v>
      </c>
    </row>
    <row r="82" ht="14.497499999999997" customHeight="1">
      <c r="A82" t="str">
        <f>IF(Allocation!BI82="","",Allocation!BI82)</f>
        <v>2025</v>
      </c>
      <c r="B82" t="str">
        <f>IF(Allocation!BJ82="","",Allocation!BJ82)</f>
        <v>ISCOM_TLS</v>
      </c>
      <c r="C82" t="str">
        <f>IF(Allocation!BK82="","",Allocation!BK82)</f>
        <v>ISCOM</v>
      </c>
      <c r="D82" t="str">
        <f>IF(Allocation!BL82="","",Allocation!BL82)</f>
        <v>BAC_COM</v>
      </c>
      <c r="E82" t="str">
        <f>IF(Allocation!BM82="","",Allocation!BM82)</f>
        <v>B2</v>
      </c>
      <c r="F82" t="str">
        <f>IF(Allocation!BN82="","",Allocation!BN82)</f>
        <v>ALT</v>
      </c>
      <c r="G82">
        <f>IF(Allocation!BO82="","",Allocation!BO82)</f>
        <v>43</v>
      </c>
      <c r="H82">
        <f>IF(Allocation!BP82="","",Allocation!BP82)</f>
        <v>2</v>
      </c>
      <c r="I82">
        <f>IF(Allocation!BQ82="","",Allocation!BQ82)</f>
        <v>288960</v>
      </c>
      <c r="J82">
        <f>IF(Allocation!CC82="","",Allocation!CC82)</f>
        <v>0</v>
      </c>
      <c r="K82">
        <f t="shared" si="0"/>
        <v>960</v>
      </c>
      <c r="L82">
        <f t="shared" si="1"/>
        <v>216</v>
      </c>
      <c r="M82">
        <f t="shared" si="2"/>
        <v>10</v>
      </c>
      <c r="N82">
        <f t="shared" si="3"/>
        <v>1522320</v>
      </c>
      <c r="O82">
        <f t="shared" si="4"/>
        <v>4800</v>
      </c>
      <c r="P82">
        <f t="shared" si="5"/>
        <v>88</v>
      </c>
      <c r="Q82">
        <f t="shared" si="6"/>
        <v>779</v>
      </c>
      <c r="R82">
        <f t="shared" si="7"/>
        <v>35</v>
      </c>
      <c r="S82">
        <f t="shared" si="8"/>
        <v>5914800</v>
      </c>
      <c r="T82">
        <f t="shared" si="9"/>
        <v>2933</v>
      </c>
      <c r="U82">
        <f t="shared" si="10"/>
        <v>135</v>
      </c>
      <c r="V82">
        <f t="shared" si="11"/>
        <v>21758770</v>
      </c>
      <c r="W82">
        <f>IF($A82="","",Allocation!CD82)</f>
        <v>115229</v>
      </c>
      <c r="X82">
        <f>IF($A82="","",Allocation!CE82)</f>
        <v>253220.84</v>
      </c>
      <c r="Y82">
        <f>IF($A82="","",Allocation!CF82)</f>
        <v>82038</v>
      </c>
      <c r="Z82">
        <f>IF($A82="","",Allocation!CG82)</f>
        <v>20076</v>
      </c>
      <c r="AA82">
        <f>IF($A82="","",Allocation!CH82)</f>
        <v>569357.18</v>
      </c>
      <c r="AB82">
        <f>IF($A82="","",Allocation!CI82)</f>
        <v>2760232</v>
      </c>
      <c r="AC82">
        <f>IF($A82="","",IF(Allocation!$N$4="VOL_EFF",$G82,IF(Allocation!$N$4="VOL_CLASS",$H82,$I82)))</f>
        <v>2</v>
      </c>
      <c r="AD82">
        <f>IF($A82="","",IF(Allocation!$N$4="VOL_EFF",$L82,IF(Allocation!$N$4="VOL_CLASS",$M82,$N82)))</f>
        <v>10</v>
      </c>
      <c r="AE82">
        <f>IF($A82="","",IF(Allocation!$N$3="VOL_EFF",$L82,IF(Allocation!$N$3="VOL_CLASS",$M82,$N82)))</f>
        <v>216</v>
      </c>
      <c r="AF82">
        <f>IF($A82="","",IF(Allocation!$N$3="VOL_EFF",$Q82,IF(Allocation!$N$3="VOL_CLASS",$R82,$S82)))</f>
        <v>779</v>
      </c>
      <c r="AG82">
        <f>IF($A82="","",IF(Allocation!$N$1="VOL_EFF",$Q82,IF(Allocation!$N$1="VOL_CLASS",$R82,$S82)))</f>
        <v>35</v>
      </c>
      <c r="AH82">
        <f>IF($A82="","",IF(Allocation!$N$1="VOL_EFF",$T82,IF(Allocation!$N$1="VOL_CLASS",$U82,$V82)))</f>
        <v>135</v>
      </c>
      <c r="AI82">
        <f t="shared" si="12"/>
        <v>23045.8</v>
      </c>
      <c r="AJ82">
        <f t="shared" si="13"/>
        <v>50644.168</v>
      </c>
      <c r="AK82">
        <f t="shared" si="14"/>
        <v>16331.6388888889</v>
      </c>
      <c r="AL82">
        <f t="shared" si="15"/>
        <v>113871.436</v>
      </c>
      <c r="AM82">
        <f t="shared" si="16"/>
        <v>39684.978690629</v>
      </c>
      <c r="AN82">
        <f t="shared" si="17"/>
        <v>36636.0678095526</v>
      </c>
      <c r="AO82">
        <f>IF($A82="","",Allocation!CJ82)</f>
        <v>580167</v>
      </c>
      <c r="AP82">
        <f>IF($A82="","",IF(Allocation!$N$2="VOL_EFF",$Q82,IF(Allocation!$N$2="VOL_CLASS",$R82,$S82)))</f>
        <v>5914800</v>
      </c>
      <c r="AQ82">
        <f>IF($A82="","",IF(Allocation!$N$2="VOL_EFF",$T82,IF(Allocation!$N$2="VOL_CLASS",$U82,$V82)))</f>
        <v>21758770</v>
      </c>
      <c r="AR82">
        <f t="shared" si="18"/>
        <v>8745.91061092948</v>
      </c>
      <c r="AS82" t="str">
        <f>IF($A82="","",$A82&amp;"|"&amp;Allocation!BG82)</f>
        <v>2025|ACT</v>
      </c>
    </row>
    <row r="83" ht="14.497499999999997" customHeight="1">
      <c r="A83" t="str">
        <f>IF(Allocation!BI83="","",Allocation!BI83)</f>
        <v>2025</v>
      </c>
      <c r="B83" t="str">
        <f>IF(Allocation!BJ83="","",Allocation!BJ83)</f>
        <v>ISCOM_TLS</v>
      </c>
      <c r="C83" t="str">
        <f>IF(Allocation!BK83="","",Allocation!BK83)</f>
        <v>ISCOM</v>
      </c>
      <c r="D83" t="str">
        <f>IF(Allocation!BL83="","",Allocation!BL83)</f>
        <v>BAC_COM</v>
      </c>
      <c r="E83" t="str">
        <f>IF(Allocation!BM83="","",Allocation!BM83)</f>
        <v>B3</v>
      </c>
      <c r="F83" t="str">
        <f>IF(Allocation!BN83="","",Allocation!BN83)</f>
        <v>ALT</v>
      </c>
      <c r="G83">
        <f>IF(Allocation!BO83="","",Allocation!BO83)</f>
        <v>42</v>
      </c>
      <c r="H83">
        <f>IF(Allocation!BP83="","",Allocation!BP83)</f>
        <v>2</v>
      </c>
      <c r="I83">
        <f>IF(Allocation!BQ83="","",Allocation!BQ83)</f>
        <v>282240</v>
      </c>
      <c r="J83">
        <f>IF(Allocation!CC83="","",Allocation!CC83)</f>
        <v>0</v>
      </c>
      <c r="K83">
        <f t="shared" si="0"/>
        <v>960</v>
      </c>
      <c r="L83">
        <f t="shared" si="1"/>
        <v>216</v>
      </c>
      <c r="M83">
        <f t="shared" si="2"/>
        <v>10</v>
      </c>
      <c r="N83">
        <f t="shared" si="3"/>
        <v>1522320</v>
      </c>
      <c r="O83">
        <f t="shared" si="4"/>
        <v>4800</v>
      </c>
      <c r="P83">
        <f t="shared" si="5"/>
        <v>88</v>
      </c>
      <c r="Q83">
        <f t="shared" si="6"/>
        <v>779</v>
      </c>
      <c r="R83">
        <f t="shared" si="7"/>
        <v>35</v>
      </c>
      <c r="S83">
        <f t="shared" si="8"/>
        <v>5914800</v>
      </c>
      <c r="T83">
        <f t="shared" si="9"/>
        <v>2933</v>
      </c>
      <c r="U83">
        <f t="shared" si="10"/>
        <v>135</v>
      </c>
      <c r="V83">
        <f t="shared" si="11"/>
        <v>21758770</v>
      </c>
      <c r="W83">
        <f>IF($A83="","",Allocation!CD83)</f>
        <v>115229</v>
      </c>
      <c r="X83">
        <f>IF($A83="","",Allocation!CE83)</f>
        <v>253220.84</v>
      </c>
      <c r="Y83">
        <f>IF($A83="","",Allocation!CF83)</f>
        <v>82038</v>
      </c>
      <c r="Z83">
        <f>IF($A83="","",Allocation!CG83)</f>
        <v>20076</v>
      </c>
      <c r="AA83">
        <f>IF($A83="","",Allocation!CH83)</f>
        <v>569357.18</v>
      </c>
      <c r="AB83">
        <f>IF($A83="","",Allocation!CI83)</f>
        <v>2760232</v>
      </c>
      <c r="AC83">
        <f>IF($A83="","",IF(Allocation!$N$4="VOL_EFF",$G83,IF(Allocation!$N$4="VOL_CLASS",$H83,$I83)))</f>
        <v>2</v>
      </c>
      <c r="AD83">
        <f>IF($A83="","",IF(Allocation!$N$4="VOL_EFF",$L83,IF(Allocation!$N$4="VOL_CLASS",$M83,$N83)))</f>
        <v>10</v>
      </c>
      <c r="AE83">
        <f>IF($A83="","",IF(Allocation!$N$3="VOL_EFF",$L83,IF(Allocation!$N$3="VOL_CLASS",$M83,$N83)))</f>
        <v>216</v>
      </c>
      <c r="AF83">
        <f>IF($A83="","",IF(Allocation!$N$3="VOL_EFF",$Q83,IF(Allocation!$N$3="VOL_CLASS",$R83,$S83)))</f>
        <v>779</v>
      </c>
      <c r="AG83">
        <f>IF($A83="","",IF(Allocation!$N$1="VOL_EFF",$Q83,IF(Allocation!$N$1="VOL_CLASS",$R83,$S83)))</f>
        <v>35</v>
      </c>
      <c r="AH83">
        <f>IF($A83="","",IF(Allocation!$N$1="VOL_EFF",$T83,IF(Allocation!$N$1="VOL_CLASS",$U83,$V83)))</f>
        <v>135</v>
      </c>
      <c r="AI83">
        <f t="shared" si="12"/>
        <v>23045.8</v>
      </c>
      <c r="AJ83">
        <f t="shared" si="13"/>
        <v>50644.168</v>
      </c>
      <c r="AK83">
        <f t="shared" si="14"/>
        <v>15951.8333333333</v>
      </c>
      <c r="AL83">
        <f t="shared" si="15"/>
        <v>113871.436</v>
      </c>
      <c r="AM83">
        <f t="shared" si="16"/>
        <v>39684.978690629</v>
      </c>
      <c r="AN83">
        <f t="shared" si="17"/>
        <v>30295.8733651082</v>
      </c>
      <c r="AO83">
        <f>IF($A83="","",Allocation!CJ83)</f>
        <v>580167</v>
      </c>
      <c r="AP83">
        <f>IF($A83="","",IF(Allocation!$N$2="VOL_EFF",$Q83,IF(Allocation!$N$2="VOL_CLASS",$R83,$S83)))</f>
        <v>5914800</v>
      </c>
      <c r="AQ83">
        <f>IF($A83="","",IF(Allocation!$N$2="VOL_EFF",$T83,IF(Allocation!$N$2="VOL_CLASS",$U83,$V83)))</f>
        <v>21758770</v>
      </c>
      <c r="AR83">
        <f t="shared" si="18"/>
        <v>8745.91061092948</v>
      </c>
      <c r="AS83" t="str">
        <f>IF($A83="","",$A83&amp;"|"&amp;Allocation!BG83)</f>
        <v>2025|ACT</v>
      </c>
    </row>
    <row r="84" ht="14.497499999999997" customHeight="1">
      <c r="A84" t="str">
        <f>IF(Allocation!BI84="","",Allocation!BI84)</f>
        <v>2025</v>
      </c>
      <c r="B84" t="str">
        <f>IF(Allocation!BJ84="","",Allocation!BJ84)</f>
        <v>ISCOM_TLS</v>
      </c>
      <c r="C84" t="str">
        <f>IF(Allocation!BK84="","",Allocation!BK84)</f>
        <v>ISCOM</v>
      </c>
      <c r="D84" t="str">
        <f>IF(Allocation!BL84="","",Allocation!BL84)</f>
        <v>MAS_COM</v>
      </c>
      <c r="E84" t="str">
        <f>IF(Allocation!BM84="","",Allocation!BM84)</f>
        <v>M1</v>
      </c>
      <c r="F84" t="str">
        <f>IF(Allocation!BN84="","",Allocation!BN84)</f>
        <v>ALT</v>
      </c>
      <c r="G84">
        <f>IF(Allocation!BO84="","",Allocation!BO84)</f>
        <v>44</v>
      </c>
      <c r="H84">
        <f>IF(Allocation!BP84="","",Allocation!BP84)</f>
        <v>2</v>
      </c>
      <c r="I84">
        <f>IF(Allocation!BQ84="","",Allocation!BQ84)</f>
        <v>320760</v>
      </c>
      <c r="J84">
        <f>IF(Allocation!CC84="","",Allocation!CC84)</f>
        <v>44</v>
      </c>
      <c r="K84">
        <f t="shared" si="0"/>
        <v>840</v>
      </c>
      <c r="L84">
        <f t="shared" si="1"/>
        <v>216</v>
      </c>
      <c r="M84">
        <f t="shared" si="2"/>
        <v>10</v>
      </c>
      <c r="N84">
        <f t="shared" si="3"/>
        <v>1522320</v>
      </c>
      <c r="O84">
        <f t="shared" si="4"/>
        <v>4800</v>
      </c>
      <c r="P84">
        <f t="shared" si="5"/>
        <v>88</v>
      </c>
      <c r="Q84">
        <f t="shared" si="6"/>
        <v>779</v>
      </c>
      <c r="R84">
        <f t="shared" si="7"/>
        <v>35</v>
      </c>
      <c r="S84">
        <f t="shared" si="8"/>
        <v>5914800</v>
      </c>
      <c r="T84">
        <f t="shared" si="9"/>
        <v>2933</v>
      </c>
      <c r="U84">
        <f t="shared" si="10"/>
        <v>135</v>
      </c>
      <c r="V84">
        <f t="shared" si="11"/>
        <v>21758770</v>
      </c>
      <c r="W84">
        <f>IF($A84="","",Allocation!CD84)</f>
        <v>115229</v>
      </c>
      <c r="X84">
        <f>IF($A84="","",Allocation!CE84)</f>
        <v>253220.84</v>
      </c>
      <c r="Y84">
        <f>IF($A84="","",Allocation!CF84)</f>
        <v>82038</v>
      </c>
      <c r="Z84">
        <f>IF($A84="","",Allocation!CG84)</f>
        <v>20076</v>
      </c>
      <c r="AA84">
        <f>IF($A84="","",Allocation!CH84)</f>
        <v>569357.18</v>
      </c>
      <c r="AB84">
        <f>IF($A84="","",Allocation!CI84)</f>
        <v>2760232</v>
      </c>
      <c r="AC84">
        <f>IF($A84="","",IF(Allocation!$N$4="VOL_EFF",$G84,IF(Allocation!$N$4="VOL_CLASS",$H84,$I84)))</f>
        <v>2</v>
      </c>
      <c r="AD84">
        <f>IF($A84="","",IF(Allocation!$N$4="VOL_EFF",$L84,IF(Allocation!$N$4="VOL_CLASS",$M84,$N84)))</f>
        <v>10</v>
      </c>
      <c r="AE84">
        <f>IF($A84="","",IF(Allocation!$N$3="VOL_EFF",$L84,IF(Allocation!$N$3="VOL_CLASS",$M84,$N84)))</f>
        <v>216</v>
      </c>
      <c r="AF84">
        <f>IF($A84="","",IF(Allocation!$N$3="VOL_EFF",$Q84,IF(Allocation!$N$3="VOL_CLASS",$R84,$S84)))</f>
        <v>779</v>
      </c>
      <c r="AG84">
        <f>IF($A84="","",IF(Allocation!$N$1="VOL_EFF",$Q84,IF(Allocation!$N$1="VOL_CLASS",$R84,$S84)))</f>
        <v>35</v>
      </c>
      <c r="AH84">
        <f>IF($A84="","",IF(Allocation!$N$1="VOL_EFF",$T84,IF(Allocation!$N$1="VOL_CLASS",$U84,$V84)))</f>
        <v>135</v>
      </c>
      <c r="AI84">
        <f t="shared" si="12"/>
        <v>20165.075</v>
      </c>
      <c r="AJ84">
        <f t="shared" si="13"/>
        <v>44313.647</v>
      </c>
      <c r="AK84">
        <f t="shared" si="14"/>
        <v>26749.4444444444</v>
      </c>
      <c r="AL84">
        <f t="shared" si="15"/>
        <v>113871.436</v>
      </c>
      <c r="AM84">
        <f t="shared" si="16"/>
        <v>39684.978690629</v>
      </c>
      <c r="AN84">
        <f t="shared" si="17"/>
        <v>67229.5082539971</v>
      </c>
      <c r="AO84">
        <f>IF($A84="","",Allocation!CJ84)</f>
        <v>580167</v>
      </c>
      <c r="AP84">
        <f>IF($A84="","",IF(Allocation!$N$2="VOL_EFF",$Q84,IF(Allocation!$N$2="VOL_CLASS",$R84,$S84)))</f>
        <v>5914800</v>
      </c>
      <c r="AQ84">
        <f>IF($A84="","",IF(Allocation!$N$2="VOL_EFF",$T84,IF(Allocation!$N$2="VOL_CLASS",$U84,$V84)))</f>
        <v>21758770</v>
      </c>
      <c r="AR84">
        <f t="shared" si="18"/>
        <v>8745.91061092948</v>
      </c>
      <c r="AS84" t="str">
        <f>IF($A84="","",$A84&amp;"|"&amp;Allocation!BG84)</f>
        <v>2025|ACT</v>
      </c>
    </row>
    <row r="85" ht="14.497499999999997" customHeight="1">
      <c r="A85" t="str">
        <f>IF(Allocation!BI85="","",Allocation!BI85)</f>
        <v>2025</v>
      </c>
      <c r="B85" t="str">
        <f>IF(Allocation!BJ85="","",Allocation!BJ85)</f>
        <v>ISCOM_TLS</v>
      </c>
      <c r="C85" t="str">
        <f>IF(Allocation!BK85="","",Allocation!BK85)</f>
        <v>ISCOM</v>
      </c>
      <c r="D85" t="str">
        <f>IF(Allocation!BL85="","",Allocation!BL85)</f>
        <v>MAS_COM</v>
      </c>
      <c r="E85" t="str">
        <f>IF(Allocation!BM85="","",Allocation!BM85)</f>
        <v>M2</v>
      </c>
      <c r="F85" t="str">
        <f>IF(Allocation!BN85="","",Allocation!BN85)</f>
        <v>ALT</v>
      </c>
      <c r="G85">
        <f>IF(Allocation!BO85="","",Allocation!BO85)</f>
        <v>43</v>
      </c>
      <c r="H85">
        <f>IF(Allocation!BP85="","",Allocation!BP85)</f>
        <v>2</v>
      </c>
      <c r="I85">
        <f>IF(Allocation!BQ85="","",Allocation!BQ85)</f>
        <v>309600</v>
      </c>
      <c r="J85">
        <f>IF(Allocation!CC85="","",Allocation!CC85)</f>
        <v>0</v>
      </c>
      <c r="K85">
        <f t="shared" si="0"/>
        <v>840</v>
      </c>
      <c r="L85">
        <f t="shared" si="1"/>
        <v>216</v>
      </c>
      <c r="M85">
        <f t="shared" si="2"/>
        <v>10</v>
      </c>
      <c r="N85">
        <f t="shared" si="3"/>
        <v>1522320</v>
      </c>
      <c r="O85">
        <f t="shared" si="4"/>
        <v>4800</v>
      </c>
      <c r="P85">
        <f t="shared" si="5"/>
        <v>88</v>
      </c>
      <c r="Q85">
        <f t="shared" si="6"/>
        <v>779</v>
      </c>
      <c r="R85">
        <f t="shared" si="7"/>
        <v>35</v>
      </c>
      <c r="S85">
        <f t="shared" si="8"/>
        <v>5914800</v>
      </c>
      <c r="T85">
        <f t="shared" si="9"/>
        <v>2933</v>
      </c>
      <c r="U85">
        <f t="shared" si="10"/>
        <v>135</v>
      </c>
      <c r="V85">
        <f t="shared" si="11"/>
        <v>21758770</v>
      </c>
      <c r="W85">
        <f>IF($A85="","",Allocation!CD85)</f>
        <v>115229</v>
      </c>
      <c r="X85">
        <f>IF($A85="","",Allocation!CE85)</f>
        <v>253220.84</v>
      </c>
      <c r="Y85">
        <f>IF($A85="","",Allocation!CF85)</f>
        <v>82038</v>
      </c>
      <c r="Z85">
        <f>IF($A85="","",Allocation!CG85)</f>
        <v>20076</v>
      </c>
      <c r="AA85">
        <f>IF($A85="","",Allocation!CH85)</f>
        <v>569357.18</v>
      </c>
      <c r="AB85">
        <f>IF($A85="","",Allocation!CI85)</f>
        <v>2760232</v>
      </c>
      <c r="AC85">
        <f>IF($A85="","",IF(Allocation!$N$4="VOL_EFF",$G85,IF(Allocation!$N$4="VOL_CLASS",$H85,$I85)))</f>
        <v>2</v>
      </c>
      <c r="AD85">
        <f>IF($A85="","",IF(Allocation!$N$4="VOL_EFF",$L85,IF(Allocation!$N$4="VOL_CLASS",$M85,$N85)))</f>
        <v>10</v>
      </c>
      <c r="AE85">
        <f>IF($A85="","",IF(Allocation!$N$3="VOL_EFF",$L85,IF(Allocation!$N$3="VOL_CLASS",$M85,$N85)))</f>
        <v>216</v>
      </c>
      <c r="AF85">
        <f>IF($A85="","",IF(Allocation!$N$3="VOL_EFF",$Q85,IF(Allocation!$N$3="VOL_CLASS",$R85,$S85)))</f>
        <v>779</v>
      </c>
      <c r="AG85">
        <f>IF($A85="","",IF(Allocation!$N$1="VOL_EFF",$Q85,IF(Allocation!$N$1="VOL_CLASS",$R85,$S85)))</f>
        <v>35</v>
      </c>
      <c r="AH85">
        <f>IF($A85="","",IF(Allocation!$N$1="VOL_EFF",$T85,IF(Allocation!$N$1="VOL_CLASS",$U85,$V85)))</f>
        <v>135</v>
      </c>
      <c r="AI85">
        <f t="shared" si="12"/>
        <v>20165.075</v>
      </c>
      <c r="AJ85">
        <f t="shared" si="13"/>
        <v>44313.647</v>
      </c>
      <c r="AK85">
        <f t="shared" si="14"/>
        <v>16331.6388888889</v>
      </c>
      <c r="AL85">
        <f t="shared" si="15"/>
        <v>113871.436</v>
      </c>
      <c r="AM85">
        <f t="shared" si="16"/>
        <v>39684.978690629</v>
      </c>
      <c r="AN85">
        <f t="shared" si="17"/>
        <v>66487.3138095526</v>
      </c>
      <c r="AO85">
        <f>IF($A85="","",Allocation!CJ85)</f>
        <v>580167</v>
      </c>
      <c r="AP85">
        <f>IF($A85="","",IF(Allocation!$N$2="VOL_EFF",$Q85,IF(Allocation!$N$2="VOL_CLASS",$R85,$S85)))</f>
        <v>5914800</v>
      </c>
      <c r="AQ85">
        <f>IF($A85="","",IF(Allocation!$N$2="VOL_EFF",$T85,IF(Allocation!$N$2="VOL_CLASS",$U85,$V85)))</f>
        <v>21758770</v>
      </c>
      <c r="AR85">
        <f t="shared" si="18"/>
        <v>8745.91061092948</v>
      </c>
      <c r="AS85" t="str">
        <f>IF($A85="","",$A85&amp;"|"&amp;Allocation!BG85)</f>
        <v>2025|ACT</v>
      </c>
    </row>
    <row r="86" ht="14.497499999999997" customHeight="1">
      <c r="A86" t="str">
        <f>IF(Allocation!BI86="","",Allocation!BI86)</f>
        <v>2025</v>
      </c>
      <c r="B86" t="str">
        <f>IF(Allocation!BJ86="","",Allocation!BJ86)</f>
        <v>MBWAY_BOR</v>
      </c>
      <c r="C86" t="str">
        <f>IF(Allocation!BK86="","",Allocation!BK86)</f>
        <v>MBWAY</v>
      </c>
      <c r="D86" t="str">
        <f>IF(Allocation!BL86="","",Allocation!BL86)</f>
        <v>BAC_MGT</v>
      </c>
      <c r="E86" t="str">
        <f>IF(Allocation!BM86="","",Allocation!BM86)</f>
        <v>B1</v>
      </c>
      <c r="F86" t="str">
        <f>IF(Allocation!BN86="","",Allocation!BN86)</f>
        <v>INIT</v>
      </c>
      <c r="G86">
        <f>IF(Allocation!BO86="","",Allocation!BO86)</f>
        <v>48</v>
      </c>
      <c r="H86">
        <f>IF(Allocation!BP86="","",Allocation!BP86)</f>
        <v>2</v>
      </c>
      <c r="I86">
        <f>IF(Allocation!BQ86="","",Allocation!BQ86)</f>
        <v>353520</v>
      </c>
      <c r="J86">
        <f>IF(Allocation!CC86="","",Allocation!CC86)</f>
        <v>48</v>
      </c>
      <c r="K86">
        <f t="shared" si="0"/>
        <v>1200</v>
      </c>
      <c r="L86">
        <f t="shared" si="1"/>
        <v>234</v>
      </c>
      <c r="M86">
        <f t="shared" si="2"/>
        <v>10</v>
      </c>
      <c r="N86">
        <f t="shared" si="3"/>
        <v>1666855</v>
      </c>
      <c r="O86">
        <f t="shared" si="4"/>
        <v>4800</v>
      </c>
      <c r="P86">
        <f t="shared" si="5"/>
        <v>96</v>
      </c>
      <c r="Q86">
        <f t="shared" si="6"/>
        <v>1179</v>
      </c>
      <c r="R86">
        <f t="shared" si="7"/>
        <v>50</v>
      </c>
      <c r="S86">
        <f t="shared" si="8"/>
        <v>9032400</v>
      </c>
      <c r="T86">
        <f t="shared" si="9"/>
        <v>2933</v>
      </c>
      <c r="U86">
        <f t="shared" si="10"/>
        <v>135</v>
      </c>
      <c r="V86">
        <f t="shared" si="11"/>
        <v>21758770</v>
      </c>
      <c r="W86">
        <f>IF($A86="","",Allocation!CD86)</f>
        <v>115229</v>
      </c>
      <c r="X86">
        <f>IF($A86="","",Allocation!CE86)</f>
        <v>267929</v>
      </c>
      <c r="Y86">
        <f>IF($A86="","",Allocation!CF86)</f>
        <v>88430</v>
      </c>
      <c r="Z86">
        <f>IF($A86="","",Allocation!CG86)</f>
        <v>22657</v>
      </c>
      <c r="AA86">
        <f>IF($A86="","",Allocation!CH86)</f>
        <v>633405.78</v>
      </c>
      <c r="AB86">
        <f>IF($A86="","",Allocation!CI86)</f>
        <v>2760232</v>
      </c>
      <c r="AC86">
        <f>IF($A86="","",IF(Allocation!$N$4="VOL_EFF",$G86,IF(Allocation!$N$4="VOL_CLASS",$H86,$I86)))</f>
        <v>2</v>
      </c>
      <c r="AD86">
        <f>IF($A86="","",IF(Allocation!$N$4="VOL_EFF",$L86,IF(Allocation!$N$4="VOL_CLASS",$M86,$N86)))</f>
        <v>10</v>
      </c>
      <c r="AE86">
        <f>IF($A86="","",IF(Allocation!$N$3="VOL_EFF",$L86,IF(Allocation!$N$3="VOL_CLASS",$M86,$N86)))</f>
        <v>234</v>
      </c>
      <c r="AF86">
        <f>IF($A86="","",IF(Allocation!$N$3="VOL_EFF",$Q86,IF(Allocation!$N$3="VOL_CLASS",$R86,$S86)))</f>
        <v>1179</v>
      </c>
      <c r="AG86">
        <f>IF($A86="","",IF(Allocation!$N$1="VOL_EFF",$Q86,IF(Allocation!$N$1="VOL_CLASS",$R86,$S86)))</f>
        <v>50</v>
      </c>
      <c r="AH86">
        <f>IF($A86="","",IF(Allocation!$N$1="VOL_EFF",$T86,IF(Allocation!$N$1="VOL_CLASS",$U86,$V86)))</f>
        <v>135</v>
      </c>
      <c r="AI86">
        <f t="shared" si="12"/>
        <v>28807.25</v>
      </c>
      <c r="AJ86">
        <f t="shared" si="13"/>
        <v>66982.25</v>
      </c>
      <c r="AK86">
        <f t="shared" si="14"/>
        <v>29467.9871794872</v>
      </c>
      <c r="AL86">
        <f t="shared" si="15"/>
        <v>126681.156</v>
      </c>
      <c r="AM86">
        <f t="shared" si="16"/>
        <v>40580.170766186</v>
      </c>
      <c r="AN86">
        <f t="shared" si="17"/>
        <v>51441.2741335927</v>
      </c>
      <c r="AO86">
        <f>IF($A86="","",Allocation!CJ86)</f>
        <v>580167</v>
      </c>
      <c r="AP86">
        <f>IF($A86="","",IF(Allocation!$N$2="VOL_EFF",$Q86,IF(Allocation!$N$2="VOL_CLASS",$R86,$S86)))</f>
        <v>9032400</v>
      </c>
      <c r="AQ86">
        <f>IF($A86="","",IF(Allocation!$N$2="VOL_EFF",$T86,IF(Allocation!$N$2="VOL_CLASS",$U86,$V86)))</f>
        <v>21758770</v>
      </c>
      <c r="AR86">
        <f t="shared" si="18"/>
        <v>9559.9119207341</v>
      </c>
      <c r="AS86" t="str">
        <f>IF($A86="","",$A86&amp;"|"&amp;Allocation!BG86)</f>
        <v>2025|ACT</v>
      </c>
    </row>
    <row r="87" ht="14.497499999999997" customHeight="1">
      <c r="A87" t="str">
        <f>IF(Allocation!BI87="","",Allocation!BI87)</f>
        <v>2025</v>
      </c>
      <c r="B87" t="str">
        <f>IF(Allocation!BJ87="","",Allocation!BJ87)</f>
        <v>MBWAY_BOR</v>
      </c>
      <c r="C87" t="str">
        <f>IF(Allocation!BK87="","",Allocation!BK87)</f>
        <v>MBWAY</v>
      </c>
      <c r="D87" t="str">
        <f>IF(Allocation!BL87="","",Allocation!BL87)</f>
        <v>BAC_MGT</v>
      </c>
      <c r="E87" t="str">
        <f>IF(Allocation!BM87="","",Allocation!BM87)</f>
        <v>B2</v>
      </c>
      <c r="F87" t="str">
        <f>IF(Allocation!BN87="","",Allocation!BN87)</f>
        <v>ALT</v>
      </c>
      <c r="G87">
        <f>IF(Allocation!BO87="","",Allocation!BO87)</f>
        <v>46</v>
      </c>
      <c r="H87">
        <f>IF(Allocation!BP87="","",Allocation!BP87)</f>
        <v>2</v>
      </c>
      <c r="I87">
        <f>IF(Allocation!BQ87="","",Allocation!BQ87)</f>
        <v>312340</v>
      </c>
      <c r="J87">
        <f>IF(Allocation!CC87="","",Allocation!CC87)</f>
        <v>0</v>
      </c>
      <c r="K87">
        <f t="shared" si="0"/>
        <v>960</v>
      </c>
      <c r="L87">
        <f t="shared" si="1"/>
        <v>234</v>
      </c>
      <c r="M87">
        <f t="shared" si="2"/>
        <v>10</v>
      </c>
      <c r="N87">
        <f t="shared" si="3"/>
        <v>1666855</v>
      </c>
      <c r="O87">
        <f t="shared" si="4"/>
        <v>4800</v>
      </c>
      <c r="P87">
        <f t="shared" si="5"/>
        <v>96</v>
      </c>
      <c r="Q87">
        <f t="shared" si="6"/>
        <v>1179</v>
      </c>
      <c r="R87">
        <f t="shared" si="7"/>
        <v>50</v>
      </c>
      <c r="S87">
        <f t="shared" si="8"/>
        <v>9032400</v>
      </c>
      <c r="T87">
        <f t="shared" si="9"/>
        <v>2933</v>
      </c>
      <c r="U87">
        <f t="shared" si="10"/>
        <v>135</v>
      </c>
      <c r="V87">
        <f t="shared" si="11"/>
        <v>21758770</v>
      </c>
      <c r="W87">
        <f>IF($A87="","",Allocation!CD87)</f>
        <v>115229</v>
      </c>
      <c r="X87">
        <f>IF($A87="","",Allocation!CE87)</f>
        <v>267929</v>
      </c>
      <c r="Y87">
        <f>IF($A87="","",Allocation!CF87)</f>
        <v>88430</v>
      </c>
      <c r="Z87">
        <f>IF($A87="","",Allocation!CG87)</f>
        <v>22657</v>
      </c>
      <c r="AA87">
        <f>IF($A87="","",Allocation!CH87)</f>
        <v>633405.78</v>
      </c>
      <c r="AB87">
        <f>IF($A87="","",Allocation!CI87)</f>
        <v>2760232</v>
      </c>
      <c r="AC87">
        <f>IF($A87="","",IF(Allocation!$N$4="VOL_EFF",$G87,IF(Allocation!$N$4="VOL_CLASS",$H87,$I87)))</f>
        <v>2</v>
      </c>
      <c r="AD87">
        <f>IF($A87="","",IF(Allocation!$N$4="VOL_EFF",$L87,IF(Allocation!$N$4="VOL_CLASS",$M87,$N87)))</f>
        <v>10</v>
      </c>
      <c r="AE87">
        <f>IF($A87="","",IF(Allocation!$N$3="VOL_EFF",$L87,IF(Allocation!$N$3="VOL_CLASS",$M87,$N87)))</f>
        <v>234</v>
      </c>
      <c r="AF87">
        <f>IF($A87="","",IF(Allocation!$N$3="VOL_EFF",$Q87,IF(Allocation!$N$3="VOL_CLASS",$R87,$S87)))</f>
        <v>1179</v>
      </c>
      <c r="AG87">
        <f>IF($A87="","",IF(Allocation!$N$1="VOL_EFF",$Q87,IF(Allocation!$N$1="VOL_CLASS",$R87,$S87)))</f>
        <v>50</v>
      </c>
      <c r="AH87">
        <f>IF($A87="","",IF(Allocation!$N$1="VOL_EFF",$T87,IF(Allocation!$N$1="VOL_CLASS",$U87,$V87)))</f>
        <v>135</v>
      </c>
      <c r="AI87">
        <f t="shared" si="12"/>
        <v>23045.8</v>
      </c>
      <c r="AJ87">
        <f t="shared" si="13"/>
        <v>53585.8</v>
      </c>
      <c r="AK87">
        <f t="shared" si="14"/>
        <v>17383.6752136752</v>
      </c>
      <c r="AL87">
        <f t="shared" si="15"/>
        <v>126681.156</v>
      </c>
      <c r="AM87">
        <f t="shared" si="16"/>
        <v>40580.170766186</v>
      </c>
      <c r="AN87">
        <f t="shared" si="17"/>
        <v>41503.4860994047</v>
      </c>
      <c r="AO87">
        <f>IF($A87="","",Allocation!CJ87)</f>
        <v>580167</v>
      </c>
      <c r="AP87">
        <f>IF($A87="","",IF(Allocation!$N$2="VOL_EFF",$Q87,IF(Allocation!$N$2="VOL_CLASS",$R87,$S87)))</f>
        <v>9032400</v>
      </c>
      <c r="AQ87">
        <f>IF($A87="","",IF(Allocation!$N$2="VOL_EFF",$T87,IF(Allocation!$N$2="VOL_CLASS",$U87,$V87)))</f>
        <v>21758770</v>
      </c>
      <c r="AR87">
        <f t="shared" si="18"/>
        <v>9559.9119207341</v>
      </c>
      <c r="AS87" t="str">
        <f>IF($A87="","",$A87&amp;"|"&amp;Allocation!BG87)</f>
        <v>2025|ACT</v>
      </c>
    </row>
    <row r="88" ht="14.497499999999997" customHeight="1">
      <c r="A88" t="str">
        <f>IF(Allocation!BI88="","",Allocation!BI88)</f>
        <v>2025</v>
      </c>
      <c r="B88" t="str">
        <f>IF(Allocation!BJ88="","",Allocation!BJ88)</f>
        <v>MBWAY_BOR</v>
      </c>
      <c r="C88" t="str">
        <f>IF(Allocation!BK88="","",Allocation!BK88)</f>
        <v>MBWAY</v>
      </c>
      <c r="D88" t="str">
        <f>IF(Allocation!BL88="","",Allocation!BL88)</f>
        <v>BAC_MGT</v>
      </c>
      <c r="E88" t="str">
        <f>IF(Allocation!BM88="","",Allocation!BM88)</f>
        <v>B3</v>
      </c>
      <c r="F88" t="str">
        <f>IF(Allocation!BN88="","",Allocation!BN88)</f>
        <v>ALT</v>
      </c>
      <c r="G88">
        <f>IF(Allocation!BO88="","",Allocation!BO88)</f>
        <v>45</v>
      </c>
      <c r="H88">
        <f>IF(Allocation!BP88="","",Allocation!BP88)</f>
        <v>2</v>
      </c>
      <c r="I88">
        <f>IF(Allocation!BQ88="","",Allocation!BQ88)</f>
        <v>305550</v>
      </c>
      <c r="J88">
        <f>IF(Allocation!CC88="","",Allocation!CC88)</f>
        <v>0</v>
      </c>
      <c r="K88">
        <f t="shared" si="0"/>
        <v>960</v>
      </c>
      <c r="L88">
        <f t="shared" si="1"/>
        <v>234</v>
      </c>
      <c r="M88">
        <f t="shared" si="2"/>
        <v>10</v>
      </c>
      <c r="N88">
        <f t="shared" si="3"/>
        <v>1666855</v>
      </c>
      <c r="O88">
        <f t="shared" si="4"/>
        <v>4800</v>
      </c>
      <c r="P88">
        <f t="shared" si="5"/>
        <v>96</v>
      </c>
      <c r="Q88">
        <f t="shared" si="6"/>
        <v>1179</v>
      </c>
      <c r="R88">
        <f t="shared" si="7"/>
        <v>50</v>
      </c>
      <c r="S88">
        <f t="shared" si="8"/>
        <v>9032400</v>
      </c>
      <c r="T88">
        <f t="shared" si="9"/>
        <v>2933</v>
      </c>
      <c r="U88">
        <f t="shared" si="10"/>
        <v>135</v>
      </c>
      <c r="V88">
        <f t="shared" si="11"/>
        <v>21758770</v>
      </c>
      <c r="W88">
        <f>IF($A88="","",Allocation!CD88)</f>
        <v>115229</v>
      </c>
      <c r="X88">
        <f>IF($A88="","",Allocation!CE88)</f>
        <v>267929</v>
      </c>
      <c r="Y88">
        <f>IF($A88="","",Allocation!CF88)</f>
        <v>88430</v>
      </c>
      <c r="Z88">
        <f>IF($A88="","",Allocation!CG88)</f>
        <v>22657</v>
      </c>
      <c r="AA88">
        <f>IF($A88="","",Allocation!CH88)</f>
        <v>633405.78</v>
      </c>
      <c r="AB88">
        <f>IF($A88="","",Allocation!CI88)</f>
        <v>2760232</v>
      </c>
      <c r="AC88">
        <f>IF($A88="","",IF(Allocation!$N$4="VOL_EFF",$G88,IF(Allocation!$N$4="VOL_CLASS",$H88,$I88)))</f>
        <v>2</v>
      </c>
      <c r="AD88">
        <f>IF($A88="","",IF(Allocation!$N$4="VOL_EFF",$L88,IF(Allocation!$N$4="VOL_CLASS",$M88,$N88)))</f>
        <v>10</v>
      </c>
      <c r="AE88">
        <f>IF($A88="","",IF(Allocation!$N$3="VOL_EFF",$L88,IF(Allocation!$N$3="VOL_CLASS",$M88,$N88)))</f>
        <v>234</v>
      </c>
      <c r="AF88">
        <f>IF($A88="","",IF(Allocation!$N$3="VOL_EFF",$Q88,IF(Allocation!$N$3="VOL_CLASS",$R88,$S88)))</f>
        <v>1179</v>
      </c>
      <c r="AG88">
        <f>IF($A88="","",IF(Allocation!$N$1="VOL_EFF",$Q88,IF(Allocation!$N$1="VOL_CLASS",$R88,$S88)))</f>
        <v>50</v>
      </c>
      <c r="AH88">
        <f>IF($A88="","",IF(Allocation!$N$1="VOL_EFF",$T88,IF(Allocation!$N$1="VOL_CLASS",$U88,$V88)))</f>
        <v>135</v>
      </c>
      <c r="AI88">
        <f t="shared" si="12"/>
        <v>23045.8</v>
      </c>
      <c r="AJ88">
        <f t="shared" si="13"/>
        <v>53585.8</v>
      </c>
      <c r="AK88">
        <f t="shared" si="14"/>
        <v>17005.7692307692</v>
      </c>
      <c r="AL88">
        <f t="shared" si="15"/>
        <v>126681.156</v>
      </c>
      <c r="AM88">
        <f t="shared" si="16"/>
        <v>40580.170766186</v>
      </c>
      <c r="AN88">
        <f t="shared" si="17"/>
        <v>35091.3920823107</v>
      </c>
      <c r="AO88">
        <f>IF($A88="","",Allocation!CJ88)</f>
        <v>580167</v>
      </c>
      <c r="AP88">
        <f>IF($A88="","",IF(Allocation!$N$2="VOL_EFF",$Q88,IF(Allocation!$N$2="VOL_CLASS",$R88,$S88)))</f>
        <v>9032400</v>
      </c>
      <c r="AQ88">
        <f>IF($A88="","",IF(Allocation!$N$2="VOL_EFF",$T88,IF(Allocation!$N$2="VOL_CLASS",$U88,$V88)))</f>
        <v>21758770</v>
      </c>
      <c r="AR88">
        <f t="shared" si="18"/>
        <v>9559.9119207341</v>
      </c>
      <c r="AS88" t="str">
        <f>IF($A88="","",$A88&amp;"|"&amp;Allocation!BG88)</f>
        <v>2025|ACT</v>
      </c>
    </row>
    <row r="89" ht="14.497499999999997" customHeight="1">
      <c r="A89" t="str">
        <f>IF(Allocation!BI89="","",Allocation!BI89)</f>
        <v>2025</v>
      </c>
      <c r="B89" t="str">
        <f>IF(Allocation!BJ89="","",Allocation!BJ89)</f>
        <v>MBWAY_BOR</v>
      </c>
      <c r="C89" t="str">
        <f>IF(Allocation!BK89="","",Allocation!BK89)</f>
        <v>MBWAY</v>
      </c>
      <c r="D89" t="str">
        <f>IF(Allocation!BL89="","",Allocation!BL89)</f>
        <v>MAS_MGT</v>
      </c>
      <c r="E89" t="str">
        <f>IF(Allocation!BM89="","",Allocation!BM89)</f>
        <v>M1</v>
      </c>
      <c r="F89" t="str">
        <f>IF(Allocation!BN89="","",Allocation!BN89)</f>
        <v>ALT</v>
      </c>
      <c r="G89">
        <f>IF(Allocation!BO89="","",Allocation!BO89)</f>
        <v>48</v>
      </c>
      <c r="H89">
        <f>IF(Allocation!BP89="","",Allocation!BP89)</f>
        <v>2</v>
      </c>
      <c r="I89">
        <f>IF(Allocation!BQ89="","",Allocation!BQ89)</f>
        <v>353520</v>
      </c>
      <c r="J89">
        <f>IF(Allocation!CC89="","",Allocation!CC89)</f>
        <v>48</v>
      </c>
      <c r="K89">
        <f t="shared" si="0"/>
        <v>840</v>
      </c>
      <c r="L89">
        <f t="shared" si="1"/>
        <v>234</v>
      </c>
      <c r="M89">
        <f t="shared" si="2"/>
        <v>10</v>
      </c>
      <c r="N89">
        <f t="shared" si="3"/>
        <v>1666855</v>
      </c>
      <c r="O89">
        <f t="shared" si="4"/>
        <v>4800</v>
      </c>
      <c r="P89">
        <f t="shared" si="5"/>
        <v>96</v>
      </c>
      <c r="Q89">
        <f t="shared" si="6"/>
        <v>1179</v>
      </c>
      <c r="R89">
        <f t="shared" si="7"/>
        <v>50</v>
      </c>
      <c r="S89">
        <f t="shared" si="8"/>
        <v>9032400</v>
      </c>
      <c r="T89">
        <f t="shared" si="9"/>
        <v>2933</v>
      </c>
      <c r="U89">
        <f t="shared" si="10"/>
        <v>135</v>
      </c>
      <c r="V89">
        <f t="shared" si="11"/>
        <v>21758770</v>
      </c>
      <c r="W89">
        <f>IF($A89="","",Allocation!CD89)</f>
        <v>115229</v>
      </c>
      <c r="X89">
        <f>IF($A89="","",Allocation!CE89)</f>
        <v>267929</v>
      </c>
      <c r="Y89">
        <f>IF($A89="","",Allocation!CF89)</f>
        <v>88430</v>
      </c>
      <c r="Z89">
        <f>IF($A89="","",Allocation!CG89)</f>
        <v>22657</v>
      </c>
      <c r="AA89">
        <f>IF($A89="","",Allocation!CH89)</f>
        <v>633405.78</v>
      </c>
      <c r="AB89">
        <f>IF($A89="","",Allocation!CI89)</f>
        <v>2760232</v>
      </c>
      <c r="AC89">
        <f>IF($A89="","",IF(Allocation!$N$4="VOL_EFF",$G89,IF(Allocation!$N$4="VOL_CLASS",$H89,$I89)))</f>
        <v>2</v>
      </c>
      <c r="AD89">
        <f>IF($A89="","",IF(Allocation!$N$4="VOL_EFF",$L89,IF(Allocation!$N$4="VOL_CLASS",$M89,$N89)))</f>
        <v>10</v>
      </c>
      <c r="AE89">
        <f>IF($A89="","",IF(Allocation!$N$3="VOL_EFF",$L89,IF(Allocation!$N$3="VOL_CLASS",$M89,$N89)))</f>
        <v>234</v>
      </c>
      <c r="AF89">
        <f>IF($A89="","",IF(Allocation!$N$3="VOL_EFF",$Q89,IF(Allocation!$N$3="VOL_CLASS",$R89,$S89)))</f>
        <v>1179</v>
      </c>
      <c r="AG89">
        <f>IF($A89="","",IF(Allocation!$N$1="VOL_EFF",$Q89,IF(Allocation!$N$1="VOL_CLASS",$R89,$S89)))</f>
        <v>50</v>
      </c>
      <c r="AH89">
        <f>IF($A89="","",IF(Allocation!$N$1="VOL_EFF",$T89,IF(Allocation!$N$1="VOL_CLASS",$U89,$V89)))</f>
        <v>135</v>
      </c>
      <c r="AI89">
        <f t="shared" si="12"/>
        <v>20165.075</v>
      </c>
      <c r="AJ89">
        <f t="shared" si="13"/>
        <v>46887.575</v>
      </c>
      <c r="AK89">
        <f t="shared" si="14"/>
        <v>29467.9871794872</v>
      </c>
      <c r="AL89">
        <f t="shared" si="15"/>
        <v>126681.156</v>
      </c>
      <c r="AM89">
        <f t="shared" si="16"/>
        <v>40580.170766186</v>
      </c>
      <c r="AN89">
        <f t="shared" si="17"/>
        <v>80178.1241335927</v>
      </c>
      <c r="AO89">
        <f>IF($A89="","",Allocation!CJ89)</f>
        <v>580167</v>
      </c>
      <c r="AP89">
        <f>IF($A89="","",IF(Allocation!$N$2="VOL_EFF",$Q89,IF(Allocation!$N$2="VOL_CLASS",$R89,$S89)))</f>
        <v>9032400</v>
      </c>
      <c r="AQ89">
        <f>IF($A89="","",IF(Allocation!$N$2="VOL_EFF",$T89,IF(Allocation!$N$2="VOL_CLASS",$U89,$V89)))</f>
        <v>21758770</v>
      </c>
      <c r="AR89">
        <f t="shared" si="18"/>
        <v>9559.9119207341</v>
      </c>
      <c r="AS89" t="str">
        <f>IF($A89="","",$A89&amp;"|"&amp;Allocation!BG89)</f>
        <v>2025|ACT</v>
      </c>
    </row>
    <row r="90" ht="14.497499999999997" customHeight="1">
      <c r="A90" t="str">
        <f>IF(Allocation!BI90="","",Allocation!BI90)</f>
        <v>2025</v>
      </c>
      <c r="B90" t="str">
        <f>IF(Allocation!BJ90="","",Allocation!BJ90)</f>
        <v>MBWAY_BOR</v>
      </c>
      <c r="C90" t="str">
        <f>IF(Allocation!BK90="","",Allocation!BK90)</f>
        <v>MBWAY</v>
      </c>
      <c r="D90" t="str">
        <f>IF(Allocation!BL90="","",Allocation!BL90)</f>
        <v>MAS_MGT</v>
      </c>
      <c r="E90" t="str">
        <f>IF(Allocation!BM90="","",Allocation!BM90)</f>
        <v>M2</v>
      </c>
      <c r="F90" t="str">
        <f>IF(Allocation!BN90="","",Allocation!BN90)</f>
        <v>ALT</v>
      </c>
      <c r="G90">
        <f>IF(Allocation!BO90="","",Allocation!BO90)</f>
        <v>47</v>
      </c>
      <c r="H90">
        <f>IF(Allocation!BP90="","",Allocation!BP90)</f>
        <v>2</v>
      </c>
      <c r="I90">
        <f>IF(Allocation!BQ90="","",Allocation!BQ90)</f>
        <v>341925</v>
      </c>
      <c r="J90">
        <f>IF(Allocation!CC90="","",Allocation!CC90)</f>
        <v>0</v>
      </c>
      <c r="K90">
        <f t="shared" si="0"/>
        <v>840</v>
      </c>
      <c r="L90">
        <f t="shared" si="1"/>
        <v>234</v>
      </c>
      <c r="M90">
        <f t="shared" si="2"/>
        <v>10</v>
      </c>
      <c r="N90">
        <f t="shared" si="3"/>
        <v>1666855</v>
      </c>
      <c r="O90">
        <f t="shared" si="4"/>
        <v>4800</v>
      </c>
      <c r="P90">
        <f t="shared" si="5"/>
        <v>96</v>
      </c>
      <c r="Q90">
        <f t="shared" si="6"/>
        <v>1179</v>
      </c>
      <c r="R90">
        <f t="shared" si="7"/>
        <v>50</v>
      </c>
      <c r="S90">
        <f t="shared" si="8"/>
        <v>9032400</v>
      </c>
      <c r="T90">
        <f t="shared" si="9"/>
        <v>2933</v>
      </c>
      <c r="U90">
        <f t="shared" si="10"/>
        <v>135</v>
      </c>
      <c r="V90">
        <f t="shared" si="11"/>
        <v>21758770</v>
      </c>
      <c r="W90">
        <f>IF($A90="","",Allocation!CD90)</f>
        <v>115229</v>
      </c>
      <c r="X90">
        <f>IF($A90="","",Allocation!CE90)</f>
        <v>267929</v>
      </c>
      <c r="Y90">
        <f>IF($A90="","",Allocation!CF90)</f>
        <v>88430</v>
      </c>
      <c r="Z90">
        <f>IF($A90="","",Allocation!CG90)</f>
        <v>22657</v>
      </c>
      <c r="AA90">
        <f>IF($A90="","",Allocation!CH90)</f>
        <v>633405.78</v>
      </c>
      <c r="AB90">
        <f>IF($A90="","",Allocation!CI90)</f>
        <v>2760232</v>
      </c>
      <c r="AC90">
        <f>IF($A90="","",IF(Allocation!$N$4="VOL_EFF",$G90,IF(Allocation!$N$4="VOL_CLASS",$H90,$I90)))</f>
        <v>2</v>
      </c>
      <c r="AD90">
        <f>IF($A90="","",IF(Allocation!$N$4="VOL_EFF",$L90,IF(Allocation!$N$4="VOL_CLASS",$M90,$N90)))</f>
        <v>10</v>
      </c>
      <c r="AE90">
        <f>IF($A90="","",IF(Allocation!$N$3="VOL_EFF",$L90,IF(Allocation!$N$3="VOL_CLASS",$M90,$N90)))</f>
        <v>234</v>
      </c>
      <c r="AF90">
        <f>IF($A90="","",IF(Allocation!$N$3="VOL_EFF",$Q90,IF(Allocation!$N$3="VOL_CLASS",$R90,$S90)))</f>
        <v>1179</v>
      </c>
      <c r="AG90">
        <f>IF($A90="","",IF(Allocation!$N$1="VOL_EFF",$Q90,IF(Allocation!$N$1="VOL_CLASS",$R90,$S90)))</f>
        <v>50</v>
      </c>
      <c r="AH90">
        <f>IF($A90="","",IF(Allocation!$N$1="VOL_EFF",$T90,IF(Allocation!$N$1="VOL_CLASS",$U90,$V90)))</f>
        <v>135</v>
      </c>
      <c r="AI90">
        <f t="shared" si="12"/>
        <v>20165.075</v>
      </c>
      <c r="AJ90">
        <f t="shared" si="13"/>
        <v>46887.575</v>
      </c>
      <c r="AK90">
        <f t="shared" si="14"/>
        <v>17761.5811965812</v>
      </c>
      <c r="AL90">
        <f t="shared" si="15"/>
        <v>126681.156</v>
      </c>
      <c r="AM90">
        <f t="shared" si="16"/>
        <v>40580.170766186</v>
      </c>
      <c r="AN90">
        <f t="shared" si="17"/>
        <v>80289.5301164987</v>
      </c>
      <c r="AO90">
        <f>IF($A90="","",Allocation!CJ90)</f>
        <v>580167</v>
      </c>
      <c r="AP90">
        <f>IF($A90="","",IF(Allocation!$N$2="VOL_EFF",$Q90,IF(Allocation!$N$2="VOL_CLASS",$R90,$S90)))</f>
        <v>9032400</v>
      </c>
      <c r="AQ90">
        <f>IF($A90="","",IF(Allocation!$N$2="VOL_EFF",$T90,IF(Allocation!$N$2="VOL_CLASS",$U90,$V90)))</f>
        <v>21758770</v>
      </c>
      <c r="AR90">
        <f t="shared" si="18"/>
        <v>9559.9119207341</v>
      </c>
      <c r="AS90" t="str">
        <f>IF($A90="","",$A90&amp;"|"&amp;Allocation!BG90)</f>
        <v>2025|ACT</v>
      </c>
    </row>
    <row r="91" ht="14.497499999999997" customHeight="1">
      <c r="A91" t="str">
        <f>IF(Allocation!BI91="","",Allocation!BI91)</f>
        <v>2025</v>
      </c>
      <c r="B91" t="str">
        <f>IF(Allocation!BJ91="","",Allocation!BJ91)</f>
        <v>MBWAY_LYO</v>
      </c>
      <c r="C91" t="str">
        <f>IF(Allocation!BK91="","",Allocation!BK91)</f>
        <v>MBWAY</v>
      </c>
      <c r="D91" t="str">
        <f>IF(Allocation!BL91="","",Allocation!BL91)</f>
        <v>BAC_MGT</v>
      </c>
      <c r="E91" t="str">
        <f>IF(Allocation!BM91="","",Allocation!BM91)</f>
        <v>B1</v>
      </c>
      <c r="F91" t="str">
        <f>IF(Allocation!BN91="","",Allocation!BN91)</f>
        <v>INIT</v>
      </c>
      <c r="G91">
        <f>IF(Allocation!BO91="","",Allocation!BO91)</f>
        <v>62</v>
      </c>
      <c r="H91">
        <f>IF(Allocation!BP91="","",Allocation!BP91)</f>
        <v>3</v>
      </c>
      <c r="I91">
        <f>IF(Allocation!BQ91="","",Allocation!BQ91)</f>
        <v>493830</v>
      </c>
      <c r="J91">
        <f>IF(Allocation!CC91="","",Allocation!CC91)</f>
        <v>62</v>
      </c>
      <c r="K91">
        <f t="shared" si="0"/>
        <v>1800</v>
      </c>
      <c r="L91">
        <f t="shared" si="1"/>
        <v>304</v>
      </c>
      <c r="M91">
        <f t="shared" si="2"/>
        <v>13</v>
      </c>
      <c r="N91">
        <f t="shared" si="3"/>
        <v>2342685</v>
      </c>
      <c r="O91">
        <f t="shared" si="4"/>
        <v>6240</v>
      </c>
      <c r="P91">
        <f t="shared" si="5"/>
        <v>124</v>
      </c>
      <c r="Q91">
        <f t="shared" si="6"/>
        <v>1179</v>
      </c>
      <c r="R91">
        <f t="shared" si="7"/>
        <v>50</v>
      </c>
      <c r="S91">
        <f t="shared" si="8"/>
        <v>9032400</v>
      </c>
      <c r="T91">
        <f t="shared" si="9"/>
        <v>2933</v>
      </c>
      <c r="U91">
        <f t="shared" si="10"/>
        <v>135</v>
      </c>
      <c r="V91">
        <f t="shared" si="11"/>
        <v>21758770</v>
      </c>
      <c r="W91">
        <f>IF($A91="","",Allocation!CD91)</f>
        <v>149798</v>
      </c>
      <c r="X91">
        <f>IF($A91="","",Allocation!CE91)</f>
        <v>381714.36</v>
      </c>
      <c r="Y91">
        <f>IF($A91="","",Allocation!CF91)</f>
        <v>115067</v>
      </c>
      <c r="Z91">
        <f>IF($A91="","",Allocation!CG91)</f>
        <v>37985</v>
      </c>
      <c r="AA91">
        <f>IF($A91="","",Allocation!CH91)</f>
        <v>902966.67</v>
      </c>
      <c r="AB91">
        <f>IF($A91="","",Allocation!CI91)</f>
        <v>2760232</v>
      </c>
      <c r="AC91">
        <f>IF($A91="","",IF(Allocation!$N$4="VOL_EFF",$G91,IF(Allocation!$N$4="VOL_CLASS",$H91,$I91)))</f>
        <v>3</v>
      </c>
      <c r="AD91">
        <f>IF($A91="","",IF(Allocation!$N$4="VOL_EFF",$L91,IF(Allocation!$N$4="VOL_CLASS",$M91,$N91)))</f>
        <v>13</v>
      </c>
      <c r="AE91">
        <f>IF($A91="","",IF(Allocation!$N$3="VOL_EFF",$L91,IF(Allocation!$N$3="VOL_CLASS",$M91,$N91)))</f>
        <v>304</v>
      </c>
      <c r="AF91">
        <f>IF($A91="","",IF(Allocation!$N$3="VOL_EFF",$Q91,IF(Allocation!$N$3="VOL_CLASS",$R91,$S91)))</f>
        <v>1179</v>
      </c>
      <c r="AG91">
        <f>IF($A91="","",IF(Allocation!$N$1="VOL_EFF",$Q91,IF(Allocation!$N$1="VOL_CLASS",$R91,$S91)))</f>
        <v>50</v>
      </c>
      <c r="AH91">
        <f>IF($A91="","",IF(Allocation!$N$1="VOL_EFF",$T91,IF(Allocation!$N$1="VOL_CLASS",$U91,$V91)))</f>
        <v>135</v>
      </c>
      <c r="AI91">
        <f t="shared" si="12"/>
        <v>43210.9615384615</v>
      </c>
      <c r="AJ91">
        <f t="shared" si="13"/>
        <v>110109.911538462</v>
      </c>
      <c r="AK91">
        <f t="shared" si="14"/>
        <v>42460.1118421053</v>
      </c>
      <c r="AL91">
        <f t="shared" si="15"/>
        <v>208376.923846154</v>
      </c>
      <c r="AM91">
        <f t="shared" si="16"/>
        <v>60830.2362570047</v>
      </c>
      <c r="AN91">
        <f t="shared" si="17"/>
        <v>14511.4150177377</v>
      </c>
      <c r="AO91">
        <f>IF($A91="","",Allocation!CJ91)</f>
        <v>580167</v>
      </c>
      <c r="AP91">
        <f>IF($A91="","",IF(Allocation!$N$2="VOL_EFF",$Q91,IF(Allocation!$N$2="VOL_CLASS",$R91,$S91)))</f>
        <v>9032400</v>
      </c>
      <c r="AQ91">
        <f>IF($A91="","",IF(Allocation!$N$2="VOL_EFF",$T91,IF(Allocation!$N$2="VOL_CLASS",$U91,$V91)))</f>
        <v>21758770</v>
      </c>
      <c r="AR91">
        <f t="shared" si="18"/>
        <v>14330.4399600748</v>
      </c>
      <c r="AS91" t="str">
        <f>IF($A91="","",$A91&amp;"|"&amp;Allocation!BG91)</f>
        <v>2025|ACT</v>
      </c>
    </row>
    <row r="92" ht="14.497499999999997" customHeight="1">
      <c r="A92" t="str">
        <f>IF(Allocation!BI92="","",Allocation!BI92)</f>
        <v>2025</v>
      </c>
      <c r="B92" t="str">
        <f>IF(Allocation!BJ92="","",Allocation!BJ92)</f>
        <v>MBWAY_LYO</v>
      </c>
      <c r="C92" t="str">
        <f>IF(Allocation!BK92="","",Allocation!BK92)</f>
        <v>MBWAY</v>
      </c>
      <c r="D92" t="str">
        <f>IF(Allocation!BL92="","",Allocation!BL92)</f>
        <v>BAC_MGT</v>
      </c>
      <c r="E92" t="str">
        <f>IF(Allocation!BM92="","",Allocation!BM92)</f>
        <v>B2</v>
      </c>
      <c r="F92" t="str">
        <f>IF(Allocation!BN92="","",Allocation!BN92)</f>
        <v>ALT</v>
      </c>
      <c r="G92">
        <f>IF(Allocation!BO92="","",Allocation!BO92)</f>
        <v>60</v>
      </c>
      <c r="H92">
        <f>IF(Allocation!BP92="","",Allocation!BP92)</f>
        <v>2</v>
      </c>
      <c r="I92">
        <f>IF(Allocation!BQ92="","",Allocation!BQ92)</f>
        <v>441000</v>
      </c>
      <c r="J92">
        <f>IF(Allocation!CC92="","",Allocation!CC92)</f>
        <v>0</v>
      </c>
      <c r="K92">
        <f t="shared" si="0"/>
        <v>960</v>
      </c>
      <c r="L92">
        <f t="shared" si="1"/>
        <v>304</v>
      </c>
      <c r="M92">
        <f t="shared" si="2"/>
        <v>13</v>
      </c>
      <c r="N92">
        <f t="shared" si="3"/>
        <v>2342685</v>
      </c>
      <c r="O92">
        <f t="shared" si="4"/>
        <v>6240</v>
      </c>
      <c r="P92">
        <f t="shared" si="5"/>
        <v>124</v>
      </c>
      <c r="Q92">
        <f t="shared" si="6"/>
        <v>1179</v>
      </c>
      <c r="R92">
        <f t="shared" si="7"/>
        <v>50</v>
      </c>
      <c r="S92">
        <f t="shared" si="8"/>
        <v>9032400</v>
      </c>
      <c r="T92">
        <f t="shared" si="9"/>
        <v>2933</v>
      </c>
      <c r="U92">
        <f t="shared" si="10"/>
        <v>135</v>
      </c>
      <c r="V92">
        <f t="shared" si="11"/>
        <v>21758770</v>
      </c>
      <c r="W92">
        <f>IF($A92="","",Allocation!CD92)</f>
        <v>149798</v>
      </c>
      <c r="X92">
        <f>IF($A92="","",Allocation!CE92)</f>
        <v>381714.36</v>
      </c>
      <c r="Y92">
        <f>IF($A92="","",Allocation!CF92)</f>
        <v>115067</v>
      </c>
      <c r="Z92">
        <f>IF($A92="","",Allocation!CG92)</f>
        <v>37985</v>
      </c>
      <c r="AA92">
        <f>IF($A92="","",Allocation!CH92)</f>
        <v>902966.67</v>
      </c>
      <c r="AB92">
        <f>IF($A92="","",Allocation!CI92)</f>
        <v>2760232</v>
      </c>
      <c r="AC92">
        <f>IF($A92="","",IF(Allocation!$N$4="VOL_EFF",$G92,IF(Allocation!$N$4="VOL_CLASS",$H92,$I92)))</f>
        <v>2</v>
      </c>
      <c r="AD92">
        <f>IF($A92="","",IF(Allocation!$N$4="VOL_EFF",$L92,IF(Allocation!$N$4="VOL_CLASS",$M92,$N92)))</f>
        <v>13</v>
      </c>
      <c r="AE92">
        <f>IF($A92="","",IF(Allocation!$N$3="VOL_EFF",$L92,IF(Allocation!$N$3="VOL_CLASS",$M92,$N92)))</f>
        <v>304</v>
      </c>
      <c r="AF92">
        <f>IF($A92="","",IF(Allocation!$N$3="VOL_EFF",$Q92,IF(Allocation!$N$3="VOL_CLASS",$R92,$S92)))</f>
        <v>1179</v>
      </c>
      <c r="AG92">
        <f>IF($A92="","",IF(Allocation!$N$1="VOL_EFF",$Q92,IF(Allocation!$N$1="VOL_CLASS",$R92,$S92)))</f>
        <v>50</v>
      </c>
      <c r="AH92">
        <f>IF($A92="","",IF(Allocation!$N$1="VOL_EFF",$T92,IF(Allocation!$N$1="VOL_CLASS",$U92,$V92)))</f>
        <v>135</v>
      </c>
      <c r="AI92">
        <f t="shared" si="12"/>
        <v>23045.8461538462</v>
      </c>
      <c r="AJ92">
        <f t="shared" si="13"/>
        <v>58725.2861538462</v>
      </c>
      <c r="AK92">
        <f t="shared" si="14"/>
        <v>22710.5921052632</v>
      </c>
      <c r="AL92">
        <f t="shared" si="15"/>
        <v>138917.949230769</v>
      </c>
      <c r="AM92">
        <f t="shared" si="16"/>
        <v>40553.4908380031</v>
      </c>
      <c r="AN92">
        <f t="shared" si="17"/>
        <v>147493.208878222</v>
      </c>
      <c r="AO92">
        <f>IF($A92="","",Allocation!CJ92)</f>
        <v>580167</v>
      </c>
      <c r="AP92">
        <f>IF($A92="","",IF(Allocation!$N$2="VOL_EFF",$Q92,IF(Allocation!$N$2="VOL_CLASS",$R92,$S92)))</f>
        <v>9032400</v>
      </c>
      <c r="AQ92">
        <f>IF($A92="","",IF(Allocation!$N$2="VOL_EFF",$T92,IF(Allocation!$N$2="VOL_CLASS",$U92,$V92)))</f>
        <v>21758770</v>
      </c>
      <c r="AR92">
        <f t="shared" si="18"/>
        <v>9553.62664004985</v>
      </c>
      <c r="AS92" t="str">
        <f>IF($A92="","",$A92&amp;"|"&amp;Allocation!BG92)</f>
        <v>2025|ACT</v>
      </c>
    </row>
    <row r="93" ht="14.497499999999997" customHeight="1">
      <c r="A93" t="str">
        <f>IF(Allocation!BI93="","",Allocation!BI93)</f>
        <v>2025</v>
      </c>
      <c r="B93" t="str">
        <f>IF(Allocation!BJ93="","",Allocation!BJ93)</f>
        <v>MBWAY_LYO</v>
      </c>
      <c r="C93" t="str">
        <f>IF(Allocation!BK93="","",Allocation!BK93)</f>
        <v>MBWAY</v>
      </c>
      <c r="D93" t="str">
        <f>IF(Allocation!BL93="","",Allocation!BL93)</f>
        <v>BAC_MGT</v>
      </c>
      <c r="E93" t="str">
        <f>IF(Allocation!BM93="","",Allocation!BM93)</f>
        <v>B3</v>
      </c>
      <c r="F93" t="str">
        <f>IF(Allocation!BN93="","",Allocation!BN93)</f>
        <v>ALT</v>
      </c>
      <c r="G93">
        <f>IF(Allocation!BO93="","",Allocation!BO93)</f>
        <v>59</v>
      </c>
      <c r="H93">
        <f>IF(Allocation!BP93="","",Allocation!BP93)</f>
        <v>2</v>
      </c>
      <c r="I93">
        <f>IF(Allocation!BQ93="","",Allocation!BQ93)</f>
        <v>433650</v>
      </c>
      <c r="J93">
        <f>IF(Allocation!CC93="","",Allocation!CC93)</f>
        <v>0</v>
      </c>
      <c r="K93">
        <f t="shared" si="0"/>
        <v>960</v>
      </c>
      <c r="L93">
        <f t="shared" si="1"/>
        <v>304</v>
      </c>
      <c r="M93">
        <f t="shared" si="2"/>
        <v>13</v>
      </c>
      <c r="N93">
        <f t="shared" si="3"/>
        <v>2342685</v>
      </c>
      <c r="O93">
        <f t="shared" si="4"/>
        <v>6240</v>
      </c>
      <c r="P93">
        <f t="shared" si="5"/>
        <v>124</v>
      </c>
      <c r="Q93">
        <f t="shared" si="6"/>
        <v>1179</v>
      </c>
      <c r="R93">
        <f t="shared" si="7"/>
        <v>50</v>
      </c>
      <c r="S93">
        <f t="shared" si="8"/>
        <v>9032400</v>
      </c>
      <c r="T93">
        <f t="shared" si="9"/>
        <v>2933</v>
      </c>
      <c r="U93">
        <f t="shared" si="10"/>
        <v>135</v>
      </c>
      <c r="V93">
        <f t="shared" si="11"/>
        <v>21758770</v>
      </c>
      <c r="W93">
        <f>IF($A93="","",Allocation!CD93)</f>
        <v>149798</v>
      </c>
      <c r="X93">
        <f>IF($A93="","",Allocation!CE93)</f>
        <v>381714.36</v>
      </c>
      <c r="Y93">
        <f>IF($A93="","",Allocation!CF93)</f>
        <v>115067</v>
      </c>
      <c r="Z93">
        <f>IF($A93="","",Allocation!CG93)</f>
        <v>37985</v>
      </c>
      <c r="AA93">
        <f>IF($A93="","",Allocation!CH93)</f>
        <v>902966.67</v>
      </c>
      <c r="AB93">
        <f>IF($A93="","",Allocation!CI93)</f>
        <v>2760232</v>
      </c>
      <c r="AC93">
        <f>IF($A93="","",IF(Allocation!$N$4="VOL_EFF",$G93,IF(Allocation!$N$4="VOL_CLASS",$H93,$I93)))</f>
        <v>2</v>
      </c>
      <c r="AD93">
        <f>IF($A93="","",IF(Allocation!$N$4="VOL_EFF",$L93,IF(Allocation!$N$4="VOL_CLASS",$M93,$N93)))</f>
        <v>13</v>
      </c>
      <c r="AE93">
        <f>IF($A93="","",IF(Allocation!$N$3="VOL_EFF",$L93,IF(Allocation!$N$3="VOL_CLASS",$M93,$N93)))</f>
        <v>304</v>
      </c>
      <c r="AF93">
        <f>IF($A93="","",IF(Allocation!$N$3="VOL_EFF",$Q93,IF(Allocation!$N$3="VOL_CLASS",$R93,$S93)))</f>
        <v>1179</v>
      </c>
      <c r="AG93">
        <f>IF($A93="","",IF(Allocation!$N$1="VOL_EFF",$Q93,IF(Allocation!$N$1="VOL_CLASS",$R93,$S93)))</f>
        <v>50</v>
      </c>
      <c r="AH93">
        <f>IF($A93="","",IF(Allocation!$N$1="VOL_EFF",$T93,IF(Allocation!$N$1="VOL_CLASS",$U93,$V93)))</f>
        <v>135</v>
      </c>
      <c r="AI93">
        <f t="shared" si="12"/>
        <v>23045.8461538462</v>
      </c>
      <c r="AJ93">
        <f t="shared" si="13"/>
        <v>58725.2861538462</v>
      </c>
      <c r="AK93">
        <f t="shared" si="14"/>
        <v>22332.0822368421</v>
      </c>
      <c r="AL93">
        <f t="shared" si="15"/>
        <v>138917.949230769</v>
      </c>
      <c r="AM93">
        <f t="shared" si="16"/>
        <v>40553.4908380031</v>
      </c>
      <c r="AN93">
        <f t="shared" si="17"/>
        <v>140521.718746644</v>
      </c>
      <c r="AO93">
        <f>IF($A93="","",Allocation!CJ93)</f>
        <v>580167</v>
      </c>
      <c r="AP93">
        <f>IF($A93="","",IF(Allocation!$N$2="VOL_EFF",$Q93,IF(Allocation!$N$2="VOL_CLASS",$R93,$S93)))</f>
        <v>9032400</v>
      </c>
      <c r="AQ93">
        <f>IF($A93="","",IF(Allocation!$N$2="VOL_EFF",$T93,IF(Allocation!$N$2="VOL_CLASS",$U93,$V93)))</f>
        <v>21758770</v>
      </c>
      <c r="AR93">
        <f t="shared" si="18"/>
        <v>9553.62664004985</v>
      </c>
      <c r="AS93" t="str">
        <f>IF($A93="","",$A93&amp;"|"&amp;Allocation!BG93)</f>
        <v>2025|ACT</v>
      </c>
    </row>
    <row r="94" ht="14.497499999999997" customHeight="1">
      <c r="A94" t="str">
        <f>IF(Allocation!BI94="","",Allocation!BI94)</f>
        <v>2025</v>
      </c>
      <c r="B94" t="str">
        <f>IF(Allocation!BJ94="","",Allocation!BJ94)</f>
        <v>MBWAY_LYO</v>
      </c>
      <c r="C94" t="str">
        <f>IF(Allocation!BK94="","",Allocation!BK94)</f>
        <v>MBWAY</v>
      </c>
      <c r="D94" t="str">
        <f>IF(Allocation!BL94="","",Allocation!BL94)</f>
        <v>MAS_MGT</v>
      </c>
      <c r="E94" t="str">
        <f>IF(Allocation!BM94="","",Allocation!BM94)</f>
        <v>M1</v>
      </c>
      <c r="F94" t="str">
        <f>IF(Allocation!BN94="","",Allocation!BN94)</f>
        <v>ALT</v>
      </c>
      <c r="G94">
        <f>IF(Allocation!BO94="","",Allocation!BO94)</f>
        <v>62</v>
      </c>
      <c r="H94">
        <f>IF(Allocation!BP94="","",Allocation!BP94)</f>
        <v>3</v>
      </c>
      <c r="I94">
        <f>IF(Allocation!BQ94="","",Allocation!BQ94)</f>
        <v>493830</v>
      </c>
      <c r="J94">
        <f>IF(Allocation!CC94="","",Allocation!CC94)</f>
        <v>62</v>
      </c>
      <c r="K94">
        <f t="shared" si="0"/>
        <v>1260</v>
      </c>
      <c r="L94">
        <f t="shared" si="1"/>
        <v>304</v>
      </c>
      <c r="M94">
        <f t="shared" si="2"/>
        <v>13</v>
      </c>
      <c r="N94">
        <f t="shared" si="3"/>
        <v>2342685</v>
      </c>
      <c r="O94">
        <f t="shared" si="4"/>
        <v>6240</v>
      </c>
      <c r="P94">
        <f t="shared" si="5"/>
        <v>124</v>
      </c>
      <c r="Q94">
        <f t="shared" si="6"/>
        <v>1179</v>
      </c>
      <c r="R94">
        <f t="shared" si="7"/>
        <v>50</v>
      </c>
      <c r="S94">
        <f t="shared" si="8"/>
        <v>9032400</v>
      </c>
      <c r="T94">
        <f t="shared" si="9"/>
        <v>2933</v>
      </c>
      <c r="U94">
        <f t="shared" si="10"/>
        <v>135</v>
      </c>
      <c r="V94">
        <f t="shared" si="11"/>
        <v>21758770</v>
      </c>
      <c r="W94">
        <f>IF($A94="","",Allocation!CD94)</f>
        <v>149798</v>
      </c>
      <c r="X94">
        <f>IF($A94="","",Allocation!CE94)</f>
        <v>381714.36</v>
      </c>
      <c r="Y94">
        <f>IF($A94="","",Allocation!CF94)</f>
        <v>115067</v>
      </c>
      <c r="Z94">
        <f>IF($A94="","",Allocation!CG94)</f>
        <v>37985</v>
      </c>
      <c r="AA94">
        <f>IF($A94="","",Allocation!CH94)</f>
        <v>902966.67</v>
      </c>
      <c r="AB94">
        <f>IF($A94="","",Allocation!CI94)</f>
        <v>2760232</v>
      </c>
      <c r="AC94">
        <f>IF($A94="","",IF(Allocation!$N$4="VOL_EFF",$G94,IF(Allocation!$N$4="VOL_CLASS",$H94,$I94)))</f>
        <v>3</v>
      </c>
      <c r="AD94">
        <f>IF($A94="","",IF(Allocation!$N$4="VOL_EFF",$L94,IF(Allocation!$N$4="VOL_CLASS",$M94,$N94)))</f>
        <v>13</v>
      </c>
      <c r="AE94">
        <f>IF($A94="","",IF(Allocation!$N$3="VOL_EFF",$L94,IF(Allocation!$N$3="VOL_CLASS",$M94,$N94)))</f>
        <v>304</v>
      </c>
      <c r="AF94">
        <f>IF($A94="","",IF(Allocation!$N$3="VOL_EFF",$Q94,IF(Allocation!$N$3="VOL_CLASS",$R94,$S94)))</f>
        <v>1179</v>
      </c>
      <c r="AG94">
        <f>IF($A94="","",IF(Allocation!$N$1="VOL_EFF",$Q94,IF(Allocation!$N$1="VOL_CLASS",$R94,$S94)))</f>
        <v>50</v>
      </c>
      <c r="AH94">
        <f>IF($A94="","",IF(Allocation!$N$1="VOL_EFF",$T94,IF(Allocation!$N$1="VOL_CLASS",$U94,$V94)))</f>
        <v>135</v>
      </c>
      <c r="AI94">
        <f t="shared" si="12"/>
        <v>30247.6730769231</v>
      </c>
      <c r="AJ94">
        <f t="shared" si="13"/>
        <v>77076.9380769231</v>
      </c>
      <c r="AK94">
        <f t="shared" si="14"/>
        <v>42460.1118421053</v>
      </c>
      <c r="AL94">
        <f t="shared" si="15"/>
        <v>208376.923846154</v>
      </c>
      <c r="AM94">
        <f t="shared" si="16"/>
        <v>60830.2362570047</v>
      </c>
      <c r="AN94">
        <f t="shared" si="17"/>
        <v>60507.676940815</v>
      </c>
      <c r="AO94">
        <f>IF($A94="","",Allocation!CJ94)</f>
        <v>580167</v>
      </c>
      <c r="AP94">
        <f>IF($A94="","",IF(Allocation!$N$2="VOL_EFF",$Q94,IF(Allocation!$N$2="VOL_CLASS",$R94,$S94)))</f>
        <v>9032400</v>
      </c>
      <c r="AQ94">
        <f>IF($A94="","",IF(Allocation!$N$2="VOL_EFF",$T94,IF(Allocation!$N$2="VOL_CLASS",$U94,$V94)))</f>
        <v>21758770</v>
      </c>
      <c r="AR94">
        <f t="shared" si="18"/>
        <v>14330.4399600748</v>
      </c>
      <c r="AS94" t="str">
        <f>IF($A94="","",$A94&amp;"|"&amp;Allocation!BG94)</f>
        <v>2025|ACT</v>
      </c>
    </row>
    <row r="95" ht="14.497499999999997" customHeight="1">
      <c r="A95" t="str">
        <f>IF(Allocation!BI95="","",Allocation!BI95)</f>
        <v>2025</v>
      </c>
      <c r="B95" t="str">
        <f>IF(Allocation!BJ95="","",Allocation!BJ95)</f>
        <v>MBWAY_LYO</v>
      </c>
      <c r="C95" t="str">
        <f>IF(Allocation!BK95="","",Allocation!BK95)</f>
        <v>MBWAY</v>
      </c>
      <c r="D95" t="str">
        <f>IF(Allocation!BL95="","",Allocation!BL95)</f>
        <v>MAS_MGT</v>
      </c>
      <c r="E95" t="str">
        <f>IF(Allocation!BM95="","",Allocation!BM95)</f>
        <v>M2</v>
      </c>
      <c r="F95" t="str">
        <f>IF(Allocation!BN95="","",Allocation!BN95)</f>
        <v>ALT</v>
      </c>
      <c r="G95">
        <f>IF(Allocation!BO95="","",Allocation!BO95)</f>
        <v>61</v>
      </c>
      <c r="H95">
        <f>IF(Allocation!BP95="","",Allocation!BP95)</f>
        <v>3</v>
      </c>
      <c r="I95">
        <f>IF(Allocation!BQ95="","",Allocation!BQ95)</f>
        <v>480375</v>
      </c>
      <c r="J95">
        <f>IF(Allocation!CC95="","",Allocation!CC95)</f>
        <v>0</v>
      </c>
      <c r="K95">
        <f t="shared" si="0"/>
        <v>1260</v>
      </c>
      <c r="L95">
        <f t="shared" si="1"/>
        <v>304</v>
      </c>
      <c r="M95">
        <f t="shared" si="2"/>
        <v>13</v>
      </c>
      <c r="N95">
        <f t="shared" si="3"/>
        <v>2342685</v>
      </c>
      <c r="O95">
        <f t="shared" si="4"/>
        <v>6240</v>
      </c>
      <c r="P95">
        <f t="shared" si="5"/>
        <v>124</v>
      </c>
      <c r="Q95">
        <f t="shared" si="6"/>
        <v>1179</v>
      </c>
      <c r="R95">
        <f t="shared" si="7"/>
        <v>50</v>
      </c>
      <c r="S95">
        <f t="shared" si="8"/>
        <v>9032400</v>
      </c>
      <c r="T95">
        <f t="shared" si="9"/>
        <v>2933</v>
      </c>
      <c r="U95">
        <f t="shared" si="10"/>
        <v>135</v>
      </c>
      <c r="V95">
        <f t="shared" si="11"/>
        <v>21758770</v>
      </c>
      <c r="W95">
        <f>IF($A95="","",Allocation!CD95)</f>
        <v>149798</v>
      </c>
      <c r="X95">
        <f>IF($A95="","",Allocation!CE95)</f>
        <v>381714.36</v>
      </c>
      <c r="Y95">
        <f>IF($A95="","",Allocation!CF95)</f>
        <v>115067</v>
      </c>
      <c r="Z95">
        <f>IF($A95="","",Allocation!CG95)</f>
        <v>37985</v>
      </c>
      <c r="AA95">
        <f>IF($A95="","",Allocation!CH95)</f>
        <v>902966.67</v>
      </c>
      <c r="AB95">
        <f>IF($A95="","",Allocation!CI95)</f>
        <v>2760232</v>
      </c>
      <c r="AC95">
        <f>IF($A95="","",IF(Allocation!$N$4="VOL_EFF",$G95,IF(Allocation!$N$4="VOL_CLASS",$H95,$I95)))</f>
        <v>3</v>
      </c>
      <c r="AD95">
        <f>IF($A95="","",IF(Allocation!$N$4="VOL_EFF",$L95,IF(Allocation!$N$4="VOL_CLASS",$M95,$N95)))</f>
        <v>13</v>
      </c>
      <c r="AE95">
        <f>IF($A95="","",IF(Allocation!$N$3="VOL_EFF",$L95,IF(Allocation!$N$3="VOL_CLASS",$M95,$N95)))</f>
        <v>304</v>
      </c>
      <c r="AF95">
        <f>IF($A95="","",IF(Allocation!$N$3="VOL_EFF",$Q95,IF(Allocation!$N$3="VOL_CLASS",$R95,$S95)))</f>
        <v>1179</v>
      </c>
      <c r="AG95">
        <f>IF($A95="","",IF(Allocation!$N$1="VOL_EFF",$Q95,IF(Allocation!$N$1="VOL_CLASS",$R95,$S95)))</f>
        <v>50</v>
      </c>
      <c r="AH95">
        <f>IF($A95="","",IF(Allocation!$N$1="VOL_EFF",$T95,IF(Allocation!$N$1="VOL_CLASS",$U95,$V95)))</f>
        <v>135</v>
      </c>
      <c r="AI95">
        <f t="shared" si="12"/>
        <v>30247.6730769231</v>
      </c>
      <c r="AJ95">
        <f t="shared" si="13"/>
        <v>77076.9380769231</v>
      </c>
      <c r="AK95">
        <f t="shared" si="14"/>
        <v>23089.1019736842</v>
      </c>
      <c r="AL95">
        <f t="shared" si="15"/>
        <v>208376.923846154</v>
      </c>
      <c r="AM95">
        <f t="shared" si="16"/>
        <v>60830.2362570047</v>
      </c>
      <c r="AN95">
        <f t="shared" si="17"/>
        <v>66423.6868092361</v>
      </c>
      <c r="AO95">
        <f>IF($A95="","",Allocation!CJ95)</f>
        <v>580167</v>
      </c>
      <c r="AP95">
        <f>IF($A95="","",IF(Allocation!$N$2="VOL_EFF",$Q95,IF(Allocation!$N$2="VOL_CLASS",$R95,$S95)))</f>
        <v>9032400</v>
      </c>
      <c r="AQ95">
        <f>IF($A95="","",IF(Allocation!$N$2="VOL_EFF",$T95,IF(Allocation!$N$2="VOL_CLASS",$U95,$V95)))</f>
        <v>21758770</v>
      </c>
      <c r="AR95">
        <f t="shared" si="18"/>
        <v>14330.4399600748</v>
      </c>
      <c r="AS95" t="str">
        <f>IF($A95="","",$A95&amp;"|"&amp;Allocation!BG95)</f>
        <v>2025|ACT</v>
      </c>
    </row>
    <row r="96" ht="14.497499999999997" customHeight="1">
      <c r="A96" t="str">
        <f>IF(Allocation!BI96="","",Allocation!BI96)</f>
        <v>2025</v>
      </c>
      <c r="B96" t="str">
        <f>IF(Allocation!BJ96="","",Allocation!BJ96)</f>
        <v>MBWAY_NAN</v>
      </c>
      <c r="C96" t="str">
        <f>IF(Allocation!BK96="","",Allocation!BK96)</f>
        <v>MBWAY</v>
      </c>
      <c r="D96" t="str">
        <f>IF(Allocation!BL96="","",Allocation!BL96)</f>
        <v>BAC_MGT</v>
      </c>
      <c r="E96" t="str">
        <f>IF(Allocation!BM96="","",Allocation!BM96)</f>
        <v>B1</v>
      </c>
      <c r="F96" t="str">
        <f>IF(Allocation!BN96="","",Allocation!BN96)</f>
        <v>INIT</v>
      </c>
      <c r="G96">
        <f>IF(Allocation!BO96="","",Allocation!BO96)</f>
        <v>57</v>
      </c>
      <c r="H96">
        <f>IF(Allocation!BP96="","",Allocation!BP96)</f>
        <v>2</v>
      </c>
      <c r="I96">
        <f>IF(Allocation!BQ96="","",Allocation!BQ96)</f>
        <v>432630</v>
      </c>
      <c r="J96">
        <f>IF(Allocation!CC96="","",Allocation!CC96)</f>
        <v>57</v>
      </c>
      <c r="K96">
        <f t="shared" si="0"/>
        <v>1200</v>
      </c>
      <c r="L96">
        <f t="shared" si="1"/>
        <v>279</v>
      </c>
      <c r="M96">
        <f t="shared" si="2"/>
        <v>12</v>
      </c>
      <c r="N96">
        <f t="shared" si="3"/>
        <v>2048260</v>
      </c>
      <c r="O96">
        <f t="shared" si="4"/>
        <v>5640</v>
      </c>
      <c r="P96">
        <f t="shared" si="5"/>
        <v>114</v>
      </c>
      <c r="Q96">
        <f t="shared" si="6"/>
        <v>1179</v>
      </c>
      <c r="R96">
        <f t="shared" si="7"/>
        <v>50</v>
      </c>
      <c r="S96">
        <f t="shared" si="8"/>
        <v>9032400</v>
      </c>
      <c r="T96">
        <f t="shared" si="9"/>
        <v>2933</v>
      </c>
      <c r="U96">
        <f t="shared" si="10"/>
        <v>135</v>
      </c>
      <c r="V96">
        <f t="shared" si="11"/>
        <v>21758770</v>
      </c>
      <c r="W96">
        <f>IF($A96="","",Allocation!CD96)</f>
        <v>138275</v>
      </c>
      <c r="X96">
        <f>IF($A96="","",Allocation!CE96)</f>
        <v>333028.5</v>
      </c>
      <c r="Y96">
        <f>IF($A96="","",Allocation!CF96)</f>
        <v>104412</v>
      </c>
      <c r="Z96">
        <f>IF($A96="","",Allocation!CG96)</f>
        <v>28666</v>
      </c>
      <c r="AA96">
        <f>IF($A96="","",Allocation!CH96)</f>
        <v>778750.02</v>
      </c>
      <c r="AB96">
        <f>IF($A96="","",Allocation!CI96)</f>
        <v>2760232</v>
      </c>
      <c r="AC96">
        <f>IF($A96="","",IF(Allocation!$N$4="VOL_EFF",$G96,IF(Allocation!$N$4="VOL_CLASS",$H96,$I96)))</f>
        <v>2</v>
      </c>
      <c r="AD96">
        <f>IF($A96="","",IF(Allocation!$N$4="VOL_EFF",$L96,IF(Allocation!$N$4="VOL_CLASS",$M96,$N96)))</f>
        <v>12</v>
      </c>
      <c r="AE96">
        <f>IF($A96="","",IF(Allocation!$N$3="VOL_EFF",$L96,IF(Allocation!$N$3="VOL_CLASS",$M96,$N96)))</f>
        <v>279</v>
      </c>
      <c r="AF96">
        <f>IF($A96="","",IF(Allocation!$N$3="VOL_EFF",$Q96,IF(Allocation!$N$3="VOL_CLASS",$R96,$S96)))</f>
        <v>1179</v>
      </c>
      <c r="AG96">
        <f>IF($A96="","",IF(Allocation!$N$1="VOL_EFF",$Q96,IF(Allocation!$N$1="VOL_CLASS",$R96,$S96)))</f>
        <v>50</v>
      </c>
      <c r="AH96">
        <f>IF($A96="","",IF(Allocation!$N$1="VOL_EFF",$T96,IF(Allocation!$N$1="VOL_CLASS",$U96,$V96)))</f>
        <v>135</v>
      </c>
      <c r="AI96">
        <f t="shared" si="12"/>
        <v>29420.2127659574</v>
      </c>
      <c r="AJ96">
        <f t="shared" si="13"/>
        <v>70857.1276595745</v>
      </c>
      <c r="AK96">
        <f t="shared" si="14"/>
        <v>35664.4838709677</v>
      </c>
      <c r="AL96">
        <f t="shared" si="15"/>
        <v>129791.67</v>
      </c>
      <c r="AM96">
        <f t="shared" si="16"/>
        <v>40320.0414664028</v>
      </c>
      <c r="AN96">
        <f t="shared" si="17"/>
        <v>117077.833803035</v>
      </c>
      <c r="AO96">
        <f>IF($A96="","",Allocation!CJ96)</f>
        <v>580167</v>
      </c>
      <c r="AP96">
        <f>IF($A96="","",IF(Allocation!$N$2="VOL_EFF",$Q96,IF(Allocation!$N$2="VOL_CLASS",$R96,$S96)))</f>
        <v>9032400</v>
      </c>
      <c r="AQ96">
        <f>IF($A96="","",IF(Allocation!$N$2="VOL_EFF",$T96,IF(Allocation!$N$2="VOL_CLASS",$U96,$V96)))</f>
        <v>21758770</v>
      </c>
      <c r="AR96">
        <f t="shared" si="18"/>
        <v>9498.63043406272</v>
      </c>
      <c r="AS96" t="str">
        <f>IF($A96="","",$A96&amp;"|"&amp;Allocation!BG96)</f>
        <v>2025|ACT</v>
      </c>
    </row>
    <row r="97" ht="14.497499999999997" customHeight="1">
      <c r="A97" t="str">
        <f>IF(Allocation!BI97="","",Allocation!BI97)</f>
        <v>2025</v>
      </c>
      <c r="B97" t="str">
        <f>IF(Allocation!BJ97="","",Allocation!BJ97)</f>
        <v>MBWAY_NAN</v>
      </c>
      <c r="C97" t="str">
        <f>IF(Allocation!BK97="","",Allocation!BK97)</f>
        <v>MBWAY</v>
      </c>
      <c r="D97" t="str">
        <f>IF(Allocation!BL97="","",Allocation!BL97)</f>
        <v>BAC_MGT</v>
      </c>
      <c r="E97" t="str">
        <f>IF(Allocation!BM97="","",Allocation!BM97)</f>
        <v>B2</v>
      </c>
      <c r="F97" t="str">
        <f>IF(Allocation!BN97="","",Allocation!BN97)</f>
        <v>ALT</v>
      </c>
      <c r="G97">
        <f>IF(Allocation!BO97="","",Allocation!BO97)</f>
        <v>55</v>
      </c>
      <c r="H97">
        <f>IF(Allocation!BP97="","",Allocation!BP97)</f>
        <v>2</v>
      </c>
      <c r="I97">
        <f>IF(Allocation!BQ97="","",Allocation!BQ97)</f>
        <v>385000</v>
      </c>
      <c r="J97">
        <f>IF(Allocation!CC97="","",Allocation!CC97)</f>
        <v>0</v>
      </c>
      <c r="K97">
        <f t="shared" si="0"/>
        <v>960</v>
      </c>
      <c r="L97">
        <f t="shared" si="1"/>
        <v>279</v>
      </c>
      <c r="M97">
        <f t="shared" si="2"/>
        <v>12</v>
      </c>
      <c r="N97">
        <f t="shared" si="3"/>
        <v>2048260</v>
      </c>
      <c r="O97">
        <f t="shared" si="4"/>
        <v>5640</v>
      </c>
      <c r="P97">
        <f t="shared" si="5"/>
        <v>114</v>
      </c>
      <c r="Q97">
        <f t="shared" si="6"/>
        <v>1179</v>
      </c>
      <c r="R97">
        <f t="shared" si="7"/>
        <v>50</v>
      </c>
      <c r="S97">
        <f t="shared" si="8"/>
        <v>9032400</v>
      </c>
      <c r="T97">
        <f t="shared" si="9"/>
        <v>2933</v>
      </c>
      <c r="U97">
        <f t="shared" si="10"/>
        <v>135</v>
      </c>
      <c r="V97">
        <f t="shared" si="11"/>
        <v>21758770</v>
      </c>
      <c r="W97">
        <f>IF($A97="","",Allocation!CD97)</f>
        <v>138275</v>
      </c>
      <c r="X97">
        <f>IF($A97="","",Allocation!CE97)</f>
        <v>333028.5</v>
      </c>
      <c r="Y97">
        <f>IF($A97="","",Allocation!CF97)</f>
        <v>104412</v>
      </c>
      <c r="Z97">
        <f>IF($A97="","",Allocation!CG97)</f>
        <v>28666</v>
      </c>
      <c r="AA97">
        <f>IF($A97="","",Allocation!CH97)</f>
        <v>778750.02</v>
      </c>
      <c r="AB97">
        <f>IF($A97="","",Allocation!CI97)</f>
        <v>2760232</v>
      </c>
      <c r="AC97">
        <f>IF($A97="","",IF(Allocation!$N$4="VOL_EFF",$G97,IF(Allocation!$N$4="VOL_CLASS",$H97,$I97)))</f>
        <v>2</v>
      </c>
      <c r="AD97">
        <f>IF($A97="","",IF(Allocation!$N$4="VOL_EFF",$L97,IF(Allocation!$N$4="VOL_CLASS",$M97,$N97)))</f>
        <v>12</v>
      </c>
      <c r="AE97">
        <f>IF($A97="","",IF(Allocation!$N$3="VOL_EFF",$L97,IF(Allocation!$N$3="VOL_CLASS",$M97,$N97)))</f>
        <v>279</v>
      </c>
      <c r="AF97">
        <f>IF($A97="","",IF(Allocation!$N$3="VOL_EFF",$Q97,IF(Allocation!$N$3="VOL_CLASS",$R97,$S97)))</f>
        <v>1179</v>
      </c>
      <c r="AG97">
        <f>IF($A97="","",IF(Allocation!$N$1="VOL_EFF",$Q97,IF(Allocation!$N$1="VOL_CLASS",$R97,$S97)))</f>
        <v>50</v>
      </c>
      <c r="AH97">
        <f>IF($A97="","",IF(Allocation!$N$1="VOL_EFF",$T97,IF(Allocation!$N$1="VOL_CLASS",$U97,$V97)))</f>
        <v>135</v>
      </c>
      <c r="AI97">
        <f t="shared" si="12"/>
        <v>23536.170212766</v>
      </c>
      <c r="AJ97">
        <f t="shared" si="13"/>
        <v>56685.7021276596</v>
      </c>
      <c r="AK97">
        <f t="shared" si="14"/>
        <v>20583.0107526882</v>
      </c>
      <c r="AL97">
        <f t="shared" si="15"/>
        <v>129791.67</v>
      </c>
      <c r="AM97">
        <f t="shared" si="16"/>
        <v>40320.0414664028</v>
      </c>
      <c r="AN97">
        <f t="shared" si="17"/>
        <v>104584.775006421</v>
      </c>
      <c r="AO97">
        <f>IF($A97="","",Allocation!CJ97)</f>
        <v>580167</v>
      </c>
      <c r="AP97">
        <f>IF($A97="","",IF(Allocation!$N$2="VOL_EFF",$Q97,IF(Allocation!$N$2="VOL_CLASS",$R97,$S97)))</f>
        <v>9032400</v>
      </c>
      <c r="AQ97">
        <f>IF($A97="","",IF(Allocation!$N$2="VOL_EFF",$T97,IF(Allocation!$N$2="VOL_CLASS",$U97,$V97)))</f>
        <v>21758770</v>
      </c>
      <c r="AR97">
        <f t="shared" si="18"/>
        <v>9498.63043406272</v>
      </c>
      <c r="AS97" t="str">
        <f>IF($A97="","",$A97&amp;"|"&amp;Allocation!BG97)</f>
        <v>2025|ACT</v>
      </c>
    </row>
    <row r="98" ht="14.497499999999997" customHeight="1">
      <c r="A98" t="str">
        <f>IF(Allocation!BI98="","",Allocation!BI98)</f>
        <v>2025</v>
      </c>
      <c r="B98" t="str">
        <f>IF(Allocation!BJ98="","",Allocation!BJ98)</f>
        <v>MBWAY_NAN</v>
      </c>
      <c r="C98" t="str">
        <f>IF(Allocation!BK98="","",Allocation!BK98)</f>
        <v>MBWAY</v>
      </c>
      <c r="D98" t="str">
        <f>IF(Allocation!BL98="","",Allocation!BL98)</f>
        <v>BAC_MGT</v>
      </c>
      <c r="E98" t="str">
        <f>IF(Allocation!BM98="","",Allocation!BM98)</f>
        <v>B3</v>
      </c>
      <c r="F98" t="str">
        <f>IF(Allocation!BN98="","",Allocation!BN98)</f>
        <v>ALT</v>
      </c>
      <c r="G98">
        <f>IF(Allocation!BO98="","",Allocation!BO98)</f>
        <v>54</v>
      </c>
      <c r="H98">
        <f>IF(Allocation!BP98="","",Allocation!BP98)</f>
        <v>2</v>
      </c>
      <c r="I98">
        <f>IF(Allocation!BQ98="","",Allocation!BQ98)</f>
        <v>378000</v>
      </c>
      <c r="J98">
        <f>IF(Allocation!CC98="","",Allocation!CC98)</f>
        <v>0</v>
      </c>
      <c r="K98">
        <f t="shared" si="0"/>
        <v>960</v>
      </c>
      <c r="L98">
        <f t="shared" si="1"/>
        <v>279</v>
      </c>
      <c r="M98">
        <f t="shared" si="2"/>
        <v>12</v>
      </c>
      <c r="N98">
        <f t="shared" si="3"/>
        <v>2048260</v>
      </c>
      <c r="O98">
        <f t="shared" si="4"/>
        <v>5640</v>
      </c>
      <c r="P98">
        <f t="shared" si="5"/>
        <v>114</v>
      </c>
      <c r="Q98">
        <f t="shared" si="6"/>
        <v>1179</v>
      </c>
      <c r="R98">
        <f t="shared" si="7"/>
        <v>50</v>
      </c>
      <c r="S98">
        <f t="shared" si="8"/>
        <v>9032400</v>
      </c>
      <c r="T98">
        <f t="shared" si="9"/>
        <v>2933</v>
      </c>
      <c r="U98">
        <f t="shared" si="10"/>
        <v>135</v>
      </c>
      <c r="V98">
        <f t="shared" si="11"/>
        <v>21758770</v>
      </c>
      <c r="W98">
        <f>IF($A98="","",Allocation!CD98)</f>
        <v>138275</v>
      </c>
      <c r="X98">
        <f>IF($A98="","",Allocation!CE98)</f>
        <v>333028.5</v>
      </c>
      <c r="Y98">
        <f>IF($A98="","",Allocation!CF98)</f>
        <v>104412</v>
      </c>
      <c r="Z98">
        <f>IF($A98="","",Allocation!CG98)</f>
        <v>28666</v>
      </c>
      <c r="AA98">
        <f>IF($A98="","",Allocation!CH98)</f>
        <v>778750.02</v>
      </c>
      <c r="AB98">
        <f>IF($A98="","",Allocation!CI98)</f>
        <v>2760232</v>
      </c>
      <c r="AC98">
        <f>IF($A98="","",IF(Allocation!$N$4="VOL_EFF",$G98,IF(Allocation!$N$4="VOL_CLASS",$H98,$I98)))</f>
        <v>2</v>
      </c>
      <c r="AD98">
        <f>IF($A98="","",IF(Allocation!$N$4="VOL_EFF",$L98,IF(Allocation!$N$4="VOL_CLASS",$M98,$N98)))</f>
        <v>12</v>
      </c>
      <c r="AE98">
        <f>IF($A98="","",IF(Allocation!$N$3="VOL_EFF",$L98,IF(Allocation!$N$3="VOL_CLASS",$M98,$N98)))</f>
        <v>279</v>
      </c>
      <c r="AF98">
        <f>IF($A98="","",IF(Allocation!$N$3="VOL_EFF",$Q98,IF(Allocation!$N$3="VOL_CLASS",$R98,$S98)))</f>
        <v>1179</v>
      </c>
      <c r="AG98">
        <f>IF($A98="","",IF(Allocation!$N$1="VOL_EFF",$Q98,IF(Allocation!$N$1="VOL_CLASS",$R98,$S98)))</f>
        <v>50</v>
      </c>
      <c r="AH98">
        <f>IF($A98="","",IF(Allocation!$N$1="VOL_EFF",$T98,IF(Allocation!$N$1="VOL_CLASS",$U98,$V98)))</f>
        <v>135</v>
      </c>
      <c r="AI98">
        <f t="shared" si="12"/>
        <v>23536.170212766</v>
      </c>
      <c r="AJ98">
        <f t="shared" si="13"/>
        <v>56685.7021276596</v>
      </c>
      <c r="AK98">
        <f t="shared" si="14"/>
        <v>20208.7741935484</v>
      </c>
      <c r="AL98">
        <f t="shared" si="15"/>
        <v>129791.67</v>
      </c>
      <c r="AM98">
        <f t="shared" si="16"/>
        <v>40320.0414664028</v>
      </c>
      <c r="AN98">
        <f t="shared" si="17"/>
        <v>97959.0115655604</v>
      </c>
      <c r="AO98">
        <f>IF($A98="","",Allocation!CJ98)</f>
        <v>580167</v>
      </c>
      <c r="AP98">
        <f>IF($A98="","",IF(Allocation!$N$2="VOL_EFF",$Q98,IF(Allocation!$N$2="VOL_CLASS",$R98,$S98)))</f>
        <v>9032400</v>
      </c>
      <c r="AQ98">
        <f>IF($A98="","",IF(Allocation!$N$2="VOL_EFF",$T98,IF(Allocation!$N$2="VOL_CLASS",$U98,$V98)))</f>
        <v>21758770</v>
      </c>
      <c r="AR98">
        <f t="shared" si="18"/>
        <v>9498.63043406272</v>
      </c>
      <c r="AS98" t="str">
        <f>IF($A98="","",$A98&amp;"|"&amp;Allocation!BG98)</f>
        <v>2025|ACT</v>
      </c>
    </row>
    <row r="99" ht="14.497499999999997" customHeight="1">
      <c r="A99" t="str">
        <f>IF(Allocation!BI99="","",Allocation!BI99)</f>
        <v>2025</v>
      </c>
      <c r="B99" t="str">
        <f>IF(Allocation!BJ99="","",Allocation!BJ99)</f>
        <v>MBWAY_NAN</v>
      </c>
      <c r="C99" t="str">
        <f>IF(Allocation!BK99="","",Allocation!BK99)</f>
        <v>MBWAY</v>
      </c>
      <c r="D99" t="str">
        <f>IF(Allocation!BL99="","",Allocation!BL99)</f>
        <v>MAS_MGT</v>
      </c>
      <c r="E99" t="str">
        <f>IF(Allocation!BM99="","",Allocation!BM99)</f>
        <v>M1</v>
      </c>
      <c r="F99" t="str">
        <f>IF(Allocation!BN99="","",Allocation!BN99)</f>
        <v>ALT</v>
      </c>
      <c r="G99">
        <f>IF(Allocation!BO99="","",Allocation!BO99)</f>
        <v>57</v>
      </c>
      <c r="H99">
        <f>IF(Allocation!BP99="","",Allocation!BP99)</f>
        <v>3</v>
      </c>
      <c r="I99">
        <f>IF(Allocation!BQ99="","",Allocation!BQ99)</f>
        <v>432630</v>
      </c>
      <c r="J99">
        <f>IF(Allocation!CC99="","",Allocation!CC99)</f>
        <v>57</v>
      </c>
      <c r="K99">
        <f t="shared" si="0"/>
        <v>1260</v>
      </c>
      <c r="L99">
        <f t="shared" si="1"/>
        <v>279</v>
      </c>
      <c r="M99">
        <f t="shared" si="2"/>
        <v>12</v>
      </c>
      <c r="N99">
        <f t="shared" si="3"/>
        <v>2048260</v>
      </c>
      <c r="O99">
        <f t="shared" si="4"/>
        <v>5640</v>
      </c>
      <c r="P99">
        <f t="shared" si="5"/>
        <v>114</v>
      </c>
      <c r="Q99">
        <f t="shared" si="6"/>
        <v>1179</v>
      </c>
      <c r="R99">
        <f t="shared" si="7"/>
        <v>50</v>
      </c>
      <c r="S99">
        <f t="shared" si="8"/>
        <v>9032400</v>
      </c>
      <c r="T99">
        <f t="shared" si="9"/>
        <v>2933</v>
      </c>
      <c r="U99">
        <f t="shared" si="10"/>
        <v>135</v>
      </c>
      <c r="V99">
        <f t="shared" si="11"/>
        <v>21758770</v>
      </c>
      <c r="W99">
        <f>IF($A99="","",Allocation!CD99)</f>
        <v>138275</v>
      </c>
      <c r="X99">
        <f>IF($A99="","",Allocation!CE99)</f>
        <v>333028.5</v>
      </c>
      <c r="Y99">
        <f>IF($A99="","",Allocation!CF99)</f>
        <v>104412</v>
      </c>
      <c r="Z99">
        <f>IF($A99="","",Allocation!CG99)</f>
        <v>28666</v>
      </c>
      <c r="AA99">
        <f>IF($A99="","",Allocation!CH99)</f>
        <v>778750.02</v>
      </c>
      <c r="AB99">
        <f>IF($A99="","",Allocation!CI99)</f>
        <v>2760232</v>
      </c>
      <c r="AC99">
        <f>IF($A99="","",IF(Allocation!$N$4="VOL_EFF",$G99,IF(Allocation!$N$4="VOL_CLASS",$H99,$I99)))</f>
        <v>3</v>
      </c>
      <c r="AD99">
        <f>IF($A99="","",IF(Allocation!$N$4="VOL_EFF",$L99,IF(Allocation!$N$4="VOL_CLASS",$M99,$N99)))</f>
        <v>12</v>
      </c>
      <c r="AE99">
        <f>IF($A99="","",IF(Allocation!$N$3="VOL_EFF",$L99,IF(Allocation!$N$3="VOL_CLASS",$M99,$N99)))</f>
        <v>279</v>
      </c>
      <c r="AF99">
        <f>IF($A99="","",IF(Allocation!$N$3="VOL_EFF",$Q99,IF(Allocation!$N$3="VOL_CLASS",$R99,$S99)))</f>
        <v>1179</v>
      </c>
      <c r="AG99">
        <f>IF($A99="","",IF(Allocation!$N$1="VOL_EFF",$Q99,IF(Allocation!$N$1="VOL_CLASS",$R99,$S99)))</f>
        <v>50</v>
      </c>
      <c r="AH99">
        <f>IF($A99="","",IF(Allocation!$N$1="VOL_EFF",$T99,IF(Allocation!$N$1="VOL_CLASS",$U99,$V99)))</f>
        <v>135</v>
      </c>
      <c r="AI99">
        <f t="shared" si="12"/>
        <v>30891.2234042553</v>
      </c>
      <c r="AJ99">
        <f t="shared" si="13"/>
        <v>74399.9840425532</v>
      </c>
      <c r="AK99">
        <f t="shared" si="14"/>
        <v>35664.4838709677</v>
      </c>
      <c r="AL99">
        <f t="shared" si="15"/>
        <v>194687.505</v>
      </c>
      <c r="AM99">
        <f t="shared" si="16"/>
        <v>60480.0621996042</v>
      </c>
      <c r="AN99">
        <f t="shared" si="17"/>
        <v>22258.7958315255</v>
      </c>
      <c r="AO99">
        <f>IF($A99="","",Allocation!CJ99)</f>
        <v>580167</v>
      </c>
      <c r="AP99">
        <f>IF($A99="","",IF(Allocation!$N$2="VOL_EFF",$Q99,IF(Allocation!$N$2="VOL_CLASS",$R99,$S99)))</f>
        <v>9032400</v>
      </c>
      <c r="AQ99">
        <f>IF($A99="","",IF(Allocation!$N$2="VOL_EFF",$T99,IF(Allocation!$N$2="VOL_CLASS",$U99,$V99)))</f>
        <v>21758770</v>
      </c>
      <c r="AR99">
        <f t="shared" si="18"/>
        <v>14247.9456510941</v>
      </c>
      <c r="AS99" t="str">
        <f>IF($A99="","",$A99&amp;"|"&amp;Allocation!BG99)</f>
        <v>2025|ACT</v>
      </c>
    </row>
    <row r="100" ht="14.497499999999997" customHeight="1">
      <c r="A100" t="str">
        <f>IF(Allocation!BI100="","",Allocation!BI100)</f>
        <v>2025</v>
      </c>
      <c r="B100" t="str">
        <f>IF(Allocation!BJ100="","",Allocation!BJ100)</f>
        <v>MBWAY_NAN</v>
      </c>
      <c r="C100" t="str">
        <f>IF(Allocation!BK100="","",Allocation!BK100)</f>
        <v>MBWAY</v>
      </c>
      <c r="D100" t="str">
        <f>IF(Allocation!BL100="","",Allocation!BL100)</f>
        <v>MAS_MGT</v>
      </c>
      <c r="E100" t="str">
        <f>IF(Allocation!BM100="","",Allocation!BM100)</f>
        <v>M2</v>
      </c>
      <c r="F100" t="str">
        <f>IF(Allocation!BN100="","",Allocation!BN100)</f>
        <v>ALT</v>
      </c>
      <c r="G100">
        <f>IF(Allocation!BO100="","",Allocation!BO100)</f>
        <v>56</v>
      </c>
      <c r="H100">
        <f>IF(Allocation!BP100="","",Allocation!BP100)</f>
        <v>3</v>
      </c>
      <c r="I100">
        <f>IF(Allocation!BQ100="","",Allocation!BQ100)</f>
        <v>420000</v>
      </c>
      <c r="J100">
        <f>IF(Allocation!CC100="","",Allocation!CC100)</f>
        <v>0</v>
      </c>
      <c r="K100">
        <f t="shared" si="0"/>
        <v>1260</v>
      </c>
      <c r="L100">
        <f t="shared" si="1"/>
        <v>279</v>
      </c>
      <c r="M100">
        <f t="shared" si="2"/>
        <v>12</v>
      </c>
      <c r="N100">
        <f t="shared" si="3"/>
        <v>2048260</v>
      </c>
      <c r="O100">
        <f t="shared" si="4"/>
        <v>5640</v>
      </c>
      <c r="P100">
        <f t="shared" si="5"/>
        <v>114</v>
      </c>
      <c r="Q100">
        <f t="shared" si="6"/>
        <v>1179</v>
      </c>
      <c r="R100">
        <f t="shared" si="7"/>
        <v>50</v>
      </c>
      <c r="S100">
        <f t="shared" si="8"/>
        <v>9032400</v>
      </c>
      <c r="T100">
        <f t="shared" si="9"/>
        <v>2933</v>
      </c>
      <c r="U100">
        <f t="shared" si="10"/>
        <v>135</v>
      </c>
      <c r="V100">
        <f t="shared" si="11"/>
        <v>21758770</v>
      </c>
      <c r="W100">
        <f>IF($A100="","",Allocation!CD100)</f>
        <v>138275</v>
      </c>
      <c r="X100">
        <f>IF($A100="","",Allocation!CE100)</f>
        <v>333028.5</v>
      </c>
      <c r="Y100">
        <f>IF($A100="","",Allocation!CF100)</f>
        <v>104412</v>
      </c>
      <c r="Z100">
        <f>IF($A100="","",Allocation!CG100)</f>
        <v>28666</v>
      </c>
      <c r="AA100">
        <f>IF($A100="","",Allocation!CH100)</f>
        <v>778750.02</v>
      </c>
      <c r="AB100">
        <f>IF($A100="","",Allocation!CI100)</f>
        <v>2760232</v>
      </c>
      <c r="AC100">
        <f>IF($A100="","",IF(Allocation!$N$4="VOL_EFF",$G100,IF(Allocation!$N$4="VOL_CLASS",$H100,$I100)))</f>
        <v>3</v>
      </c>
      <c r="AD100">
        <f>IF($A100="","",IF(Allocation!$N$4="VOL_EFF",$L100,IF(Allocation!$N$4="VOL_CLASS",$M100,$N100)))</f>
        <v>12</v>
      </c>
      <c r="AE100">
        <f>IF($A100="","",IF(Allocation!$N$3="VOL_EFF",$L100,IF(Allocation!$N$3="VOL_CLASS",$M100,$N100)))</f>
        <v>279</v>
      </c>
      <c r="AF100">
        <f>IF($A100="","",IF(Allocation!$N$3="VOL_EFF",$Q100,IF(Allocation!$N$3="VOL_CLASS",$R100,$S100)))</f>
        <v>1179</v>
      </c>
      <c r="AG100">
        <f>IF($A100="","",IF(Allocation!$N$1="VOL_EFF",$Q100,IF(Allocation!$N$1="VOL_CLASS",$R100,$S100)))</f>
        <v>50</v>
      </c>
      <c r="AH100">
        <f>IF($A100="","",IF(Allocation!$N$1="VOL_EFF",$T100,IF(Allocation!$N$1="VOL_CLASS",$U100,$V100)))</f>
        <v>135</v>
      </c>
      <c r="AI100">
        <f t="shared" si="12"/>
        <v>30891.2234042553</v>
      </c>
      <c r="AJ100">
        <f t="shared" si="13"/>
        <v>74399.9840425532</v>
      </c>
      <c r="AK100">
        <f t="shared" si="14"/>
        <v>20957.247311828</v>
      </c>
      <c r="AL100">
        <f t="shared" si="15"/>
        <v>194687.505</v>
      </c>
      <c r="AM100">
        <f t="shared" si="16"/>
        <v>60480.0621996042</v>
      </c>
      <c r="AN100">
        <f t="shared" si="17"/>
        <v>24336.0323906651</v>
      </c>
      <c r="AO100">
        <f>IF($A100="","",Allocation!CJ100)</f>
        <v>580167</v>
      </c>
      <c r="AP100">
        <f>IF($A100="","",IF(Allocation!$N$2="VOL_EFF",$Q100,IF(Allocation!$N$2="VOL_CLASS",$R100,$S100)))</f>
        <v>9032400</v>
      </c>
      <c r="AQ100">
        <f>IF($A100="","",IF(Allocation!$N$2="VOL_EFF",$T100,IF(Allocation!$N$2="VOL_CLASS",$U100,$V100)))</f>
        <v>21758770</v>
      </c>
      <c r="AR100">
        <f t="shared" si="18"/>
        <v>14247.9456510941</v>
      </c>
      <c r="AS100" t="str">
        <f>IF($A100="","",$A100&amp;"|"&amp;Allocation!BG100)</f>
        <v>2025|ACT</v>
      </c>
    </row>
    <row r="101" ht="14.497499999999997" customHeight="1">
      <c r="A101" t="str">
        <f>IF(Allocation!BI101="","",Allocation!BI101)</f>
        <v>2025</v>
      </c>
      <c r="B101" t="str">
        <f>IF(Allocation!BJ101="","",Allocation!BJ101)</f>
        <v>MBWAY_PAR</v>
      </c>
      <c r="C101" t="str">
        <f>IF(Allocation!BK101="","",Allocation!BK101)</f>
        <v>MBWAY</v>
      </c>
      <c r="D101" t="str">
        <f>IF(Allocation!BL101="","",Allocation!BL101)</f>
        <v>BAC_MGT</v>
      </c>
      <c r="E101" t="str">
        <f>IF(Allocation!BM101="","",Allocation!BM101)</f>
        <v>B1</v>
      </c>
      <c r="F101" t="str">
        <f>IF(Allocation!BN101="","",Allocation!BN101)</f>
        <v>INIT</v>
      </c>
      <c r="G101">
        <f>IF(Allocation!BO101="","",Allocation!BO101)</f>
        <v>74</v>
      </c>
      <c r="H101">
        <f>IF(Allocation!BP101="","",Allocation!BP101)</f>
        <v>3</v>
      </c>
      <c r="I101">
        <f>IF(Allocation!BQ101="","",Allocation!BQ101)</f>
        <v>628260</v>
      </c>
      <c r="J101">
        <f>IF(Allocation!CC101="","",Allocation!CC101)</f>
        <v>74</v>
      </c>
      <c r="K101">
        <f t="shared" si="0"/>
        <v>1800</v>
      </c>
      <c r="L101">
        <f t="shared" si="1"/>
        <v>362</v>
      </c>
      <c r="M101">
        <f t="shared" si="2"/>
        <v>15</v>
      </c>
      <c r="N101">
        <f t="shared" si="3"/>
        <v>2974600</v>
      </c>
      <c r="O101">
        <f t="shared" si="4"/>
        <v>7200</v>
      </c>
      <c r="P101">
        <f t="shared" si="5"/>
        <v>148</v>
      </c>
      <c r="Q101">
        <f t="shared" si="6"/>
        <v>1179</v>
      </c>
      <c r="R101">
        <f t="shared" si="7"/>
        <v>50</v>
      </c>
      <c r="S101">
        <f t="shared" si="8"/>
        <v>9032400</v>
      </c>
      <c r="T101">
        <f t="shared" si="9"/>
        <v>2933</v>
      </c>
      <c r="U101">
        <f t="shared" si="10"/>
        <v>135</v>
      </c>
      <c r="V101">
        <f t="shared" si="11"/>
        <v>21758770</v>
      </c>
      <c r="W101">
        <f>IF($A101="","",Allocation!CD101)</f>
        <v>172844</v>
      </c>
      <c r="X101">
        <f>IF($A101="","",Allocation!CE101)</f>
        <v>484866.41</v>
      </c>
      <c r="Y101">
        <f>IF($A101="","",Allocation!CF101)</f>
        <v>135665</v>
      </c>
      <c r="Z101">
        <f>IF($A101="","",Allocation!CG101)</f>
        <v>62082</v>
      </c>
      <c r="AA101">
        <f>IF($A101="","",Allocation!CH101)</f>
        <v>1163910.23</v>
      </c>
      <c r="AB101">
        <f>IF($A101="","",Allocation!CI101)</f>
        <v>2760232</v>
      </c>
      <c r="AC101">
        <f>IF($A101="","",IF(Allocation!$N$4="VOL_EFF",$G101,IF(Allocation!$N$4="VOL_CLASS",$H101,$I101)))</f>
        <v>3</v>
      </c>
      <c r="AD101">
        <f>IF($A101="","",IF(Allocation!$N$4="VOL_EFF",$L101,IF(Allocation!$N$4="VOL_CLASS",$M101,$N101)))</f>
        <v>15</v>
      </c>
      <c r="AE101">
        <f>IF($A101="","",IF(Allocation!$N$3="VOL_EFF",$L101,IF(Allocation!$N$3="VOL_CLASS",$M101,$N101)))</f>
        <v>362</v>
      </c>
      <c r="AF101">
        <f>IF($A101="","",IF(Allocation!$N$3="VOL_EFF",$Q101,IF(Allocation!$N$3="VOL_CLASS",$R101,$S101)))</f>
        <v>1179</v>
      </c>
      <c r="AG101">
        <f>IF($A101="","",IF(Allocation!$N$1="VOL_EFF",$Q101,IF(Allocation!$N$1="VOL_CLASS",$R101,$S101)))</f>
        <v>50</v>
      </c>
      <c r="AH101">
        <f>IF($A101="","",IF(Allocation!$N$1="VOL_EFF",$T101,IF(Allocation!$N$1="VOL_CLASS",$U101,$V101)))</f>
        <v>135</v>
      </c>
      <c r="AI101">
        <f t="shared" si="12"/>
        <v>43211</v>
      </c>
      <c r="AJ101">
        <f t="shared" si="13"/>
        <v>121216.6025</v>
      </c>
      <c r="AK101">
        <f t="shared" si="14"/>
        <v>58773.6243093923</v>
      </c>
      <c r="AL101">
        <f t="shared" si="15"/>
        <v>232782.046</v>
      </c>
      <c r="AM101">
        <f t="shared" si="16"/>
        <v>62777.8710143562</v>
      </c>
      <c r="AN101">
        <f t="shared" si="17"/>
        <v>94709.590726227</v>
      </c>
      <c r="AO101">
        <f>IF($A101="","",Allocation!CJ101)</f>
        <v>580167</v>
      </c>
      <c r="AP101">
        <f>IF($A101="","",IF(Allocation!$N$2="VOL_EFF",$Q101,IF(Allocation!$N$2="VOL_CLASS",$R101,$S101)))</f>
        <v>9032400</v>
      </c>
      <c r="AQ101">
        <f>IF($A101="","",IF(Allocation!$N$2="VOL_EFF",$T101,IF(Allocation!$N$2="VOL_CLASS",$U101,$V101)))</f>
        <v>21758770</v>
      </c>
      <c r="AR101">
        <f t="shared" si="18"/>
        <v>14789.2654500245</v>
      </c>
      <c r="AS101" t="str">
        <f>IF($A101="","",$A101&amp;"|"&amp;Allocation!BG101)</f>
        <v>2025|ACT</v>
      </c>
    </row>
    <row r="102" ht="14.497499999999997" customHeight="1">
      <c r="A102" t="str">
        <f>IF(Allocation!BI102="","",Allocation!BI102)</f>
        <v>2025</v>
      </c>
      <c r="B102" t="str">
        <f>IF(Allocation!BJ102="","",Allocation!BJ102)</f>
        <v>MBWAY_PAR</v>
      </c>
      <c r="C102" t="str">
        <f>IF(Allocation!BK102="","",Allocation!BK102)</f>
        <v>MBWAY</v>
      </c>
      <c r="D102" t="str">
        <f>IF(Allocation!BL102="","",Allocation!BL102)</f>
        <v>BAC_MGT</v>
      </c>
      <c r="E102" t="str">
        <f>IF(Allocation!BM102="","",Allocation!BM102)</f>
        <v>B2</v>
      </c>
      <c r="F102" t="str">
        <f>IF(Allocation!BN102="","",Allocation!BN102)</f>
        <v>ALT</v>
      </c>
      <c r="G102">
        <f>IF(Allocation!BO102="","",Allocation!BO102)</f>
        <v>72</v>
      </c>
      <c r="H102">
        <f>IF(Allocation!BP102="","",Allocation!BP102)</f>
        <v>3</v>
      </c>
      <c r="I102">
        <f>IF(Allocation!BQ102="","",Allocation!BQ102)</f>
        <v>564480</v>
      </c>
      <c r="J102">
        <f>IF(Allocation!CC102="","",Allocation!CC102)</f>
        <v>0</v>
      </c>
      <c r="K102">
        <f t="shared" si="0"/>
        <v>1440</v>
      </c>
      <c r="L102">
        <f t="shared" si="1"/>
        <v>362</v>
      </c>
      <c r="M102">
        <f t="shared" si="2"/>
        <v>15</v>
      </c>
      <c r="N102">
        <f t="shared" si="3"/>
        <v>2974600</v>
      </c>
      <c r="O102">
        <f t="shared" si="4"/>
        <v>7200</v>
      </c>
      <c r="P102">
        <f t="shared" si="5"/>
        <v>148</v>
      </c>
      <c r="Q102">
        <f t="shared" si="6"/>
        <v>1179</v>
      </c>
      <c r="R102">
        <f t="shared" si="7"/>
        <v>50</v>
      </c>
      <c r="S102">
        <f t="shared" si="8"/>
        <v>9032400</v>
      </c>
      <c r="T102">
        <f t="shared" si="9"/>
        <v>2933</v>
      </c>
      <c r="U102">
        <f t="shared" si="10"/>
        <v>135</v>
      </c>
      <c r="V102">
        <f t="shared" si="11"/>
        <v>21758770</v>
      </c>
      <c r="W102">
        <f>IF($A102="","",Allocation!CD102)</f>
        <v>172844</v>
      </c>
      <c r="X102">
        <f>IF($A102="","",Allocation!CE102)</f>
        <v>484866.41</v>
      </c>
      <c r="Y102">
        <f>IF($A102="","",Allocation!CF102)</f>
        <v>135665</v>
      </c>
      <c r="Z102">
        <f>IF($A102="","",Allocation!CG102)</f>
        <v>62082</v>
      </c>
      <c r="AA102">
        <f>IF($A102="","",Allocation!CH102)</f>
        <v>1163910.23</v>
      </c>
      <c r="AB102">
        <f>IF($A102="","",Allocation!CI102)</f>
        <v>2760232</v>
      </c>
      <c r="AC102">
        <f>IF($A102="","",IF(Allocation!$N$4="VOL_EFF",$G102,IF(Allocation!$N$4="VOL_CLASS",$H102,$I102)))</f>
        <v>3</v>
      </c>
      <c r="AD102">
        <f>IF($A102="","",IF(Allocation!$N$4="VOL_EFF",$L102,IF(Allocation!$N$4="VOL_CLASS",$M102,$N102)))</f>
        <v>15</v>
      </c>
      <c r="AE102">
        <f>IF($A102="","",IF(Allocation!$N$3="VOL_EFF",$L102,IF(Allocation!$N$3="VOL_CLASS",$M102,$N102)))</f>
        <v>362</v>
      </c>
      <c r="AF102">
        <f>IF($A102="","",IF(Allocation!$N$3="VOL_EFF",$Q102,IF(Allocation!$N$3="VOL_CLASS",$R102,$S102)))</f>
        <v>1179</v>
      </c>
      <c r="AG102">
        <f>IF($A102="","",IF(Allocation!$N$1="VOL_EFF",$Q102,IF(Allocation!$N$1="VOL_CLASS",$R102,$S102)))</f>
        <v>50</v>
      </c>
      <c r="AH102">
        <f>IF($A102="","",IF(Allocation!$N$1="VOL_EFF",$T102,IF(Allocation!$N$1="VOL_CLASS",$U102,$V102)))</f>
        <v>135</v>
      </c>
      <c r="AI102">
        <f t="shared" si="12"/>
        <v>34568.8</v>
      </c>
      <c r="AJ102">
        <f t="shared" si="13"/>
        <v>96973.282</v>
      </c>
      <c r="AK102">
        <f t="shared" si="14"/>
        <v>26983.0939226519</v>
      </c>
      <c r="AL102">
        <f t="shared" si="15"/>
        <v>232782.046</v>
      </c>
      <c r="AM102">
        <f t="shared" si="16"/>
        <v>62777.8710143562</v>
      </c>
      <c r="AN102">
        <f t="shared" si="17"/>
        <v>95605.6416129674</v>
      </c>
      <c r="AO102">
        <f>IF($A102="","",Allocation!CJ102)</f>
        <v>580167</v>
      </c>
      <c r="AP102">
        <f>IF($A102="","",IF(Allocation!$N$2="VOL_EFF",$Q102,IF(Allocation!$N$2="VOL_CLASS",$R102,$S102)))</f>
        <v>9032400</v>
      </c>
      <c r="AQ102">
        <f>IF($A102="","",IF(Allocation!$N$2="VOL_EFF",$T102,IF(Allocation!$N$2="VOL_CLASS",$U102,$V102)))</f>
        <v>21758770</v>
      </c>
      <c r="AR102">
        <f t="shared" si="18"/>
        <v>14789.2654500245</v>
      </c>
      <c r="AS102" t="str">
        <f>IF($A102="","",$A102&amp;"|"&amp;Allocation!BG102)</f>
        <v>2025|ACT</v>
      </c>
    </row>
    <row r="103" ht="14.497499999999997" customHeight="1">
      <c r="A103" t="str">
        <f>IF(Allocation!BI103="","",Allocation!BI103)</f>
        <v>2025</v>
      </c>
      <c r="B103" t="str">
        <f>IF(Allocation!BJ103="","",Allocation!BJ103)</f>
        <v>MBWAY_PAR</v>
      </c>
      <c r="C103" t="str">
        <f>IF(Allocation!BK103="","",Allocation!BK103)</f>
        <v>MBWAY</v>
      </c>
      <c r="D103" t="str">
        <f>IF(Allocation!BL103="","",Allocation!BL103)</f>
        <v>BAC_MGT</v>
      </c>
      <c r="E103" t="str">
        <f>IF(Allocation!BM103="","",Allocation!BM103)</f>
        <v>B3</v>
      </c>
      <c r="F103" t="str">
        <f>IF(Allocation!BN103="","",Allocation!BN103)</f>
        <v>ALT</v>
      </c>
      <c r="G103">
        <f>IF(Allocation!BO103="","",Allocation!BO103)</f>
        <v>70</v>
      </c>
      <c r="H103">
        <f>IF(Allocation!BP103="","",Allocation!BP103)</f>
        <v>3</v>
      </c>
      <c r="I103">
        <f>IF(Allocation!BQ103="","",Allocation!BQ103)</f>
        <v>548800</v>
      </c>
      <c r="J103">
        <f>IF(Allocation!CC103="","",Allocation!CC103)</f>
        <v>0</v>
      </c>
      <c r="K103">
        <f t="shared" si="0"/>
        <v>1440</v>
      </c>
      <c r="L103">
        <f t="shared" si="1"/>
        <v>362</v>
      </c>
      <c r="M103">
        <f t="shared" si="2"/>
        <v>15</v>
      </c>
      <c r="N103">
        <f t="shared" si="3"/>
        <v>2974600</v>
      </c>
      <c r="O103">
        <f t="shared" si="4"/>
        <v>7200</v>
      </c>
      <c r="P103">
        <f t="shared" si="5"/>
        <v>148</v>
      </c>
      <c r="Q103">
        <f t="shared" si="6"/>
        <v>1179</v>
      </c>
      <c r="R103">
        <f t="shared" si="7"/>
        <v>50</v>
      </c>
      <c r="S103">
        <f t="shared" si="8"/>
        <v>9032400</v>
      </c>
      <c r="T103">
        <f t="shared" si="9"/>
        <v>2933</v>
      </c>
      <c r="U103">
        <f t="shared" si="10"/>
        <v>135</v>
      </c>
      <c r="V103">
        <f t="shared" si="11"/>
        <v>21758770</v>
      </c>
      <c r="W103">
        <f>IF($A103="","",Allocation!CD103)</f>
        <v>172844</v>
      </c>
      <c r="X103">
        <f>IF($A103="","",Allocation!CE103)</f>
        <v>484866.41</v>
      </c>
      <c r="Y103">
        <f>IF($A103="","",Allocation!CF103)</f>
        <v>135665</v>
      </c>
      <c r="Z103">
        <f>IF($A103="","",Allocation!CG103)</f>
        <v>62082</v>
      </c>
      <c r="AA103">
        <f>IF($A103="","",Allocation!CH103)</f>
        <v>1163910.23</v>
      </c>
      <c r="AB103">
        <f>IF($A103="","",Allocation!CI103)</f>
        <v>2760232</v>
      </c>
      <c r="AC103">
        <f>IF($A103="","",IF(Allocation!$N$4="VOL_EFF",$G103,IF(Allocation!$N$4="VOL_CLASS",$H103,$I103)))</f>
        <v>3</v>
      </c>
      <c r="AD103">
        <f>IF($A103="","",IF(Allocation!$N$4="VOL_EFF",$L103,IF(Allocation!$N$4="VOL_CLASS",$M103,$N103)))</f>
        <v>15</v>
      </c>
      <c r="AE103">
        <f>IF($A103="","",IF(Allocation!$N$3="VOL_EFF",$L103,IF(Allocation!$N$3="VOL_CLASS",$M103,$N103)))</f>
        <v>362</v>
      </c>
      <c r="AF103">
        <f>IF($A103="","",IF(Allocation!$N$3="VOL_EFF",$Q103,IF(Allocation!$N$3="VOL_CLASS",$R103,$S103)))</f>
        <v>1179</v>
      </c>
      <c r="AG103">
        <f>IF($A103="","",IF(Allocation!$N$1="VOL_EFF",$Q103,IF(Allocation!$N$1="VOL_CLASS",$R103,$S103)))</f>
        <v>50</v>
      </c>
      <c r="AH103">
        <f>IF($A103="","",IF(Allocation!$N$1="VOL_EFF",$T103,IF(Allocation!$N$1="VOL_CLASS",$U103,$V103)))</f>
        <v>135</v>
      </c>
      <c r="AI103">
        <f t="shared" si="12"/>
        <v>34568.8</v>
      </c>
      <c r="AJ103">
        <f t="shared" si="13"/>
        <v>96973.282</v>
      </c>
      <c r="AK103">
        <f t="shared" si="14"/>
        <v>26233.5635359116</v>
      </c>
      <c r="AL103">
        <f t="shared" si="15"/>
        <v>232782.046</v>
      </c>
      <c r="AM103">
        <f t="shared" si="16"/>
        <v>62777.8710143562</v>
      </c>
      <c r="AN103">
        <f t="shared" si="17"/>
        <v>80675.1719997076</v>
      </c>
      <c r="AO103">
        <f>IF($A103="","",Allocation!CJ103)</f>
        <v>580167</v>
      </c>
      <c r="AP103">
        <f>IF($A103="","",IF(Allocation!$N$2="VOL_EFF",$Q103,IF(Allocation!$N$2="VOL_CLASS",$R103,$S103)))</f>
        <v>9032400</v>
      </c>
      <c r="AQ103">
        <f>IF($A103="","",IF(Allocation!$N$2="VOL_EFF",$T103,IF(Allocation!$N$2="VOL_CLASS",$U103,$V103)))</f>
        <v>21758770</v>
      </c>
      <c r="AR103">
        <f t="shared" si="18"/>
        <v>14789.2654500245</v>
      </c>
      <c r="AS103" t="str">
        <f>IF($A103="","",$A103&amp;"|"&amp;Allocation!BG103)</f>
        <v>2025|ACT</v>
      </c>
    </row>
    <row r="104" ht="14.497499999999997" customHeight="1">
      <c r="A104" t="str">
        <f>IF(Allocation!BI104="","",Allocation!BI104)</f>
        <v>2025</v>
      </c>
      <c r="B104" t="str">
        <f>IF(Allocation!BJ104="","",Allocation!BJ104)</f>
        <v>MBWAY_PAR</v>
      </c>
      <c r="C104" t="str">
        <f>IF(Allocation!BK104="","",Allocation!BK104)</f>
        <v>MBWAY</v>
      </c>
      <c r="D104" t="str">
        <f>IF(Allocation!BL104="","",Allocation!BL104)</f>
        <v>MAS_MGT</v>
      </c>
      <c r="E104" t="str">
        <f>IF(Allocation!BM104="","",Allocation!BM104)</f>
        <v>M1</v>
      </c>
      <c r="F104" t="str">
        <f>IF(Allocation!BN104="","",Allocation!BN104)</f>
        <v>ALT</v>
      </c>
      <c r="G104">
        <f>IF(Allocation!BO104="","",Allocation!BO104)</f>
        <v>74</v>
      </c>
      <c r="H104">
        <f>IF(Allocation!BP104="","",Allocation!BP104)</f>
        <v>3</v>
      </c>
      <c r="I104">
        <f>IF(Allocation!BQ104="","",Allocation!BQ104)</f>
        <v>628260</v>
      </c>
      <c r="J104">
        <f>IF(Allocation!CC104="","",Allocation!CC104)</f>
        <v>74</v>
      </c>
      <c r="K104">
        <f t="shared" si="0"/>
        <v>1260</v>
      </c>
      <c r="L104">
        <f t="shared" si="1"/>
        <v>362</v>
      </c>
      <c r="M104">
        <f t="shared" si="2"/>
        <v>15</v>
      </c>
      <c r="N104">
        <f t="shared" si="3"/>
        <v>2974600</v>
      </c>
      <c r="O104">
        <f t="shared" si="4"/>
        <v>7200</v>
      </c>
      <c r="P104">
        <f t="shared" si="5"/>
        <v>148</v>
      </c>
      <c r="Q104">
        <f t="shared" si="6"/>
        <v>1179</v>
      </c>
      <c r="R104">
        <f t="shared" si="7"/>
        <v>50</v>
      </c>
      <c r="S104">
        <f t="shared" si="8"/>
        <v>9032400</v>
      </c>
      <c r="T104">
        <f t="shared" si="9"/>
        <v>2933</v>
      </c>
      <c r="U104">
        <f t="shared" si="10"/>
        <v>135</v>
      </c>
      <c r="V104">
        <f t="shared" si="11"/>
        <v>21758770</v>
      </c>
      <c r="W104">
        <f>IF($A104="","",Allocation!CD104)</f>
        <v>172844</v>
      </c>
      <c r="X104">
        <f>IF($A104="","",Allocation!CE104)</f>
        <v>484866.41</v>
      </c>
      <c r="Y104">
        <f>IF($A104="","",Allocation!CF104)</f>
        <v>135665</v>
      </c>
      <c r="Z104">
        <f>IF($A104="","",Allocation!CG104)</f>
        <v>62082</v>
      </c>
      <c r="AA104">
        <f>IF($A104="","",Allocation!CH104)</f>
        <v>1163910.23</v>
      </c>
      <c r="AB104">
        <f>IF($A104="","",Allocation!CI104)</f>
        <v>2760232</v>
      </c>
      <c r="AC104">
        <f>IF($A104="","",IF(Allocation!$N$4="VOL_EFF",$G104,IF(Allocation!$N$4="VOL_CLASS",$H104,$I104)))</f>
        <v>3</v>
      </c>
      <c r="AD104">
        <f>IF($A104="","",IF(Allocation!$N$4="VOL_EFF",$L104,IF(Allocation!$N$4="VOL_CLASS",$M104,$N104)))</f>
        <v>15</v>
      </c>
      <c r="AE104">
        <f>IF($A104="","",IF(Allocation!$N$3="VOL_EFF",$L104,IF(Allocation!$N$3="VOL_CLASS",$M104,$N104)))</f>
        <v>362</v>
      </c>
      <c r="AF104">
        <f>IF($A104="","",IF(Allocation!$N$3="VOL_EFF",$Q104,IF(Allocation!$N$3="VOL_CLASS",$R104,$S104)))</f>
        <v>1179</v>
      </c>
      <c r="AG104">
        <f>IF($A104="","",IF(Allocation!$N$1="VOL_EFF",$Q104,IF(Allocation!$N$1="VOL_CLASS",$R104,$S104)))</f>
        <v>50</v>
      </c>
      <c r="AH104">
        <f>IF($A104="","",IF(Allocation!$N$1="VOL_EFF",$T104,IF(Allocation!$N$1="VOL_CLASS",$U104,$V104)))</f>
        <v>135</v>
      </c>
      <c r="AI104">
        <f t="shared" si="12"/>
        <v>30247.7</v>
      </c>
      <c r="AJ104">
        <f t="shared" si="13"/>
        <v>84851.62175</v>
      </c>
      <c r="AK104">
        <f t="shared" si="14"/>
        <v>58773.6243093923</v>
      </c>
      <c r="AL104">
        <f t="shared" si="15"/>
        <v>232782.046</v>
      </c>
      <c r="AM104">
        <f t="shared" si="16"/>
        <v>62777.8710143562</v>
      </c>
      <c r="AN104">
        <f t="shared" si="17"/>
        <v>144037.871476227</v>
      </c>
      <c r="AO104">
        <f>IF($A104="","",Allocation!CJ104)</f>
        <v>580167</v>
      </c>
      <c r="AP104">
        <f>IF($A104="","",IF(Allocation!$N$2="VOL_EFF",$Q104,IF(Allocation!$N$2="VOL_CLASS",$R104,$S104)))</f>
        <v>9032400</v>
      </c>
      <c r="AQ104">
        <f>IF($A104="","",IF(Allocation!$N$2="VOL_EFF",$T104,IF(Allocation!$N$2="VOL_CLASS",$U104,$V104)))</f>
        <v>21758770</v>
      </c>
      <c r="AR104">
        <f t="shared" si="18"/>
        <v>14789.2654500245</v>
      </c>
      <c r="AS104" t="str">
        <f>IF($A104="","",$A104&amp;"|"&amp;Allocation!BG104)</f>
        <v>2025|ACT</v>
      </c>
    </row>
    <row r="105" ht="14.497499999999997" customHeight="1">
      <c r="A105" t="str">
        <f>IF(Allocation!BI105="","",Allocation!BI105)</f>
        <v>2025</v>
      </c>
      <c r="B105" t="str">
        <f>IF(Allocation!BJ105="","",Allocation!BJ105)</f>
        <v>MBWAY_PAR</v>
      </c>
      <c r="C105" t="str">
        <f>IF(Allocation!BK105="","",Allocation!BK105)</f>
        <v>MBWAY</v>
      </c>
      <c r="D105" t="str">
        <f>IF(Allocation!BL105="","",Allocation!BL105)</f>
        <v>MAS_MGT</v>
      </c>
      <c r="E105" t="str">
        <f>IF(Allocation!BM105="","",Allocation!BM105)</f>
        <v>M2</v>
      </c>
      <c r="F105" t="str">
        <f>IF(Allocation!BN105="","",Allocation!BN105)</f>
        <v>ALT</v>
      </c>
      <c r="G105">
        <f>IF(Allocation!BO105="","",Allocation!BO105)</f>
        <v>72</v>
      </c>
      <c r="H105">
        <f>IF(Allocation!BP105="","",Allocation!BP105)</f>
        <v>3</v>
      </c>
      <c r="I105">
        <f>IF(Allocation!BQ105="","",Allocation!BQ105)</f>
        <v>604800</v>
      </c>
      <c r="J105">
        <f>IF(Allocation!CC105="","",Allocation!CC105)</f>
        <v>0</v>
      </c>
      <c r="K105">
        <f t="shared" si="0"/>
        <v>1260</v>
      </c>
      <c r="L105">
        <f t="shared" si="1"/>
        <v>362</v>
      </c>
      <c r="M105">
        <f t="shared" si="2"/>
        <v>15</v>
      </c>
      <c r="N105">
        <f t="shared" si="3"/>
        <v>2974600</v>
      </c>
      <c r="O105">
        <f t="shared" si="4"/>
        <v>7200</v>
      </c>
      <c r="P105">
        <f t="shared" si="5"/>
        <v>148</v>
      </c>
      <c r="Q105">
        <f t="shared" si="6"/>
        <v>1179</v>
      </c>
      <c r="R105">
        <f t="shared" si="7"/>
        <v>50</v>
      </c>
      <c r="S105">
        <f t="shared" si="8"/>
        <v>9032400</v>
      </c>
      <c r="T105">
        <f t="shared" si="9"/>
        <v>2933</v>
      </c>
      <c r="U105">
        <f t="shared" si="10"/>
        <v>135</v>
      </c>
      <c r="V105">
        <f t="shared" si="11"/>
        <v>21758770</v>
      </c>
      <c r="W105">
        <f>IF($A105="","",Allocation!CD105)</f>
        <v>172844</v>
      </c>
      <c r="X105">
        <f>IF($A105="","",Allocation!CE105)</f>
        <v>484866.41</v>
      </c>
      <c r="Y105">
        <f>IF($A105="","",Allocation!CF105)</f>
        <v>135665</v>
      </c>
      <c r="Z105">
        <f>IF($A105="","",Allocation!CG105)</f>
        <v>62082</v>
      </c>
      <c r="AA105">
        <f>IF($A105="","",Allocation!CH105)</f>
        <v>1163910.23</v>
      </c>
      <c r="AB105">
        <f>IF($A105="","",Allocation!CI105)</f>
        <v>2760232</v>
      </c>
      <c r="AC105">
        <f>IF($A105="","",IF(Allocation!$N$4="VOL_EFF",$G105,IF(Allocation!$N$4="VOL_CLASS",$H105,$I105)))</f>
        <v>3</v>
      </c>
      <c r="AD105">
        <f>IF($A105="","",IF(Allocation!$N$4="VOL_EFF",$L105,IF(Allocation!$N$4="VOL_CLASS",$M105,$N105)))</f>
        <v>15</v>
      </c>
      <c r="AE105">
        <f>IF($A105="","",IF(Allocation!$N$3="VOL_EFF",$L105,IF(Allocation!$N$3="VOL_CLASS",$M105,$N105)))</f>
        <v>362</v>
      </c>
      <c r="AF105">
        <f>IF($A105="","",IF(Allocation!$N$3="VOL_EFF",$Q105,IF(Allocation!$N$3="VOL_CLASS",$R105,$S105)))</f>
        <v>1179</v>
      </c>
      <c r="AG105">
        <f>IF($A105="","",IF(Allocation!$N$1="VOL_EFF",$Q105,IF(Allocation!$N$1="VOL_CLASS",$R105,$S105)))</f>
        <v>50</v>
      </c>
      <c r="AH105">
        <f>IF($A105="","",IF(Allocation!$N$1="VOL_EFF",$T105,IF(Allocation!$N$1="VOL_CLASS",$U105,$V105)))</f>
        <v>135</v>
      </c>
      <c r="AI105">
        <f t="shared" si="12"/>
        <v>30247.7</v>
      </c>
      <c r="AJ105">
        <f t="shared" si="13"/>
        <v>84851.62175</v>
      </c>
      <c r="AK105">
        <f t="shared" si="14"/>
        <v>26983.0939226519</v>
      </c>
      <c r="AL105">
        <f t="shared" si="15"/>
        <v>232782.046</v>
      </c>
      <c r="AM105">
        <f t="shared" si="16"/>
        <v>62777.8710143562</v>
      </c>
      <c r="AN105">
        <f t="shared" si="17"/>
        <v>152368.401862967</v>
      </c>
      <c r="AO105">
        <f>IF($A105="","",Allocation!CJ105)</f>
        <v>580167</v>
      </c>
      <c r="AP105">
        <f>IF($A105="","",IF(Allocation!$N$2="VOL_EFF",$Q105,IF(Allocation!$N$2="VOL_CLASS",$R105,$S105)))</f>
        <v>9032400</v>
      </c>
      <c r="AQ105">
        <f>IF($A105="","",IF(Allocation!$N$2="VOL_EFF",$T105,IF(Allocation!$N$2="VOL_CLASS",$U105,$V105)))</f>
        <v>21758770</v>
      </c>
      <c r="AR105">
        <f t="shared" si="18"/>
        <v>14789.2654500245</v>
      </c>
      <c r="AS105" t="str">
        <f>IF($A105="","",$A105&amp;"|"&amp;Allocation!BG105)</f>
        <v>2025|ACT</v>
      </c>
    </row>
    <row r="106" ht="14.497499999999997" customHeight="1">
      <c r="A106" t="str">
        <f>IF(Allocation!BI106="","",Allocation!BI106)</f>
        <v>2025</v>
      </c>
      <c r="B106" t="str">
        <f>IF(Allocation!BJ106="","",Allocation!BJ106)</f>
        <v>PIGIER_BOR</v>
      </c>
      <c r="C106" t="str">
        <f>IF(Allocation!BK106="","",Allocation!BK106)</f>
        <v>PIGIER</v>
      </c>
      <c r="D106" t="str">
        <f>IF(Allocation!BL106="","",Allocation!BL106)</f>
        <v>BAC_RH</v>
      </c>
      <c r="E106" t="str">
        <f>IF(Allocation!BM106="","",Allocation!BM106)</f>
        <v>B2</v>
      </c>
      <c r="F106" t="str">
        <f>IF(Allocation!BN106="","",Allocation!BN106)</f>
        <v>ALT</v>
      </c>
      <c r="G106">
        <f>IF(Allocation!BO106="","",Allocation!BO106)</f>
        <v>33</v>
      </c>
      <c r="H106">
        <f>IF(Allocation!BP106="","",Allocation!BP106)</f>
        <v>2</v>
      </c>
      <c r="I106">
        <f>IF(Allocation!BQ106="","",Allocation!BQ106)</f>
        <v>224070</v>
      </c>
      <c r="J106">
        <f>IF(Allocation!CC106="","",Allocation!CC106)</f>
        <v>0</v>
      </c>
      <c r="K106">
        <f t="shared" si="0"/>
        <v>960</v>
      </c>
      <c r="L106">
        <f t="shared" si="1"/>
        <v>166</v>
      </c>
      <c r="M106">
        <f t="shared" si="2"/>
        <v>10</v>
      </c>
      <c r="N106">
        <f t="shared" si="3"/>
        <v>1068270</v>
      </c>
      <c r="O106">
        <f t="shared" si="4"/>
        <v>5680</v>
      </c>
      <c r="P106">
        <f t="shared" si="5"/>
        <v>68</v>
      </c>
      <c r="Q106">
        <f t="shared" si="6"/>
        <v>377</v>
      </c>
      <c r="R106">
        <f t="shared" si="7"/>
        <v>20</v>
      </c>
      <c r="S106">
        <f t="shared" si="8"/>
        <v>2537610</v>
      </c>
      <c r="T106">
        <f t="shared" si="9"/>
        <v>2933</v>
      </c>
      <c r="U106">
        <f t="shared" si="10"/>
        <v>135</v>
      </c>
      <c r="V106">
        <f t="shared" si="11"/>
        <v>21758770</v>
      </c>
      <c r="W106">
        <f>IF($A106="","",Allocation!CD106)</f>
        <v>92183</v>
      </c>
      <c r="X106">
        <f>IF($A106="","",Allocation!CE106)</f>
        <v>175123.55</v>
      </c>
      <c r="Y106">
        <f>IF($A106="","",Allocation!CF106)</f>
        <v>50430</v>
      </c>
      <c r="Z106">
        <f>IF($A106="","",Allocation!CG106)</f>
        <v>19971</v>
      </c>
      <c r="AA106">
        <f>IF($A106="","",Allocation!CH106)</f>
        <v>333578.02</v>
      </c>
      <c r="AB106">
        <f>IF($A106="","",Allocation!CI106)</f>
        <v>2760232</v>
      </c>
      <c r="AC106">
        <f>IF($A106="","",IF(Allocation!$N$4="VOL_EFF",$G106,IF(Allocation!$N$4="VOL_CLASS",$H106,$I106)))</f>
        <v>2</v>
      </c>
      <c r="AD106">
        <f>IF($A106="","",IF(Allocation!$N$4="VOL_EFF",$L106,IF(Allocation!$N$4="VOL_CLASS",$M106,$N106)))</f>
        <v>10</v>
      </c>
      <c r="AE106">
        <f>IF($A106="","",IF(Allocation!$N$3="VOL_EFF",$L106,IF(Allocation!$N$3="VOL_CLASS",$M106,$N106)))</f>
        <v>166</v>
      </c>
      <c r="AF106">
        <f>IF($A106="","",IF(Allocation!$N$3="VOL_EFF",$Q106,IF(Allocation!$N$3="VOL_CLASS",$R106,$S106)))</f>
        <v>377</v>
      </c>
      <c r="AG106">
        <f>IF($A106="","",IF(Allocation!$N$1="VOL_EFF",$Q106,IF(Allocation!$N$1="VOL_CLASS",$R106,$S106)))</f>
        <v>20</v>
      </c>
      <c r="AH106">
        <f>IF($A106="","",IF(Allocation!$N$1="VOL_EFF",$T106,IF(Allocation!$N$1="VOL_CLASS",$U106,$V106)))</f>
        <v>135</v>
      </c>
      <c r="AI106">
        <f t="shared" si="12"/>
        <v>15580.2253521127</v>
      </c>
      <c r="AJ106">
        <f t="shared" si="13"/>
        <v>29598.3464788732</v>
      </c>
      <c r="AK106">
        <f t="shared" si="14"/>
        <v>10025.2409638554</v>
      </c>
      <c r="AL106">
        <f t="shared" si="15"/>
        <v>66715.604</v>
      </c>
      <c r="AM106">
        <f t="shared" si="16"/>
        <v>36011.2790647411</v>
      </c>
      <c r="AN106">
        <f t="shared" si="17"/>
        <v>60180.7582086447</v>
      </c>
      <c r="AO106">
        <f>IF($A106="","",Allocation!CJ106)</f>
        <v>580167</v>
      </c>
      <c r="AP106">
        <f>IF($A106="","",IF(Allocation!$N$2="VOL_EFF",$Q106,IF(Allocation!$N$2="VOL_CLASS",$R106,$S106)))</f>
        <v>2537610</v>
      </c>
      <c r="AQ106">
        <f>IF($A106="","",IF(Allocation!$N$2="VOL_EFF",$T106,IF(Allocation!$N$2="VOL_CLASS",$U106,$V106)))</f>
        <v>21758770</v>
      </c>
      <c r="AR106">
        <f t="shared" si="18"/>
        <v>5958.54593177295</v>
      </c>
      <c r="AS106" t="str">
        <f>IF($A106="","",$A106&amp;"|"&amp;Allocation!BG106)</f>
        <v>2025|ACT</v>
      </c>
    </row>
    <row r="107" ht="14.497499999999997" customHeight="1">
      <c r="A107" t="str">
        <f>IF(Allocation!BI107="","",Allocation!BI107)</f>
        <v>2025</v>
      </c>
      <c r="B107" t="str">
        <f>IF(Allocation!BJ107="","",Allocation!BJ107)</f>
        <v>PIGIER_BOR</v>
      </c>
      <c r="C107" t="str">
        <f>IF(Allocation!BK107="","",Allocation!BK107)</f>
        <v>PIGIER</v>
      </c>
      <c r="D107" t="str">
        <f>IF(Allocation!BL107="","",Allocation!BL107)</f>
        <v>BTS_GES</v>
      </c>
      <c r="E107" t="str">
        <f>IF(Allocation!BM107="","",Allocation!BM107)</f>
        <v>BTS1</v>
      </c>
      <c r="F107" t="str">
        <f>IF(Allocation!BN107="","",Allocation!BN107)</f>
        <v>ALT</v>
      </c>
      <c r="G107">
        <f>IF(Allocation!BO107="","",Allocation!BO107)</f>
        <v>34</v>
      </c>
      <c r="H107">
        <f>IF(Allocation!BP107="","",Allocation!BP107)</f>
        <v>2</v>
      </c>
      <c r="I107">
        <f>IF(Allocation!BQ107="","",Allocation!BQ107)</f>
        <v>200940</v>
      </c>
      <c r="J107">
        <f>IF(Allocation!CC107="","",Allocation!CC107)</f>
        <v>34</v>
      </c>
      <c r="K107">
        <f t="shared" si="0"/>
        <v>1400</v>
      </c>
      <c r="L107">
        <f t="shared" si="1"/>
        <v>166</v>
      </c>
      <c r="M107">
        <f t="shared" si="2"/>
        <v>10</v>
      </c>
      <c r="N107">
        <f t="shared" si="3"/>
        <v>1068270</v>
      </c>
      <c r="O107">
        <f t="shared" si="4"/>
        <v>5680</v>
      </c>
      <c r="P107">
        <f t="shared" si="5"/>
        <v>68</v>
      </c>
      <c r="Q107">
        <f t="shared" si="6"/>
        <v>377</v>
      </c>
      <c r="R107">
        <f t="shared" si="7"/>
        <v>20</v>
      </c>
      <c r="S107">
        <f t="shared" si="8"/>
        <v>2537610</v>
      </c>
      <c r="T107">
        <f t="shared" si="9"/>
        <v>2933</v>
      </c>
      <c r="U107">
        <f t="shared" si="10"/>
        <v>135</v>
      </c>
      <c r="V107">
        <f t="shared" si="11"/>
        <v>21758770</v>
      </c>
      <c r="W107">
        <f>IF($A107="","",Allocation!CD107)</f>
        <v>92183</v>
      </c>
      <c r="X107">
        <f>IF($A107="","",Allocation!CE107)</f>
        <v>175123.55</v>
      </c>
      <c r="Y107">
        <f>IF($A107="","",Allocation!CF107)</f>
        <v>50430</v>
      </c>
      <c r="Z107">
        <f>IF($A107="","",Allocation!CG107)</f>
        <v>19971</v>
      </c>
      <c r="AA107">
        <f>IF($A107="","",Allocation!CH107)</f>
        <v>333578.02</v>
      </c>
      <c r="AB107">
        <f>IF($A107="","",Allocation!CI107)</f>
        <v>2760232</v>
      </c>
      <c r="AC107">
        <f>IF($A107="","",IF(Allocation!$N$4="VOL_EFF",$G107,IF(Allocation!$N$4="VOL_CLASS",$H107,$I107)))</f>
        <v>2</v>
      </c>
      <c r="AD107">
        <f>IF($A107="","",IF(Allocation!$N$4="VOL_EFF",$L107,IF(Allocation!$N$4="VOL_CLASS",$M107,$N107)))</f>
        <v>10</v>
      </c>
      <c r="AE107">
        <f>IF($A107="","",IF(Allocation!$N$3="VOL_EFF",$L107,IF(Allocation!$N$3="VOL_CLASS",$M107,$N107)))</f>
        <v>166</v>
      </c>
      <c r="AF107">
        <f>IF($A107="","",IF(Allocation!$N$3="VOL_EFF",$Q107,IF(Allocation!$N$3="VOL_CLASS",$R107,$S107)))</f>
        <v>377</v>
      </c>
      <c r="AG107">
        <f>IF($A107="","",IF(Allocation!$N$1="VOL_EFF",$Q107,IF(Allocation!$N$1="VOL_CLASS",$R107,$S107)))</f>
        <v>20</v>
      </c>
      <c r="AH107">
        <f>IF($A107="","",IF(Allocation!$N$1="VOL_EFF",$T107,IF(Allocation!$N$1="VOL_CLASS",$U107,$V107)))</f>
        <v>135</v>
      </c>
      <c r="AI107">
        <f t="shared" si="12"/>
        <v>22721.161971831</v>
      </c>
      <c r="AJ107">
        <f t="shared" si="13"/>
        <v>43164.2552816901</v>
      </c>
      <c r="AK107">
        <f t="shared" si="14"/>
        <v>20314.5361445783</v>
      </c>
      <c r="AL107">
        <f t="shared" si="15"/>
        <v>66715.604</v>
      </c>
      <c r="AM107">
        <f t="shared" si="16"/>
        <v>36011.2790647411</v>
      </c>
      <c r="AN107">
        <f t="shared" si="17"/>
        <v>6054.61760538656</v>
      </c>
      <c r="AO107">
        <f>IF($A107="","",Allocation!CJ107)</f>
        <v>580167</v>
      </c>
      <c r="AP107">
        <f>IF($A107="","",IF(Allocation!$N$2="VOL_EFF",$Q107,IF(Allocation!$N$2="VOL_CLASS",$R107,$S107)))</f>
        <v>2537610</v>
      </c>
      <c r="AQ107">
        <f>IF($A107="","",IF(Allocation!$N$2="VOL_EFF",$T107,IF(Allocation!$N$2="VOL_CLASS",$U107,$V107)))</f>
        <v>21758770</v>
      </c>
      <c r="AR107">
        <f t="shared" si="18"/>
        <v>5958.54593177295</v>
      </c>
      <c r="AS107" t="str">
        <f>IF($A107="","",$A107&amp;"|"&amp;Allocation!BG107)</f>
        <v>2025|ACT</v>
      </c>
    </row>
    <row r="108" ht="14.497499999999997" customHeight="1">
      <c r="A108" t="str">
        <f>IF(Allocation!BI108="","",Allocation!BI108)</f>
        <v>2025</v>
      </c>
      <c r="B108" t="str">
        <f>IF(Allocation!BJ108="","",Allocation!BJ108)</f>
        <v>PIGIER_BOR</v>
      </c>
      <c r="C108" t="str">
        <f>IF(Allocation!BK108="","",Allocation!BK108)</f>
        <v>PIGIER</v>
      </c>
      <c r="D108" t="str">
        <f>IF(Allocation!BL108="","",Allocation!BL108)</f>
        <v>BTS_GES</v>
      </c>
      <c r="E108" t="str">
        <f>IF(Allocation!BM108="","",Allocation!BM108)</f>
        <v>BTS2</v>
      </c>
      <c r="F108" t="str">
        <f>IF(Allocation!BN108="","",Allocation!BN108)</f>
        <v>ALT</v>
      </c>
      <c r="G108">
        <f>IF(Allocation!BO108="","",Allocation!BO108)</f>
        <v>33</v>
      </c>
      <c r="H108">
        <f>IF(Allocation!BP108="","",Allocation!BP108)</f>
        <v>2</v>
      </c>
      <c r="I108">
        <f>IF(Allocation!BQ108="","",Allocation!BQ108)</f>
        <v>192060</v>
      </c>
      <c r="J108">
        <f>IF(Allocation!CC108="","",Allocation!CC108)</f>
        <v>0</v>
      </c>
      <c r="K108">
        <f t="shared" si="0"/>
        <v>1400</v>
      </c>
      <c r="L108">
        <f t="shared" si="1"/>
        <v>166</v>
      </c>
      <c r="M108">
        <f t="shared" si="2"/>
        <v>10</v>
      </c>
      <c r="N108">
        <f t="shared" si="3"/>
        <v>1068270</v>
      </c>
      <c r="O108">
        <f t="shared" si="4"/>
        <v>5680</v>
      </c>
      <c r="P108">
        <f t="shared" si="5"/>
        <v>68</v>
      </c>
      <c r="Q108">
        <f t="shared" si="6"/>
        <v>377</v>
      </c>
      <c r="R108">
        <f t="shared" si="7"/>
        <v>20</v>
      </c>
      <c r="S108">
        <f t="shared" si="8"/>
        <v>2537610</v>
      </c>
      <c r="T108">
        <f t="shared" si="9"/>
        <v>2933</v>
      </c>
      <c r="U108">
        <f t="shared" si="10"/>
        <v>135</v>
      </c>
      <c r="V108">
        <f t="shared" si="11"/>
        <v>21758770</v>
      </c>
      <c r="W108">
        <f>IF($A108="","",Allocation!CD108)</f>
        <v>92183</v>
      </c>
      <c r="X108">
        <f>IF($A108="","",Allocation!CE108)</f>
        <v>175123.55</v>
      </c>
      <c r="Y108">
        <f>IF($A108="","",Allocation!CF108)</f>
        <v>50430</v>
      </c>
      <c r="Z108">
        <f>IF($A108="","",Allocation!CG108)</f>
        <v>19971</v>
      </c>
      <c r="AA108">
        <f>IF($A108="","",Allocation!CH108)</f>
        <v>333578.02</v>
      </c>
      <c r="AB108">
        <f>IF($A108="","",Allocation!CI108)</f>
        <v>2760232</v>
      </c>
      <c r="AC108">
        <f>IF($A108="","",IF(Allocation!$N$4="VOL_EFF",$G108,IF(Allocation!$N$4="VOL_CLASS",$H108,$I108)))</f>
        <v>2</v>
      </c>
      <c r="AD108">
        <f>IF($A108="","",IF(Allocation!$N$4="VOL_EFF",$L108,IF(Allocation!$N$4="VOL_CLASS",$M108,$N108)))</f>
        <v>10</v>
      </c>
      <c r="AE108">
        <f>IF($A108="","",IF(Allocation!$N$3="VOL_EFF",$L108,IF(Allocation!$N$3="VOL_CLASS",$M108,$N108)))</f>
        <v>166</v>
      </c>
      <c r="AF108">
        <f>IF($A108="","",IF(Allocation!$N$3="VOL_EFF",$Q108,IF(Allocation!$N$3="VOL_CLASS",$R108,$S108)))</f>
        <v>377</v>
      </c>
      <c r="AG108">
        <f>IF($A108="","",IF(Allocation!$N$1="VOL_EFF",$Q108,IF(Allocation!$N$1="VOL_CLASS",$R108,$S108)))</f>
        <v>20</v>
      </c>
      <c r="AH108">
        <f>IF($A108="","",IF(Allocation!$N$1="VOL_EFF",$T108,IF(Allocation!$N$1="VOL_CLASS",$U108,$V108)))</f>
        <v>135</v>
      </c>
      <c r="AI108">
        <f t="shared" si="12"/>
        <v>22721.161971831</v>
      </c>
      <c r="AJ108">
        <f t="shared" si="13"/>
        <v>43164.2552816901</v>
      </c>
      <c r="AK108">
        <f t="shared" si="14"/>
        <v>10025.2409638554</v>
      </c>
      <c r="AL108">
        <f t="shared" si="15"/>
        <v>66715.604</v>
      </c>
      <c r="AM108">
        <f t="shared" si="16"/>
        <v>36011.2790647411</v>
      </c>
      <c r="AN108">
        <f t="shared" si="17"/>
        <v>7463.91278610946</v>
      </c>
      <c r="AO108">
        <f>IF($A108="","",Allocation!CJ108)</f>
        <v>580167</v>
      </c>
      <c r="AP108">
        <f>IF($A108="","",IF(Allocation!$N$2="VOL_EFF",$Q108,IF(Allocation!$N$2="VOL_CLASS",$R108,$S108)))</f>
        <v>2537610</v>
      </c>
      <c r="AQ108">
        <f>IF($A108="","",IF(Allocation!$N$2="VOL_EFF",$T108,IF(Allocation!$N$2="VOL_CLASS",$U108,$V108)))</f>
        <v>21758770</v>
      </c>
      <c r="AR108">
        <f t="shared" si="18"/>
        <v>5958.54593177295</v>
      </c>
      <c r="AS108" t="str">
        <f>IF($A108="","",$A108&amp;"|"&amp;Allocation!BG108)</f>
        <v>2025|ACT</v>
      </c>
    </row>
    <row r="109" ht="14.497499999999997" customHeight="1">
      <c r="A109" t="str">
        <f>IF(Allocation!BI109="","",Allocation!BI109)</f>
        <v>2025</v>
      </c>
      <c r="B109" t="str">
        <f>IF(Allocation!BJ109="","",Allocation!BJ109)</f>
        <v>PIGIER_BOR</v>
      </c>
      <c r="C109" t="str">
        <f>IF(Allocation!BK109="","",Allocation!BK109)</f>
        <v>PIGIER</v>
      </c>
      <c r="D109" t="str">
        <f>IF(Allocation!BL109="","",Allocation!BL109)</f>
        <v>BAC_RH</v>
      </c>
      <c r="E109" t="str">
        <f>IF(Allocation!BM109="","",Allocation!BM109)</f>
        <v>B1</v>
      </c>
      <c r="F109" t="str">
        <f>IF(Allocation!BN109="","",Allocation!BN109)</f>
        <v>ALT</v>
      </c>
      <c r="G109">
        <f>IF(Allocation!BO109="","",Allocation!BO109)</f>
        <v>34</v>
      </c>
      <c r="H109">
        <f>IF(Allocation!BP109="","",Allocation!BP109)</f>
        <v>2</v>
      </c>
      <c r="I109">
        <f>IF(Allocation!BQ109="","",Allocation!BQ109)</f>
        <v>233920</v>
      </c>
      <c r="J109">
        <f>IF(Allocation!CC109="","",Allocation!CC109)</f>
        <v>34</v>
      </c>
      <c r="K109">
        <f t="shared" si="0"/>
        <v>960</v>
      </c>
      <c r="L109">
        <f t="shared" si="1"/>
        <v>166</v>
      </c>
      <c r="M109">
        <f t="shared" si="2"/>
        <v>10</v>
      </c>
      <c r="N109">
        <f t="shared" si="3"/>
        <v>1068270</v>
      </c>
      <c r="O109">
        <f t="shared" si="4"/>
        <v>5680</v>
      </c>
      <c r="P109">
        <f t="shared" si="5"/>
        <v>68</v>
      </c>
      <c r="Q109">
        <f t="shared" si="6"/>
        <v>377</v>
      </c>
      <c r="R109">
        <f t="shared" si="7"/>
        <v>20</v>
      </c>
      <c r="S109">
        <f t="shared" si="8"/>
        <v>2537610</v>
      </c>
      <c r="T109">
        <f t="shared" si="9"/>
        <v>2933</v>
      </c>
      <c r="U109">
        <f t="shared" si="10"/>
        <v>135</v>
      </c>
      <c r="V109">
        <f t="shared" si="11"/>
        <v>21758770</v>
      </c>
      <c r="W109">
        <f>IF($A109="","",Allocation!CD109)</f>
        <v>92183</v>
      </c>
      <c r="X109">
        <f>IF($A109="","",Allocation!CE109)</f>
        <v>175123.55</v>
      </c>
      <c r="Y109">
        <f>IF($A109="","",Allocation!CF109)</f>
        <v>50430</v>
      </c>
      <c r="Z109">
        <f>IF($A109="","",Allocation!CG109)</f>
        <v>19971</v>
      </c>
      <c r="AA109">
        <f>IF($A109="","",Allocation!CH109)</f>
        <v>333578.02</v>
      </c>
      <c r="AB109">
        <f>IF($A109="","",Allocation!CI109)</f>
        <v>2760232</v>
      </c>
      <c r="AC109">
        <f>IF($A109="","",IF(Allocation!$N$4="VOL_EFF",$G109,IF(Allocation!$N$4="VOL_CLASS",$H109,$I109)))</f>
        <v>2</v>
      </c>
      <c r="AD109">
        <f>IF($A109="","",IF(Allocation!$N$4="VOL_EFF",$L109,IF(Allocation!$N$4="VOL_CLASS",$M109,$N109)))</f>
        <v>10</v>
      </c>
      <c r="AE109">
        <f>IF($A109="","",IF(Allocation!$N$3="VOL_EFF",$L109,IF(Allocation!$N$3="VOL_CLASS",$M109,$N109)))</f>
        <v>166</v>
      </c>
      <c r="AF109">
        <f>IF($A109="","",IF(Allocation!$N$3="VOL_EFF",$Q109,IF(Allocation!$N$3="VOL_CLASS",$R109,$S109)))</f>
        <v>377</v>
      </c>
      <c r="AG109">
        <f>IF($A109="","",IF(Allocation!$N$1="VOL_EFF",$Q109,IF(Allocation!$N$1="VOL_CLASS",$R109,$S109)))</f>
        <v>20</v>
      </c>
      <c r="AH109">
        <f>IF($A109="","",IF(Allocation!$N$1="VOL_EFF",$T109,IF(Allocation!$N$1="VOL_CLASS",$U109,$V109)))</f>
        <v>135</v>
      </c>
      <c r="AI109">
        <f t="shared" si="12"/>
        <v>15580.2253521127</v>
      </c>
      <c r="AJ109">
        <f t="shared" si="13"/>
        <v>29598.3464788732</v>
      </c>
      <c r="AK109">
        <f t="shared" si="14"/>
        <v>20314.5361445783</v>
      </c>
      <c r="AL109">
        <f t="shared" si="15"/>
        <v>66715.604</v>
      </c>
      <c r="AM109">
        <f t="shared" si="16"/>
        <v>36011.2790647411</v>
      </c>
      <c r="AN109">
        <f t="shared" si="17"/>
        <v>59741.4630279218</v>
      </c>
      <c r="AO109">
        <f>IF($A109="","",Allocation!CJ109)</f>
        <v>580167</v>
      </c>
      <c r="AP109">
        <f>IF($A109="","",IF(Allocation!$N$2="VOL_EFF",$Q109,IF(Allocation!$N$2="VOL_CLASS",$R109,$S109)))</f>
        <v>2537610</v>
      </c>
      <c r="AQ109">
        <f>IF($A109="","",IF(Allocation!$N$2="VOL_EFF",$T109,IF(Allocation!$N$2="VOL_CLASS",$U109,$V109)))</f>
        <v>21758770</v>
      </c>
      <c r="AR109">
        <f t="shared" si="18"/>
        <v>5958.54593177295</v>
      </c>
      <c r="AS109" t="str">
        <f>IF($A109="","",$A109&amp;"|"&amp;Allocation!BG109)</f>
        <v>2025|ACT</v>
      </c>
    </row>
    <row r="110" ht="14.497499999999997" customHeight="1">
      <c r="A110" t="str">
        <f>IF(Allocation!BI110="","",Allocation!BI110)</f>
        <v>2025</v>
      </c>
      <c r="B110" t="str">
        <f>IF(Allocation!BJ110="","",Allocation!BJ110)</f>
        <v>PIGIER_BOR</v>
      </c>
      <c r="C110" t="str">
        <f>IF(Allocation!BK110="","",Allocation!BK110)</f>
        <v>PIGIER</v>
      </c>
      <c r="D110" t="str">
        <f>IF(Allocation!BL110="","",Allocation!BL110)</f>
        <v>BAC_RH</v>
      </c>
      <c r="E110" t="str">
        <f>IF(Allocation!BM110="","",Allocation!BM110)</f>
        <v>B3</v>
      </c>
      <c r="F110" t="str">
        <f>IF(Allocation!BN110="","",Allocation!BN110)</f>
        <v>ALT</v>
      </c>
      <c r="G110">
        <f>IF(Allocation!BO110="","",Allocation!BO110)</f>
        <v>32</v>
      </c>
      <c r="H110">
        <f>IF(Allocation!BP110="","",Allocation!BP110)</f>
        <v>2</v>
      </c>
      <c r="I110">
        <f>IF(Allocation!BQ110="","",Allocation!BQ110)</f>
        <v>217280</v>
      </c>
      <c r="J110">
        <f>IF(Allocation!CC110="","",Allocation!CC110)</f>
        <v>0</v>
      </c>
      <c r="K110">
        <f t="shared" si="0"/>
        <v>960</v>
      </c>
      <c r="L110">
        <f t="shared" si="1"/>
        <v>166</v>
      </c>
      <c r="M110">
        <f t="shared" si="2"/>
        <v>10</v>
      </c>
      <c r="N110">
        <f t="shared" si="3"/>
        <v>1068270</v>
      </c>
      <c r="O110">
        <f t="shared" si="4"/>
        <v>5680</v>
      </c>
      <c r="P110">
        <f t="shared" si="5"/>
        <v>68</v>
      </c>
      <c r="Q110">
        <f t="shared" si="6"/>
        <v>377</v>
      </c>
      <c r="R110">
        <f t="shared" si="7"/>
        <v>20</v>
      </c>
      <c r="S110">
        <f t="shared" si="8"/>
        <v>2537610</v>
      </c>
      <c r="T110">
        <f t="shared" si="9"/>
        <v>2933</v>
      </c>
      <c r="U110">
        <f t="shared" si="10"/>
        <v>135</v>
      </c>
      <c r="V110">
        <f t="shared" si="11"/>
        <v>21758770</v>
      </c>
      <c r="W110">
        <f>IF($A110="","",Allocation!CD110)</f>
        <v>92183</v>
      </c>
      <c r="X110">
        <f>IF($A110="","",Allocation!CE110)</f>
        <v>175123.55</v>
      </c>
      <c r="Y110">
        <f>IF($A110="","",Allocation!CF110)</f>
        <v>50430</v>
      </c>
      <c r="Z110">
        <f>IF($A110="","",Allocation!CG110)</f>
        <v>19971</v>
      </c>
      <c r="AA110">
        <f>IF($A110="","",Allocation!CH110)</f>
        <v>333578.02</v>
      </c>
      <c r="AB110">
        <f>IF($A110="","",Allocation!CI110)</f>
        <v>2760232</v>
      </c>
      <c r="AC110">
        <f>IF($A110="","",IF(Allocation!$N$4="VOL_EFF",$G110,IF(Allocation!$N$4="VOL_CLASS",$H110,$I110)))</f>
        <v>2</v>
      </c>
      <c r="AD110">
        <f>IF($A110="","",IF(Allocation!$N$4="VOL_EFF",$L110,IF(Allocation!$N$4="VOL_CLASS",$M110,$N110)))</f>
        <v>10</v>
      </c>
      <c r="AE110">
        <f>IF($A110="","",IF(Allocation!$N$3="VOL_EFF",$L110,IF(Allocation!$N$3="VOL_CLASS",$M110,$N110)))</f>
        <v>166</v>
      </c>
      <c r="AF110">
        <f>IF($A110="","",IF(Allocation!$N$3="VOL_EFF",$Q110,IF(Allocation!$N$3="VOL_CLASS",$R110,$S110)))</f>
        <v>377</v>
      </c>
      <c r="AG110">
        <f>IF($A110="","",IF(Allocation!$N$1="VOL_EFF",$Q110,IF(Allocation!$N$1="VOL_CLASS",$R110,$S110)))</f>
        <v>20</v>
      </c>
      <c r="AH110">
        <f>IF($A110="","",IF(Allocation!$N$1="VOL_EFF",$T110,IF(Allocation!$N$1="VOL_CLASS",$U110,$V110)))</f>
        <v>135</v>
      </c>
      <c r="AI110">
        <f t="shared" si="12"/>
        <v>15580.2253521127</v>
      </c>
      <c r="AJ110">
        <f t="shared" si="13"/>
        <v>29598.3464788732</v>
      </c>
      <c r="AK110">
        <f t="shared" si="14"/>
        <v>9721.44578313253</v>
      </c>
      <c r="AL110">
        <f t="shared" si="15"/>
        <v>66715.604</v>
      </c>
      <c r="AM110">
        <f t="shared" si="16"/>
        <v>36011.2790647411</v>
      </c>
      <c r="AN110">
        <f t="shared" si="17"/>
        <v>53694.5533893675</v>
      </c>
      <c r="AO110">
        <f>IF($A110="","",Allocation!CJ110)</f>
        <v>580167</v>
      </c>
      <c r="AP110">
        <f>IF($A110="","",IF(Allocation!$N$2="VOL_EFF",$Q110,IF(Allocation!$N$2="VOL_CLASS",$R110,$S110)))</f>
        <v>2537610</v>
      </c>
      <c r="AQ110">
        <f>IF($A110="","",IF(Allocation!$N$2="VOL_EFF",$T110,IF(Allocation!$N$2="VOL_CLASS",$U110,$V110)))</f>
        <v>21758770</v>
      </c>
      <c r="AR110">
        <f t="shared" si="18"/>
        <v>5958.54593177295</v>
      </c>
      <c r="AS110" t="str">
        <f>IF($A110="","",$A110&amp;"|"&amp;Allocation!BG110)</f>
        <v>2025|ACT</v>
      </c>
    </row>
    <row r="111" ht="14.497499999999997" customHeight="1">
      <c r="A111" t="str">
        <f>IF(Allocation!BI111="","",Allocation!BI111)</f>
        <v>2025</v>
      </c>
      <c r="B111" t="str">
        <f>IF(Allocation!BJ111="","",Allocation!BJ111)</f>
        <v>PIGIER_LYO</v>
      </c>
      <c r="C111" t="str">
        <f>IF(Allocation!BK111="","",Allocation!BK111)</f>
        <v>PIGIER</v>
      </c>
      <c r="D111" t="str">
        <f>IF(Allocation!BL111="","",Allocation!BL111)</f>
        <v>BAC_RH</v>
      </c>
      <c r="E111" t="str">
        <f>IF(Allocation!BM111="","",Allocation!BM111)</f>
        <v>B3</v>
      </c>
      <c r="F111" t="str">
        <f>IF(Allocation!BN111="","",Allocation!BN111)</f>
        <v>ALT</v>
      </c>
      <c r="G111">
        <f>IF(Allocation!BO111="","",Allocation!BO111)</f>
        <v>41</v>
      </c>
      <c r="H111">
        <f>IF(Allocation!BP111="","",Allocation!BP111)</f>
        <v>2</v>
      </c>
      <c r="I111">
        <f>IF(Allocation!BQ111="","",Allocation!BQ111)</f>
        <v>301350</v>
      </c>
      <c r="J111">
        <f>IF(Allocation!CC111="","",Allocation!CC111)</f>
        <v>0</v>
      </c>
      <c r="K111">
        <f t="shared" si="0"/>
        <v>960</v>
      </c>
      <c r="L111">
        <f t="shared" si="1"/>
        <v>211</v>
      </c>
      <c r="M111">
        <f t="shared" si="2"/>
        <v>10</v>
      </c>
      <c r="N111">
        <f t="shared" si="3"/>
        <v>1469340</v>
      </c>
      <c r="O111">
        <f t="shared" si="4"/>
        <v>5680</v>
      </c>
      <c r="P111">
        <f t="shared" si="5"/>
        <v>86</v>
      </c>
      <c r="Q111">
        <f t="shared" si="6"/>
        <v>377</v>
      </c>
      <c r="R111">
        <f t="shared" si="7"/>
        <v>20</v>
      </c>
      <c r="S111">
        <f t="shared" si="8"/>
        <v>2537610</v>
      </c>
      <c r="T111">
        <f t="shared" si="9"/>
        <v>2933</v>
      </c>
      <c r="U111">
        <f t="shared" si="10"/>
        <v>135</v>
      </c>
      <c r="V111">
        <f t="shared" si="11"/>
        <v>21758770</v>
      </c>
      <c r="W111">
        <f>IF($A111="","",Allocation!CD111)</f>
        <v>92183</v>
      </c>
      <c r="X111">
        <f>IF($A111="","",Allocation!CE111)</f>
        <v>228262.14</v>
      </c>
      <c r="Y111">
        <f>IF($A111="","",Allocation!CF111)</f>
        <v>64636</v>
      </c>
      <c r="Z111">
        <f>IF($A111="","",Allocation!CG111)</f>
        <v>33284</v>
      </c>
      <c r="AA111">
        <f>IF($A111="","",Allocation!CH111)</f>
        <v>508107.42</v>
      </c>
      <c r="AB111">
        <f>IF($A111="","",Allocation!CI111)</f>
        <v>2760232</v>
      </c>
      <c r="AC111">
        <f>IF($A111="","",IF(Allocation!$N$4="VOL_EFF",$G111,IF(Allocation!$N$4="VOL_CLASS",$H111,$I111)))</f>
        <v>2</v>
      </c>
      <c r="AD111">
        <f>IF($A111="","",IF(Allocation!$N$4="VOL_EFF",$L111,IF(Allocation!$N$4="VOL_CLASS",$M111,$N111)))</f>
        <v>10</v>
      </c>
      <c r="AE111">
        <f>IF($A111="","",IF(Allocation!$N$3="VOL_EFF",$L111,IF(Allocation!$N$3="VOL_CLASS",$M111,$N111)))</f>
        <v>211</v>
      </c>
      <c r="AF111">
        <f>IF($A111="","",IF(Allocation!$N$3="VOL_EFF",$Q111,IF(Allocation!$N$3="VOL_CLASS",$R111,$S111)))</f>
        <v>377</v>
      </c>
      <c r="AG111">
        <f>IF($A111="","",IF(Allocation!$N$1="VOL_EFF",$Q111,IF(Allocation!$N$1="VOL_CLASS",$R111,$S111)))</f>
        <v>20</v>
      </c>
      <c r="AH111">
        <f>IF($A111="","",IF(Allocation!$N$1="VOL_EFF",$T111,IF(Allocation!$N$1="VOL_CLASS",$U111,$V111)))</f>
        <v>135</v>
      </c>
      <c r="AI111">
        <f t="shared" si="12"/>
        <v>15580.2253521127</v>
      </c>
      <c r="AJ111">
        <f t="shared" si="13"/>
        <v>38579.5166197183</v>
      </c>
      <c r="AK111">
        <f t="shared" si="14"/>
        <v>12559.6018957346</v>
      </c>
      <c r="AL111">
        <f t="shared" si="15"/>
        <v>101621.484</v>
      </c>
      <c r="AM111">
        <f t="shared" si="16"/>
        <v>45773.3727871107</v>
      </c>
      <c r="AN111">
        <f t="shared" si="17"/>
        <v>79661.9849380701</v>
      </c>
      <c r="AO111">
        <f>IF($A111="","",Allocation!CJ111)</f>
        <v>580167</v>
      </c>
      <c r="AP111">
        <f>IF($A111="","",IF(Allocation!$N$2="VOL_EFF",$Q111,IF(Allocation!$N$2="VOL_CLASS",$R111,$S111)))</f>
        <v>2537610</v>
      </c>
      <c r="AQ111">
        <f>IF($A111="","",IF(Allocation!$N$2="VOL_EFF",$T111,IF(Allocation!$N$2="VOL_CLASS",$U111,$V111)))</f>
        <v>21758770</v>
      </c>
      <c r="AR111">
        <f t="shared" si="18"/>
        <v>7573.81440725357</v>
      </c>
      <c r="AS111" t="str">
        <f>IF($A111="","",$A111&amp;"|"&amp;Allocation!BG111)</f>
        <v>2025|ACT</v>
      </c>
    </row>
    <row r="112" ht="14.497499999999997" customHeight="1">
      <c r="A112" t="str">
        <f>IF(Allocation!BI112="","",Allocation!BI112)</f>
        <v>2025</v>
      </c>
      <c r="B112" t="str">
        <f>IF(Allocation!BJ112="","",Allocation!BJ112)</f>
        <v>PIGIER_LYO</v>
      </c>
      <c r="C112" t="str">
        <f>IF(Allocation!BK112="","",Allocation!BK112)</f>
        <v>PIGIER</v>
      </c>
      <c r="D112" t="str">
        <f>IF(Allocation!BL112="","",Allocation!BL112)</f>
        <v>BTS_GES</v>
      </c>
      <c r="E112" t="str">
        <f>IF(Allocation!BM112="","",Allocation!BM112)</f>
        <v>BTS1</v>
      </c>
      <c r="F112" t="str">
        <f>IF(Allocation!BN112="","",Allocation!BN112)</f>
        <v>ALT</v>
      </c>
      <c r="G112">
        <f>IF(Allocation!BO112="","",Allocation!BO112)</f>
        <v>43</v>
      </c>
      <c r="H112">
        <f>IF(Allocation!BP112="","",Allocation!BP112)</f>
        <v>2</v>
      </c>
      <c r="I112">
        <f>IF(Allocation!BQ112="","",Allocation!BQ112)</f>
        <v>274770</v>
      </c>
      <c r="J112">
        <f>IF(Allocation!CC112="","",Allocation!CC112)</f>
        <v>43</v>
      </c>
      <c r="K112">
        <f t="shared" si="0"/>
        <v>1400</v>
      </c>
      <c r="L112">
        <f t="shared" si="1"/>
        <v>211</v>
      </c>
      <c r="M112">
        <f t="shared" si="2"/>
        <v>10</v>
      </c>
      <c r="N112">
        <f t="shared" si="3"/>
        <v>1469340</v>
      </c>
      <c r="O112">
        <f t="shared" si="4"/>
        <v>5680</v>
      </c>
      <c r="P112">
        <f t="shared" si="5"/>
        <v>86</v>
      </c>
      <c r="Q112">
        <f t="shared" si="6"/>
        <v>377</v>
      </c>
      <c r="R112">
        <f t="shared" si="7"/>
        <v>20</v>
      </c>
      <c r="S112">
        <f t="shared" si="8"/>
        <v>2537610</v>
      </c>
      <c r="T112">
        <f t="shared" si="9"/>
        <v>2933</v>
      </c>
      <c r="U112">
        <f t="shared" si="10"/>
        <v>135</v>
      </c>
      <c r="V112">
        <f t="shared" si="11"/>
        <v>21758770</v>
      </c>
      <c r="W112">
        <f>IF($A112="","",Allocation!CD112)</f>
        <v>92183</v>
      </c>
      <c r="X112">
        <f>IF($A112="","",Allocation!CE112)</f>
        <v>228262.14</v>
      </c>
      <c r="Y112">
        <f>IF($A112="","",Allocation!CF112)</f>
        <v>64636</v>
      </c>
      <c r="Z112">
        <f>IF($A112="","",Allocation!CG112)</f>
        <v>33284</v>
      </c>
      <c r="AA112">
        <f>IF($A112="","",Allocation!CH112)</f>
        <v>508107.42</v>
      </c>
      <c r="AB112">
        <f>IF($A112="","",Allocation!CI112)</f>
        <v>2760232</v>
      </c>
      <c r="AC112">
        <f>IF($A112="","",IF(Allocation!$N$4="VOL_EFF",$G112,IF(Allocation!$N$4="VOL_CLASS",$H112,$I112)))</f>
        <v>2</v>
      </c>
      <c r="AD112">
        <f>IF($A112="","",IF(Allocation!$N$4="VOL_EFF",$L112,IF(Allocation!$N$4="VOL_CLASS",$M112,$N112)))</f>
        <v>10</v>
      </c>
      <c r="AE112">
        <f>IF($A112="","",IF(Allocation!$N$3="VOL_EFF",$L112,IF(Allocation!$N$3="VOL_CLASS",$M112,$N112)))</f>
        <v>211</v>
      </c>
      <c r="AF112">
        <f>IF($A112="","",IF(Allocation!$N$3="VOL_EFF",$Q112,IF(Allocation!$N$3="VOL_CLASS",$R112,$S112)))</f>
        <v>377</v>
      </c>
      <c r="AG112">
        <f>IF($A112="","",IF(Allocation!$N$1="VOL_EFF",$Q112,IF(Allocation!$N$1="VOL_CLASS",$R112,$S112)))</f>
        <v>20</v>
      </c>
      <c r="AH112">
        <f>IF($A112="","",IF(Allocation!$N$1="VOL_EFF",$T112,IF(Allocation!$N$1="VOL_CLASS",$U112,$V112)))</f>
        <v>135</v>
      </c>
      <c r="AI112">
        <f t="shared" si="12"/>
        <v>22721.161971831</v>
      </c>
      <c r="AJ112">
        <f t="shared" si="13"/>
        <v>56261.7950704225</v>
      </c>
      <c r="AK112">
        <f t="shared" si="14"/>
        <v>29814.2654028436</v>
      </c>
      <c r="AL112">
        <f t="shared" si="15"/>
        <v>101621.484</v>
      </c>
      <c r="AM112">
        <f t="shared" si="16"/>
        <v>45773.3727871107</v>
      </c>
      <c r="AN112">
        <f t="shared" si="17"/>
        <v>11004.1063605386</v>
      </c>
      <c r="AO112">
        <f>IF($A112="","",Allocation!CJ112)</f>
        <v>580167</v>
      </c>
      <c r="AP112">
        <f>IF($A112="","",IF(Allocation!$N$2="VOL_EFF",$Q112,IF(Allocation!$N$2="VOL_CLASS",$R112,$S112)))</f>
        <v>2537610</v>
      </c>
      <c r="AQ112">
        <f>IF($A112="","",IF(Allocation!$N$2="VOL_EFF",$T112,IF(Allocation!$N$2="VOL_CLASS",$U112,$V112)))</f>
        <v>21758770</v>
      </c>
      <c r="AR112">
        <f t="shared" si="18"/>
        <v>7573.81440725357</v>
      </c>
      <c r="AS112" t="str">
        <f>IF($A112="","",$A112&amp;"|"&amp;Allocation!BG112)</f>
        <v>2025|ACT</v>
      </c>
    </row>
    <row r="113" ht="14.497499999999997" customHeight="1">
      <c r="A113" t="str">
        <f>IF(Allocation!BI113="","",Allocation!BI113)</f>
        <v>2025</v>
      </c>
      <c r="B113" t="str">
        <f>IF(Allocation!BJ113="","",Allocation!BJ113)</f>
        <v>PIGIER_LYO</v>
      </c>
      <c r="C113" t="str">
        <f>IF(Allocation!BK113="","",Allocation!BK113)</f>
        <v>PIGIER</v>
      </c>
      <c r="D113" t="str">
        <f>IF(Allocation!BL113="","",Allocation!BL113)</f>
        <v>BTS_GES</v>
      </c>
      <c r="E113" t="str">
        <f>IF(Allocation!BM113="","",Allocation!BM113)</f>
        <v>BTS2</v>
      </c>
      <c r="F113" t="str">
        <f>IF(Allocation!BN113="","",Allocation!BN113)</f>
        <v>ALT</v>
      </c>
      <c r="G113">
        <f>IF(Allocation!BO113="","",Allocation!BO113)</f>
        <v>42</v>
      </c>
      <c r="H113">
        <f>IF(Allocation!BP113="","",Allocation!BP113)</f>
        <v>2</v>
      </c>
      <c r="I113">
        <f>IF(Allocation!BQ113="","",Allocation!BQ113)</f>
        <v>264600</v>
      </c>
      <c r="J113">
        <f>IF(Allocation!CC113="","",Allocation!CC113)</f>
        <v>0</v>
      </c>
      <c r="K113">
        <f t="shared" si="0"/>
        <v>1400</v>
      </c>
      <c r="L113">
        <f t="shared" si="1"/>
        <v>211</v>
      </c>
      <c r="M113">
        <f t="shared" si="2"/>
        <v>10</v>
      </c>
      <c r="N113">
        <f t="shared" si="3"/>
        <v>1469340</v>
      </c>
      <c r="O113">
        <f t="shared" si="4"/>
        <v>5680</v>
      </c>
      <c r="P113">
        <f t="shared" si="5"/>
        <v>86</v>
      </c>
      <c r="Q113">
        <f t="shared" si="6"/>
        <v>377</v>
      </c>
      <c r="R113">
        <f t="shared" si="7"/>
        <v>20</v>
      </c>
      <c r="S113">
        <f t="shared" si="8"/>
        <v>2537610</v>
      </c>
      <c r="T113">
        <f t="shared" si="9"/>
        <v>2933</v>
      </c>
      <c r="U113">
        <f t="shared" si="10"/>
        <v>135</v>
      </c>
      <c r="V113">
        <f t="shared" si="11"/>
        <v>21758770</v>
      </c>
      <c r="W113">
        <f>IF($A113="","",Allocation!CD113)</f>
        <v>92183</v>
      </c>
      <c r="X113">
        <f>IF($A113="","",Allocation!CE113)</f>
        <v>228262.14</v>
      </c>
      <c r="Y113">
        <f>IF($A113="","",Allocation!CF113)</f>
        <v>64636</v>
      </c>
      <c r="Z113">
        <f>IF($A113="","",Allocation!CG113)</f>
        <v>33284</v>
      </c>
      <c r="AA113">
        <f>IF($A113="","",Allocation!CH113)</f>
        <v>508107.42</v>
      </c>
      <c r="AB113">
        <f>IF($A113="","",Allocation!CI113)</f>
        <v>2760232</v>
      </c>
      <c r="AC113">
        <f>IF($A113="","",IF(Allocation!$N$4="VOL_EFF",$G113,IF(Allocation!$N$4="VOL_CLASS",$H113,$I113)))</f>
        <v>2</v>
      </c>
      <c r="AD113">
        <f>IF($A113="","",IF(Allocation!$N$4="VOL_EFF",$L113,IF(Allocation!$N$4="VOL_CLASS",$M113,$N113)))</f>
        <v>10</v>
      </c>
      <c r="AE113">
        <f>IF($A113="","",IF(Allocation!$N$3="VOL_EFF",$L113,IF(Allocation!$N$3="VOL_CLASS",$M113,$N113)))</f>
        <v>211</v>
      </c>
      <c r="AF113">
        <f>IF($A113="","",IF(Allocation!$N$3="VOL_EFF",$Q113,IF(Allocation!$N$3="VOL_CLASS",$R113,$S113)))</f>
        <v>377</v>
      </c>
      <c r="AG113">
        <f>IF($A113="","",IF(Allocation!$N$1="VOL_EFF",$Q113,IF(Allocation!$N$1="VOL_CLASS",$R113,$S113)))</f>
        <v>20</v>
      </c>
      <c r="AH113">
        <f>IF($A113="","",IF(Allocation!$N$1="VOL_EFF",$T113,IF(Allocation!$N$1="VOL_CLASS",$U113,$V113)))</f>
        <v>135</v>
      </c>
      <c r="AI113">
        <f t="shared" si="12"/>
        <v>22721.161971831</v>
      </c>
      <c r="AJ113">
        <f t="shared" si="13"/>
        <v>56261.7950704225</v>
      </c>
      <c r="AK113">
        <f t="shared" si="14"/>
        <v>12865.9336492891</v>
      </c>
      <c r="AL113">
        <f t="shared" si="15"/>
        <v>101621.484</v>
      </c>
      <c r="AM113">
        <f t="shared" si="16"/>
        <v>45773.3727871107</v>
      </c>
      <c r="AN113">
        <f t="shared" si="17"/>
        <v>17782.4381140932</v>
      </c>
      <c r="AO113">
        <f>IF($A113="","",Allocation!CJ113)</f>
        <v>580167</v>
      </c>
      <c r="AP113">
        <f>IF($A113="","",IF(Allocation!$N$2="VOL_EFF",$Q113,IF(Allocation!$N$2="VOL_CLASS",$R113,$S113)))</f>
        <v>2537610</v>
      </c>
      <c r="AQ113">
        <f>IF($A113="","",IF(Allocation!$N$2="VOL_EFF",$T113,IF(Allocation!$N$2="VOL_CLASS",$U113,$V113)))</f>
        <v>21758770</v>
      </c>
      <c r="AR113">
        <f t="shared" si="18"/>
        <v>7573.81440725357</v>
      </c>
      <c r="AS113" t="str">
        <f>IF($A113="","",$A113&amp;"|"&amp;Allocation!BG113)</f>
        <v>2025|ACT</v>
      </c>
    </row>
    <row r="114" ht="14.497499999999997" customHeight="1">
      <c r="A114" t="str">
        <f>IF(Allocation!BI114="","",Allocation!BI114)</f>
        <v>2025</v>
      </c>
      <c r="B114" t="str">
        <f>IF(Allocation!BJ114="","",Allocation!BJ114)</f>
        <v>PIGIER_LYO</v>
      </c>
      <c r="C114" t="str">
        <f>IF(Allocation!BK114="","",Allocation!BK114)</f>
        <v>PIGIER</v>
      </c>
      <c r="D114" t="str">
        <f>IF(Allocation!BL114="","",Allocation!BL114)</f>
        <v>BAC_RH</v>
      </c>
      <c r="E114" t="str">
        <f>IF(Allocation!BM114="","",Allocation!BM114)</f>
        <v>B1</v>
      </c>
      <c r="F114" t="str">
        <f>IF(Allocation!BN114="","",Allocation!BN114)</f>
        <v>ALT</v>
      </c>
      <c r="G114">
        <f>IF(Allocation!BO114="","",Allocation!BO114)</f>
        <v>43</v>
      </c>
      <c r="H114">
        <f>IF(Allocation!BP114="","",Allocation!BP114)</f>
        <v>2</v>
      </c>
      <c r="I114">
        <f>IF(Allocation!BQ114="","",Allocation!BQ114)</f>
        <v>319920</v>
      </c>
      <c r="J114">
        <f>IF(Allocation!CC114="","",Allocation!CC114)</f>
        <v>43</v>
      </c>
      <c r="K114">
        <f t="shared" si="0"/>
        <v>960</v>
      </c>
      <c r="L114">
        <f t="shared" si="1"/>
        <v>211</v>
      </c>
      <c r="M114">
        <f t="shared" si="2"/>
        <v>10</v>
      </c>
      <c r="N114">
        <f t="shared" si="3"/>
        <v>1469340</v>
      </c>
      <c r="O114">
        <f t="shared" si="4"/>
        <v>5680</v>
      </c>
      <c r="P114">
        <f t="shared" si="5"/>
        <v>86</v>
      </c>
      <c r="Q114">
        <f t="shared" si="6"/>
        <v>377</v>
      </c>
      <c r="R114">
        <f t="shared" si="7"/>
        <v>20</v>
      </c>
      <c r="S114">
        <f t="shared" si="8"/>
        <v>2537610</v>
      </c>
      <c r="T114">
        <f t="shared" si="9"/>
        <v>2933</v>
      </c>
      <c r="U114">
        <f t="shared" si="10"/>
        <v>135</v>
      </c>
      <c r="V114">
        <f t="shared" si="11"/>
        <v>21758770</v>
      </c>
      <c r="W114">
        <f>IF($A114="","",Allocation!CD114)</f>
        <v>92183</v>
      </c>
      <c r="X114">
        <f>IF($A114="","",Allocation!CE114)</f>
        <v>228262.14</v>
      </c>
      <c r="Y114">
        <f>IF($A114="","",Allocation!CF114)</f>
        <v>64636</v>
      </c>
      <c r="Z114">
        <f>IF($A114="","",Allocation!CG114)</f>
        <v>33284</v>
      </c>
      <c r="AA114">
        <f>IF($A114="","",Allocation!CH114)</f>
        <v>508107.42</v>
      </c>
      <c r="AB114">
        <f>IF($A114="","",Allocation!CI114)</f>
        <v>2760232</v>
      </c>
      <c r="AC114">
        <f>IF($A114="","",IF(Allocation!$N$4="VOL_EFF",$G114,IF(Allocation!$N$4="VOL_CLASS",$H114,$I114)))</f>
        <v>2</v>
      </c>
      <c r="AD114">
        <f>IF($A114="","",IF(Allocation!$N$4="VOL_EFF",$L114,IF(Allocation!$N$4="VOL_CLASS",$M114,$N114)))</f>
        <v>10</v>
      </c>
      <c r="AE114">
        <f>IF($A114="","",IF(Allocation!$N$3="VOL_EFF",$L114,IF(Allocation!$N$3="VOL_CLASS",$M114,$N114)))</f>
        <v>211</v>
      </c>
      <c r="AF114">
        <f>IF($A114="","",IF(Allocation!$N$3="VOL_EFF",$Q114,IF(Allocation!$N$3="VOL_CLASS",$R114,$S114)))</f>
        <v>377</v>
      </c>
      <c r="AG114">
        <f>IF($A114="","",IF(Allocation!$N$1="VOL_EFF",$Q114,IF(Allocation!$N$1="VOL_CLASS",$R114,$S114)))</f>
        <v>20</v>
      </c>
      <c r="AH114">
        <f>IF($A114="","",IF(Allocation!$N$1="VOL_EFF",$T114,IF(Allocation!$N$1="VOL_CLASS",$U114,$V114)))</f>
        <v>135</v>
      </c>
      <c r="AI114">
        <f t="shared" si="12"/>
        <v>15580.2253521127</v>
      </c>
      <c r="AJ114">
        <f t="shared" si="13"/>
        <v>38579.5166197183</v>
      </c>
      <c r="AK114">
        <f t="shared" si="14"/>
        <v>29814.2654028436</v>
      </c>
      <c r="AL114">
        <f t="shared" si="15"/>
        <v>101621.484</v>
      </c>
      <c r="AM114">
        <f t="shared" si="16"/>
        <v>45773.3727871107</v>
      </c>
      <c r="AN114">
        <f t="shared" si="17"/>
        <v>80977.3214309611</v>
      </c>
      <c r="AO114">
        <f>IF($A114="","",Allocation!CJ114)</f>
        <v>580167</v>
      </c>
      <c r="AP114">
        <f>IF($A114="","",IF(Allocation!$N$2="VOL_EFF",$Q114,IF(Allocation!$N$2="VOL_CLASS",$R114,$S114)))</f>
        <v>2537610</v>
      </c>
      <c r="AQ114">
        <f>IF($A114="","",IF(Allocation!$N$2="VOL_EFF",$T114,IF(Allocation!$N$2="VOL_CLASS",$U114,$V114)))</f>
        <v>21758770</v>
      </c>
      <c r="AR114">
        <f t="shared" si="18"/>
        <v>7573.81440725357</v>
      </c>
      <c r="AS114" t="str">
        <f>IF($A114="","",$A114&amp;"|"&amp;Allocation!BG114)</f>
        <v>2025|ACT</v>
      </c>
    </row>
    <row r="115" ht="14.497499999999997" customHeight="1">
      <c r="A115" t="str">
        <f>IF(Allocation!BI115="","",Allocation!BI115)</f>
        <v>2025</v>
      </c>
      <c r="B115" t="str">
        <f>IF(Allocation!BJ115="","",Allocation!BJ115)</f>
        <v>PIGIER_LYO</v>
      </c>
      <c r="C115" t="str">
        <f>IF(Allocation!BK115="","",Allocation!BK115)</f>
        <v>PIGIER</v>
      </c>
      <c r="D115" t="str">
        <f>IF(Allocation!BL115="","",Allocation!BL115)</f>
        <v>BAC_RH</v>
      </c>
      <c r="E115" t="str">
        <f>IF(Allocation!BM115="","",Allocation!BM115)</f>
        <v>B2</v>
      </c>
      <c r="F115" t="str">
        <f>IF(Allocation!BN115="","",Allocation!BN115)</f>
        <v>ALT</v>
      </c>
      <c r="G115">
        <f>IF(Allocation!BO115="","",Allocation!BO115)</f>
        <v>42</v>
      </c>
      <c r="H115">
        <f>IF(Allocation!BP115="","",Allocation!BP115)</f>
        <v>2</v>
      </c>
      <c r="I115">
        <f>IF(Allocation!BQ115="","",Allocation!BQ115)</f>
        <v>308700</v>
      </c>
      <c r="J115">
        <f>IF(Allocation!CC115="","",Allocation!CC115)</f>
        <v>0</v>
      </c>
      <c r="K115">
        <f t="shared" si="0"/>
        <v>960</v>
      </c>
      <c r="L115">
        <f t="shared" si="1"/>
        <v>211</v>
      </c>
      <c r="M115">
        <f t="shared" si="2"/>
        <v>10</v>
      </c>
      <c r="N115">
        <f t="shared" si="3"/>
        <v>1469340</v>
      </c>
      <c r="O115">
        <f t="shared" si="4"/>
        <v>5680</v>
      </c>
      <c r="P115">
        <f t="shared" si="5"/>
        <v>86</v>
      </c>
      <c r="Q115">
        <f t="shared" si="6"/>
        <v>377</v>
      </c>
      <c r="R115">
        <f t="shared" si="7"/>
        <v>20</v>
      </c>
      <c r="S115">
        <f t="shared" si="8"/>
        <v>2537610</v>
      </c>
      <c r="T115">
        <f t="shared" si="9"/>
        <v>2933</v>
      </c>
      <c r="U115">
        <f t="shared" si="10"/>
        <v>135</v>
      </c>
      <c r="V115">
        <f t="shared" si="11"/>
        <v>21758770</v>
      </c>
      <c r="W115">
        <f>IF($A115="","",Allocation!CD115)</f>
        <v>92183</v>
      </c>
      <c r="X115">
        <f>IF($A115="","",Allocation!CE115)</f>
        <v>228262.14</v>
      </c>
      <c r="Y115">
        <f>IF($A115="","",Allocation!CF115)</f>
        <v>64636</v>
      </c>
      <c r="Z115">
        <f>IF($A115="","",Allocation!CG115)</f>
        <v>33284</v>
      </c>
      <c r="AA115">
        <f>IF($A115="","",Allocation!CH115)</f>
        <v>508107.42</v>
      </c>
      <c r="AB115">
        <f>IF($A115="","",Allocation!CI115)</f>
        <v>2760232</v>
      </c>
      <c r="AC115">
        <f>IF($A115="","",IF(Allocation!$N$4="VOL_EFF",$G115,IF(Allocation!$N$4="VOL_CLASS",$H115,$I115)))</f>
        <v>2</v>
      </c>
      <c r="AD115">
        <f>IF($A115="","",IF(Allocation!$N$4="VOL_EFF",$L115,IF(Allocation!$N$4="VOL_CLASS",$M115,$N115)))</f>
        <v>10</v>
      </c>
      <c r="AE115">
        <f>IF($A115="","",IF(Allocation!$N$3="VOL_EFF",$L115,IF(Allocation!$N$3="VOL_CLASS",$M115,$N115)))</f>
        <v>211</v>
      </c>
      <c r="AF115">
        <f>IF($A115="","",IF(Allocation!$N$3="VOL_EFF",$Q115,IF(Allocation!$N$3="VOL_CLASS",$R115,$S115)))</f>
        <v>377</v>
      </c>
      <c r="AG115">
        <f>IF($A115="","",IF(Allocation!$N$1="VOL_EFF",$Q115,IF(Allocation!$N$1="VOL_CLASS",$R115,$S115)))</f>
        <v>20</v>
      </c>
      <c r="AH115">
        <f>IF($A115="","",IF(Allocation!$N$1="VOL_EFF",$T115,IF(Allocation!$N$1="VOL_CLASS",$U115,$V115)))</f>
        <v>135</v>
      </c>
      <c r="AI115">
        <f t="shared" si="12"/>
        <v>15580.2253521127</v>
      </c>
      <c r="AJ115">
        <f t="shared" si="13"/>
        <v>38579.5166197183</v>
      </c>
      <c r="AK115">
        <f t="shared" si="14"/>
        <v>12865.9336492891</v>
      </c>
      <c r="AL115">
        <f t="shared" si="15"/>
        <v>101621.484</v>
      </c>
      <c r="AM115">
        <f t="shared" si="16"/>
        <v>45773.3727871107</v>
      </c>
      <c r="AN115">
        <f t="shared" si="17"/>
        <v>86705.6531845157</v>
      </c>
      <c r="AO115">
        <f>IF($A115="","",Allocation!CJ115)</f>
        <v>580167</v>
      </c>
      <c r="AP115">
        <f>IF($A115="","",IF(Allocation!$N$2="VOL_EFF",$Q115,IF(Allocation!$N$2="VOL_CLASS",$R115,$S115)))</f>
        <v>2537610</v>
      </c>
      <c r="AQ115">
        <f>IF($A115="","",IF(Allocation!$N$2="VOL_EFF",$T115,IF(Allocation!$N$2="VOL_CLASS",$U115,$V115)))</f>
        <v>21758770</v>
      </c>
      <c r="AR115">
        <f t="shared" si="18"/>
        <v>7573.81440725357</v>
      </c>
      <c r="AS115" t="str">
        <f>IF($A115="","",$A115&amp;"|"&amp;Allocation!BG115)</f>
        <v>2025|ACT</v>
      </c>
    </row>
    <row r="116" ht="14.497499999999997" customHeight="1">
      <c r="A116" t="str">
        <f>IF(Allocation!BI116="","",Allocation!BI116)</f>
        <v>2025</v>
      </c>
      <c r="B116" t="str">
        <f>IF(Allocation!BJ116="","",Allocation!BJ116)</f>
        <v>TUNON_LYO</v>
      </c>
      <c r="C116" t="str">
        <f>IF(Allocation!BK116="","",Allocation!BK116)</f>
        <v>TUNON</v>
      </c>
      <c r="D116" t="str">
        <f>IF(Allocation!BL116="","",Allocation!BL116)</f>
        <v>BAC_TOU</v>
      </c>
      <c r="E116" t="str">
        <f>IF(Allocation!BM116="","",Allocation!BM116)</f>
        <v>B1</v>
      </c>
      <c r="F116" t="str">
        <f>IF(Allocation!BN116="","",Allocation!BN116)</f>
        <v>ALT</v>
      </c>
      <c r="G116">
        <f>IF(Allocation!BO116="","",Allocation!BO116)</f>
        <v>38</v>
      </c>
      <c r="H116">
        <f>IF(Allocation!BP116="","",Allocation!BP116)</f>
        <v>2</v>
      </c>
      <c r="I116">
        <f>IF(Allocation!BQ116="","",Allocation!BQ116)</f>
        <v>282720</v>
      </c>
      <c r="J116">
        <f>IF(Allocation!CC116="","",Allocation!CC116)</f>
        <v>38</v>
      </c>
      <c r="K116">
        <f t="shared" si="0"/>
        <v>960</v>
      </c>
      <c r="L116">
        <f t="shared" si="1"/>
        <v>111</v>
      </c>
      <c r="M116">
        <f t="shared" si="2"/>
        <v>6</v>
      </c>
      <c r="N116">
        <f t="shared" si="3"/>
        <v>819270</v>
      </c>
      <c r="O116">
        <f t="shared" si="4"/>
        <v>2880</v>
      </c>
      <c r="P116">
        <f t="shared" si="5"/>
        <v>38</v>
      </c>
      <c r="Q116">
        <f t="shared" si="6"/>
        <v>240</v>
      </c>
      <c r="R116">
        <f t="shared" si="7"/>
        <v>12</v>
      </c>
      <c r="S116">
        <f t="shared" si="8"/>
        <v>1834590</v>
      </c>
      <c r="T116">
        <f t="shared" si="9"/>
        <v>2933</v>
      </c>
      <c r="U116">
        <f t="shared" si="10"/>
        <v>135</v>
      </c>
      <c r="V116">
        <f t="shared" si="11"/>
        <v>21758770</v>
      </c>
      <c r="W116">
        <f>IF($A116="","",Allocation!CD116)</f>
        <v>69137</v>
      </c>
      <c r="X116">
        <f>IF($A116="","",Allocation!CE116)</f>
        <v>173666.48</v>
      </c>
      <c r="Y116">
        <f>IF($A116="","",Allocation!CF116)</f>
        <v>41552</v>
      </c>
      <c r="Z116">
        <f>IF($A116="","",Allocation!CG116)</f>
        <v>17136</v>
      </c>
      <c r="AA116">
        <f>IF($A116="","",Allocation!CH116)</f>
        <v>350322.7</v>
      </c>
      <c r="AB116">
        <f>IF($A116="","",Allocation!CI116)</f>
        <v>2760232</v>
      </c>
      <c r="AC116">
        <f>IF($A116="","",IF(Allocation!$N$4="VOL_EFF",$G116,IF(Allocation!$N$4="VOL_CLASS",$H116,$I116)))</f>
        <v>2</v>
      </c>
      <c r="AD116">
        <f>IF($A116="","",IF(Allocation!$N$4="VOL_EFF",$L116,IF(Allocation!$N$4="VOL_CLASS",$M116,$N116)))</f>
        <v>6</v>
      </c>
      <c r="AE116">
        <f>IF($A116="","",IF(Allocation!$N$3="VOL_EFF",$L116,IF(Allocation!$N$3="VOL_CLASS",$M116,$N116)))</f>
        <v>111</v>
      </c>
      <c r="AF116">
        <f>IF($A116="","",IF(Allocation!$N$3="VOL_EFF",$Q116,IF(Allocation!$N$3="VOL_CLASS",$R116,$S116)))</f>
        <v>240</v>
      </c>
      <c r="AG116">
        <f>IF($A116="","",IF(Allocation!$N$1="VOL_EFF",$Q116,IF(Allocation!$N$1="VOL_CLASS",$R116,$S116)))</f>
        <v>12</v>
      </c>
      <c r="AH116">
        <f>IF($A116="","",IF(Allocation!$N$1="VOL_EFF",$T116,IF(Allocation!$N$1="VOL_CLASS",$U116,$V116)))</f>
        <v>135</v>
      </c>
      <c r="AI116">
        <f t="shared" si="12"/>
        <v>23045.6666666667</v>
      </c>
      <c r="AJ116">
        <f t="shared" si="13"/>
        <v>57888.8266666667</v>
      </c>
      <c r="AK116">
        <f t="shared" si="14"/>
        <v>31361.009009009</v>
      </c>
      <c r="AL116">
        <f t="shared" si="15"/>
        <v>116774.233333333</v>
      </c>
      <c r="AM116">
        <f t="shared" si="16"/>
        <v>37825.4014814815</v>
      </c>
      <c r="AN116">
        <f t="shared" si="17"/>
        <v>8283.52867972752</v>
      </c>
      <c r="AO116">
        <f>IF($A116="","",Allocation!CJ116)</f>
        <v>580167</v>
      </c>
      <c r="AP116">
        <f>IF($A116="","",IF(Allocation!$N$2="VOL_EFF",$Q116,IF(Allocation!$N$2="VOL_CLASS",$R116,$S116)))</f>
        <v>1834590</v>
      </c>
      <c r="AQ116">
        <f>IF($A116="","",IF(Allocation!$N$2="VOL_EFF",$T116,IF(Allocation!$N$2="VOL_CLASS",$U116,$V116)))</f>
        <v>21758770</v>
      </c>
      <c r="AR116">
        <f t="shared" si="18"/>
        <v>7541.33416311561</v>
      </c>
      <c r="AS116" t="str">
        <f>IF($A116="","",$A116&amp;"|"&amp;Allocation!BG116)</f>
        <v>2025|ACT</v>
      </c>
    </row>
    <row r="117" ht="14.497499999999997" customHeight="1">
      <c r="A117" t="str">
        <f>IF(Allocation!BI117="","",Allocation!BI117)</f>
        <v>2025</v>
      </c>
      <c r="B117" t="str">
        <f>IF(Allocation!BJ117="","",Allocation!BJ117)</f>
        <v>TUNON_LYO</v>
      </c>
      <c r="C117" t="str">
        <f>IF(Allocation!BK117="","",Allocation!BK117)</f>
        <v>TUNON</v>
      </c>
      <c r="D117" t="str">
        <f>IF(Allocation!BL117="","",Allocation!BL117)</f>
        <v>BAC_TOU</v>
      </c>
      <c r="E117" t="str">
        <f>IF(Allocation!BM117="","",Allocation!BM117)</f>
        <v>B2</v>
      </c>
      <c r="F117" t="str">
        <f>IF(Allocation!BN117="","",Allocation!BN117)</f>
        <v>ALT</v>
      </c>
      <c r="G117">
        <f>IF(Allocation!BO117="","",Allocation!BO117)</f>
        <v>37</v>
      </c>
      <c r="H117">
        <f>IF(Allocation!BP117="","",Allocation!BP117)</f>
        <v>2</v>
      </c>
      <c r="I117">
        <f>IF(Allocation!BQ117="","",Allocation!BQ117)</f>
        <v>271950</v>
      </c>
      <c r="J117">
        <f>IF(Allocation!CC117="","",Allocation!CC117)</f>
        <v>0</v>
      </c>
      <c r="K117">
        <f t="shared" si="0"/>
        <v>960</v>
      </c>
      <c r="L117">
        <f t="shared" si="1"/>
        <v>111</v>
      </c>
      <c r="M117">
        <f t="shared" si="2"/>
        <v>6</v>
      </c>
      <c r="N117">
        <f t="shared" si="3"/>
        <v>819270</v>
      </c>
      <c r="O117">
        <f t="shared" si="4"/>
        <v>2880</v>
      </c>
      <c r="P117">
        <f t="shared" si="5"/>
        <v>38</v>
      </c>
      <c r="Q117">
        <f t="shared" si="6"/>
        <v>240</v>
      </c>
      <c r="R117">
        <f t="shared" si="7"/>
        <v>12</v>
      </c>
      <c r="S117">
        <f t="shared" si="8"/>
        <v>1834590</v>
      </c>
      <c r="T117">
        <f t="shared" si="9"/>
        <v>2933</v>
      </c>
      <c r="U117">
        <f t="shared" si="10"/>
        <v>135</v>
      </c>
      <c r="V117">
        <f t="shared" si="11"/>
        <v>21758770</v>
      </c>
      <c r="W117">
        <f>IF($A117="","",Allocation!CD117)</f>
        <v>69137</v>
      </c>
      <c r="X117">
        <f>IF($A117="","",Allocation!CE117)</f>
        <v>173666.48</v>
      </c>
      <c r="Y117">
        <f>IF($A117="","",Allocation!CF117)</f>
        <v>41552</v>
      </c>
      <c r="Z117">
        <f>IF($A117="","",Allocation!CG117)</f>
        <v>17136</v>
      </c>
      <c r="AA117">
        <f>IF($A117="","",Allocation!CH117)</f>
        <v>350322.7</v>
      </c>
      <c r="AB117">
        <f>IF($A117="","",Allocation!CI117)</f>
        <v>2760232</v>
      </c>
      <c r="AC117">
        <f>IF($A117="","",IF(Allocation!$N$4="VOL_EFF",$G117,IF(Allocation!$N$4="VOL_CLASS",$H117,$I117)))</f>
        <v>2</v>
      </c>
      <c r="AD117">
        <f>IF($A117="","",IF(Allocation!$N$4="VOL_EFF",$L117,IF(Allocation!$N$4="VOL_CLASS",$M117,$N117)))</f>
        <v>6</v>
      </c>
      <c r="AE117">
        <f>IF($A117="","",IF(Allocation!$N$3="VOL_EFF",$L117,IF(Allocation!$N$3="VOL_CLASS",$M117,$N117)))</f>
        <v>111</v>
      </c>
      <c r="AF117">
        <f>IF($A117="","",IF(Allocation!$N$3="VOL_EFF",$Q117,IF(Allocation!$N$3="VOL_CLASS",$R117,$S117)))</f>
        <v>240</v>
      </c>
      <c r="AG117">
        <f>IF($A117="","",IF(Allocation!$N$1="VOL_EFF",$Q117,IF(Allocation!$N$1="VOL_CLASS",$R117,$S117)))</f>
        <v>12</v>
      </c>
      <c r="AH117">
        <f>IF($A117="","",IF(Allocation!$N$1="VOL_EFF",$T117,IF(Allocation!$N$1="VOL_CLASS",$U117,$V117)))</f>
        <v>135</v>
      </c>
      <c r="AI117">
        <f t="shared" si="12"/>
        <v>23045.6666666667</v>
      </c>
      <c r="AJ117">
        <f t="shared" si="13"/>
        <v>57888.8266666667</v>
      </c>
      <c r="AK117">
        <f t="shared" si="14"/>
        <v>13850.6666666667</v>
      </c>
      <c r="AL117">
        <f t="shared" si="15"/>
        <v>116774.233333333</v>
      </c>
      <c r="AM117">
        <f t="shared" si="16"/>
        <v>37825.4014814815</v>
      </c>
      <c r="AN117">
        <f t="shared" si="17"/>
        <v>15023.8710220698</v>
      </c>
      <c r="AO117">
        <f>IF($A117="","",Allocation!CJ117)</f>
        <v>580167</v>
      </c>
      <c r="AP117">
        <f>IF($A117="","",IF(Allocation!$N$2="VOL_EFF",$Q117,IF(Allocation!$N$2="VOL_CLASS",$R117,$S117)))</f>
        <v>1834590</v>
      </c>
      <c r="AQ117">
        <f>IF($A117="","",IF(Allocation!$N$2="VOL_EFF",$T117,IF(Allocation!$N$2="VOL_CLASS",$U117,$V117)))</f>
        <v>21758770</v>
      </c>
      <c r="AR117">
        <f t="shared" si="18"/>
        <v>7541.33416311561</v>
      </c>
      <c r="AS117" t="str">
        <f>IF($A117="","",$A117&amp;"|"&amp;Allocation!BG117)</f>
        <v>2025|ACT</v>
      </c>
    </row>
    <row r="118" ht="14.497499999999997" customHeight="1">
      <c r="A118" t="str">
        <f>IF(Allocation!BI118="","",Allocation!BI118)</f>
        <v>2025</v>
      </c>
      <c r="B118" t="str">
        <f>IF(Allocation!BJ118="","",Allocation!BJ118)</f>
        <v>TUNON_LYO</v>
      </c>
      <c r="C118" t="str">
        <f>IF(Allocation!BK118="","",Allocation!BK118)</f>
        <v>TUNON</v>
      </c>
      <c r="D118" t="str">
        <f>IF(Allocation!BL118="","",Allocation!BL118)</f>
        <v>BAC_TOU</v>
      </c>
      <c r="E118" t="str">
        <f>IF(Allocation!BM118="","",Allocation!BM118)</f>
        <v>B3</v>
      </c>
      <c r="F118" t="str">
        <f>IF(Allocation!BN118="","",Allocation!BN118)</f>
        <v>ALT</v>
      </c>
      <c r="G118">
        <f>IF(Allocation!BO118="","",Allocation!BO118)</f>
        <v>36</v>
      </c>
      <c r="H118">
        <f>IF(Allocation!BP118="","",Allocation!BP118)</f>
        <v>2</v>
      </c>
      <c r="I118">
        <f>IF(Allocation!BQ118="","",Allocation!BQ118)</f>
        <v>264600</v>
      </c>
      <c r="J118">
        <f>IF(Allocation!CC118="","",Allocation!CC118)</f>
        <v>0</v>
      </c>
      <c r="K118">
        <f t="shared" si="0"/>
        <v>960</v>
      </c>
      <c r="L118">
        <f t="shared" si="1"/>
        <v>111</v>
      </c>
      <c r="M118">
        <f t="shared" si="2"/>
        <v>6</v>
      </c>
      <c r="N118">
        <f t="shared" si="3"/>
        <v>819270</v>
      </c>
      <c r="O118">
        <f t="shared" si="4"/>
        <v>2880</v>
      </c>
      <c r="P118">
        <f t="shared" si="5"/>
        <v>38</v>
      </c>
      <c r="Q118">
        <f t="shared" si="6"/>
        <v>240</v>
      </c>
      <c r="R118">
        <f t="shared" si="7"/>
        <v>12</v>
      </c>
      <c r="S118">
        <f t="shared" si="8"/>
        <v>1834590</v>
      </c>
      <c r="T118">
        <f t="shared" si="9"/>
        <v>2933</v>
      </c>
      <c r="U118">
        <f t="shared" si="10"/>
        <v>135</v>
      </c>
      <c r="V118">
        <f t="shared" si="11"/>
        <v>21758770</v>
      </c>
      <c r="W118">
        <f>IF($A118="","",Allocation!CD118)</f>
        <v>69137</v>
      </c>
      <c r="X118">
        <f>IF($A118="","",Allocation!CE118)</f>
        <v>173666.48</v>
      </c>
      <c r="Y118">
        <f>IF($A118="","",Allocation!CF118)</f>
        <v>41552</v>
      </c>
      <c r="Z118">
        <f>IF($A118="","",Allocation!CG118)</f>
        <v>17136</v>
      </c>
      <c r="AA118">
        <f>IF($A118="","",Allocation!CH118)</f>
        <v>350322.7</v>
      </c>
      <c r="AB118">
        <f>IF($A118="","",Allocation!CI118)</f>
        <v>2760232</v>
      </c>
      <c r="AC118">
        <f>IF($A118="","",IF(Allocation!$N$4="VOL_EFF",$G118,IF(Allocation!$N$4="VOL_CLASS",$H118,$I118)))</f>
        <v>2</v>
      </c>
      <c r="AD118">
        <f>IF($A118="","",IF(Allocation!$N$4="VOL_EFF",$L118,IF(Allocation!$N$4="VOL_CLASS",$M118,$N118)))</f>
        <v>6</v>
      </c>
      <c r="AE118">
        <f>IF($A118="","",IF(Allocation!$N$3="VOL_EFF",$L118,IF(Allocation!$N$3="VOL_CLASS",$M118,$N118)))</f>
        <v>111</v>
      </c>
      <c r="AF118">
        <f>IF($A118="","",IF(Allocation!$N$3="VOL_EFF",$Q118,IF(Allocation!$N$3="VOL_CLASS",$R118,$S118)))</f>
        <v>240</v>
      </c>
      <c r="AG118">
        <f>IF($A118="","",IF(Allocation!$N$1="VOL_EFF",$Q118,IF(Allocation!$N$1="VOL_CLASS",$R118,$S118)))</f>
        <v>12</v>
      </c>
      <c r="AH118">
        <f>IF($A118="","",IF(Allocation!$N$1="VOL_EFF",$T118,IF(Allocation!$N$1="VOL_CLASS",$U118,$V118)))</f>
        <v>135</v>
      </c>
      <c r="AI118">
        <f t="shared" si="12"/>
        <v>23045.6666666667</v>
      </c>
      <c r="AJ118">
        <f t="shared" si="13"/>
        <v>57888.8266666667</v>
      </c>
      <c r="AK118">
        <f t="shared" si="14"/>
        <v>13476.3243243243</v>
      </c>
      <c r="AL118">
        <f t="shared" si="15"/>
        <v>116774.233333333</v>
      </c>
      <c r="AM118">
        <f t="shared" si="16"/>
        <v>37825.4014814815</v>
      </c>
      <c r="AN118">
        <f t="shared" si="17"/>
        <v>8048.21336441216</v>
      </c>
      <c r="AO118">
        <f>IF($A118="","",Allocation!CJ118)</f>
        <v>580167</v>
      </c>
      <c r="AP118">
        <f>IF($A118="","",IF(Allocation!$N$2="VOL_EFF",$Q118,IF(Allocation!$N$2="VOL_CLASS",$R118,$S118)))</f>
        <v>1834590</v>
      </c>
      <c r="AQ118">
        <f>IF($A118="","",IF(Allocation!$N$2="VOL_EFF",$T118,IF(Allocation!$N$2="VOL_CLASS",$U118,$V118)))</f>
        <v>21758770</v>
      </c>
      <c r="AR118">
        <f t="shared" si="18"/>
        <v>7541.33416311561</v>
      </c>
      <c r="AS118" t="str">
        <f>IF($A118="","",$A118&amp;"|"&amp;Allocation!BG118)</f>
        <v>2025|ACT</v>
      </c>
    </row>
    <row r="119" ht="14.497499999999997" customHeight="1">
      <c r="A119" t="str">
        <f>IF(Allocation!BI119="","",Allocation!BI119)</f>
        <v>2025</v>
      </c>
      <c r="B119" t="str">
        <f>IF(Allocation!BJ119="","",Allocation!BJ119)</f>
        <v>TUNON_PAR</v>
      </c>
      <c r="C119" t="str">
        <f>IF(Allocation!BK119="","",Allocation!BK119)</f>
        <v>TUNON</v>
      </c>
      <c r="D119" t="str">
        <f>IF(Allocation!BL119="","",Allocation!BL119)</f>
        <v>BAC_TOU</v>
      </c>
      <c r="E119" t="str">
        <f>IF(Allocation!BM119="","",Allocation!BM119)</f>
        <v>B1</v>
      </c>
      <c r="F119" t="str">
        <f>IF(Allocation!BN119="","",Allocation!BN119)</f>
        <v>ALT</v>
      </c>
      <c r="G119">
        <f>IF(Allocation!BO119="","",Allocation!BO119)</f>
        <v>44</v>
      </c>
      <c r="H119">
        <f>IF(Allocation!BP119="","",Allocation!BP119)</f>
        <v>2</v>
      </c>
      <c r="I119">
        <f>IF(Allocation!BQ119="","",Allocation!BQ119)</f>
        <v>348920</v>
      </c>
      <c r="J119">
        <f>IF(Allocation!CC119="","",Allocation!CC119)</f>
        <v>44</v>
      </c>
      <c r="K119">
        <f t="shared" si="0"/>
        <v>960</v>
      </c>
      <c r="L119">
        <f t="shared" si="1"/>
        <v>129</v>
      </c>
      <c r="M119">
        <f t="shared" si="2"/>
        <v>6</v>
      </c>
      <c r="N119">
        <f t="shared" si="3"/>
        <v>1015320</v>
      </c>
      <c r="O119">
        <f t="shared" si="4"/>
        <v>2880</v>
      </c>
      <c r="P119">
        <f t="shared" si="5"/>
        <v>44</v>
      </c>
      <c r="Q119">
        <f t="shared" si="6"/>
        <v>240</v>
      </c>
      <c r="R119">
        <f t="shared" si="7"/>
        <v>12</v>
      </c>
      <c r="S119">
        <f t="shared" si="8"/>
        <v>1834590</v>
      </c>
      <c r="T119">
        <f t="shared" si="9"/>
        <v>2933</v>
      </c>
      <c r="U119">
        <f t="shared" si="10"/>
        <v>135</v>
      </c>
      <c r="V119">
        <f t="shared" si="11"/>
        <v>21758770</v>
      </c>
      <c r="W119">
        <f>IF($A119="","",Allocation!CD119)</f>
        <v>69137</v>
      </c>
      <c r="X119">
        <f>IF($A119="","",Allocation!CE119)</f>
        <v>205065.3</v>
      </c>
      <c r="Y119">
        <f>IF($A119="","",Allocation!CF119)</f>
        <v>49010</v>
      </c>
      <c r="Z119">
        <f>IF($A119="","",Allocation!CG119)</f>
        <v>27491</v>
      </c>
      <c r="AA119">
        <f>IF($A119="","",Allocation!CH119)</f>
        <v>459763.86</v>
      </c>
      <c r="AB119">
        <f>IF($A119="","",Allocation!CI119)</f>
        <v>2760232</v>
      </c>
      <c r="AC119">
        <f>IF($A119="","",IF(Allocation!$N$4="VOL_EFF",$G119,IF(Allocation!$N$4="VOL_CLASS",$H119,$I119)))</f>
        <v>2</v>
      </c>
      <c r="AD119">
        <f>IF($A119="","",IF(Allocation!$N$4="VOL_EFF",$L119,IF(Allocation!$N$4="VOL_CLASS",$M119,$N119)))</f>
        <v>6</v>
      </c>
      <c r="AE119">
        <f>IF($A119="","",IF(Allocation!$N$3="VOL_EFF",$L119,IF(Allocation!$N$3="VOL_CLASS",$M119,$N119)))</f>
        <v>129</v>
      </c>
      <c r="AF119">
        <f>IF($A119="","",IF(Allocation!$N$3="VOL_EFF",$Q119,IF(Allocation!$N$3="VOL_CLASS",$R119,$S119)))</f>
        <v>240</v>
      </c>
      <c r="AG119">
        <f>IF($A119="","",IF(Allocation!$N$1="VOL_EFF",$Q119,IF(Allocation!$N$1="VOL_CLASS",$R119,$S119)))</f>
        <v>12</v>
      </c>
      <c r="AH119">
        <f>IF($A119="","",IF(Allocation!$N$1="VOL_EFF",$T119,IF(Allocation!$N$1="VOL_CLASS",$U119,$V119)))</f>
        <v>135</v>
      </c>
      <c r="AI119">
        <f t="shared" si="12"/>
        <v>23045.6666666667</v>
      </c>
      <c r="AJ119">
        <f t="shared" si="13"/>
        <v>68355.1</v>
      </c>
      <c r="AK119">
        <f t="shared" si="14"/>
        <v>44207.5891472868</v>
      </c>
      <c r="AL119">
        <f t="shared" si="15"/>
        <v>153254.62</v>
      </c>
      <c r="AM119">
        <f t="shared" si="16"/>
        <v>43959.2503703704</v>
      </c>
      <c r="AN119">
        <f t="shared" si="17"/>
        <v>7333.52059908229</v>
      </c>
      <c r="AO119">
        <f>IF($A119="","",Allocation!CJ119)</f>
        <v>580167</v>
      </c>
      <c r="AP119">
        <f>IF($A119="","",IF(Allocation!$N$2="VOL_EFF",$Q119,IF(Allocation!$N$2="VOL_CLASS",$R119,$S119)))</f>
        <v>1834590</v>
      </c>
      <c r="AQ119">
        <f>IF($A119="","",IF(Allocation!$N$2="VOL_EFF",$T119,IF(Allocation!$N$2="VOL_CLASS",$U119,$V119)))</f>
        <v>21758770</v>
      </c>
      <c r="AR119">
        <f t="shared" si="18"/>
        <v>8764.25321659381</v>
      </c>
      <c r="AS119" t="str">
        <f>IF($A119="","",$A119&amp;"|"&amp;Allocation!BG119)</f>
        <v>2025|ACT</v>
      </c>
    </row>
    <row r="120" ht="14.497499999999997" customHeight="1">
      <c r="A120" t="str">
        <f>IF(Allocation!BI120="","",Allocation!BI120)</f>
        <v>2025</v>
      </c>
      <c r="B120" t="str">
        <f>IF(Allocation!BJ120="","",Allocation!BJ120)</f>
        <v>TUNON_PAR</v>
      </c>
      <c r="C120" t="str">
        <f>IF(Allocation!BK120="","",Allocation!BK120)</f>
        <v>TUNON</v>
      </c>
      <c r="D120" t="str">
        <f>IF(Allocation!BL120="","",Allocation!BL120)</f>
        <v>BAC_TOU</v>
      </c>
      <c r="E120" t="str">
        <f>IF(Allocation!BM120="","",Allocation!BM120)</f>
        <v>B2</v>
      </c>
      <c r="F120" t="str">
        <f>IF(Allocation!BN120="","",Allocation!BN120)</f>
        <v>ALT</v>
      </c>
      <c r="G120">
        <f>IF(Allocation!BO120="","",Allocation!BO120)</f>
        <v>43</v>
      </c>
      <c r="H120">
        <f>IF(Allocation!BP120="","",Allocation!BP120)</f>
        <v>2</v>
      </c>
      <c r="I120">
        <f>IF(Allocation!BQ120="","",Allocation!BQ120)</f>
        <v>337120</v>
      </c>
      <c r="J120">
        <f>IF(Allocation!CC120="","",Allocation!CC120)</f>
        <v>0</v>
      </c>
      <c r="K120">
        <f t="shared" si="0"/>
        <v>960</v>
      </c>
      <c r="L120">
        <f t="shared" si="1"/>
        <v>129</v>
      </c>
      <c r="M120">
        <f t="shared" si="2"/>
        <v>6</v>
      </c>
      <c r="N120">
        <f t="shared" si="3"/>
        <v>1015320</v>
      </c>
      <c r="O120">
        <f t="shared" si="4"/>
        <v>2880</v>
      </c>
      <c r="P120">
        <f t="shared" si="5"/>
        <v>44</v>
      </c>
      <c r="Q120">
        <f t="shared" si="6"/>
        <v>240</v>
      </c>
      <c r="R120">
        <f t="shared" si="7"/>
        <v>12</v>
      </c>
      <c r="S120">
        <f t="shared" si="8"/>
        <v>1834590</v>
      </c>
      <c r="T120">
        <f t="shared" si="9"/>
        <v>2933</v>
      </c>
      <c r="U120">
        <f t="shared" si="10"/>
        <v>135</v>
      </c>
      <c r="V120">
        <f t="shared" si="11"/>
        <v>21758770</v>
      </c>
      <c r="W120">
        <f>IF($A120="","",Allocation!CD120)</f>
        <v>69137</v>
      </c>
      <c r="X120">
        <f>IF($A120="","",Allocation!CE120)</f>
        <v>205065.3</v>
      </c>
      <c r="Y120">
        <f>IF($A120="","",Allocation!CF120)</f>
        <v>49010</v>
      </c>
      <c r="Z120">
        <f>IF($A120="","",Allocation!CG120)</f>
        <v>27491</v>
      </c>
      <c r="AA120">
        <f>IF($A120="","",Allocation!CH120)</f>
        <v>459763.86</v>
      </c>
      <c r="AB120">
        <f>IF($A120="","",Allocation!CI120)</f>
        <v>2760232</v>
      </c>
      <c r="AC120">
        <f>IF($A120="","",IF(Allocation!$N$4="VOL_EFF",$G120,IF(Allocation!$N$4="VOL_CLASS",$H120,$I120)))</f>
        <v>2</v>
      </c>
      <c r="AD120">
        <f>IF($A120="","",IF(Allocation!$N$4="VOL_EFF",$L120,IF(Allocation!$N$4="VOL_CLASS",$M120,$N120)))</f>
        <v>6</v>
      </c>
      <c r="AE120">
        <f>IF($A120="","",IF(Allocation!$N$3="VOL_EFF",$L120,IF(Allocation!$N$3="VOL_CLASS",$M120,$N120)))</f>
        <v>129</v>
      </c>
      <c r="AF120">
        <f>IF($A120="","",IF(Allocation!$N$3="VOL_EFF",$Q120,IF(Allocation!$N$3="VOL_CLASS",$R120,$S120)))</f>
        <v>240</v>
      </c>
      <c r="AG120">
        <f>IF($A120="","",IF(Allocation!$N$1="VOL_EFF",$Q120,IF(Allocation!$N$1="VOL_CLASS",$R120,$S120)))</f>
        <v>12</v>
      </c>
      <c r="AH120">
        <f>IF($A120="","",IF(Allocation!$N$1="VOL_EFF",$T120,IF(Allocation!$N$1="VOL_CLASS",$U120,$V120)))</f>
        <v>135</v>
      </c>
      <c r="AI120">
        <f t="shared" si="12"/>
        <v>23045.6666666667</v>
      </c>
      <c r="AJ120">
        <f t="shared" si="13"/>
        <v>68355.1</v>
      </c>
      <c r="AK120">
        <f t="shared" si="14"/>
        <v>16336.6666666667</v>
      </c>
      <c r="AL120">
        <f t="shared" si="15"/>
        <v>153254.62</v>
      </c>
      <c r="AM120">
        <f t="shared" si="16"/>
        <v>43959.2503703704</v>
      </c>
      <c r="AN120">
        <f t="shared" si="17"/>
        <v>23404.4430797024</v>
      </c>
      <c r="AO120">
        <f>IF($A120="","",Allocation!CJ120)</f>
        <v>580167</v>
      </c>
      <c r="AP120">
        <f>IF($A120="","",IF(Allocation!$N$2="VOL_EFF",$Q120,IF(Allocation!$N$2="VOL_CLASS",$R120,$S120)))</f>
        <v>1834590</v>
      </c>
      <c r="AQ120">
        <f>IF($A120="","",IF(Allocation!$N$2="VOL_EFF",$T120,IF(Allocation!$N$2="VOL_CLASS",$U120,$V120)))</f>
        <v>21758770</v>
      </c>
      <c r="AR120">
        <f t="shared" si="18"/>
        <v>8764.25321659381</v>
      </c>
      <c r="AS120" t="str">
        <f>IF($A120="","",$A120&amp;"|"&amp;Allocation!BG120)</f>
        <v>2025|ACT</v>
      </c>
    </row>
    <row r="121" ht="14.497499999999997" customHeight="1">
      <c r="A121" t="str">
        <f>IF(Allocation!BI121="","",Allocation!BI121)</f>
        <v>2025</v>
      </c>
      <c r="B121" t="str">
        <f>IF(Allocation!BJ121="","",Allocation!BJ121)</f>
        <v>TUNON_PAR</v>
      </c>
      <c r="C121" t="str">
        <f>IF(Allocation!BK121="","",Allocation!BK121)</f>
        <v>TUNON</v>
      </c>
      <c r="D121" t="str">
        <f>IF(Allocation!BL121="","",Allocation!BL121)</f>
        <v>BAC_TOU</v>
      </c>
      <c r="E121" t="str">
        <f>IF(Allocation!BM121="","",Allocation!BM121)</f>
        <v>B3</v>
      </c>
      <c r="F121" t="str">
        <f>IF(Allocation!BN121="","",Allocation!BN121)</f>
        <v>ALT</v>
      </c>
      <c r="G121">
        <f>IF(Allocation!BO121="","",Allocation!BO121)</f>
        <v>42</v>
      </c>
      <c r="H121">
        <f>IF(Allocation!BP121="","",Allocation!BP121)</f>
        <v>2</v>
      </c>
      <c r="I121">
        <f>IF(Allocation!BQ121="","",Allocation!BQ121)</f>
        <v>329280</v>
      </c>
      <c r="J121">
        <f>IF(Allocation!CC121="","",Allocation!CC121)</f>
        <v>0</v>
      </c>
      <c r="K121">
        <f t="shared" si="0"/>
        <v>960</v>
      </c>
      <c r="L121">
        <f t="shared" si="1"/>
        <v>129</v>
      </c>
      <c r="M121">
        <f t="shared" si="2"/>
        <v>6</v>
      </c>
      <c r="N121">
        <f t="shared" si="3"/>
        <v>1015320</v>
      </c>
      <c r="O121">
        <f t="shared" si="4"/>
        <v>2880</v>
      </c>
      <c r="P121">
        <f t="shared" si="5"/>
        <v>44</v>
      </c>
      <c r="Q121">
        <f t="shared" si="6"/>
        <v>240</v>
      </c>
      <c r="R121">
        <f t="shared" si="7"/>
        <v>12</v>
      </c>
      <c r="S121">
        <f t="shared" si="8"/>
        <v>1834590</v>
      </c>
      <c r="T121">
        <f t="shared" si="9"/>
        <v>2933</v>
      </c>
      <c r="U121">
        <f t="shared" si="10"/>
        <v>135</v>
      </c>
      <c r="V121">
        <f t="shared" si="11"/>
        <v>21758770</v>
      </c>
      <c r="W121">
        <f>IF($A121="","",Allocation!CD121)</f>
        <v>69137</v>
      </c>
      <c r="X121">
        <f>IF($A121="","",Allocation!CE121)</f>
        <v>205065.3</v>
      </c>
      <c r="Y121">
        <f>IF($A121="","",Allocation!CF121)</f>
        <v>49010</v>
      </c>
      <c r="Z121">
        <f>IF($A121="","",Allocation!CG121)</f>
        <v>27491</v>
      </c>
      <c r="AA121">
        <f>IF($A121="","",Allocation!CH121)</f>
        <v>459763.86</v>
      </c>
      <c r="AB121">
        <f>IF($A121="","",Allocation!CI121)</f>
        <v>2760232</v>
      </c>
      <c r="AC121">
        <f>IF($A121="","",IF(Allocation!$N$4="VOL_EFF",$G121,IF(Allocation!$N$4="VOL_CLASS",$H121,$I121)))</f>
        <v>2</v>
      </c>
      <c r="AD121">
        <f>IF($A121="","",IF(Allocation!$N$4="VOL_EFF",$L121,IF(Allocation!$N$4="VOL_CLASS",$M121,$N121)))</f>
        <v>6</v>
      </c>
      <c r="AE121">
        <f>IF($A121="","",IF(Allocation!$N$3="VOL_EFF",$L121,IF(Allocation!$N$3="VOL_CLASS",$M121,$N121)))</f>
        <v>129</v>
      </c>
      <c r="AF121">
        <f>IF($A121="","",IF(Allocation!$N$3="VOL_EFF",$Q121,IF(Allocation!$N$3="VOL_CLASS",$R121,$S121)))</f>
        <v>240</v>
      </c>
      <c r="AG121">
        <f>IF($A121="","",IF(Allocation!$N$1="VOL_EFF",$Q121,IF(Allocation!$N$1="VOL_CLASS",$R121,$S121)))</f>
        <v>12</v>
      </c>
      <c r="AH121">
        <f>IF($A121="","",IF(Allocation!$N$1="VOL_EFF",$T121,IF(Allocation!$N$1="VOL_CLASS",$U121,$V121)))</f>
        <v>135</v>
      </c>
      <c r="AI121">
        <f t="shared" si="12"/>
        <v>23045.6666666667</v>
      </c>
      <c r="AJ121">
        <f t="shared" si="13"/>
        <v>68355.1</v>
      </c>
      <c r="AK121">
        <f t="shared" si="14"/>
        <v>15956.7441860465</v>
      </c>
      <c r="AL121">
        <f t="shared" si="15"/>
        <v>153254.62</v>
      </c>
      <c r="AM121">
        <f t="shared" si="16"/>
        <v>43959.2503703704</v>
      </c>
      <c r="AN121">
        <f t="shared" si="17"/>
        <v>15944.3655603226</v>
      </c>
      <c r="AO121">
        <f>IF($A121="","",Allocation!CJ121)</f>
        <v>580167</v>
      </c>
      <c r="AP121">
        <f>IF($A121="","",IF(Allocation!$N$2="VOL_EFF",$Q121,IF(Allocation!$N$2="VOL_CLASS",$R121,$S121)))</f>
        <v>1834590</v>
      </c>
      <c r="AQ121">
        <f>IF($A121="","",IF(Allocation!$N$2="VOL_EFF",$T121,IF(Allocation!$N$2="VOL_CLASS",$U121,$V121)))</f>
        <v>21758770</v>
      </c>
      <c r="AR121">
        <f t="shared" si="18"/>
        <v>8764.25321659381</v>
      </c>
      <c r="AS121" t="str">
        <f>IF($A121="","",$A121&amp;"|"&amp;Allocation!BG121)</f>
        <v>2025|ACT</v>
      </c>
    </row>
    <row r="122" ht="14.497499999999997" customHeight="1">
      <c r="A122" t="str">
        <f>IF(Allocation!BI122="","",Allocation!BI122)</f>
        <v>2026</v>
      </c>
      <c r="B122" t="str">
        <f>IF(Allocation!BJ122="","",Allocation!BJ122)</f>
        <v>IPAC_MTP</v>
      </c>
      <c r="C122" t="str">
        <f>IF(Allocation!BK122="","",Allocation!BK122)</f>
        <v>IPAC</v>
      </c>
      <c r="D122" t="str">
        <f>IF(Allocation!BL122="","",Allocation!BL122)</f>
        <v>BAC_CCE</v>
      </c>
      <c r="E122" t="str">
        <f>IF(Allocation!BM122="","",Allocation!BM122)</f>
        <v>B1</v>
      </c>
      <c r="F122" t="str">
        <f>IF(Allocation!BN122="","",Allocation!BN122)</f>
        <v>ALT</v>
      </c>
      <c r="G122">
        <f>IF(Allocation!BO122="","",Allocation!BO122)</f>
        <v>40</v>
      </c>
      <c r="H122">
        <f>IF(Allocation!BP122="","",Allocation!BP122)</f>
        <v>2</v>
      </c>
      <c r="I122">
        <f>IF(Allocation!BQ122="","",Allocation!BQ122)</f>
        <v>269600</v>
      </c>
      <c r="J122">
        <f>IF(Allocation!CC122="","",Allocation!CC122)</f>
        <v>40</v>
      </c>
      <c r="K122">
        <f t="shared" si="0"/>
        <v>960</v>
      </c>
      <c r="L122">
        <f t="shared" si="1"/>
        <v>117</v>
      </c>
      <c r="M122">
        <f t="shared" si="2"/>
        <v>6</v>
      </c>
      <c r="N122">
        <f t="shared" si="3"/>
        <v>781650</v>
      </c>
      <c r="O122">
        <f t="shared" si="4"/>
        <v>2880</v>
      </c>
      <c r="P122">
        <f t="shared" si="5"/>
        <v>40</v>
      </c>
      <c r="Q122">
        <f t="shared" si="6"/>
        <v>379</v>
      </c>
      <c r="R122">
        <f t="shared" si="7"/>
        <v>18</v>
      </c>
      <c r="S122">
        <f t="shared" si="8"/>
        <v>2582800</v>
      </c>
      <c r="T122">
        <f t="shared" si="9"/>
        <v>3114</v>
      </c>
      <c r="U122">
        <f t="shared" si="10"/>
        <v>135</v>
      </c>
      <c r="V122">
        <f t="shared" si="11"/>
        <v>23098985</v>
      </c>
      <c r="W122">
        <f>IF($A122="","",Allocation!CD122)</f>
        <v>72438</v>
      </c>
      <c r="X122">
        <f>IF($A122="","",Allocation!CE122)</f>
        <v>136087.43</v>
      </c>
      <c r="Y122">
        <f>IF($A122="","",Allocation!CF122)</f>
        <v>43535</v>
      </c>
      <c r="Z122">
        <f>IF($A122="","",Allocation!CG122)</f>
        <v>15178</v>
      </c>
      <c r="AA122">
        <f>IF($A122="","",Allocation!CH122)</f>
        <v>274517.82</v>
      </c>
      <c r="AB122">
        <f>IF($A122="","",Allocation!CI122)</f>
        <v>2891983</v>
      </c>
      <c r="AC122">
        <f>IF($A122="","",IF(Allocation!$N$4="VOL_EFF",$G122,IF(Allocation!$N$4="VOL_CLASS",$H122,$I122)))</f>
        <v>2</v>
      </c>
      <c r="AD122">
        <f>IF($A122="","",IF(Allocation!$N$4="VOL_EFF",$L122,IF(Allocation!$N$4="VOL_CLASS",$M122,$N122)))</f>
        <v>6</v>
      </c>
      <c r="AE122">
        <f>IF($A122="","",IF(Allocation!$N$3="VOL_EFF",$L122,IF(Allocation!$N$3="VOL_CLASS",$M122,$N122)))</f>
        <v>117</v>
      </c>
      <c r="AF122">
        <f>IF($A122="","",IF(Allocation!$N$3="VOL_EFF",$Q122,IF(Allocation!$N$3="VOL_CLASS",$R122,$S122)))</f>
        <v>379</v>
      </c>
      <c r="AG122">
        <f>IF($A122="","",IF(Allocation!$N$1="VOL_EFF",$Q122,IF(Allocation!$N$1="VOL_CLASS",$R122,$S122)))</f>
        <v>18</v>
      </c>
      <c r="AH122">
        <f>IF($A122="","",IF(Allocation!$N$1="VOL_EFF",$T122,IF(Allocation!$N$1="VOL_CLASS",$U122,$V122)))</f>
        <v>135</v>
      </c>
      <c r="AI122">
        <f t="shared" si="12"/>
        <v>24146</v>
      </c>
      <c r="AJ122">
        <f t="shared" si="13"/>
        <v>45362.4766666667</v>
      </c>
      <c r="AK122">
        <f t="shared" si="14"/>
        <v>30061.7606837607</v>
      </c>
      <c r="AL122">
        <f t="shared" si="15"/>
        <v>91505.94</v>
      </c>
      <c r="AM122">
        <f t="shared" si="16"/>
        <v>39678.9224274406</v>
      </c>
      <c r="AN122">
        <f t="shared" si="17"/>
        <v>31062.9057206123</v>
      </c>
      <c r="AO122">
        <f>IF($A122="","",Allocation!CJ122)</f>
        <v>676344</v>
      </c>
      <c r="AP122">
        <f>IF($A122="","",IF(Allocation!$N$2="VOL_EFF",$Q122,IF(Allocation!$N$2="VOL_CLASS",$R122,$S122)))</f>
        <v>2582800</v>
      </c>
      <c r="AQ122">
        <f>IF($A122="","",IF(Allocation!$N$2="VOL_EFF",$T122,IF(Allocation!$N$2="VOL_CLASS",$U122,$V122)))</f>
        <v>23098985</v>
      </c>
      <c r="AR122">
        <f t="shared" si="18"/>
        <v>7781.9945015197</v>
      </c>
      <c r="AS122" t="str">
        <f>IF($A122="","",$A122&amp;"|"&amp;Allocation!BG122)</f>
        <v>2026|ACT</v>
      </c>
    </row>
    <row r="123" ht="14.497499999999997" customHeight="1">
      <c r="A123" t="str">
        <f>IF(Allocation!BI123="","",Allocation!BI123)</f>
        <v>2026</v>
      </c>
      <c r="B123" t="str">
        <f>IF(Allocation!BJ123="","",Allocation!BJ123)</f>
        <v>IPAC_MTP</v>
      </c>
      <c r="C123" t="str">
        <f>IF(Allocation!BK123="","",Allocation!BK123)</f>
        <v>IPAC</v>
      </c>
      <c r="D123" t="str">
        <f>IF(Allocation!BL123="","",Allocation!BL123)</f>
        <v>BAC_CCE</v>
      </c>
      <c r="E123" t="str">
        <f>IF(Allocation!BM123="","",Allocation!BM123)</f>
        <v>B2</v>
      </c>
      <c r="F123" t="str">
        <f>IF(Allocation!BN123="","",Allocation!BN123)</f>
        <v>ALT</v>
      </c>
      <c r="G123">
        <f>IF(Allocation!BO123="","",Allocation!BO123)</f>
        <v>39</v>
      </c>
      <c r="H123">
        <f>IF(Allocation!BP123="","",Allocation!BP123)</f>
        <v>2</v>
      </c>
      <c r="I123">
        <f>IF(Allocation!BQ123="","",Allocation!BQ123)</f>
        <v>259350</v>
      </c>
      <c r="J123">
        <f>IF(Allocation!CC123="","",Allocation!CC123)</f>
        <v>0</v>
      </c>
      <c r="K123">
        <f t="shared" si="0"/>
        <v>960</v>
      </c>
      <c r="L123">
        <f t="shared" si="1"/>
        <v>117</v>
      </c>
      <c r="M123">
        <f t="shared" si="2"/>
        <v>6</v>
      </c>
      <c r="N123">
        <f t="shared" si="3"/>
        <v>781650</v>
      </c>
      <c r="O123">
        <f t="shared" si="4"/>
        <v>2880</v>
      </c>
      <c r="P123">
        <f t="shared" si="5"/>
        <v>40</v>
      </c>
      <c r="Q123">
        <f t="shared" si="6"/>
        <v>379</v>
      </c>
      <c r="R123">
        <f t="shared" si="7"/>
        <v>18</v>
      </c>
      <c r="S123">
        <f t="shared" si="8"/>
        <v>2582800</v>
      </c>
      <c r="T123">
        <f t="shared" si="9"/>
        <v>3114</v>
      </c>
      <c r="U123">
        <f t="shared" si="10"/>
        <v>135</v>
      </c>
      <c r="V123">
        <f t="shared" si="11"/>
        <v>23098985</v>
      </c>
      <c r="W123">
        <f>IF($A123="","",Allocation!CD123)</f>
        <v>72438</v>
      </c>
      <c r="X123">
        <f>IF($A123="","",Allocation!CE123)</f>
        <v>136087.43</v>
      </c>
      <c r="Y123">
        <f>IF($A123="","",Allocation!CF123)</f>
        <v>43535</v>
      </c>
      <c r="Z123">
        <f>IF($A123="","",Allocation!CG123)</f>
        <v>15178</v>
      </c>
      <c r="AA123">
        <f>IF($A123="","",Allocation!CH123)</f>
        <v>274517.82</v>
      </c>
      <c r="AB123">
        <f>IF($A123="","",Allocation!CI123)</f>
        <v>2891983</v>
      </c>
      <c r="AC123">
        <f>IF($A123="","",IF(Allocation!$N$4="VOL_EFF",$G123,IF(Allocation!$N$4="VOL_CLASS",$H123,$I123)))</f>
        <v>2</v>
      </c>
      <c r="AD123">
        <f>IF($A123="","",IF(Allocation!$N$4="VOL_EFF",$L123,IF(Allocation!$N$4="VOL_CLASS",$M123,$N123)))</f>
        <v>6</v>
      </c>
      <c r="AE123">
        <f>IF($A123="","",IF(Allocation!$N$3="VOL_EFF",$L123,IF(Allocation!$N$3="VOL_CLASS",$M123,$N123)))</f>
        <v>117</v>
      </c>
      <c r="AF123">
        <f>IF($A123="","",IF(Allocation!$N$3="VOL_EFF",$Q123,IF(Allocation!$N$3="VOL_CLASS",$R123,$S123)))</f>
        <v>379</v>
      </c>
      <c r="AG123">
        <f>IF($A123="","",IF(Allocation!$N$1="VOL_EFF",$Q123,IF(Allocation!$N$1="VOL_CLASS",$R123,$S123)))</f>
        <v>18</v>
      </c>
      <c r="AH123">
        <f>IF($A123="","",IF(Allocation!$N$1="VOL_EFF",$T123,IF(Allocation!$N$1="VOL_CLASS",$U123,$V123)))</f>
        <v>135</v>
      </c>
      <c r="AI123">
        <f t="shared" si="12"/>
        <v>24146</v>
      </c>
      <c r="AJ123">
        <f t="shared" si="13"/>
        <v>45362.4766666667</v>
      </c>
      <c r="AK123">
        <f t="shared" si="14"/>
        <v>14511.6666666667</v>
      </c>
      <c r="AL123">
        <f t="shared" si="15"/>
        <v>91505.94</v>
      </c>
      <c r="AM123">
        <f t="shared" si="16"/>
        <v>39678.9224274406</v>
      </c>
      <c r="AN123">
        <f t="shared" si="17"/>
        <v>36362.9997377063</v>
      </c>
      <c r="AO123">
        <f>IF($A123="","",Allocation!CJ123)</f>
        <v>676344</v>
      </c>
      <c r="AP123">
        <f>IF($A123="","",IF(Allocation!$N$2="VOL_EFF",$Q123,IF(Allocation!$N$2="VOL_CLASS",$R123,$S123)))</f>
        <v>2582800</v>
      </c>
      <c r="AQ123">
        <f>IF($A123="","",IF(Allocation!$N$2="VOL_EFF",$T123,IF(Allocation!$N$2="VOL_CLASS",$U123,$V123)))</f>
        <v>23098985</v>
      </c>
      <c r="AR123">
        <f t="shared" si="18"/>
        <v>7781.9945015197</v>
      </c>
      <c r="AS123" t="str">
        <f>IF($A123="","",$A123&amp;"|"&amp;Allocation!BG123)</f>
        <v>2026|ACT</v>
      </c>
    </row>
    <row r="124" ht="14.497499999999997" customHeight="1">
      <c r="A124" t="str">
        <f>IF(Allocation!BI124="","",Allocation!BI124)</f>
        <v>2026</v>
      </c>
      <c r="B124" t="str">
        <f>IF(Allocation!BJ124="","",Allocation!BJ124)</f>
        <v>IPAC_MTP</v>
      </c>
      <c r="C124" t="str">
        <f>IF(Allocation!BK124="","",Allocation!BK124)</f>
        <v>IPAC</v>
      </c>
      <c r="D124" t="str">
        <f>IF(Allocation!BL124="","",Allocation!BL124)</f>
        <v>BAC_CCE</v>
      </c>
      <c r="E124" t="str">
        <f>IF(Allocation!BM124="","",Allocation!BM124)</f>
        <v>B3</v>
      </c>
      <c r="F124" t="str">
        <f>IF(Allocation!BN124="","",Allocation!BN124)</f>
        <v>ALT</v>
      </c>
      <c r="G124">
        <f>IF(Allocation!BO124="","",Allocation!BO124)</f>
        <v>38</v>
      </c>
      <c r="H124">
        <f>IF(Allocation!BP124="","",Allocation!BP124)</f>
        <v>2</v>
      </c>
      <c r="I124">
        <f>IF(Allocation!BQ124="","",Allocation!BQ124)</f>
        <v>252700</v>
      </c>
      <c r="J124">
        <f>IF(Allocation!CC124="","",Allocation!CC124)</f>
        <v>0</v>
      </c>
      <c r="K124">
        <f t="shared" si="0"/>
        <v>960</v>
      </c>
      <c r="L124">
        <f t="shared" si="1"/>
        <v>117</v>
      </c>
      <c r="M124">
        <f t="shared" si="2"/>
        <v>6</v>
      </c>
      <c r="N124">
        <f t="shared" si="3"/>
        <v>781650</v>
      </c>
      <c r="O124">
        <f t="shared" si="4"/>
        <v>2880</v>
      </c>
      <c r="P124">
        <f t="shared" si="5"/>
        <v>40</v>
      </c>
      <c r="Q124">
        <f t="shared" si="6"/>
        <v>379</v>
      </c>
      <c r="R124">
        <f t="shared" si="7"/>
        <v>18</v>
      </c>
      <c r="S124">
        <f t="shared" si="8"/>
        <v>2582800</v>
      </c>
      <c r="T124">
        <f t="shared" si="9"/>
        <v>3114</v>
      </c>
      <c r="U124">
        <f t="shared" si="10"/>
        <v>135</v>
      </c>
      <c r="V124">
        <f t="shared" si="11"/>
        <v>23098985</v>
      </c>
      <c r="W124">
        <f>IF($A124="","",Allocation!CD124)</f>
        <v>72438</v>
      </c>
      <c r="X124">
        <f>IF($A124="","",Allocation!CE124)</f>
        <v>136087.43</v>
      </c>
      <c r="Y124">
        <f>IF($A124="","",Allocation!CF124)</f>
        <v>43535</v>
      </c>
      <c r="Z124">
        <f>IF($A124="","",Allocation!CG124)</f>
        <v>15178</v>
      </c>
      <c r="AA124">
        <f>IF($A124="","",Allocation!CH124)</f>
        <v>274517.82</v>
      </c>
      <c r="AB124">
        <f>IF($A124="","",Allocation!CI124)</f>
        <v>2891983</v>
      </c>
      <c r="AC124">
        <f>IF($A124="","",IF(Allocation!$N$4="VOL_EFF",$G124,IF(Allocation!$N$4="VOL_CLASS",$H124,$I124)))</f>
        <v>2</v>
      </c>
      <c r="AD124">
        <f>IF($A124="","",IF(Allocation!$N$4="VOL_EFF",$L124,IF(Allocation!$N$4="VOL_CLASS",$M124,$N124)))</f>
        <v>6</v>
      </c>
      <c r="AE124">
        <f>IF($A124="","",IF(Allocation!$N$3="VOL_EFF",$L124,IF(Allocation!$N$3="VOL_CLASS",$M124,$N124)))</f>
        <v>117</v>
      </c>
      <c r="AF124">
        <f>IF($A124="","",IF(Allocation!$N$3="VOL_EFF",$Q124,IF(Allocation!$N$3="VOL_CLASS",$R124,$S124)))</f>
        <v>379</v>
      </c>
      <c r="AG124">
        <f>IF($A124="","",IF(Allocation!$N$1="VOL_EFF",$Q124,IF(Allocation!$N$1="VOL_CLASS",$R124,$S124)))</f>
        <v>18</v>
      </c>
      <c r="AH124">
        <f>IF($A124="","",IF(Allocation!$N$1="VOL_EFF",$T124,IF(Allocation!$N$1="VOL_CLASS",$U124,$V124)))</f>
        <v>135</v>
      </c>
      <c r="AI124">
        <f t="shared" si="12"/>
        <v>24146</v>
      </c>
      <c r="AJ124">
        <f t="shared" si="13"/>
        <v>45362.4766666667</v>
      </c>
      <c r="AK124">
        <f t="shared" si="14"/>
        <v>14139.5726495727</v>
      </c>
      <c r="AL124">
        <f t="shared" si="15"/>
        <v>91505.94</v>
      </c>
      <c r="AM124">
        <f t="shared" si="16"/>
        <v>39678.9224274406</v>
      </c>
      <c r="AN124">
        <f t="shared" si="17"/>
        <v>30085.0937548003</v>
      </c>
      <c r="AO124">
        <f>IF($A124="","",Allocation!CJ124)</f>
        <v>676344</v>
      </c>
      <c r="AP124">
        <f>IF($A124="","",IF(Allocation!$N$2="VOL_EFF",$Q124,IF(Allocation!$N$2="VOL_CLASS",$R124,$S124)))</f>
        <v>2582800</v>
      </c>
      <c r="AQ124">
        <f>IF($A124="","",IF(Allocation!$N$2="VOL_EFF",$T124,IF(Allocation!$N$2="VOL_CLASS",$U124,$V124)))</f>
        <v>23098985</v>
      </c>
      <c r="AR124">
        <f t="shared" si="18"/>
        <v>7781.9945015197</v>
      </c>
      <c r="AS124" t="str">
        <f>IF($A124="","",$A124&amp;"|"&amp;Allocation!BG124)</f>
        <v>2026|ACT</v>
      </c>
    </row>
    <row r="125" ht="14.497499999999997" customHeight="1">
      <c r="A125" t="str">
        <f>IF(Allocation!BI125="","",Allocation!BI125)</f>
        <v>2026</v>
      </c>
      <c r="B125" t="str">
        <f>IF(Allocation!BJ125="","",Allocation!BJ125)</f>
        <v>IPAC_NAN</v>
      </c>
      <c r="C125" t="str">
        <f>IF(Allocation!BK125="","",Allocation!BK125)</f>
        <v>IPAC</v>
      </c>
      <c r="D125" t="str">
        <f>IF(Allocation!BL125="","",Allocation!BL125)</f>
        <v>BAC_CCE</v>
      </c>
      <c r="E125" t="str">
        <f>IF(Allocation!BM125="","",Allocation!BM125)</f>
        <v>B1</v>
      </c>
      <c r="F125" t="str">
        <f>IF(Allocation!BN125="","",Allocation!BN125)</f>
        <v>ALT</v>
      </c>
      <c r="G125">
        <f>IF(Allocation!BO125="","",Allocation!BO125)</f>
        <v>50</v>
      </c>
      <c r="H125">
        <f>IF(Allocation!BP125="","",Allocation!BP125)</f>
        <v>2</v>
      </c>
      <c r="I125">
        <f>IF(Allocation!BQ125="","",Allocation!BQ125)</f>
        <v>354500</v>
      </c>
      <c r="J125">
        <f>IF(Allocation!CC125="","",Allocation!CC125)</f>
        <v>50</v>
      </c>
      <c r="K125">
        <f t="shared" si="0"/>
        <v>960</v>
      </c>
      <c r="L125">
        <f t="shared" si="1"/>
        <v>145</v>
      </c>
      <c r="M125">
        <f t="shared" si="2"/>
        <v>6</v>
      </c>
      <c r="N125">
        <f t="shared" si="3"/>
        <v>1019500</v>
      </c>
      <c r="O125">
        <f t="shared" si="4"/>
        <v>2880</v>
      </c>
      <c r="P125">
        <f t="shared" si="5"/>
        <v>50</v>
      </c>
      <c r="Q125">
        <f t="shared" si="6"/>
        <v>379</v>
      </c>
      <c r="R125">
        <f t="shared" si="7"/>
        <v>18</v>
      </c>
      <c r="S125">
        <f t="shared" si="8"/>
        <v>2582800</v>
      </c>
      <c r="T125">
        <f t="shared" si="9"/>
        <v>3114</v>
      </c>
      <c r="U125">
        <f t="shared" si="10"/>
        <v>135</v>
      </c>
      <c r="V125">
        <f t="shared" si="11"/>
        <v>23098985</v>
      </c>
      <c r="W125">
        <f>IF($A125="","",Allocation!CD125)</f>
        <v>72438</v>
      </c>
      <c r="X125">
        <f>IF($A125="","",Allocation!CE125)</f>
        <v>168182.73</v>
      </c>
      <c r="Y125">
        <f>IF($A125="","",Allocation!CF125)</f>
        <v>53954</v>
      </c>
      <c r="Z125">
        <f>IF($A125="","",Allocation!CG125)</f>
        <v>21760</v>
      </c>
      <c r="AA125">
        <f>IF($A125="","",Allocation!CH125)</f>
        <v>389673.47</v>
      </c>
      <c r="AB125">
        <f>IF($A125="","",Allocation!CI125)</f>
        <v>2891983</v>
      </c>
      <c r="AC125">
        <f>IF($A125="","",IF(Allocation!$N$4="VOL_EFF",$G125,IF(Allocation!$N$4="VOL_CLASS",$H125,$I125)))</f>
        <v>2</v>
      </c>
      <c r="AD125">
        <f>IF($A125="","",IF(Allocation!$N$4="VOL_EFF",$L125,IF(Allocation!$N$4="VOL_CLASS",$M125,$N125)))</f>
        <v>6</v>
      </c>
      <c r="AE125">
        <f>IF($A125="","",IF(Allocation!$N$3="VOL_EFF",$L125,IF(Allocation!$N$3="VOL_CLASS",$M125,$N125)))</f>
        <v>145</v>
      </c>
      <c r="AF125">
        <f>IF($A125="","",IF(Allocation!$N$3="VOL_EFF",$Q125,IF(Allocation!$N$3="VOL_CLASS",$R125,$S125)))</f>
        <v>379</v>
      </c>
      <c r="AG125">
        <f>IF($A125="","",IF(Allocation!$N$1="VOL_EFF",$Q125,IF(Allocation!$N$1="VOL_CLASS",$R125,$S125)))</f>
        <v>18</v>
      </c>
      <c r="AH125">
        <f>IF($A125="","",IF(Allocation!$N$1="VOL_EFF",$T125,IF(Allocation!$N$1="VOL_CLASS",$U125,$V125)))</f>
        <v>135</v>
      </c>
      <c r="AI125">
        <f t="shared" si="12"/>
        <v>24146</v>
      </c>
      <c r="AJ125">
        <f t="shared" si="13"/>
        <v>56060.91</v>
      </c>
      <c r="AK125">
        <f t="shared" si="14"/>
        <v>40364.8275862069</v>
      </c>
      <c r="AL125">
        <f t="shared" si="15"/>
        <v>129891.156666667</v>
      </c>
      <c r="AM125">
        <f t="shared" si="16"/>
        <v>49174.7329228965</v>
      </c>
      <c r="AN125">
        <f t="shared" si="17"/>
        <v>45218.0206642266</v>
      </c>
      <c r="AO125">
        <f>IF($A125="","",Allocation!CJ125)</f>
        <v>676344</v>
      </c>
      <c r="AP125">
        <f>IF($A125="","",IF(Allocation!$N$2="VOL_EFF",$Q125,IF(Allocation!$N$2="VOL_CLASS",$R125,$S125)))</f>
        <v>2582800</v>
      </c>
      <c r="AQ125">
        <f>IF($A125="","",IF(Allocation!$N$2="VOL_EFF",$T125,IF(Allocation!$N$2="VOL_CLASS",$U125,$V125)))</f>
        <v>23098985</v>
      </c>
      <c r="AR125">
        <f t="shared" si="18"/>
        <v>9644.35216000305</v>
      </c>
      <c r="AS125" t="str">
        <f>IF($A125="","",$A125&amp;"|"&amp;Allocation!BG125)</f>
        <v>2026|ACT</v>
      </c>
    </row>
    <row r="126" ht="14.497499999999997" customHeight="1">
      <c r="A126" t="str">
        <f>IF(Allocation!BI126="","",Allocation!BI126)</f>
        <v>2026</v>
      </c>
      <c r="B126" t="str">
        <f>IF(Allocation!BJ126="","",Allocation!BJ126)</f>
        <v>IPAC_NAN</v>
      </c>
      <c r="C126" t="str">
        <f>IF(Allocation!BK126="","",Allocation!BK126)</f>
        <v>IPAC</v>
      </c>
      <c r="D126" t="str">
        <f>IF(Allocation!BL126="","",Allocation!BL126)</f>
        <v>BAC_CCE</v>
      </c>
      <c r="E126" t="str">
        <f>IF(Allocation!BM126="","",Allocation!BM126)</f>
        <v>B2</v>
      </c>
      <c r="F126" t="str">
        <f>IF(Allocation!BN126="","",Allocation!BN126)</f>
        <v>ALT</v>
      </c>
      <c r="G126">
        <f>IF(Allocation!BO126="","",Allocation!BO126)</f>
        <v>48</v>
      </c>
      <c r="H126">
        <f>IF(Allocation!BP126="","",Allocation!BP126)</f>
        <v>2</v>
      </c>
      <c r="I126">
        <f>IF(Allocation!BQ126="","",Allocation!BQ126)</f>
        <v>336000</v>
      </c>
      <c r="J126">
        <f>IF(Allocation!CC126="","",Allocation!CC126)</f>
        <v>0</v>
      </c>
      <c r="K126">
        <f t="shared" si="0"/>
        <v>960</v>
      </c>
      <c r="L126">
        <f t="shared" si="1"/>
        <v>145</v>
      </c>
      <c r="M126">
        <f t="shared" si="2"/>
        <v>6</v>
      </c>
      <c r="N126">
        <f t="shared" si="3"/>
        <v>1019500</v>
      </c>
      <c r="O126">
        <f t="shared" si="4"/>
        <v>2880</v>
      </c>
      <c r="P126">
        <f t="shared" si="5"/>
        <v>50</v>
      </c>
      <c r="Q126">
        <f t="shared" si="6"/>
        <v>379</v>
      </c>
      <c r="R126">
        <f t="shared" si="7"/>
        <v>18</v>
      </c>
      <c r="S126">
        <f t="shared" si="8"/>
        <v>2582800</v>
      </c>
      <c r="T126">
        <f t="shared" si="9"/>
        <v>3114</v>
      </c>
      <c r="U126">
        <f t="shared" si="10"/>
        <v>135</v>
      </c>
      <c r="V126">
        <f t="shared" si="11"/>
        <v>23098985</v>
      </c>
      <c r="W126">
        <f>IF($A126="","",Allocation!CD126)</f>
        <v>72438</v>
      </c>
      <c r="X126">
        <f>IF($A126="","",Allocation!CE126)</f>
        <v>168182.73</v>
      </c>
      <c r="Y126">
        <f>IF($A126="","",Allocation!CF126)</f>
        <v>53954</v>
      </c>
      <c r="Z126">
        <f>IF($A126="","",Allocation!CG126)</f>
        <v>21760</v>
      </c>
      <c r="AA126">
        <f>IF($A126="","",Allocation!CH126)</f>
        <v>389673.47</v>
      </c>
      <c r="AB126">
        <f>IF($A126="","",Allocation!CI126)</f>
        <v>2891983</v>
      </c>
      <c r="AC126">
        <f>IF($A126="","",IF(Allocation!$N$4="VOL_EFF",$G126,IF(Allocation!$N$4="VOL_CLASS",$H126,$I126)))</f>
        <v>2</v>
      </c>
      <c r="AD126">
        <f>IF($A126="","",IF(Allocation!$N$4="VOL_EFF",$L126,IF(Allocation!$N$4="VOL_CLASS",$M126,$N126)))</f>
        <v>6</v>
      </c>
      <c r="AE126">
        <f>IF($A126="","",IF(Allocation!$N$3="VOL_EFF",$L126,IF(Allocation!$N$3="VOL_CLASS",$M126,$N126)))</f>
        <v>145</v>
      </c>
      <c r="AF126">
        <f>IF($A126="","",IF(Allocation!$N$3="VOL_EFF",$Q126,IF(Allocation!$N$3="VOL_CLASS",$R126,$S126)))</f>
        <v>379</v>
      </c>
      <c r="AG126">
        <f>IF($A126="","",IF(Allocation!$N$1="VOL_EFF",$Q126,IF(Allocation!$N$1="VOL_CLASS",$R126,$S126)))</f>
        <v>18</v>
      </c>
      <c r="AH126">
        <f>IF($A126="","",IF(Allocation!$N$1="VOL_EFF",$T126,IF(Allocation!$N$1="VOL_CLASS",$U126,$V126)))</f>
        <v>135</v>
      </c>
      <c r="AI126">
        <f t="shared" si="12"/>
        <v>24146</v>
      </c>
      <c r="AJ126">
        <f t="shared" si="13"/>
        <v>56060.91</v>
      </c>
      <c r="AK126">
        <f t="shared" si="14"/>
        <v>17860.6344827586</v>
      </c>
      <c r="AL126">
        <f t="shared" si="15"/>
        <v>129891.156666667</v>
      </c>
      <c r="AM126">
        <f t="shared" si="16"/>
        <v>49174.7329228965</v>
      </c>
      <c r="AN126">
        <f t="shared" si="17"/>
        <v>49222.2137676749</v>
      </c>
      <c r="AO126">
        <f>IF($A126="","",Allocation!CJ126)</f>
        <v>676344</v>
      </c>
      <c r="AP126">
        <f>IF($A126="","",IF(Allocation!$N$2="VOL_EFF",$Q126,IF(Allocation!$N$2="VOL_CLASS",$R126,$S126)))</f>
        <v>2582800</v>
      </c>
      <c r="AQ126">
        <f>IF($A126="","",IF(Allocation!$N$2="VOL_EFF",$T126,IF(Allocation!$N$2="VOL_CLASS",$U126,$V126)))</f>
        <v>23098985</v>
      </c>
      <c r="AR126">
        <f t="shared" si="18"/>
        <v>9644.35216000305</v>
      </c>
      <c r="AS126" t="str">
        <f>IF($A126="","",$A126&amp;"|"&amp;Allocation!BG126)</f>
        <v>2026|ACT</v>
      </c>
    </row>
    <row r="127" ht="14.497499999999997" customHeight="1">
      <c r="A127" t="str">
        <f>IF(Allocation!BI127="","",Allocation!BI127)</f>
        <v>2026</v>
      </c>
      <c r="B127" t="str">
        <f>IF(Allocation!BJ127="","",Allocation!BJ127)</f>
        <v>IPAC_NAN</v>
      </c>
      <c r="C127" t="str">
        <f>IF(Allocation!BK127="","",Allocation!BK127)</f>
        <v>IPAC</v>
      </c>
      <c r="D127" t="str">
        <f>IF(Allocation!BL127="","",Allocation!BL127)</f>
        <v>BAC_CCE</v>
      </c>
      <c r="E127" t="str">
        <f>IF(Allocation!BM127="","",Allocation!BM127)</f>
        <v>B3</v>
      </c>
      <c r="F127" t="str">
        <f>IF(Allocation!BN127="","",Allocation!BN127)</f>
        <v>ALT</v>
      </c>
      <c r="G127">
        <f>IF(Allocation!BO127="","",Allocation!BO127)</f>
        <v>47</v>
      </c>
      <c r="H127">
        <f>IF(Allocation!BP127="","",Allocation!BP127)</f>
        <v>2</v>
      </c>
      <c r="I127">
        <f>IF(Allocation!BQ127="","",Allocation!BQ127)</f>
        <v>329000</v>
      </c>
      <c r="J127">
        <f>IF(Allocation!CC127="","",Allocation!CC127)</f>
        <v>0</v>
      </c>
      <c r="K127">
        <f t="shared" si="0"/>
        <v>960</v>
      </c>
      <c r="L127">
        <f t="shared" si="1"/>
        <v>145</v>
      </c>
      <c r="M127">
        <f t="shared" si="2"/>
        <v>6</v>
      </c>
      <c r="N127">
        <f t="shared" si="3"/>
        <v>1019500</v>
      </c>
      <c r="O127">
        <f t="shared" si="4"/>
        <v>2880</v>
      </c>
      <c r="P127">
        <f t="shared" si="5"/>
        <v>50</v>
      </c>
      <c r="Q127">
        <f t="shared" si="6"/>
        <v>379</v>
      </c>
      <c r="R127">
        <f t="shared" si="7"/>
        <v>18</v>
      </c>
      <c r="S127">
        <f t="shared" si="8"/>
        <v>2582800</v>
      </c>
      <c r="T127">
        <f t="shared" si="9"/>
        <v>3114</v>
      </c>
      <c r="U127">
        <f t="shared" si="10"/>
        <v>135</v>
      </c>
      <c r="V127">
        <f t="shared" si="11"/>
        <v>23098985</v>
      </c>
      <c r="W127">
        <f>IF($A127="","",Allocation!CD127)</f>
        <v>72438</v>
      </c>
      <c r="X127">
        <f>IF($A127="","",Allocation!CE127)</f>
        <v>168182.73</v>
      </c>
      <c r="Y127">
        <f>IF($A127="","",Allocation!CF127)</f>
        <v>53954</v>
      </c>
      <c r="Z127">
        <f>IF($A127="","",Allocation!CG127)</f>
        <v>21760</v>
      </c>
      <c r="AA127">
        <f>IF($A127="","",Allocation!CH127)</f>
        <v>389673.47</v>
      </c>
      <c r="AB127">
        <f>IF($A127="","",Allocation!CI127)</f>
        <v>2891983</v>
      </c>
      <c r="AC127">
        <f>IF($A127="","",IF(Allocation!$N$4="VOL_EFF",$G127,IF(Allocation!$N$4="VOL_CLASS",$H127,$I127)))</f>
        <v>2</v>
      </c>
      <c r="AD127">
        <f>IF($A127="","",IF(Allocation!$N$4="VOL_EFF",$L127,IF(Allocation!$N$4="VOL_CLASS",$M127,$N127)))</f>
        <v>6</v>
      </c>
      <c r="AE127">
        <f>IF($A127="","",IF(Allocation!$N$3="VOL_EFF",$L127,IF(Allocation!$N$3="VOL_CLASS",$M127,$N127)))</f>
        <v>145</v>
      </c>
      <c r="AF127">
        <f>IF($A127="","",IF(Allocation!$N$3="VOL_EFF",$Q127,IF(Allocation!$N$3="VOL_CLASS",$R127,$S127)))</f>
        <v>379</v>
      </c>
      <c r="AG127">
        <f>IF($A127="","",IF(Allocation!$N$1="VOL_EFF",$Q127,IF(Allocation!$N$1="VOL_CLASS",$R127,$S127)))</f>
        <v>18</v>
      </c>
      <c r="AH127">
        <f>IF($A127="","",IF(Allocation!$N$1="VOL_EFF",$T127,IF(Allocation!$N$1="VOL_CLASS",$U127,$V127)))</f>
        <v>135</v>
      </c>
      <c r="AI127">
        <f t="shared" si="12"/>
        <v>24146</v>
      </c>
      <c r="AJ127">
        <f t="shared" si="13"/>
        <v>56060.91</v>
      </c>
      <c r="AK127">
        <f t="shared" si="14"/>
        <v>17488.5379310345</v>
      </c>
      <c r="AL127">
        <f t="shared" si="15"/>
        <v>129891.156666667</v>
      </c>
      <c r="AM127">
        <f t="shared" si="16"/>
        <v>49174.7329228965</v>
      </c>
      <c r="AN127">
        <f t="shared" si="17"/>
        <v>42594.3103193989</v>
      </c>
      <c r="AO127">
        <f>IF($A127="","",Allocation!CJ127)</f>
        <v>676344</v>
      </c>
      <c r="AP127">
        <f>IF($A127="","",IF(Allocation!$N$2="VOL_EFF",$Q127,IF(Allocation!$N$2="VOL_CLASS",$R127,$S127)))</f>
        <v>2582800</v>
      </c>
      <c r="AQ127">
        <f>IF($A127="","",IF(Allocation!$N$2="VOL_EFF",$T127,IF(Allocation!$N$2="VOL_CLASS",$U127,$V127)))</f>
        <v>23098985</v>
      </c>
      <c r="AR127">
        <f t="shared" si="18"/>
        <v>9644.35216000305</v>
      </c>
      <c r="AS127" t="str">
        <f>IF($A127="","",$A127&amp;"|"&amp;Allocation!BG127)</f>
        <v>2026|ACT</v>
      </c>
    </row>
    <row r="128" ht="14.497499999999997" customHeight="1">
      <c r="A128" t="str">
        <f>IF(Allocation!BI128="","",Allocation!BI128)</f>
        <v>2026</v>
      </c>
      <c r="B128" t="str">
        <f>IF(Allocation!BJ128="","",Allocation!BJ128)</f>
        <v>IPAC_REN</v>
      </c>
      <c r="C128" t="str">
        <f>IF(Allocation!BK128="","",Allocation!BK128)</f>
        <v>IPAC</v>
      </c>
      <c r="D128" t="str">
        <f>IF(Allocation!BL128="","",Allocation!BL128)</f>
        <v>BAC_CCE</v>
      </c>
      <c r="E128" t="str">
        <f>IF(Allocation!BM128="","",Allocation!BM128)</f>
        <v>B1</v>
      </c>
      <c r="F128" t="str">
        <f>IF(Allocation!BN128="","",Allocation!BN128)</f>
        <v>ALT</v>
      </c>
      <c r="G128">
        <f>IF(Allocation!BO128="","",Allocation!BO128)</f>
        <v>40</v>
      </c>
      <c r="H128">
        <f>IF(Allocation!BP128="","",Allocation!BP128)</f>
        <v>2</v>
      </c>
      <c r="I128">
        <f>IF(Allocation!BQ128="","",Allocation!BQ128)</f>
        <v>269600</v>
      </c>
      <c r="J128">
        <f>IF(Allocation!CC128="","",Allocation!CC128)</f>
        <v>40</v>
      </c>
      <c r="K128">
        <f t="shared" si="0"/>
        <v>960</v>
      </c>
      <c r="L128">
        <f t="shared" si="1"/>
        <v>117</v>
      </c>
      <c r="M128">
        <f t="shared" si="2"/>
        <v>6</v>
      </c>
      <c r="N128">
        <f t="shared" si="3"/>
        <v>781650</v>
      </c>
      <c r="O128">
        <f t="shared" si="4"/>
        <v>2880</v>
      </c>
      <c r="P128">
        <f t="shared" si="5"/>
        <v>40</v>
      </c>
      <c r="Q128">
        <f t="shared" si="6"/>
        <v>379</v>
      </c>
      <c r="R128">
        <f t="shared" si="7"/>
        <v>18</v>
      </c>
      <c r="S128">
        <f t="shared" si="8"/>
        <v>2582800</v>
      </c>
      <c r="T128">
        <f t="shared" si="9"/>
        <v>3114</v>
      </c>
      <c r="U128">
        <f t="shared" si="10"/>
        <v>135</v>
      </c>
      <c r="V128">
        <f t="shared" si="11"/>
        <v>23098985</v>
      </c>
      <c r="W128">
        <f>IF($A128="","",Allocation!CD128)</f>
        <v>72438</v>
      </c>
      <c r="X128">
        <f>IF($A128="","",Allocation!CE128)</f>
        <v>136168.63</v>
      </c>
      <c r="Y128">
        <f>IF($A128="","",Allocation!CF128)</f>
        <v>43535</v>
      </c>
      <c r="Z128">
        <f>IF($A128="","",Allocation!CG128)</f>
        <v>14933</v>
      </c>
      <c r="AA128">
        <f>IF($A128="","",Allocation!CH128)</f>
        <v>274681.62</v>
      </c>
      <c r="AB128">
        <f>IF($A128="","",Allocation!CI128)</f>
        <v>2891983</v>
      </c>
      <c r="AC128">
        <f>IF($A128="","",IF(Allocation!$N$4="VOL_EFF",$G128,IF(Allocation!$N$4="VOL_CLASS",$H128,$I128)))</f>
        <v>2</v>
      </c>
      <c r="AD128">
        <f>IF($A128="","",IF(Allocation!$N$4="VOL_EFF",$L128,IF(Allocation!$N$4="VOL_CLASS",$M128,$N128)))</f>
        <v>6</v>
      </c>
      <c r="AE128">
        <f>IF($A128="","",IF(Allocation!$N$3="VOL_EFF",$L128,IF(Allocation!$N$3="VOL_CLASS",$M128,$N128)))</f>
        <v>117</v>
      </c>
      <c r="AF128">
        <f>IF($A128="","",IF(Allocation!$N$3="VOL_EFF",$Q128,IF(Allocation!$N$3="VOL_CLASS",$R128,$S128)))</f>
        <v>379</v>
      </c>
      <c r="AG128">
        <f>IF($A128="","",IF(Allocation!$N$1="VOL_EFF",$Q128,IF(Allocation!$N$1="VOL_CLASS",$R128,$S128)))</f>
        <v>18</v>
      </c>
      <c r="AH128">
        <f>IF($A128="","",IF(Allocation!$N$1="VOL_EFF",$T128,IF(Allocation!$N$1="VOL_CLASS",$U128,$V128)))</f>
        <v>135</v>
      </c>
      <c r="AI128">
        <f t="shared" si="12"/>
        <v>24146</v>
      </c>
      <c r="AJ128">
        <f t="shared" si="13"/>
        <v>45389.5433333333</v>
      </c>
      <c r="AK128">
        <f t="shared" si="14"/>
        <v>29816.7606837607</v>
      </c>
      <c r="AL128">
        <f t="shared" si="15"/>
        <v>91560.54</v>
      </c>
      <c r="AM128">
        <f t="shared" si="16"/>
        <v>39678.9224274406</v>
      </c>
      <c r="AN128">
        <f t="shared" si="17"/>
        <v>31226.2390539457</v>
      </c>
      <c r="AO128">
        <f>IF($A128="","",Allocation!CJ128)</f>
        <v>676344</v>
      </c>
      <c r="AP128">
        <f>IF($A128="","",IF(Allocation!$N$2="VOL_EFF",$Q128,IF(Allocation!$N$2="VOL_CLASS",$R128,$S128)))</f>
        <v>2582800</v>
      </c>
      <c r="AQ128">
        <f>IF($A128="","",IF(Allocation!$N$2="VOL_EFF",$T128,IF(Allocation!$N$2="VOL_CLASS",$U128,$V128)))</f>
        <v>23098985</v>
      </c>
      <c r="AR128">
        <f t="shared" si="18"/>
        <v>7781.9945015197</v>
      </c>
      <c r="AS128" t="str">
        <f>IF($A128="","",$A128&amp;"|"&amp;Allocation!BG128)</f>
        <v>2026|ACT</v>
      </c>
    </row>
    <row r="129" ht="14.497499999999997" customHeight="1">
      <c r="A129" t="str">
        <f>IF(Allocation!BI129="","",Allocation!BI129)</f>
        <v>2026</v>
      </c>
      <c r="B129" t="str">
        <f>IF(Allocation!BJ129="","",Allocation!BJ129)</f>
        <v>IPAC_REN</v>
      </c>
      <c r="C129" t="str">
        <f>IF(Allocation!BK129="","",Allocation!BK129)</f>
        <v>IPAC</v>
      </c>
      <c r="D129" t="str">
        <f>IF(Allocation!BL129="","",Allocation!BL129)</f>
        <v>BAC_CCE</v>
      </c>
      <c r="E129" t="str">
        <f>IF(Allocation!BM129="","",Allocation!BM129)</f>
        <v>B2</v>
      </c>
      <c r="F129" t="str">
        <f>IF(Allocation!BN129="","",Allocation!BN129)</f>
        <v>ALT</v>
      </c>
      <c r="G129">
        <f>IF(Allocation!BO129="","",Allocation!BO129)</f>
        <v>39</v>
      </c>
      <c r="H129">
        <f>IF(Allocation!BP129="","",Allocation!BP129)</f>
        <v>2</v>
      </c>
      <c r="I129">
        <f>IF(Allocation!BQ129="","",Allocation!BQ129)</f>
        <v>259350</v>
      </c>
      <c r="J129">
        <f>IF(Allocation!CC129="","",Allocation!CC129)</f>
        <v>0</v>
      </c>
      <c r="K129">
        <f t="shared" si="0"/>
        <v>960</v>
      </c>
      <c r="L129">
        <f t="shared" si="1"/>
        <v>117</v>
      </c>
      <c r="M129">
        <f t="shared" si="2"/>
        <v>6</v>
      </c>
      <c r="N129">
        <f t="shared" si="3"/>
        <v>781650</v>
      </c>
      <c r="O129">
        <f t="shared" si="4"/>
        <v>2880</v>
      </c>
      <c r="P129">
        <f t="shared" si="5"/>
        <v>40</v>
      </c>
      <c r="Q129">
        <f t="shared" si="6"/>
        <v>379</v>
      </c>
      <c r="R129">
        <f t="shared" si="7"/>
        <v>18</v>
      </c>
      <c r="S129">
        <f t="shared" si="8"/>
        <v>2582800</v>
      </c>
      <c r="T129">
        <f t="shared" si="9"/>
        <v>3114</v>
      </c>
      <c r="U129">
        <f t="shared" si="10"/>
        <v>135</v>
      </c>
      <c r="V129">
        <f t="shared" si="11"/>
        <v>23098985</v>
      </c>
      <c r="W129">
        <f>IF($A129="","",Allocation!CD129)</f>
        <v>72438</v>
      </c>
      <c r="X129">
        <f>IF($A129="","",Allocation!CE129)</f>
        <v>136168.63</v>
      </c>
      <c r="Y129">
        <f>IF($A129="","",Allocation!CF129)</f>
        <v>43535</v>
      </c>
      <c r="Z129">
        <f>IF($A129="","",Allocation!CG129)</f>
        <v>14933</v>
      </c>
      <c r="AA129">
        <f>IF($A129="","",Allocation!CH129)</f>
        <v>274681.62</v>
      </c>
      <c r="AB129">
        <f>IF($A129="","",Allocation!CI129)</f>
        <v>2891983</v>
      </c>
      <c r="AC129">
        <f>IF($A129="","",IF(Allocation!$N$4="VOL_EFF",$G129,IF(Allocation!$N$4="VOL_CLASS",$H129,$I129)))</f>
        <v>2</v>
      </c>
      <c r="AD129">
        <f>IF($A129="","",IF(Allocation!$N$4="VOL_EFF",$L129,IF(Allocation!$N$4="VOL_CLASS",$M129,$N129)))</f>
        <v>6</v>
      </c>
      <c r="AE129">
        <f>IF($A129="","",IF(Allocation!$N$3="VOL_EFF",$L129,IF(Allocation!$N$3="VOL_CLASS",$M129,$N129)))</f>
        <v>117</v>
      </c>
      <c r="AF129">
        <f>IF($A129="","",IF(Allocation!$N$3="VOL_EFF",$Q129,IF(Allocation!$N$3="VOL_CLASS",$R129,$S129)))</f>
        <v>379</v>
      </c>
      <c r="AG129">
        <f>IF($A129="","",IF(Allocation!$N$1="VOL_EFF",$Q129,IF(Allocation!$N$1="VOL_CLASS",$R129,$S129)))</f>
        <v>18</v>
      </c>
      <c r="AH129">
        <f>IF($A129="","",IF(Allocation!$N$1="VOL_EFF",$T129,IF(Allocation!$N$1="VOL_CLASS",$U129,$V129)))</f>
        <v>135</v>
      </c>
      <c r="AI129">
        <f t="shared" si="12"/>
        <v>24146</v>
      </c>
      <c r="AJ129">
        <f t="shared" si="13"/>
        <v>45389.5433333333</v>
      </c>
      <c r="AK129">
        <f t="shared" si="14"/>
        <v>14511.6666666667</v>
      </c>
      <c r="AL129">
        <f t="shared" si="15"/>
        <v>91560.54</v>
      </c>
      <c r="AM129">
        <f t="shared" si="16"/>
        <v>39678.9224274406</v>
      </c>
      <c r="AN129">
        <f t="shared" si="17"/>
        <v>36281.3330710397</v>
      </c>
      <c r="AO129">
        <f>IF($A129="","",Allocation!CJ129)</f>
        <v>676344</v>
      </c>
      <c r="AP129">
        <f>IF($A129="","",IF(Allocation!$N$2="VOL_EFF",$Q129,IF(Allocation!$N$2="VOL_CLASS",$R129,$S129)))</f>
        <v>2582800</v>
      </c>
      <c r="AQ129">
        <f>IF($A129="","",IF(Allocation!$N$2="VOL_EFF",$T129,IF(Allocation!$N$2="VOL_CLASS",$U129,$V129)))</f>
        <v>23098985</v>
      </c>
      <c r="AR129">
        <f t="shared" si="18"/>
        <v>7781.9945015197</v>
      </c>
      <c r="AS129" t="str">
        <f>IF($A129="","",$A129&amp;"|"&amp;Allocation!BG129)</f>
        <v>2026|ACT</v>
      </c>
    </row>
    <row r="130" ht="14.497499999999997" customHeight="1">
      <c r="A130" t="str">
        <f>IF(Allocation!BI130="","",Allocation!BI130)</f>
        <v>2026</v>
      </c>
      <c r="B130" t="str">
        <f>IF(Allocation!BJ130="","",Allocation!BJ130)</f>
        <v>IPAC_REN</v>
      </c>
      <c r="C130" t="str">
        <f>IF(Allocation!BK130="","",Allocation!BK130)</f>
        <v>IPAC</v>
      </c>
      <c r="D130" t="str">
        <f>IF(Allocation!BL130="","",Allocation!BL130)</f>
        <v>BAC_CCE</v>
      </c>
      <c r="E130" t="str">
        <f>IF(Allocation!BM130="","",Allocation!BM130)</f>
        <v>B3</v>
      </c>
      <c r="F130" t="str">
        <f>IF(Allocation!BN130="","",Allocation!BN130)</f>
        <v>ALT</v>
      </c>
      <c r="G130">
        <f>IF(Allocation!BO130="","",Allocation!BO130)</f>
        <v>38</v>
      </c>
      <c r="H130">
        <f>IF(Allocation!BP130="","",Allocation!BP130)</f>
        <v>2</v>
      </c>
      <c r="I130">
        <f>IF(Allocation!BQ130="","",Allocation!BQ130)</f>
        <v>252700</v>
      </c>
      <c r="J130">
        <f>IF(Allocation!CC130="","",Allocation!CC130)</f>
        <v>0</v>
      </c>
      <c r="K130">
        <f t="shared" si="0"/>
        <v>960</v>
      </c>
      <c r="L130">
        <f t="shared" si="1"/>
        <v>117</v>
      </c>
      <c r="M130">
        <f t="shared" si="2"/>
        <v>6</v>
      </c>
      <c r="N130">
        <f t="shared" si="3"/>
        <v>781650</v>
      </c>
      <c r="O130">
        <f t="shared" si="4"/>
        <v>2880</v>
      </c>
      <c r="P130">
        <f t="shared" si="5"/>
        <v>40</v>
      </c>
      <c r="Q130">
        <f t="shared" si="6"/>
        <v>379</v>
      </c>
      <c r="R130">
        <f t="shared" si="7"/>
        <v>18</v>
      </c>
      <c r="S130">
        <f t="shared" si="8"/>
        <v>2582800</v>
      </c>
      <c r="T130">
        <f t="shared" si="9"/>
        <v>3114</v>
      </c>
      <c r="U130">
        <f t="shared" si="10"/>
        <v>135</v>
      </c>
      <c r="V130">
        <f t="shared" si="11"/>
        <v>23098985</v>
      </c>
      <c r="W130">
        <f>IF($A130="","",Allocation!CD130)</f>
        <v>72438</v>
      </c>
      <c r="X130">
        <f>IF($A130="","",Allocation!CE130)</f>
        <v>136168.63</v>
      </c>
      <c r="Y130">
        <f>IF($A130="","",Allocation!CF130)</f>
        <v>43535</v>
      </c>
      <c r="Z130">
        <f>IF($A130="","",Allocation!CG130)</f>
        <v>14933</v>
      </c>
      <c r="AA130">
        <f>IF($A130="","",Allocation!CH130)</f>
        <v>274681.62</v>
      </c>
      <c r="AB130">
        <f>IF($A130="","",Allocation!CI130)</f>
        <v>2891983</v>
      </c>
      <c r="AC130">
        <f>IF($A130="","",IF(Allocation!$N$4="VOL_EFF",$G130,IF(Allocation!$N$4="VOL_CLASS",$H130,$I130)))</f>
        <v>2</v>
      </c>
      <c r="AD130">
        <f>IF($A130="","",IF(Allocation!$N$4="VOL_EFF",$L130,IF(Allocation!$N$4="VOL_CLASS",$M130,$N130)))</f>
        <v>6</v>
      </c>
      <c r="AE130">
        <f>IF($A130="","",IF(Allocation!$N$3="VOL_EFF",$L130,IF(Allocation!$N$3="VOL_CLASS",$M130,$N130)))</f>
        <v>117</v>
      </c>
      <c r="AF130">
        <f>IF($A130="","",IF(Allocation!$N$3="VOL_EFF",$Q130,IF(Allocation!$N$3="VOL_CLASS",$R130,$S130)))</f>
        <v>379</v>
      </c>
      <c r="AG130">
        <f>IF($A130="","",IF(Allocation!$N$1="VOL_EFF",$Q130,IF(Allocation!$N$1="VOL_CLASS",$R130,$S130)))</f>
        <v>18</v>
      </c>
      <c r="AH130">
        <f>IF($A130="","",IF(Allocation!$N$1="VOL_EFF",$T130,IF(Allocation!$N$1="VOL_CLASS",$U130,$V130)))</f>
        <v>135</v>
      </c>
      <c r="AI130">
        <f t="shared" si="12"/>
        <v>24146</v>
      </c>
      <c r="AJ130">
        <f t="shared" si="13"/>
        <v>45389.5433333333</v>
      </c>
      <c r="AK130">
        <f t="shared" si="14"/>
        <v>14139.5726495727</v>
      </c>
      <c r="AL130">
        <f t="shared" si="15"/>
        <v>91560.54</v>
      </c>
      <c r="AM130">
        <f t="shared" si="16"/>
        <v>39678.9224274406</v>
      </c>
      <c r="AN130">
        <f t="shared" si="17"/>
        <v>30003.4270881337</v>
      </c>
      <c r="AO130">
        <f>IF($A130="","",Allocation!CJ130)</f>
        <v>676344</v>
      </c>
      <c r="AP130">
        <f>IF($A130="","",IF(Allocation!$N$2="VOL_EFF",$Q130,IF(Allocation!$N$2="VOL_CLASS",$R130,$S130)))</f>
        <v>2582800</v>
      </c>
      <c r="AQ130">
        <f>IF($A130="","",IF(Allocation!$N$2="VOL_EFF",$T130,IF(Allocation!$N$2="VOL_CLASS",$U130,$V130)))</f>
        <v>23098985</v>
      </c>
      <c r="AR130">
        <f t="shared" si="18"/>
        <v>7781.9945015197</v>
      </c>
      <c r="AS130" t="str">
        <f>IF($A130="","",$A130&amp;"|"&amp;Allocation!BG130)</f>
        <v>2026|ACT</v>
      </c>
    </row>
    <row r="131" ht="14.497499999999997" customHeight="1">
      <c r="A131" t="str">
        <f>IF(Allocation!BI131="","",Allocation!BI131)</f>
        <v>2026</v>
      </c>
      <c r="B131" t="str">
        <f>IF(Allocation!BJ131="","",Allocation!BJ131)</f>
        <v>ISCOM_LIL</v>
      </c>
      <c r="C131" t="str">
        <f>IF(Allocation!BK131="","",Allocation!BK131)</f>
        <v>ISCOM</v>
      </c>
      <c r="D131" t="str">
        <f>IF(Allocation!BL131="","",Allocation!BL131)</f>
        <v>BAC_COM</v>
      </c>
      <c r="E131" t="str">
        <f>IF(Allocation!BM131="","",Allocation!BM131)</f>
        <v>B1</v>
      </c>
      <c r="F131" t="str">
        <f>IF(Allocation!BN131="","",Allocation!BN131)</f>
        <v>INIT</v>
      </c>
      <c r="G131">
        <f>IF(Allocation!BO131="","",Allocation!BO131)</f>
        <v>50</v>
      </c>
      <c r="H131">
        <f>IF(Allocation!BP131="","",Allocation!BP131)</f>
        <v>2</v>
      </c>
      <c r="I131">
        <f>IF(Allocation!BQ131="","",Allocation!BQ131)</f>
        <v>372000</v>
      </c>
      <c r="J131">
        <f>IF(Allocation!CC131="","",Allocation!CC131)</f>
        <v>50</v>
      </c>
      <c r="K131">
        <f t="shared" si="0"/>
        <v>1200</v>
      </c>
      <c r="L131">
        <f t="shared" si="1"/>
        <v>244</v>
      </c>
      <c r="M131">
        <f t="shared" si="2"/>
        <v>10</v>
      </c>
      <c r="N131">
        <f t="shared" si="3"/>
        <v>1755850</v>
      </c>
      <c r="O131">
        <f t="shared" si="4"/>
        <v>4800</v>
      </c>
      <c r="P131">
        <f t="shared" si="5"/>
        <v>100</v>
      </c>
      <c r="Q131">
        <f t="shared" si="6"/>
        <v>829</v>
      </c>
      <c r="R131">
        <f t="shared" si="7"/>
        <v>35</v>
      </c>
      <c r="S131">
        <f t="shared" si="8"/>
        <v>6292550</v>
      </c>
      <c r="T131">
        <f t="shared" si="9"/>
        <v>3114</v>
      </c>
      <c r="U131">
        <f t="shared" si="10"/>
        <v>135</v>
      </c>
      <c r="V131">
        <f t="shared" si="11"/>
        <v>23098985</v>
      </c>
      <c r="W131">
        <f>IF($A131="","",Allocation!CD131)</f>
        <v>120729</v>
      </c>
      <c r="X131">
        <f>IF($A131="","",Allocation!CE131)</f>
        <v>284669.17</v>
      </c>
      <c r="Y131">
        <f>IF($A131="","",Allocation!CF131)</f>
        <v>90791</v>
      </c>
      <c r="Z131">
        <f>IF($A131="","",Allocation!CG131)</f>
        <v>25220</v>
      </c>
      <c r="AA131">
        <f>IF($A131="","",Allocation!CH131)</f>
        <v>663837.12</v>
      </c>
      <c r="AB131">
        <f>IF($A131="","",Allocation!CI131)</f>
        <v>2891983</v>
      </c>
      <c r="AC131">
        <f>IF($A131="","",IF(Allocation!$N$4="VOL_EFF",$G131,IF(Allocation!$N$4="VOL_CLASS",$H131,$I131)))</f>
        <v>2</v>
      </c>
      <c r="AD131">
        <f>IF($A131="","",IF(Allocation!$N$4="VOL_EFF",$L131,IF(Allocation!$N$4="VOL_CLASS",$M131,$N131)))</f>
        <v>10</v>
      </c>
      <c r="AE131">
        <f>IF($A131="","",IF(Allocation!$N$3="VOL_EFF",$L131,IF(Allocation!$N$3="VOL_CLASS",$M131,$N131)))</f>
        <v>244</v>
      </c>
      <c r="AF131">
        <f>IF($A131="","",IF(Allocation!$N$3="VOL_EFF",$Q131,IF(Allocation!$N$3="VOL_CLASS",$R131,$S131)))</f>
        <v>829</v>
      </c>
      <c r="AG131">
        <f>IF($A131="","",IF(Allocation!$N$1="VOL_EFF",$Q131,IF(Allocation!$N$1="VOL_CLASS",$R131,$S131)))</f>
        <v>35</v>
      </c>
      <c r="AH131">
        <f>IF($A131="","",IF(Allocation!$N$1="VOL_EFF",$T131,IF(Allocation!$N$1="VOL_CLASS",$U131,$V131)))</f>
        <v>135</v>
      </c>
      <c r="AI131">
        <f t="shared" si="12"/>
        <v>30182.25</v>
      </c>
      <c r="AJ131">
        <f t="shared" si="13"/>
        <v>71167.2925</v>
      </c>
      <c r="AK131">
        <f t="shared" si="14"/>
        <v>31214.7131147541</v>
      </c>
      <c r="AL131">
        <f t="shared" si="15"/>
        <v>132767.424</v>
      </c>
      <c r="AM131">
        <f t="shared" si="16"/>
        <v>44136.2370012956</v>
      </c>
      <c r="AN131">
        <f t="shared" si="17"/>
        <v>51686.1555264332</v>
      </c>
      <c r="AO131">
        <f>IF($A131="","",Allocation!CJ131)</f>
        <v>676344</v>
      </c>
      <c r="AP131">
        <f>IF($A131="","",IF(Allocation!$N$2="VOL_EFF",$Q131,IF(Allocation!$N$2="VOL_CLASS",$R131,$S131)))</f>
        <v>6292550</v>
      </c>
      <c r="AQ131">
        <f>IF($A131="","",IF(Allocation!$N$2="VOL_EFF",$T131,IF(Allocation!$N$2="VOL_CLASS",$U131,$V131)))</f>
        <v>23098985</v>
      </c>
      <c r="AR131">
        <f t="shared" si="18"/>
        <v>10845.9278575171</v>
      </c>
      <c r="AS131" t="str">
        <f>IF($A131="","",$A131&amp;"|"&amp;Allocation!BG131)</f>
        <v>2026|ACT</v>
      </c>
    </row>
    <row r="132" ht="14.497499999999997" customHeight="1">
      <c r="A132" t="str">
        <f>IF(Allocation!BI132="","",Allocation!BI132)</f>
        <v>2026</v>
      </c>
      <c r="B132" t="str">
        <f>IF(Allocation!BJ132="","",Allocation!BJ132)</f>
        <v>ISCOM_LIL</v>
      </c>
      <c r="C132" t="str">
        <f>IF(Allocation!BK132="","",Allocation!BK132)</f>
        <v>ISCOM</v>
      </c>
      <c r="D132" t="str">
        <f>IF(Allocation!BL132="","",Allocation!BL132)</f>
        <v>BAC_COM</v>
      </c>
      <c r="E132" t="str">
        <f>IF(Allocation!BM132="","",Allocation!BM132)</f>
        <v>B2</v>
      </c>
      <c r="F132" t="str">
        <f>IF(Allocation!BN132="","",Allocation!BN132)</f>
        <v>ALT</v>
      </c>
      <c r="G132">
        <f>IF(Allocation!BO132="","",Allocation!BO132)</f>
        <v>48</v>
      </c>
      <c r="H132">
        <f>IF(Allocation!BP132="","",Allocation!BP132)</f>
        <v>2</v>
      </c>
      <c r="I132">
        <f>IF(Allocation!BQ132="","",Allocation!BQ132)</f>
        <v>329280</v>
      </c>
      <c r="J132">
        <f>IF(Allocation!CC132="","",Allocation!CC132)</f>
        <v>0</v>
      </c>
      <c r="K132">
        <f t="shared" si="0"/>
        <v>960</v>
      </c>
      <c r="L132">
        <f t="shared" si="1"/>
        <v>244</v>
      </c>
      <c r="M132">
        <f t="shared" si="2"/>
        <v>10</v>
      </c>
      <c r="N132">
        <f t="shared" si="3"/>
        <v>1755850</v>
      </c>
      <c r="O132">
        <f t="shared" si="4"/>
        <v>4800</v>
      </c>
      <c r="P132">
        <f t="shared" si="5"/>
        <v>100</v>
      </c>
      <c r="Q132">
        <f t="shared" si="6"/>
        <v>829</v>
      </c>
      <c r="R132">
        <f t="shared" si="7"/>
        <v>35</v>
      </c>
      <c r="S132">
        <f t="shared" si="8"/>
        <v>6292550</v>
      </c>
      <c r="T132">
        <f t="shared" si="9"/>
        <v>3114</v>
      </c>
      <c r="U132">
        <f t="shared" si="10"/>
        <v>135</v>
      </c>
      <c r="V132">
        <f t="shared" si="11"/>
        <v>23098985</v>
      </c>
      <c r="W132">
        <f>IF($A132="","",Allocation!CD132)</f>
        <v>120729</v>
      </c>
      <c r="X132">
        <f>IF($A132="","",Allocation!CE132)</f>
        <v>284669.17</v>
      </c>
      <c r="Y132">
        <f>IF($A132="","",Allocation!CF132)</f>
        <v>90791</v>
      </c>
      <c r="Z132">
        <f>IF($A132="","",Allocation!CG132)</f>
        <v>25220</v>
      </c>
      <c r="AA132">
        <f>IF($A132="","",Allocation!CH132)</f>
        <v>663837.12</v>
      </c>
      <c r="AB132">
        <f>IF($A132="","",Allocation!CI132)</f>
        <v>2891983</v>
      </c>
      <c r="AC132">
        <f>IF($A132="","",IF(Allocation!$N$4="VOL_EFF",$G132,IF(Allocation!$N$4="VOL_CLASS",$H132,$I132)))</f>
        <v>2</v>
      </c>
      <c r="AD132">
        <f>IF($A132="","",IF(Allocation!$N$4="VOL_EFF",$L132,IF(Allocation!$N$4="VOL_CLASS",$M132,$N132)))</f>
        <v>10</v>
      </c>
      <c r="AE132">
        <f>IF($A132="","",IF(Allocation!$N$3="VOL_EFF",$L132,IF(Allocation!$N$3="VOL_CLASS",$M132,$N132)))</f>
        <v>244</v>
      </c>
      <c r="AF132">
        <f>IF($A132="","",IF(Allocation!$N$3="VOL_EFF",$Q132,IF(Allocation!$N$3="VOL_CLASS",$R132,$S132)))</f>
        <v>829</v>
      </c>
      <c r="AG132">
        <f>IF($A132="","",IF(Allocation!$N$1="VOL_EFF",$Q132,IF(Allocation!$N$1="VOL_CLASS",$R132,$S132)))</f>
        <v>35</v>
      </c>
      <c r="AH132">
        <f>IF($A132="","",IF(Allocation!$N$1="VOL_EFF",$T132,IF(Allocation!$N$1="VOL_CLASS",$U132,$V132)))</f>
        <v>135</v>
      </c>
      <c r="AI132">
        <f t="shared" si="12"/>
        <v>24145.8</v>
      </c>
      <c r="AJ132">
        <f t="shared" si="13"/>
        <v>56933.834</v>
      </c>
      <c r="AK132">
        <f t="shared" si="14"/>
        <v>17860.5245901639</v>
      </c>
      <c r="AL132">
        <f t="shared" si="15"/>
        <v>132767.424</v>
      </c>
      <c r="AM132">
        <f t="shared" si="16"/>
        <v>44136.2370012956</v>
      </c>
      <c r="AN132">
        <f t="shared" si="17"/>
        <v>42590.2525510234</v>
      </c>
      <c r="AO132">
        <f>IF($A132="","",Allocation!CJ132)</f>
        <v>676344</v>
      </c>
      <c r="AP132">
        <f>IF($A132="","",IF(Allocation!$N$2="VOL_EFF",$Q132,IF(Allocation!$N$2="VOL_CLASS",$R132,$S132)))</f>
        <v>6292550</v>
      </c>
      <c r="AQ132">
        <f>IF($A132="","",IF(Allocation!$N$2="VOL_EFF",$T132,IF(Allocation!$N$2="VOL_CLASS",$U132,$V132)))</f>
        <v>23098985</v>
      </c>
      <c r="AR132">
        <f t="shared" si="18"/>
        <v>10845.9278575171</v>
      </c>
      <c r="AS132" t="str">
        <f>IF($A132="","",$A132&amp;"|"&amp;Allocation!BG132)</f>
        <v>2026|ACT</v>
      </c>
    </row>
    <row r="133" ht="14.497499999999997" customHeight="1">
      <c r="A133" t="str">
        <f>IF(Allocation!BI133="","",Allocation!BI133)</f>
        <v>2026</v>
      </c>
      <c r="B133" t="str">
        <f>IF(Allocation!BJ133="","",Allocation!BJ133)</f>
        <v>ISCOM_LIL</v>
      </c>
      <c r="C133" t="str">
        <f>IF(Allocation!BK133="","",Allocation!BK133)</f>
        <v>ISCOM</v>
      </c>
      <c r="D133" t="str">
        <f>IF(Allocation!BL133="","",Allocation!BL133)</f>
        <v>BAC_COM</v>
      </c>
      <c r="E133" t="str">
        <f>IF(Allocation!BM133="","",Allocation!BM133)</f>
        <v>B3</v>
      </c>
      <c r="F133" t="str">
        <f>IF(Allocation!BN133="","",Allocation!BN133)</f>
        <v>ALT</v>
      </c>
      <c r="G133">
        <f>IF(Allocation!BO133="","",Allocation!BO133)</f>
        <v>47</v>
      </c>
      <c r="H133">
        <f>IF(Allocation!BP133="","",Allocation!BP133)</f>
        <v>2</v>
      </c>
      <c r="I133">
        <f>IF(Allocation!BQ133="","",Allocation!BQ133)</f>
        <v>322420</v>
      </c>
      <c r="J133">
        <f>IF(Allocation!CC133="","",Allocation!CC133)</f>
        <v>0</v>
      </c>
      <c r="K133">
        <f t="shared" si="0"/>
        <v>960</v>
      </c>
      <c r="L133">
        <f t="shared" si="1"/>
        <v>244</v>
      </c>
      <c r="M133">
        <f t="shared" si="2"/>
        <v>10</v>
      </c>
      <c r="N133">
        <f t="shared" si="3"/>
        <v>1755850</v>
      </c>
      <c r="O133">
        <f t="shared" si="4"/>
        <v>4800</v>
      </c>
      <c r="P133">
        <f t="shared" si="5"/>
        <v>100</v>
      </c>
      <c r="Q133">
        <f t="shared" si="6"/>
        <v>829</v>
      </c>
      <c r="R133">
        <f t="shared" si="7"/>
        <v>35</v>
      </c>
      <c r="S133">
        <f t="shared" si="8"/>
        <v>6292550</v>
      </c>
      <c r="T133">
        <f t="shared" si="9"/>
        <v>3114</v>
      </c>
      <c r="U133">
        <f t="shared" si="10"/>
        <v>135</v>
      </c>
      <c r="V133">
        <f t="shared" si="11"/>
        <v>23098985</v>
      </c>
      <c r="W133">
        <f>IF($A133="","",Allocation!CD133)</f>
        <v>120729</v>
      </c>
      <c r="X133">
        <f>IF($A133="","",Allocation!CE133)</f>
        <v>284669.17</v>
      </c>
      <c r="Y133">
        <f>IF($A133="","",Allocation!CF133)</f>
        <v>90791</v>
      </c>
      <c r="Z133">
        <f>IF($A133="","",Allocation!CG133)</f>
        <v>25220</v>
      </c>
      <c r="AA133">
        <f>IF($A133="","",Allocation!CH133)</f>
        <v>663837.12</v>
      </c>
      <c r="AB133">
        <f>IF($A133="","",Allocation!CI133)</f>
        <v>2891983</v>
      </c>
      <c r="AC133">
        <f>IF($A133="","",IF(Allocation!$N$4="VOL_EFF",$G133,IF(Allocation!$N$4="VOL_CLASS",$H133,$I133)))</f>
        <v>2</v>
      </c>
      <c r="AD133">
        <f>IF($A133="","",IF(Allocation!$N$4="VOL_EFF",$L133,IF(Allocation!$N$4="VOL_CLASS",$M133,$N133)))</f>
        <v>10</v>
      </c>
      <c r="AE133">
        <f>IF($A133="","",IF(Allocation!$N$3="VOL_EFF",$L133,IF(Allocation!$N$3="VOL_CLASS",$M133,$N133)))</f>
        <v>244</v>
      </c>
      <c r="AF133">
        <f>IF($A133="","",IF(Allocation!$N$3="VOL_EFF",$Q133,IF(Allocation!$N$3="VOL_CLASS",$R133,$S133)))</f>
        <v>829</v>
      </c>
      <c r="AG133">
        <f>IF($A133="","",IF(Allocation!$N$1="VOL_EFF",$Q133,IF(Allocation!$N$1="VOL_CLASS",$R133,$S133)))</f>
        <v>35</v>
      </c>
      <c r="AH133">
        <f>IF($A133="","",IF(Allocation!$N$1="VOL_EFF",$T133,IF(Allocation!$N$1="VOL_CLASS",$U133,$V133)))</f>
        <v>135</v>
      </c>
      <c r="AI133">
        <f t="shared" si="12"/>
        <v>24145.8</v>
      </c>
      <c r="AJ133">
        <f t="shared" si="13"/>
        <v>56933.834</v>
      </c>
      <c r="AK133">
        <f t="shared" si="14"/>
        <v>17488.4303278689</v>
      </c>
      <c r="AL133">
        <f t="shared" si="15"/>
        <v>132767.424</v>
      </c>
      <c r="AM133">
        <f t="shared" si="16"/>
        <v>44136.2370012956</v>
      </c>
      <c r="AN133">
        <f t="shared" si="17"/>
        <v>36102.3468133184</v>
      </c>
      <c r="AO133">
        <f>IF($A133="","",Allocation!CJ133)</f>
        <v>676344</v>
      </c>
      <c r="AP133">
        <f>IF($A133="","",IF(Allocation!$N$2="VOL_EFF",$Q133,IF(Allocation!$N$2="VOL_CLASS",$R133,$S133)))</f>
        <v>6292550</v>
      </c>
      <c r="AQ133">
        <f>IF($A133="","",IF(Allocation!$N$2="VOL_EFF",$T133,IF(Allocation!$N$2="VOL_CLASS",$U133,$V133)))</f>
        <v>23098985</v>
      </c>
      <c r="AR133">
        <f t="shared" si="18"/>
        <v>10845.9278575171</v>
      </c>
      <c r="AS133" t="str">
        <f>IF($A133="","",$A133&amp;"|"&amp;Allocation!BG133)</f>
        <v>2026|ACT</v>
      </c>
    </row>
    <row r="134" ht="14.497499999999997" customHeight="1">
      <c r="A134" t="str">
        <f>IF(Allocation!BI134="","",Allocation!BI134)</f>
        <v>2026</v>
      </c>
      <c r="B134" t="str">
        <f>IF(Allocation!BJ134="","",Allocation!BJ134)</f>
        <v>ISCOM_LIL</v>
      </c>
      <c r="C134" t="str">
        <f>IF(Allocation!BK134="","",Allocation!BK134)</f>
        <v>ISCOM</v>
      </c>
      <c r="D134" t="str">
        <f>IF(Allocation!BL134="","",Allocation!BL134)</f>
        <v>MAS_COM</v>
      </c>
      <c r="E134" t="str">
        <f>IF(Allocation!BM134="","",Allocation!BM134)</f>
        <v>M1</v>
      </c>
      <c r="F134" t="str">
        <f>IF(Allocation!BN134="","",Allocation!BN134)</f>
        <v>ALT</v>
      </c>
      <c r="G134">
        <f>IF(Allocation!BO134="","",Allocation!BO134)</f>
        <v>50</v>
      </c>
      <c r="H134">
        <f>IF(Allocation!BP134="","",Allocation!BP134)</f>
        <v>2</v>
      </c>
      <c r="I134">
        <f>IF(Allocation!BQ134="","",Allocation!BQ134)</f>
        <v>372000</v>
      </c>
      <c r="J134">
        <f>IF(Allocation!CC134="","",Allocation!CC134)</f>
        <v>50</v>
      </c>
      <c r="K134">
        <f t="shared" si="0"/>
        <v>840</v>
      </c>
      <c r="L134">
        <f t="shared" si="1"/>
        <v>244</v>
      </c>
      <c r="M134">
        <f t="shared" si="2"/>
        <v>10</v>
      </c>
      <c r="N134">
        <f t="shared" si="3"/>
        <v>1755850</v>
      </c>
      <c r="O134">
        <f t="shared" si="4"/>
        <v>4800</v>
      </c>
      <c r="P134">
        <f t="shared" si="5"/>
        <v>100</v>
      </c>
      <c r="Q134">
        <f t="shared" si="6"/>
        <v>829</v>
      </c>
      <c r="R134">
        <f t="shared" si="7"/>
        <v>35</v>
      </c>
      <c r="S134">
        <f t="shared" si="8"/>
        <v>6292550</v>
      </c>
      <c r="T134">
        <f t="shared" si="9"/>
        <v>3114</v>
      </c>
      <c r="U134">
        <f t="shared" si="10"/>
        <v>135</v>
      </c>
      <c r="V134">
        <f t="shared" si="11"/>
        <v>23098985</v>
      </c>
      <c r="W134">
        <f>IF($A134="","",Allocation!CD134)</f>
        <v>120729</v>
      </c>
      <c r="X134">
        <f>IF($A134="","",Allocation!CE134)</f>
        <v>284669.17</v>
      </c>
      <c r="Y134">
        <f>IF($A134="","",Allocation!CF134)</f>
        <v>90791</v>
      </c>
      <c r="Z134">
        <f>IF($A134="","",Allocation!CG134)</f>
        <v>25220</v>
      </c>
      <c r="AA134">
        <f>IF($A134="","",Allocation!CH134)</f>
        <v>663837.12</v>
      </c>
      <c r="AB134">
        <f>IF($A134="","",Allocation!CI134)</f>
        <v>2891983</v>
      </c>
      <c r="AC134">
        <f>IF($A134="","",IF(Allocation!$N$4="VOL_EFF",$G134,IF(Allocation!$N$4="VOL_CLASS",$H134,$I134)))</f>
        <v>2</v>
      </c>
      <c r="AD134">
        <f>IF($A134="","",IF(Allocation!$N$4="VOL_EFF",$L134,IF(Allocation!$N$4="VOL_CLASS",$M134,$N134)))</f>
        <v>10</v>
      </c>
      <c r="AE134">
        <f>IF($A134="","",IF(Allocation!$N$3="VOL_EFF",$L134,IF(Allocation!$N$3="VOL_CLASS",$M134,$N134)))</f>
        <v>244</v>
      </c>
      <c r="AF134">
        <f>IF($A134="","",IF(Allocation!$N$3="VOL_EFF",$Q134,IF(Allocation!$N$3="VOL_CLASS",$R134,$S134)))</f>
        <v>829</v>
      </c>
      <c r="AG134">
        <f>IF($A134="","",IF(Allocation!$N$1="VOL_EFF",$Q134,IF(Allocation!$N$1="VOL_CLASS",$R134,$S134)))</f>
        <v>35</v>
      </c>
      <c r="AH134">
        <f>IF($A134="","",IF(Allocation!$N$1="VOL_EFF",$T134,IF(Allocation!$N$1="VOL_CLASS",$U134,$V134)))</f>
        <v>135</v>
      </c>
      <c r="AI134">
        <f t="shared" si="12"/>
        <v>21127.575</v>
      </c>
      <c r="AJ134">
        <f t="shared" si="13"/>
        <v>49817.10475</v>
      </c>
      <c r="AK134">
        <f t="shared" si="14"/>
        <v>31214.7131147541</v>
      </c>
      <c r="AL134">
        <f t="shared" si="15"/>
        <v>132767.424</v>
      </c>
      <c r="AM134">
        <f t="shared" si="16"/>
        <v>44136.2370012956</v>
      </c>
      <c r="AN134">
        <f t="shared" si="17"/>
        <v>82091.0182764332</v>
      </c>
      <c r="AO134">
        <f>IF($A134="","",Allocation!CJ134)</f>
        <v>676344</v>
      </c>
      <c r="AP134">
        <f>IF($A134="","",IF(Allocation!$N$2="VOL_EFF",$Q134,IF(Allocation!$N$2="VOL_CLASS",$R134,$S134)))</f>
        <v>6292550</v>
      </c>
      <c r="AQ134">
        <f>IF($A134="","",IF(Allocation!$N$2="VOL_EFF",$T134,IF(Allocation!$N$2="VOL_CLASS",$U134,$V134)))</f>
        <v>23098985</v>
      </c>
      <c r="AR134">
        <f t="shared" si="18"/>
        <v>10845.9278575171</v>
      </c>
      <c r="AS134" t="str">
        <f>IF($A134="","",$A134&amp;"|"&amp;Allocation!BG134)</f>
        <v>2026|ACT</v>
      </c>
    </row>
    <row r="135" ht="14.497499999999997" customHeight="1">
      <c r="A135" t="str">
        <f>IF(Allocation!BI135="","",Allocation!BI135)</f>
        <v>2026</v>
      </c>
      <c r="B135" t="str">
        <f>IF(Allocation!BJ135="","",Allocation!BJ135)</f>
        <v>ISCOM_LIL</v>
      </c>
      <c r="C135" t="str">
        <f>IF(Allocation!BK135="","",Allocation!BK135)</f>
        <v>ISCOM</v>
      </c>
      <c r="D135" t="str">
        <f>IF(Allocation!BL135="","",Allocation!BL135)</f>
        <v>MAS_COM</v>
      </c>
      <c r="E135" t="str">
        <f>IF(Allocation!BM135="","",Allocation!BM135)</f>
        <v>M2</v>
      </c>
      <c r="F135" t="str">
        <f>IF(Allocation!BN135="","",Allocation!BN135)</f>
        <v>ALT</v>
      </c>
      <c r="G135">
        <f>IF(Allocation!BO135="","",Allocation!BO135)</f>
        <v>49</v>
      </c>
      <c r="H135">
        <f>IF(Allocation!BP135="","",Allocation!BP135)</f>
        <v>2</v>
      </c>
      <c r="I135">
        <f>IF(Allocation!BQ135="","",Allocation!BQ135)</f>
        <v>360150</v>
      </c>
      <c r="J135">
        <f>IF(Allocation!CC135="","",Allocation!CC135)</f>
        <v>0</v>
      </c>
      <c r="K135">
        <f t="shared" si="0"/>
        <v>840</v>
      </c>
      <c r="L135">
        <f t="shared" si="1"/>
        <v>244</v>
      </c>
      <c r="M135">
        <f t="shared" si="2"/>
        <v>10</v>
      </c>
      <c r="N135">
        <f t="shared" si="3"/>
        <v>1755850</v>
      </c>
      <c r="O135">
        <f t="shared" si="4"/>
        <v>4800</v>
      </c>
      <c r="P135">
        <f t="shared" si="5"/>
        <v>100</v>
      </c>
      <c r="Q135">
        <f t="shared" si="6"/>
        <v>829</v>
      </c>
      <c r="R135">
        <f t="shared" si="7"/>
        <v>35</v>
      </c>
      <c r="S135">
        <f t="shared" si="8"/>
        <v>6292550</v>
      </c>
      <c r="T135">
        <f t="shared" si="9"/>
        <v>3114</v>
      </c>
      <c r="U135">
        <f t="shared" si="10"/>
        <v>135</v>
      </c>
      <c r="V135">
        <f t="shared" si="11"/>
        <v>23098985</v>
      </c>
      <c r="W135">
        <f>IF($A135="","",Allocation!CD135)</f>
        <v>120729</v>
      </c>
      <c r="X135">
        <f>IF($A135="","",Allocation!CE135)</f>
        <v>284669.17</v>
      </c>
      <c r="Y135">
        <f>IF($A135="","",Allocation!CF135)</f>
        <v>90791</v>
      </c>
      <c r="Z135">
        <f>IF($A135="","",Allocation!CG135)</f>
        <v>25220</v>
      </c>
      <c r="AA135">
        <f>IF($A135="","",Allocation!CH135)</f>
        <v>663837.12</v>
      </c>
      <c r="AB135">
        <f>IF($A135="","",Allocation!CI135)</f>
        <v>2891983</v>
      </c>
      <c r="AC135">
        <f>IF($A135="","",IF(Allocation!$N$4="VOL_EFF",$G135,IF(Allocation!$N$4="VOL_CLASS",$H135,$I135)))</f>
        <v>2</v>
      </c>
      <c r="AD135">
        <f>IF($A135="","",IF(Allocation!$N$4="VOL_EFF",$L135,IF(Allocation!$N$4="VOL_CLASS",$M135,$N135)))</f>
        <v>10</v>
      </c>
      <c r="AE135">
        <f>IF($A135="","",IF(Allocation!$N$3="VOL_EFF",$L135,IF(Allocation!$N$3="VOL_CLASS",$M135,$N135)))</f>
        <v>244</v>
      </c>
      <c r="AF135">
        <f>IF($A135="","",IF(Allocation!$N$3="VOL_EFF",$Q135,IF(Allocation!$N$3="VOL_CLASS",$R135,$S135)))</f>
        <v>829</v>
      </c>
      <c r="AG135">
        <f>IF($A135="","",IF(Allocation!$N$1="VOL_EFF",$Q135,IF(Allocation!$N$1="VOL_CLASS",$R135,$S135)))</f>
        <v>35</v>
      </c>
      <c r="AH135">
        <f>IF($A135="","",IF(Allocation!$N$1="VOL_EFF",$T135,IF(Allocation!$N$1="VOL_CLASS",$U135,$V135)))</f>
        <v>135</v>
      </c>
      <c r="AI135">
        <f t="shared" si="12"/>
        <v>21127.575</v>
      </c>
      <c r="AJ135">
        <f t="shared" si="13"/>
        <v>49817.10475</v>
      </c>
      <c r="AK135">
        <f t="shared" si="14"/>
        <v>18232.618852459</v>
      </c>
      <c r="AL135">
        <f t="shared" si="15"/>
        <v>132767.424</v>
      </c>
      <c r="AM135">
        <f t="shared" si="16"/>
        <v>44136.2370012956</v>
      </c>
      <c r="AN135">
        <f t="shared" si="17"/>
        <v>83223.1125387283</v>
      </c>
      <c r="AO135">
        <f>IF($A135="","",Allocation!CJ135)</f>
        <v>676344</v>
      </c>
      <c r="AP135">
        <f>IF($A135="","",IF(Allocation!$N$2="VOL_EFF",$Q135,IF(Allocation!$N$2="VOL_CLASS",$R135,$S135)))</f>
        <v>6292550</v>
      </c>
      <c r="AQ135">
        <f>IF($A135="","",IF(Allocation!$N$2="VOL_EFF",$T135,IF(Allocation!$N$2="VOL_CLASS",$U135,$V135)))</f>
        <v>23098985</v>
      </c>
      <c r="AR135">
        <f t="shared" si="18"/>
        <v>10845.9278575171</v>
      </c>
      <c r="AS135" t="str">
        <f>IF($A135="","",$A135&amp;"|"&amp;Allocation!BG135)</f>
        <v>2026|ACT</v>
      </c>
    </row>
    <row r="136" ht="14.497499999999997" customHeight="1">
      <c r="A136" t="str">
        <f>IF(Allocation!BI136="","",Allocation!BI136)</f>
        <v>2026</v>
      </c>
      <c r="B136" t="str">
        <f>IF(Allocation!BJ136="","",Allocation!BJ136)</f>
        <v>ISCOM_PAR</v>
      </c>
      <c r="C136" t="str">
        <f>IF(Allocation!BK136="","",Allocation!BK136)</f>
        <v>ISCOM</v>
      </c>
      <c r="D136" t="str">
        <f>IF(Allocation!BL136="","",Allocation!BL136)</f>
        <v>BAC_COM</v>
      </c>
      <c r="E136" t="str">
        <f>IF(Allocation!BM136="","",Allocation!BM136)</f>
        <v>B1</v>
      </c>
      <c r="F136" t="str">
        <f>IF(Allocation!BN136="","",Allocation!BN136)</f>
        <v>INIT</v>
      </c>
      <c r="G136">
        <f>IF(Allocation!BO136="","",Allocation!BO136)</f>
        <v>72</v>
      </c>
      <c r="H136">
        <f>IF(Allocation!BP136="","",Allocation!BP136)</f>
        <v>3</v>
      </c>
      <c r="I136">
        <f>IF(Allocation!BQ136="","",Allocation!BQ136)</f>
        <v>611280</v>
      </c>
      <c r="J136">
        <f>IF(Allocation!CC136="","",Allocation!CC136)</f>
        <v>72</v>
      </c>
      <c r="K136">
        <f t="shared" si="0"/>
        <v>1800</v>
      </c>
      <c r="L136">
        <f t="shared" si="1"/>
        <v>354</v>
      </c>
      <c r="M136">
        <f t="shared" si="2"/>
        <v>15</v>
      </c>
      <c r="N136">
        <f t="shared" si="3"/>
        <v>2908720</v>
      </c>
      <c r="O136">
        <f t="shared" si="4"/>
        <v>7200</v>
      </c>
      <c r="P136">
        <f t="shared" si="5"/>
        <v>144</v>
      </c>
      <c r="Q136">
        <f t="shared" si="6"/>
        <v>829</v>
      </c>
      <c r="R136">
        <f t="shared" si="7"/>
        <v>35</v>
      </c>
      <c r="S136">
        <f t="shared" si="8"/>
        <v>6292550</v>
      </c>
      <c r="T136">
        <f t="shared" si="9"/>
        <v>3114</v>
      </c>
      <c r="U136">
        <f t="shared" si="10"/>
        <v>135</v>
      </c>
      <c r="V136">
        <f t="shared" si="11"/>
        <v>23098985</v>
      </c>
      <c r="W136">
        <f>IF($A136="","",Allocation!CD136)</f>
        <v>181094</v>
      </c>
      <c r="X136">
        <f>IF($A136="","",Allocation!CE136)</f>
        <v>488050.48</v>
      </c>
      <c r="Y136">
        <f>IF($A136="","",Allocation!CF136)</f>
        <v>131722</v>
      </c>
      <c r="Z136">
        <f>IF($A136="","",Allocation!CG136)</f>
        <v>60800</v>
      </c>
      <c r="AA136">
        <f>IF($A136="","",Allocation!CH136)</f>
        <v>1113035.3</v>
      </c>
      <c r="AB136">
        <f>IF($A136="","",Allocation!CI136)</f>
        <v>2891983</v>
      </c>
      <c r="AC136">
        <f>IF($A136="","",IF(Allocation!$N$4="VOL_EFF",$G136,IF(Allocation!$N$4="VOL_CLASS",$H136,$I136)))</f>
        <v>3</v>
      </c>
      <c r="AD136">
        <f>IF($A136="","",IF(Allocation!$N$4="VOL_EFF",$L136,IF(Allocation!$N$4="VOL_CLASS",$M136,$N136)))</f>
        <v>15</v>
      </c>
      <c r="AE136">
        <f>IF($A136="","",IF(Allocation!$N$3="VOL_EFF",$L136,IF(Allocation!$N$3="VOL_CLASS",$M136,$N136)))</f>
        <v>354</v>
      </c>
      <c r="AF136">
        <f>IF($A136="","",IF(Allocation!$N$3="VOL_EFF",$Q136,IF(Allocation!$N$3="VOL_CLASS",$R136,$S136)))</f>
        <v>829</v>
      </c>
      <c r="AG136">
        <f>IF($A136="","",IF(Allocation!$N$1="VOL_EFF",$Q136,IF(Allocation!$N$1="VOL_CLASS",$R136,$S136)))</f>
        <v>35</v>
      </c>
      <c r="AH136">
        <f>IF($A136="","",IF(Allocation!$N$1="VOL_EFF",$T136,IF(Allocation!$N$1="VOL_CLASS",$U136,$V136)))</f>
        <v>135</v>
      </c>
      <c r="AI136">
        <f t="shared" si="12"/>
        <v>45273.5</v>
      </c>
      <c r="AJ136">
        <f t="shared" si="13"/>
        <v>122012.62</v>
      </c>
      <c r="AK136">
        <f t="shared" si="14"/>
        <v>57190.9152542373</v>
      </c>
      <c r="AL136">
        <f t="shared" si="15"/>
        <v>222607.06</v>
      </c>
      <c r="AM136">
        <f t="shared" si="16"/>
        <v>64033.7208953223</v>
      </c>
      <c r="AN136">
        <f t="shared" si="17"/>
        <v>84426.6983522394</v>
      </c>
      <c r="AO136">
        <f>IF($A136="","",Allocation!CJ136)</f>
        <v>676344</v>
      </c>
      <c r="AP136">
        <f>IF($A136="","",IF(Allocation!$N$2="VOL_EFF",$Q136,IF(Allocation!$N$2="VOL_CLASS",$R136,$S136)))</f>
        <v>6292550</v>
      </c>
      <c r="AQ136">
        <f>IF($A136="","",IF(Allocation!$N$2="VOL_EFF",$T136,IF(Allocation!$N$2="VOL_CLASS",$U136,$V136)))</f>
        <v>23098985</v>
      </c>
      <c r="AR136">
        <f t="shared" si="18"/>
        <v>15735.485498201</v>
      </c>
      <c r="AS136" t="str">
        <f>IF($A136="","",$A136&amp;"|"&amp;Allocation!BG136)</f>
        <v>2026|ACT</v>
      </c>
    </row>
    <row r="137" ht="14.497499999999997" customHeight="1">
      <c r="A137" t="str">
        <f>IF(Allocation!BI137="","",Allocation!BI137)</f>
        <v>2026</v>
      </c>
      <c r="B137" t="str">
        <f>IF(Allocation!BJ137="","",Allocation!BJ137)</f>
        <v>ISCOM_PAR</v>
      </c>
      <c r="C137" t="str">
        <f>IF(Allocation!BK137="","",Allocation!BK137)</f>
        <v>ISCOM</v>
      </c>
      <c r="D137" t="str">
        <f>IF(Allocation!BL137="","",Allocation!BL137)</f>
        <v>BAC_COM</v>
      </c>
      <c r="E137" t="str">
        <f>IF(Allocation!BM137="","",Allocation!BM137)</f>
        <v>B2</v>
      </c>
      <c r="F137" t="str">
        <f>IF(Allocation!BN137="","",Allocation!BN137)</f>
        <v>ALT</v>
      </c>
      <c r="G137">
        <f>IF(Allocation!BO137="","",Allocation!BO137)</f>
        <v>70</v>
      </c>
      <c r="H137">
        <f>IF(Allocation!BP137="","",Allocation!BP137)</f>
        <v>3</v>
      </c>
      <c r="I137">
        <f>IF(Allocation!BQ137="","",Allocation!BQ137)</f>
        <v>548800</v>
      </c>
      <c r="J137">
        <f>IF(Allocation!CC137="","",Allocation!CC137)</f>
        <v>0</v>
      </c>
      <c r="K137">
        <f t="shared" si="0"/>
        <v>1440</v>
      </c>
      <c r="L137">
        <f t="shared" si="1"/>
        <v>354</v>
      </c>
      <c r="M137">
        <f t="shared" si="2"/>
        <v>15</v>
      </c>
      <c r="N137">
        <f t="shared" si="3"/>
        <v>2908720</v>
      </c>
      <c r="O137">
        <f t="shared" si="4"/>
        <v>7200</v>
      </c>
      <c r="P137">
        <f t="shared" si="5"/>
        <v>144</v>
      </c>
      <c r="Q137">
        <f t="shared" si="6"/>
        <v>829</v>
      </c>
      <c r="R137">
        <f t="shared" si="7"/>
        <v>35</v>
      </c>
      <c r="S137">
        <f t="shared" si="8"/>
        <v>6292550</v>
      </c>
      <c r="T137">
        <f t="shared" si="9"/>
        <v>3114</v>
      </c>
      <c r="U137">
        <f t="shared" si="10"/>
        <v>135</v>
      </c>
      <c r="V137">
        <f t="shared" si="11"/>
        <v>23098985</v>
      </c>
      <c r="W137">
        <f>IF($A137="","",Allocation!CD137)</f>
        <v>181094</v>
      </c>
      <c r="X137">
        <f>IF($A137="","",Allocation!CE137)</f>
        <v>488050.48</v>
      </c>
      <c r="Y137">
        <f>IF($A137="","",Allocation!CF137)</f>
        <v>131722</v>
      </c>
      <c r="Z137">
        <f>IF($A137="","",Allocation!CG137)</f>
        <v>60800</v>
      </c>
      <c r="AA137">
        <f>IF($A137="","",Allocation!CH137)</f>
        <v>1113035.3</v>
      </c>
      <c r="AB137">
        <f>IF($A137="","",Allocation!CI137)</f>
        <v>2891983</v>
      </c>
      <c r="AC137">
        <f>IF($A137="","",IF(Allocation!$N$4="VOL_EFF",$G137,IF(Allocation!$N$4="VOL_CLASS",$H137,$I137)))</f>
        <v>3</v>
      </c>
      <c r="AD137">
        <f>IF($A137="","",IF(Allocation!$N$4="VOL_EFF",$L137,IF(Allocation!$N$4="VOL_CLASS",$M137,$N137)))</f>
        <v>15</v>
      </c>
      <c r="AE137">
        <f>IF($A137="","",IF(Allocation!$N$3="VOL_EFF",$L137,IF(Allocation!$N$3="VOL_CLASS",$M137,$N137)))</f>
        <v>354</v>
      </c>
      <c r="AF137">
        <f>IF($A137="","",IF(Allocation!$N$3="VOL_EFF",$Q137,IF(Allocation!$N$3="VOL_CLASS",$R137,$S137)))</f>
        <v>829</v>
      </c>
      <c r="AG137">
        <f>IF($A137="","",IF(Allocation!$N$1="VOL_EFF",$Q137,IF(Allocation!$N$1="VOL_CLASS",$R137,$S137)))</f>
        <v>35</v>
      </c>
      <c r="AH137">
        <f>IF($A137="","",IF(Allocation!$N$1="VOL_EFF",$T137,IF(Allocation!$N$1="VOL_CLASS",$U137,$V137)))</f>
        <v>135</v>
      </c>
      <c r="AI137">
        <f t="shared" si="12"/>
        <v>36218.8</v>
      </c>
      <c r="AJ137">
        <f t="shared" si="13"/>
        <v>97610.096</v>
      </c>
      <c r="AK137">
        <f t="shared" si="14"/>
        <v>26046.7231638418</v>
      </c>
      <c r="AL137">
        <f t="shared" si="15"/>
        <v>222607.06</v>
      </c>
      <c r="AM137">
        <f t="shared" si="16"/>
        <v>64033.7208953223</v>
      </c>
      <c r="AN137">
        <f t="shared" si="17"/>
        <v>86548.1144426349</v>
      </c>
      <c r="AO137">
        <f>IF($A137="","",Allocation!CJ137)</f>
        <v>676344</v>
      </c>
      <c r="AP137">
        <f>IF($A137="","",IF(Allocation!$N$2="VOL_EFF",$Q137,IF(Allocation!$N$2="VOL_CLASS",$R137,$S137)))</f>
        <v>6292550</v>
      </c>
      <c r="AQ137">
        <f>IF($A137="","",IF(Allocation!$N$2="VOL_EFF",$T137,IF(Allocation!$N$2="VOL_CLASS",$U137,$V137)))</f>
        <v>23098985</v>
      </c>
      <c r="AR137">
        <f t="shared" si="18"/>
        <v>15735.485498201</v>
      </c>
      <c r="AS137" t="str">
        <f>IF($A137="","",$A137&amp;"|"&amp;Allocation!BG137)</f>
        <v>2026|ACT</v>
      </c>
    </row>
    <row r="138" ht="14.497499999999997" customHeight="1">
      <c r="A138" t="str">
        <f>IF(Allocation!BI138="","",Allocation!BI138)</f>
        <v>2026</v>
      </c>
      <c r="B138" t="str">
        <f>IF(Allocation!BJ138="","",Allocation!BJ138)</f>
        <v>ISCOM_PAR</v>
      </c>
      <c r="C138" t="str">
        <f>IF(Allocation!BK138="","",Allocation!BK138)</f>
        <v>ISCOM</v>
      </c>
      <c r="D138" t="str">
        <f>IF(Allocation!BL138="","",Allocation!BL138)</f>
        <v>BAC_COM</v>
      </c>
      <c r="E138" t="str">
        <f>IF(Allocation!BM138="","",Allocation!BM138)</f>
        <v>B3</v>
      </c>
      <c r="F138" t="str">
        <f>IF(Allocation!BN138="","",Allocation!BN138)</f>
        <v>ALT</v>
      </c>
      <c r="G138">
        <f>IF(Allocation!BO138="","",Allocation!BO138)</f>
        <v>69</v>
      </c>
      <c r="H138">
        <f>IF(Allocation!BP138="","",Allocation!BP138)</f>
        <v>3</v>
      </c>
      <c r="I138">
        <f>IF(Allocation!BQ138="","",Allocation!BQ138)</f>
        <v>540960</v>
      </c>
      <c r="J138">
        <f>IF(Allocation!CC138="","",Allocation!CC138)</f>
        <v>0</v>
      </c>
      <c r="K138">
        <f t="shared" si="0"/>
        <v>1440</v>
      </c>
      <c r="L138">
        <f t="shared" si="1"/>
        <v>354</v>
      </c>
      <c r="M138">
        <f t="shared" si="2"/>
        <v>15</v>
      </c>
      <c r="N138">
        <f t="shared" si="3"/>
        <v>2908720</v>
      </c>
      <c r="O138">
        <f t="shared" si="4"/>
        <v>7200</v>
      </c>
      <c r="P138">
        <f t="shared" si="5"/>
        <v>144</v>
      </c>
      <c r="Q138">
        <f t="shared" si="6"/>
        <v>829</v>
      </c>
      <c r="R138">
        <f t="shared" si="7"/>
        <v>35</v>
      </c>
      <c r="S138">
        <f t="shared" si="8"/>
        <v>6292550</v>
      </c>
      <c r="T138">
        <f t="shared" si="9"/>
        <v>3114</v>
      </c>
      <c r="U138">
        <f t="shared" si="10"/>
        <v>135</v>
      </c>
      <c r="V138">
        <f t="shared" si="11"/>
        <v>23098985</v>
      </c>
      <c r="W138">
        <f>IF($A138="","",Allocation!CD138)</f>
        <v>181094</v>
      </c>
      <c r="X138">
        <f>IF($A138="","",Allocation!CE138)</f>
        <v>488050.48</v>
      </c>
      <c r="Y138">
        <f>IF($A138="","",Allocation!CF138)</f>
        <v>131722</v>
      </c>
      <c r="Z138">
        <f>IF($A138="","",Allocation!CG138)</f>
        <v>60800</v>
      </c>
      <c r="AA138">
        <f>IF($A138="","",Allocation!CH138)</f>
        <v>1113035.3</v>
      </c>
      <c r="AB138">
        <f>IF($A138="","",Allocation!CI138)</f>
        <v>2891983</v>
      </c>
      <c r="AC138">
        <f>IF($A138="","",IF(Allocation!$N$4="VOL_EFF",$G138,IF(Allocation!$N$4="VOL_CLASS",$H138,$I138)))</f>
        <v>3</v>
      </c>
      <c r="AD138">
        <f>IF($A138="","",IF(Allocation!$N$4="VOL_EFF",$L138,IF(Allocation!$N$4="VOL_CLASS",$M138,$N138)))</f>
        <v>15</v>
      </c>
      <c r="AE138">
        <f>IF($A138="","",IF(Allocation!$N$3="VOL_EFF",$L138,IF(Allocation!$N$3="VOL_CLASS",$M138,$N138)))</f>
        <v>354</v>
      </c>
      <c r="AF138">
        <f>IF($A138="","",IF(Allocation!$N$3="VOL_EFF",$Q138,IF(Allocation!$N$3="VOL_CLASS",$R138,$S138)))</f>
        <v>829</v>
      </c>
      <c r="AG138">
        <f>IF($A138="","",IF(Allocation!$N$1="VOL_EFF",$Q138,IF(Allocation!$N$1="VOL_CLASS",$R138,$S138)))</f>
        <v>35</v>
      </c>
      <c r="AH138">
        <f>IF($A138="","",IF(Allocation!$N$1="VOL_EFF",$T138,IF(Allocation!$N$1="VOL_CLASS",$U138,$V138)))</f>
        <v>135</v>
      </c>
      <c r="AI138">
        <f t="shared" si="12"/>
        <v>36218.8</v>
      </c>
      <c r="AJ138">
        <f t="shared" si="13"/>
        <v>97610.096</v>
      </c>
      <c r="AK138">
        <f t="shared" si="14"/>
        <v>25674.6271186441</v>
      </c>
      <c r="AL138">
        <f t="shared" si="15"/>
        <v>222607.06</v>
      </c>
      <c r="AM138">
        <f t="shared" si="16"/>
        <v>64033.7208953223</v>
      </c>
      <c r="AN138">
        <f t="shared" si="17"/>
        <v>79080.2104878327</v>
      </c>
      <c r="AO138">
        <f>IF($A138="","",Allocation!CJ138)</f>
        <v>676344</v>
      </c>
      <c r="AP138">
        <f>IF($A138="","",IF(Allocation!$N$2="VOL_EFF",$Q138,IF(Allocation!$N$2="VOL_CLASS",$R138,$S138)))</f>
        <v>6292550</v>
      </c>
      <c r="AQ138">
        <f>IF($A138="","",IF(Allocation!$N$2="VOL_EFF",$T138,IF(Allocation!$N$2="VOL_CLASS",$U138,$V138)))</f>
        <v>23098985</v>
      </c>
      <c r="AR138">
        <f t="shared" si="18"/>
        <v>15735.485498201</v>
      </c>
      <c r="AS138" t="str">
        <f>IF($A138="","",$A138&amp;"|"&amp;Allocation!BG138)</f>
        <v>2026|ACT</v>
      </c>
    </row>
    <row r="139" ht="14.497499999999997" customHeight="1">
      <c r="A139" t="str">
        <f>IF(Allocation!BI139="","",Allocation!BI139)</f>
        <v>2026</v>
      </c>
      <c r="B139" t="str">
        <f>IF(Allocation!BJ139="","",Allocation!BJ139)</f>
        <v>ISCOM_PAR</v>
      </c>
      <c r="C139" t="str">
        <f>IF(Allocation!BK139="","",Allocation!BK139)</f>
        <v>ISCOM</v>
      </c>
      <c r="D139" t="str">
        <f>IF(Allocation!BL139="","",Allocation!BL139)</f>
        <v>MAS_COM</v>
      </c>
      <c r="E139" t="str">
        <f>IF(Allocation!BM139="","",Allocation!BM139)</f>
        <v>M1</v>
      </c>
      <c r="F139" t="str">
        <f>IF(Allocation!BN139="","",Allocation!BN139)</f>
        <v>ALT</v>
      </c>
      <c r="G139">
        <f>IF(Allocation!BO139="","",Allocation!BO139)</f>
        <v>72</v>
      </c>
      <c r="H139">
        <f>IF(Allocation!BP139="","",Allocation!BP139)</f>
        <v>3</v>
      </c>
      <c r="I139">
        <f>IF(Allocation!BQ139="","",Allocation!BQ139)</f>
        <v>611280</v>
      </c>
      <c r="J139">
        <f>IF(Allocation!CC139="","",Allocation!CC139)</f>
        <v>72</v>
      </c>
      <c r="K139">
        <f t="shared" si="0"/>
        <v>1260</v>
      </c>
      <c r="L139">
        <f t="shared" si="1"/>
        <v>354</v>
      </c>
      <c r="M139">
        <f t="shared" si="2"/>
        <v>15</v>
      </c>
      <c r="N139">
        <f t="shared" si="3"/>
        <v>2908720</v>
      </c>
      <c r="O139">
        <f t="shared" si="4"/>
        <v>7200</v>
      </c>
      <c r="P139">
        <f t="shared" si="5"/>
        <v>144</v>
      </c>
      <c r="Q139">
        <f t="shared" si="6"/>
        <v>829</v>
      </c>
      <c r="R139">
        <f t="shared" si="7"/>
        <v>35</v>
      </c>
      <c r="S139">
        <f t="shared" si="8"/>
        <v>6292550</v>
      </c>
      <c r="T139">
        <f t="shared" si="9"/>
        <v>3114</v>
      </c>
      <c r="U139">
        <f t="shared" si="10"/>
        <v>135</v>
      </c>
      <c r="V139">
        <f t="shared" si="11"/>
        <v>23098985</v>
      </c>
      <c r="W139">
        <f>IF($A139="","",Allocation!CD139)</f>
        <v>181094</v>
      </c>
      <c r="X139">
        <f>IF($A139="","",Allocation!CE139)</f>
        <v>488050.48</v>
      </c>
      <c r="Y139">
        <f>IF($A139="","",Allocation!CF139)</f>
        <v>131722</v>
      </c>
      <c r="Z139">
        <f>IF($A139="","",Allocation!CG139)</f>
        <v>60800</v>
      </c>
      <c r="AA139">
        <f>IF($A139="","",Allocation!CH139)</f>
        <v>1113035.3</v>
      </c>
      <c r="AB139">
        <f>IF($A139="","",Allocation!CI139)</f>
        <v>2891983</v>
      </c>
      <c r="AC139">
        <f>IF($A139="","",IF(Allocation!$N$4="VOL_EFF",$G139,IF(Allocation!$N$4="VOL_CLASS",$H139,$I139)))</f>
        <v>3</v>
      </c>
      <c r="AD139">
        <f>IF($A139="","",IF(Allocation!$N$4="VOL_EFF",$L139,IF(Allocation!$N$4="VOL_CLASS",$M139,$N139)))</f>
        <v>15</v>
      </c>
      <c r="AE139">
        <f>IF($A139="","",IF(Allocation!$N$3="VOL_EFF",$L139,IF(Allocation!$N$3="VOL_CLASS",$M139,$N139)))</f>
        <v>354</v>
      </c>
      <c r="AF139">
        <f>IF($A139="","",IF(Allocation!$N$3="VOL_EFF",$Q139,IF(Allocation!$N$3="VOL_CLASS",$R139,$S139)))</f>
        <v>829</v>
      </c>
      <c r="AG139">
        <f>IF($A139="","",IF(Allocation!$N$1="VOL_EFF",$Q139,IF(Allocation!$N$1="VOL_CLASS",$R139,$S139)))</f>
        <v>35</v>
      </c>
      <c r="AH139">
        <f>IF($A139="","",IF(Allocation!$N$1="VOL_EFF",$T139,IF(Allocation!$N$1="VOL_CLASS",$U139,$V139)))</f>
        <v>135</v>
      </c>
      <c r="AI139">
        <f t="shared" si="12"/>
        <v>31691.45</v>
      </c>
      <c r="AJ139">
        <f t="shared" si="13"/>
        <v>85408.834</v>
      </c>
      <c r="AK139">
        <f t="shared" si="14"/>
        <v>57190.9152542373</v>
      </c>
      <c r="AL139">
        <f t="shared" si="15"/>
        <v>222607.06</v>
      </c>
      <c r="AM139">
        <f t="shared" si="16"/>
        <v>64033.7208953223</v>
      </c>
      <c r="AN139">
        <f t="shared" si="17"/>
        <v>134612.534352239</v>
      </c>
      <c r="AO139">
        <f>IF($A139="","",Allocation!CJ139)</f>
        <v>676344</v>
      </c>
      <c r="AP139">
        <f>IF($A139="","",IF(Allocation!$N$2="VOL_EFF",$Q139,IF(Allocation!$N$2="VOL_CLASS",$R139,$S139)))</f>
        <v>6292550</v>
      </c>
      <c r="AQ139">
        <f>IF($A139="","",IF(Allocation!$N$2="VOL_EFF",$T139,IF(Allocation!$N$2="VOL_CLASS",$U139,$V139)))</f>
        <v>23098985</v>
      </c>
      <c r="AR139">
        <f t="shared" si="18"/>
        <v>15735.485498201</v>
      </c>
      <c r="AS139" t="str">
        <f>IF($A139="","",$A139&amp;"|"&amp;Allocation!BG139)</f>
        <v>2026|ACT</v>
      </c>
    </row>
    <row r="140" ht="14.497499999999997" customHeight="1">
      <c r="A140" t="str">
        <f>IF(Allocation!BI140="","",Allocation!BI140)</f>
        <v>2026</v>
      </c>
      <c r="B140" t="str">
        <f>IF(Allocation!BJ140="","",Allocation!BJ140)</f>
        <v>ISCOM_PAR</v>
      </c>
      <c r="C140" t="str">
        <f>IF(Allocation!BK140="","",Allocation!BK140)</f>
        <v>ISCOM</v>
      </c>
      <c r="D140" t="str">
        <f>IF(Allocation!BL140="","",Allocation!BL140)</f>
        <v>MAS_COM</v>
      </c>
      <c r="E140" t="str">
        <f>IF(Allocation!BM140="","",Allocation!BM140)</f>
        <v>M2</v>
      </c>
      <c r="F140" t="str">
        <f>IF(Allocation!BN140="","",Allocation!BN140)</f>
        <v>ALT</v>
      </c>
      <c r="G140">
        <f>IF(Allocation!BO140="","",Allocation!BO140)</f>
        <v>71</v>
      </c>
      <c r="H140">
        <f>IF(Allocation!BP140="","",Allocation!BP140)</f>
        <v>3</v>
      </c>
      <c r="I140">
        <f>IF(Allocation!BQ140="","",Allocation!BQ140)</f>
        <v>596400</v>
      </c>
      <c r="J140">
        <f>IF(Allocation!CC140="","",Allocation!CC140)</f>
        <v>0</v>
      </c>
      <c r="K140">
        <f t="shared" si="0"/>
        <v>1260</v>
      </c>
      <c r="L140">
        <f t="shared" si="1"/>
        <v>354</v>
      </c>
      <c r="M140">
        <f t="shared" si="2"/>
        <v>15</v>
      </c>
      <c r="N140">
        <f t="shared" si="3"/>
        <v>2908720</v>
      </c>
      <c r="O140">
        <f t="shared" si="4"/>
        <v>7200</v>
      </c>
      <c r="P140">
        <f t="shared" si="5"/>
        <v>144</v>
      </c>
      <c r="Q140">
        <f t="shared" si="6"/>
        <v>829</v>
      </c>
      <c r="R140">
        <f t="shared" si="7"/>
        <v>35</v>
      </c>
      <c r="S140">
        <f t="shared" si="8"/>
        <v>6292550</v>
      </c>
      <c r="T140">
        <f t="shared" si="9"/>
        <v>3114</v>
      </c>
      <c r="U140">
        <f t="shared" si="10"/>
        <v>135</v>
      </c>
      <c r="V140">
        <f t="shared" si="11"/>
        <v>23098985</v>
      </c>
      <c r="W140">
        <f>IF($A140="","",Allocation!CD140)</f>
        <v>181094</v>
      </c>
      <c r="X140">
        <f>IF($A140="","",Allocation!CE140)</f>
        <v>488050.48</v>
      </c>
      <c r="Y140">
        <f>IF($A140="","",Allocation!CF140)</f>
        <v>131722</v>
      </c>
      <c r="Z140">
        <f>IF($A140="","",Allocation!CG140)</f>
        <v>60800</v>
      </c>
      <c r="AA140">
        <f>IF($A140="","",Allocation!CH140)</f>
        <v>1113035.3</v>
      </c>
      <c r="AB140">
        <f>IF($A140="","",Allocation!CI140)</f>
        <v>2891983</v>
      </c>
      <c r="AC140">
        <f>IF($A140="","",IF(Allocation!$N$4="VOL_EFF",$G140,IF(Allocation!$N$4="VOL_CLASS",$H140,$I140)))</f>
        <v>3</v>
      </c>
      <c r="AD140">
        <f>IF($A140="","",IF(Allocation!$N$4="VOL_EFF",$L140,IF(Allocation!$N$4="VOL_CLASS",$M140,$N140)))</f>
        <v>15</v>
      </c>
      <c r="AE140">
        <f>IF($A140="","",IF(Allocation!$N$3="VOL_EFF",$L140,IF(Allocation!$N$3="VOL_CLASS",$M140,$N140)))</f>
        <v>354</v>
      </c>
      <c r="AF140">
        <f>IF($A140="","",IF(Allocation!$N$3="VOL_EFF",$Q140,IF(Allocation!$N$3="VOL_CLASS",$R140,$S140)))</f>
        <v>829</v>
      </c>
      <c r="AG140">
        <f>IF($A140="","",IF(Allocation!$N$1="VOL_EFF",$Q140,IF(Allocation!$N$1="VOL_CLASS",$R140,$S140)))</f>
        <v>35</v>
      </c>
      <c r="AH140">
        <f>IF($A140="","",IF(Allocation!$N$1="VOL_EFF",$T140,IF(Allocation!$N$1="VOL_CLASS",$U140,$V140)))</f>
        <v>135</v>
      </c>
      <c r="AI140">
        <f t="shared" si="12"/>
        <v>31691.45</v>
      </c>
      <c r="AJ140">
        <f t="shared" si="13"/>
        <v>85408.834</v>
      </c>
      <c r="AK140">
        <f t="shared" si="14"/>
        <v>26418.8192090395</v>
      </c>
      <c r="AL140">
        <f t="shared" si="15"/>
        <v>222607.06</v>
      </c>
      <c r="AM140">
        <f t="shared" si="16"/>
        <v>64033.7208953223</v>
      </c>
      <c r="AN140">
        <f t="shared" si="17"/>
        <v>150504.630397437</v>
      </c>
      <c r="AO140">
        <f>IF($A140="","",Allocation!CJ140)</f>
        <v>676344</v>
      </c>
      <c r="AP140">
        <f>IF($A140="","",IF(Allocation!$N$2="VOL_EFF",$Q140,IF(Allocation!$N$2="VOL_CLASS",$R140,$S140)))</f>
        <v>6292550</v>
      </c>
      <c r="AQ140">
        <f>IF($A140="","",IF(Allocation!$N$2="VOL_EFF",$T140,IF(Allocation!$N$2="VOL_CLASS",$U140,$V140)))</f>
        <v>23098985</v>
      </c>
      <c r="AR140">
        <f t="shared" si="18"/>
        <v>15735.485498201</v>
      </c>
      <c r="AS140" t="str">
        <f>IF($A140="","",$A140&amp;"|"&amp;Allocation!BG140)</f>
        <v>2026|ACT</v>
      </c>
    </row>
    <row r="141" ht="14.497499999999997" customHeight="1">
      <c r="A141" t="str">
        <f>IF(Allocation!BI141="","",Allocation!BI141)</f>
        <v>2026</v>
      </c>
      <c r="B141" t="str">
        <f>IF(Allocation!BJ141="","",Allocation!BJ141)</f>
        <v>ISCOM_TLS</v>
      </c>
      <c r="C141" t="str">
        <f>IF(Allocation!BK141="","",Allocation!BK141)</f>
        <v>ISCOM</v>
      </c>
      <c r="D141" t="str">
        <f>IF(Allocation!BL141="","",Allocation!BL141)</f>
        <v>BAC_COM</v>
      </c>
      <c r="E141" t="str">
        <f>IF(Allocation!BM141="","",Allocation!BM141)</f>
        <v>B1</v>
      </c>
      <c r="F141" t="str">
        <f>IF(Allocation!BN141="","",Allocation!BN141)</f>
        <v>INIT</v>
      </c>
      <c r="G141">
        <f>IF(Allocation!BO141="","",Allocation!BO141)</f>
        <v>47</v>
      </c>
      <c r="H141">
        <f>IF(Allocation!BP141="","",Allocation!BP141)</f>
        <v>2</v>
      </c>
      <c r="I141">
        <f>IF(Allocation!BQ141="","",Allocation!BQ141)</f>
        <v>342630</v>
      </c>
      <c r="J141">
        <f>IF(Allocation!CC141="","",Allocation!CC141)</f>
        <v>47</v>
      </c>
      <c r="K141">
        <f t="shared" si="0"/>
        <v>1200</v>
      </c>
      <c r="L141">
        <f t="shared" si="1"/>
        <v>231</v>
      </c>
      <c r="M141">
        <f t="shared" si="2"/>
        <v>10</v>
      </c>
      <c r="N141">
        <f t="shared" si="3"/>
        <v>1627980</v>
      </c>
      <c r="O141">
        <f t="shared" si="4"/>
        <v>4800</v>
      </c>
      <c r="P141">
        <f t="shared" si="5"/>
        <v>94</v>
      </c>
      <c r="Q141">
        <f t="shared" si="6"/>
        <v>829</v>
      </c>
      <c r="R141">
        <f t="shared" si="7"/>
        <v>35</v>
      </c>
      <c r="S141">
        <f t="shared" si="8"/>
        <v>6292550</v>
      </c>
      <c r="T141">
        <f t="shared" si="9"/>
        <v>3114</v>
      </c>
      <c r="U141">
        <f t="shared" si="10"/>
        <v>135</v>
      </c>
      <c r="V141">
        <f t="shared" si="11"/>
        <v>23098985</v>
      </c>
      <c r="W141">
        <f>IF($A141="","",Allocation!CD141)</f>
        <v>120729</v>
      </c>
      <c r="X141">
        <f>IF($A141="","",Allocation!CE141)</f>
        <v>267683.87</v>
      </c>
      <c r="Y141">
        <f>IF($A141="","",Allocation!CF141)</f>
        <v>85954</v>
      </c>
      <c r="Z141">
        <f>IF($A141="","",Allocation!CG141)</f>
        <v>22083</v>
      </c>
      <c r="AA141">
        <f>IF($A141="","",Allocation!CH141)</f>
        <v>601876.41</v>
      </c>
      <c r="AB141">
        <f>IF($A141="","",Allocation!CI141)</f>
        <v>2891983</v>
      </c>
      <c r="AC141">
        <f>IF($A141="","",IF(Allocation!$N$4="VOL_EFF",$G141,IF(Allocation!$N$4="VOL_CLASS",$H141,$I141)))</f>
        <v>2</v>
      </c>
      <c r="AD141">
        <f>IF($A141="","",IF(Allocation!$N$4="VOL_EFF",$L141,IF(Allocation!$N$4="VOL_CLASS",$M141,$N141)))</f>
        <v>10</v>
      </c>
      <c r="AE141">
        <f>IF($A141="","",IF(Allocation!$N$3="VOL_EFF",$L141,IF(Allocation!$N$3="VOL_CLASS",$M141,$N141)))</f>
        <v>231</v>
      </c>
      <c r="AF141">
        <f>IF($A141="","",IF(Allocation!$N$3="VOL_EFF",$Q141,IF(Allocation!$N$3="VOL_CLASS",$R141,$S141)))</f>
        <v>829</v>
      </c>
      <c r="AG141">
        <f>IF($A141="","",IF(Allocation!$N$1="VOL_EFF",$Q141,IF(Allocation!$N$1="VOL_CLASS",$R141,$S141)))</f>
        <v>35</v>
      </c>
      <c r="AH141">
        <f>IF($A141="","",IF(Allocation!$N$1="VOL_EFF",$T141,IF(Allocation!$N$1="VOL_CLASS",$U141,$V141)))</f>
        <v>135</v>
      </c>
      <c r="AI141">
        <f t="shared" si="12"/>
        <v>30182.25</v>
      </c>
      <c r="AJ141">
        <f t="shared" si="13"/>
        <v>66920.9675</v>
      </c>
      <c r="AK141">
        <f t="shared" si="14"/>
        <v>28529.9761904762</v>
      </c>
      <c r="AL141">
        <f t="shared" si="15"/>
        <v>120375.282</v>
      </c>
      <c r="AM141">
        <f t="shared" si="16"/>
        <v>41784.7161774561</v>
      </c>
      <c r="AN141">
        <f t="shared" si="17"/>
        <v>44568.7370866314</v>
      </c>
      <c r="AO141">
        <f>IF($A141="","",Allocation!CJ141)</f>
        <v>676344</v>
      </c>
      <c r="AP141">
        <f>IF($A141="","",IF(Allocation!$N$2="VOL_EFF",$Q141,IF(Allocation!$N$2="VOL_CLASS",$R141,$S141)))</f>
        <v>6292550</v>
      </c>
      <c r="AQ141">
        <f>IF($A141="","",IF(Allocation!$N$2="VOL_EFF",$T141,IF(Allocation!$N$2="VOL_CLASS",$U141,$V141)))</f>
        <v>23098985</v>
      </c>
      <c r="AR141">
        <f t="shared" si="18"/>
        <v>10268.0710454363</v>
      </c>
      <c r="AS141" t="str">
        <f>IF($A141="","",$A141&amp;"|"&amp;Allocation!BG141)</f>
        <v>2026|ACT</v>
      </c>
    </row>
    <row r="142" ht="14.497499999999997" customHeight="1">
      <c r="A142" t="str">
        <f>IF(Allocation!BI142="","",Allocation!BI142)</f>
        <v>2026</v>
      </c>
      <c r="B142" t="str">
        <f>IF(Allocation!BJ142="","",Allocation!BJ142)</f>
        <v>ISCOM_TLS</v>
      </c>
      <c r="C142" t="str">
        <f>IF(Allocation!BK142="","",Allocation!BK142)</f>
        <v>ISCOM</v>
      </c>
      <c r="D142" t="str">
        <f>IF(Allocation!BL142="","",Allocation!BL142)</f>
        <v>BAC_COM</v>
      </c>
      <c r="E142" t="str">
        <f>IF(Allocation!BM142="","",Allocation!BM142)</f>
        <v>B2</v>
      </c>
      <c r="F142" t="str">
        <f>IF(Allocation!BN142="","",Allocation!BN142)</f>
        <v>ALT</v>
      </c>
      <c r="G142">
        <f>IF(Allocation!BO142="","",Allocation!BO142)</f>
        <v>46</v>
      </c>
      <c r="H142">
        <f>IF(Allocation!BP142="","",Allocation!BP142)</f>
        <v>2</v>
      </c>
      <c r="I142">
        <f>IF(Allocation!BQ142="","",Allocation!BQ142)</f>
        <v>309120</v>
      </c>
      <c r="J142">
        <f>IF(Allocation!CC142="","",Allocation!CC142)</f>
        <v>0</v>
      </c>
      <c r="K142">
        <f t="shared" si="0"/>
        <v>960</v>
      </c>
      <c r="L142">
        <f t="shared" si="1"/>
        <v>231</v>
      </c>
      <c r="M142">
        <f t="shared" si="2"/>
        <v>10</v>
      </c>
      <c r="N142">
        <f t="shared" si="3"/>
        <v>1627980</v>
      </c>
      <c r="O142">
        <f t="shared" si="4"/>
        <v>4800</v>
      </c>
      <c r="P142">
        <f t="shared" si="5"/>
        <v>94</v>
      </c>
      <c r="Q142">
        <f t="shared" si="6"/>
        <v>829</v>
      </c>
      <c r="R142">
        <f t="shared" si="7"/>
        <v>35</v>
      </c>
      <c r="S142">
        <f t="shared" si="8"/>
        <v>6292550</v>
      </c>
      <c r="T142">
        <f t="shared" si="9"/>
        <v>3114</v>
      </c>
      <c r="U142">
        <f t="shared" si="10"/>
        <v>135</v>
      </c>
      <c r="V142">
        <f t="shared" si="11"/>
        <v>23098985</v>
      </c>
      <c r="W142">
        <f>IF($A142="","",Allocation!CD142)</f>
        <v>120729</v>
      </c>
      <c r="X142">
        <f>IF($A142="","",Allocation!CE142)</f>
        <v>267683.87</v>
      </c>
      <c r="Y142">
        <f>IF($A142="","",Allocation!CF142)</f>
        <v>85954</v>
      </c>
      <c r="Z142">
        <f>IF($A142="","",Allocation!CG142)</f>
        <v>22083</v>
      </c>
      <c r="AA142">
        <f>IF($A142="","",Allocation!CH142)</f>
        <v>601876.41</v>
      </c>
      <c r="AB142">
        <f>IF($A142="","",Allocation!CI142)</f>
        <v>2891983</v>
      </c>
      <c r="AC142">
        <f>IF($A142="","",IF(Allocation!$N$4="VOL_EFF",$G142,IF(Allocation!$N$4="VOL_CLASS",$H142,$I142)))</f>
        <v>2</v>
      </c>
      <c r="AD142">
        <f>IF($A142="","",IF(Allocation!$N$4="VOL_EFF",$L142,IF(Allocation!$N$4="VOL_CLASS",$M142,$N142)))</f>
        <v>10</v>
      </c>
      <c r="AE142">
        <f>IF($A142="","",IF(Allocation!$N$3="VOL_EFF",$L142,IF(Allocation!$N$3="VOL_CLASS",$M142,$N142)))</f>
        <v>231</v>
      </c>
      <c r="AF142">
        <f>IF($A142="","",IF(Allocation!$N$3="VOL_EFF",$Q142,IF(Allocation!$N$3="VOL_CLASS",$R142,$S142)))</f>
        <v>829</v>
      </c>
      <c r="AG142">
        <f>IF($A142="","",IF(Allocation!$N$1="VOL_EFF",$Q142,IF(Allocation!$N$1="VOL_CLASS",$R142,$S142)))</f>
        <v>35</v>
      </c>
      <c r="AH142">
        <f>IF($A142="","",IF(Allocation!$N$1="VOL_EFF",$T142,IF(Allocation!$N$1="VOL_CLASS",$U142,$V142)))</f>
        <v>135</v>
      </c>
      <c r="AI142">
        <f t="shared" si="12"/>
        <v>24145.8</v>
      </c>
      <c r="AJ142">
        <f t="shared" si="13"/>
        <v>53536.774</v>
      </c>
      <c r="AK142">
        <f t="shared" si="14"/>
        <v>17116.380952381</v>
      </c>
      <c r="AL142">
        <f t="shared" si="15"/>
        <v>120375.282</v>
      </c>
      <c r="AM142">
        <f t="shared" si="16"/>
        <v>41784.7161774561</v>
      </c>
      <c r="AN142">
        <f t="shared" si="17"/>
        <v>41892.9758247266</v>
      </c>
      <c r="AO142">
        <f>IF($A142="","",Allocation!CJ142)</f>
        <v>676344</v>
      </c>
      <c r="AP142">
        <f>IF($A142="","",IF(Allocation!$N$2="VOL_EFF",$Q142,IF(Allocation!$N$2="VOL_CLASS",$R142,$S142)))</f>
        <v>6292550</v>
      </c>
      <c r="AQ142">
        <f>IF($A142="","",IF(Allocation!$N$2="VOL_EFF",$T142,IF(Allocation!$N$2="VOL_CLASS",$U142,$V142)))</f>
        <v>23098985</v>
      </c>
      <c r="AR142">
        <f t="shared" si="18"/>
        <v>10268.0710454363</v>
      </c>
      <c r="AS142" t="str">
        <f>IF($A142="","",$A142&amp;"|"&amp;Allocation!BG142)</f>
        <v>2026|ACT</v>
      </c>
    </row>
    <row r="143" ht="14.497499999999997" customHeight="1">
      <c r="A143" t="str">
        <f>IF(Allocation!BI143="","",Allocation!BI143)</f>
        <v>2026</v>
      </c>
      <c r="B143" t="str">
        <f>IF(Allocation!BJ143="","",Allocation!BJ143)</f>
        <v>ISCOM_TLS</v>
      </c>
      <c r="C143" t="str">
        <f>IF(Allocation!BK143="","",Allocation!BK143)</f>
        <v>ISCOM</v>
      </c>
      <c r="D143" t="str">
        <f>IF(Allocation!BL143="","",Allocation!BL143)</f>
        <v>BAC_COM</v>
      </c>
      <c r="E143" t="str">
        <f>IF(Allocation!BM143="","",Allocation!BM143)</f>
        <v>B3</v>
      </c>
      <c r="F143" t="str">
        <f>IF(Allocation!BN143="","",Allocation!BN143)</f>
        <v>ALT</v>
      </c>
      <c r="G143">
        <f>IF(Allocation!BO143="","",Allocation!BO143)</f>
        <v>45</v>
      </c>
      <c r="H143">
        <f>IF(Allocation!BP143="","",Allocation!BP143)</f>
        <v>2</v>
      </c>
      <c r="I143">
        <f>IF(Allocation!BQ143="","",Allocation!BQ143)</f>
        <v>302400</v>
      </c>
      <c r="J143">
        <f>IF(Allocation!CC143="","",Allocation!CC143)</f>
        <v>0</v>
      </c>
      <c r="K143">
        <f t="shared" si="0"/>
        <v>960</v>
      </c>
      <c r="L143">
        <f t="shared" si="1"/>
        <v>231</v>
      </c>
      <c r="M143">
        <f t="shared" si="2"/>
        <v>10</v>
      </c>
      <c r="N143">
        <f t="shared" si="3"/>
        <v>1627980</v>
      </c>
      <c r="O143">
        <f t="shared" si="4"/>
        <v>4800</v>
      </c>
      <c r="P143">
        <f t="shared" si="5"/>
        <v>94</v>
      </c>
      <c r="Q143">
        <f t="shared" si="6"/>
        <v>829</v>
      </c>
      <c r="R143">
        <f t="shared" si="7"/>
        <v>35</v>
      </c>
      <c r="S143">
        <f t="shared" si="8"/>
        <v>6292550</v>
      </c>
      <c r="T143">
        <f t="shared" si="9"/>
        <v>3114</v>
      </c>
      <c r="U143">
        <f t="shared" si="10"/>
        <v>135</v>
      </c>
      <c r="V143">
        <f t="shared" si="11"/>
        <v>23098985</v>
      </c>
      <c r="W143">
        <f>IF($A143="","",Allocation!CD143)</f>
        <v>120729</v>
      </c>
      <c r="X143">
        <f>IF($A143="","",Allocation!CE143)</f>
        <v>267683.87</v>
      </c>
      <c r="Y143">
        <f>IF($A143="","",Allocation!CF143)</f>
        <v>85954</v>
      </c>
      <c r="Z143">
        <f>IF($A143="","",Allocation!CG143)</f>
        <v>22083</v>
      </c>
      <c r="AA143">
        <f>IF($A143="","",Allocation!CH143)</f>
        <v>601876.41</v>
      </c>
      <c r="AB143">
        <f>IF($A143="","",Allocation!CI143)</f>
        <v>2891983</v>
      </c>
      <c r="AC143">
        <f>IF($A143="","",IF(Allocation!$N$4="VOL_EFF",$G143,IF(Allocation!$N$4="VOL_CLASS",$H143,$I143)))</f>
        <v>2</v>
      </c>
      <c r="AD143">
        <f>IF($A143="","",IF(Allocation!$N$4="VOL_EFF",$L143,IF(Allocation!$N$4="VOL_CLASS",$M143,$N143)))</f>
        <v>10</v>
      </c>
      <c r="AE143">
        <f>IF($A143="","",IF(Allocation!$N$3="VOL_EFF",$L143,IF(Allocation!$N$3="VOL_CLASS",$M143,$N143)))</f>
        <v>231</v>
      </c>
      <c r="AF143">
        <f>IF($A143="","",IF(Allocation!$N$3="VOL_EFF",$Q143,IF(Allocation!$N$3="VOL_CLASS",$R143,$S143)))</f>
        <v>829</v>
      </c>
      <c r="AG143">
        <f>IF($A143="","",IF(Allocation!$N$1="VOL_EFF",$Q143,IF(Allocation!$N$1="VOL_CLASS",$R143,$S143)))</f>
        <v>35</v>
      </c>
      <c r="AH143">
        <f>IF($A143="","",IF(Allocation!$N$1="VOL_EFF",$T143,IF(Allocation!$N$1="VOL_CLASS",$U143,$V143)))</f>
        <v>135</v>
      </c>
      <c r="AI143">
        <f t="shared" si="12"/>
        <v>24145.8</v>
      </c>
      <c r="AJ143">
        <f t="shared" si="13"/>
        <v>53536.774</v>
      </c>
      <c r="AK143">
        <f t="shared" si="14"/>
        <v>16744.2857142857</v>
      </c>
      <c r="AL143">
        <f t="shared" si="15"/>
        <v>120375.282</v>
      </c>
      <c r="AM143">
        <f t="shared" si="16"/>
        <v>41784.7161774561</v>
      </c>
      <c r="AN143">
        <f t="shared" si="17"/>
        <v>35545.0710628219</v>
      </c>
      <c r="AO143">
        <f>IF($A143="","",Allocation!CJ143)</f>
        <v>676344</v>
      </c>
      <c r="AP143">
        <f>IF($A143="","",IF(Allocation!$N$2="VOL_EFF",$Q143,IF(Allocation!$N$2="VOL_CLASS",$R143,$S143)))</f>
        <v>6292550</v>
      </c>
      <c r="AQ143">
        <f>IF($A143="","",IF(Allocation!$N$2="VOL_EFF",$T143,IF(Allocation!$N$2="VOL_CLASS",$U143,$V143)))</f>
        <v>23098985</v>
      </c>
      <c r="AR143">
        <f t="shared" si="18"/>
        <v>10268.0710454363</v>
      </c>
      <c r="AS143" t="str">
        <f>IF($A143="","",$A143&amp;"|"&amp;Allocation!BG143)</f>
        <v>2026|ACT</v>
      </c>
    </row>
    <row r="144" ht="14.497499999999997" customHeight="1">
      <c r="A144" t="str">
        <f>IF(Allocation!BI144="","",Allocation!BI144)</f>
        <v>2026</v>
      </c>
      <c r="B144" t="str">
        <f>IF(Allocation!BJ144="","",Allocation!BJ144)</f>
        <v>ISCOM_TLS</v>
      </c>
      <c r="C144" t="str">
        <f>IF(Allocation!BK144="","",Allocation!BK144)</f>
        <v>ISCOM</v>
      </c>
      <c r="D144" t="str">
        <f>IF(Allocation!BL144="","",Allocation!BL144)</f>
        <v>MAS_COM</v>
      </c>
      <c r="E144" t="str">
        <f>IF(Allocation!BM144="","",Allocation!BM144)</f>
        <v>M1</v>
      </c>
      <c r="F144" t="str">
        <f>IF(Allocation!BN144="","",Allocation!BN144)</f>
        <v>ALT</v>
      </c>
      <c r="G144">
        <f>IF(Allocation!BO144="","",Allocation!BO144)</f>
        <v>47</v>
      </c>
      <c r="H144">
        <f>IF(Allocation!BP144="","",Allocation!BP144)</f>
        <v>2</v>
      </c>
      <c r="I144">
        <f>IF(Allocation!BQ144="","",Allocation!BQ144)</f>
        <v>342630</v>
      </c>
      <c r="J144">
        <f>IF(Allocation!CC144="","",Allocation!CC144)</f>
        <v>47</v>
      </c>
      <c r="K144">
        <f t="shared" si="0"/>
        <v>840</v>
      </c>
      <c r="L144">
        <f t="shared" si="1"/>
        <v>231</v>
      </c>
      <c r="M144">
        <f t="shared" si="2"/>
        <v>10</v>
      </c>
      <c r="N144">
        <f t="shared" si="3"/>
        <v>1627980</v>
      </c>
      <c r="O144">
        <f t="shared" si="4"/>
        <v>4800</v>
      </c>
      <c r="P144">
        <f t="shared" si="5"/>
        <v>94</v>
      </c>
      <c r="Q144">
        <f t="shared" si="6"/>
        <v>829</v>
      </c>
      <c r="R144">
        <f t="shared" si="7"/>
        <v>35</v>
      </c>
      <c r="S144">
        <f t="shared" si="8"/>
        <v>6292550</v>
      </c>
      <c r="T144">
        <f t="shared" si="9"/>
        <v>3114</v>
      </c>
      <c r="U144">
        <f t="shared" si="10"/>
        <v>135</v>
      </c>
      <c r="V144">
        <f t="shared" si="11"/>
        <v>23098985</v>
      </c>
      <c r="W144">
        <f>IF($A144="","",Allocation!CD144)</f>
        <v>120729</v>
      </c>
      <c r="X144">
        <f>IF($A144="","",Allocation!CE144)</f>
        <v>267683.87</v>
      </c>
      <c r="Y144">
        <f>IF($A144="","",Allocation!CF144)</f>
        <v>85954</v>
      </c>
      <c r="Z144">
        <f>IF($A144="","",Allocation!CG144)</f>
        <v>22083</v>
      </c>
      <c r="AA144">
        <f>IF($A144="","",Allocation!CH144)</f>
        <v>601876.41</v>
      </c>
      <c r="AB144">
        <f>IF($A144="","",Allocation!CI144)</f>
        <v>2891983</v>
      </c>
      <c r="AC144">
        <f>IF($A144="","",IF(Allocation!$N$4="VOL_EFF",$G144,IF(Allocation!$N$4="VOL_CLASS",$H144,$I144)))</f>
        <v>2</v>
      </c>
      <c r="AD144">
        <f>IF($A144="","",IF(Allocation!$N$4="VOL_EFF",$L144,IF(Allocation!$N$4="VOL_CLASS",$M144,$N144)))</f>
        <v>10</v>
      </c>
      <c r="AE144">
        <f>IF($A144="","",IF(Allocation!$N$3="VOL_EFF",$L144,IF(Allocation!$N$3="VOL_CLASS",$M144,$N144)))</f>
        <v>231</v>
      </c>
      <c r="AF144">
        <f>IF($A144="","",IF(Allocation!$N$3="VOL_EFF",$Q144,IF(Allocation!$N$3="VOL_CLASS",$R144,$S144)))</f>
        <v>829</v>
      </c>
      <c r="AG144">
        <f>IF($A144="","",IF(Allocation!$N$1="VOL_EFF",$Q144,IF(Allocation!$N$1="VOL_CLASS",$R144,$S144)))</f>
        <v>35</v>
      </c>
      <c r="AH144">
        <f>IF($A144="","",IF(Allocation!$N$1="VOL_EFF",$T144,IF(Allocation!$N$1="VOL_CLASS",$U144,$V144)))</f>
        <v>135</v>
      </c>
      <c r="AI144">
        <f t="shared" si="12"/>
        <v>21127.575</v>
      </c>
      <c r="AJ144">
        <f t="shared" si="13"/>
        <v>46844.67725</v>
      </c>
      <c r="AK144">
        <f t="shared" si="14"/>
        <v>28529.9761904762</v>
      </c>
      <c r="AL144">
        <f t="shared" si="15"/>
        <v>120375.282</v>
      </c>
      <c r="AM144">
        <f t="shared" si="16"/>
        <v>41784.7161774561</v>
      </c>
      <c r="AN144">
        <f t="shared" si="17"/>
        <v>73699.7023366314</v>
      </c>
      <c r="AO144">
        <f>IF($A144="","",Allocation!CJ144)</f>
        <v>676344</v>
      </c>
      <c r="AP144">
        <f>IF($A144="","",IF(Allocation!$N$2="VOL_EFF",$Q144,IF(Allocation!$N$2="VOL_CLASS",$R144,$S144)))</f>
        <v>6292550</v>
      </c>
      <c r="AQ144">
        <f>IF($A144="","",IF(Allocation!$N$2="VOL_EFF",$T144,IF(Allocation!$N$2="VOL_CLASS",$U144,$V144)))</f>
        <v>23098985</v>
      </c>
      <c r="AR144">
        <f t="shared" si="18"/>
        <v>10268.0710454363</v>
      </c>
      <c r="AS144" t="str">
        <f>IF($A144="","",$A144&amp;"|"&amp;Allocation!BG144)</f>
        <v>2026|ACT</v>
      </c>
    </row>
    <row r="145" ht="14.497499999999997" customHeight="1">
      <c r="A145" t="str">
        <f>IF(Allocation!BI145="","",Allocation!BI145)</f>
        <v>2026</v>
      </c>
      <c r="B145" t="str">
        <f>IF(Allocation!BJ145="","",Allocation!BJ145)</f>
        <v>ISCOM_TLS</v>
      </c>
      <c r="C145" t="str">
        <f>IF(Allocation!BK145="","",Allocation!BK145)</f>
        <v>ISCOM</v>
      </c>
      <c r="D145" t="str">
        <f>IF(Allocation!BL145="","",Allocation!BL145)</f>
        <v>MAS_COM</v>
      </c>
      <c r="E145" t="str">
        <f>IF(Allocation!BM145="","",Allocation!BM145)</f>
        <v>M2</v>
      </c>
      <c r="F145" t="str">
        <f>IF(Allocation!BN145="","",Allocation!BN145)</f>
        <v>ALT</v>
      </c>
      <c r="G145">
        <f>IF(Allocation!BO145="","",Allocation!BO145)</f>
        <v>46</v>
      </c>
      <c r="H145">
        <f>IF(Allocation!BP145="","",Allocation!BP145)</f>
        <v>2</v>
      </c>
      <c r="I145">
        <f>IF(Allocation!BQ145="","",Allocation!BQ145)</f>
        <v>331200</v>
      </c>
      <c r="J145">
        <f>IF(Allocation!CC145="","",Allocation!CC145)</f>
        <v>0</v>
      </c>
      <c r="K145">
        <f t="shared" si="0"/>
        <v>840</v>
      </c>
      <c r="L145">
        <f t="shared" si="1"/>
        <v>231</v>
      </c>
      <c r="M145">
        <f t="shared" si="2"/>
        <v>10</v>
      </c>
      <c r="N145">
        <f t="shared" si="3"/>
        <v>1627980</v>
      </c>
      <c r="O145">
        <f t="shared" si="4"/>
        <v>4800</v>
      </c>
      <c r="P145">
        <f t="shared" si="5"/>
        <v>94</v>
      </c>
      <c r="Q145">
        <f t="shared" si="6"/>
        <v>829</v>
      </c>
      <c r="R145">
        <f t="shared" si="7"/>
        <v>35</v>
      </c>
      <c r="S145">
        <f t="shared" si="8"/>
        <v>6292550</v>
      </c>
      <c r="T145">
        <f t="shared" si="9"/>
        <v>3114</v>
      </c>
      <c r="U145">
        <f t="shared" si="10"/>
        <v>135</v>
      </c>
      <c r="V145">
        <f t="shared" si="11"/>
        <v>23098985</v>
      </c>
      <c r="W145">
        <f>IF($A145="","",Allocation!CD145)</f>
        <v>120729</v>
      </c>
      <c r="X145">
        <f>IF($A145="","",Allocation!CE145)</f>
        <v>267683.87</v>
      </c>
      <c r="Y145">
        <f>IF($A145="","",Allocation!CF145)</f>
        <v>85954</v>
      </c>
      <c r="Z145">
        <f>IF($A145="","",Allocation!CG145)</f>
        <v>22083</v>
      </c>
      <c r="AA145">
        <f>IF($A145="","",Allocation!CH145)</f>
        <v>601876.41</v>
      </c>
      <c r="AB145">
        <f>IF($A145="","",Allocation!CI145)</f>
        <v>2891983</v>
      </c>
      <c r="AC145">
        <f>IF($A145="","",IF(Allocation!$N$4="VOL_EFF",$G145,IF(Allocation!$N$4="VOL_CLASS",$H145,$I145)))</f>
        <v>2</v>
      </c>
      <c r="AD145">
        <f>IF($A145="","",IF(Allocation!$N$4="VOL_EFF",$L145,IF(Allocation!$N$4="VOL_CLASS",$M145,$N145)))</f>
        <v>10</v>
      </c>
      <c r="AE145">
        <f>IF($A145="","",IF(Allocation!$N$3="VOL_EFF",$L145,IF(Allocation!$N$3="VOL_CLASS",$M145,$N145)))</f>
        <v>231</v>
      </c>
      <c r="AF145">
        <f>IF($A145="","",IF(Allocation!$N$3="VOL_EFF",$Q145,IF(Allocation!$N$3="VOL_CLASS",$R145,$S145)))</f>
        <v>829</v>
      </c>
      <c r="AG145">
        <f>IF($A145="","",IF(Allocation!$N$1="VOL_EFF",$Q145,IF(Allocation!$N$1="VOL_CLASS",$R145,$S145)))</f>
        <v>35</v>
      </c>
      <c r="AH145">
        <f>IF($A145="","",IF(Allocation!$N$1="VOL_EFF",$T145,IF(Allocation!$N$1="VOL_CLASS",$U145,$V145)))</f>
        <v>135</v>
      </c>
      <c r="AI145">
        <f t="shared" si="12"/>
        <v>21127.575</v>
      </c>
      <c r="AJ145">
        <f t="shared" si="13"/>
        <v>46844.67725</v>
      </c>
      <c r="AK145">
        <f t="shared" si="14"/>
        <v>17116.380952381</v>
      </c>
      <c r="AL145">
        <f t="shared" si="15"/>
        <v>120375.282</v>
      </c>
      <c r="AM145">
        <f t="shared" si="16"/>
        <v>41784.7161774561</v>
      </c>
      <c r="AN145">
        <f t="shared" si="17"/>
        <v>73683.2975747266</v>
      </c>
      <c r="AO145">
        <f>IF($A145="","",Allocation!CJ145)</f>
        <v>676344</v>
      </c>
      <c r="AP145">
        <f>IF($A145="","",IF(Allocation!$N$2="VOL_EFF",$Q145,IF(Allocation!$N$2="VOL_CLASS",$R145,$S145)))</f>
        <v>6292550</v>
      </c>
      <c r="AQ145">
        <f>IF($A145="","",IF(Allocation!$N$2="VOL_EFF",$T145,IF(Allocation!$N$2="VOL_CLASS",$U145,$V145)))</f>
        <v>23098985</v>
      </c>
      <c r="AR145">
        <f t="shared" si="18"/>
        <v>10268.0710454363</v>
      </c>
      <c r="AS145" t="str">
        <f>IF($A145="","",$A145&amp;"|"&amp;Allocation!BG145)</f>
        <v>2026|ACT</v>
      </c>
    </row>
    <row r="146" ht="14.497499999999997" customHeight="1">
      <c r="A146" t="str">
        <f>IF(Allocation!BI146="","",Allocation!BI146)</f>
        <v>2026</v>
      </c>
      <c r="B146" t="str">
        <f>IF(Allocation!BJ146="","",Allocation!BJ146)</f>
        <v>MBWAY_BOR</v>
      </c>
      <c r="C146" t="str">
        <f>IF(Allocation!BK146="","",Allocation!BK146)</f>
        <v>MBWAY</v>
      </c>
      <c r="D146" t="str">
        <f>IF(Allocation!BL146="","",Allocation!BL146)</f>
        <v>BAC_MGT</v>
      </c>
      <c r="E146" t="str">
        <f>IF(Allocation!BM146="","",Allocation!BM146)</f>
        <v>B1</v>
      </c>
      <c r="F146" t="str">
        <f>IF(Allocation!BN146="","",Allocation!BN146)</f>
        <v>INIT</v>
      </c>
      <c r="G146">
        <f>IF(Allocation!BO146="","",Allocation!BO146)</f>
        <v>51</v>
      </c>
      <c r="H146">
        <f>IF(Allocation!BP146="","",Allocation!BP146)</f>
        <v>2</v>
      </c>
      <c r="I146">
        <f>IF(Allocation!BQ146="","",Allocation!BQ146)</f>
        <v>375615</v>
      </c>
      <c r="J146">
        <f>IF(Allocation!CC146="","",Allocation!CC146)</f>
        <v>51</v>
      </c>
      <c r="K146">
        <f t="shared" si="0"/>
        <v>1200</v>
      </c>
      <c r="L146">
        <f t="shared" si="1"/>
        <v>249</v>
      </c>
      <c r="M146">
        <f t="shared" si="2"/>
        <v>10</v>
      </c>
      <c r="N146">
        <f t="shared" si="3"/>
        <v>1773610</v>
      </c>
      <c r="O146">
        <f t="shared" si="4"/>
        <v>4800</v>
      </c>
      <c r="P146">
        <f t="shared" si="5"/>
        <v>102</v>
      </c>
      <c r="Q146">
        <f t="shared" si="6"/>
        <v>1249</v>
      </c>
      <c r="R146">
        <f t="shared" si="7"/>
        <v>50</v>
      </c>
      <c r="S146">
        <f t="shared" si="8"/>
        <v>9567455</v>
      </c>
      <c r="T146">
        <f t="shared" si="9"/>
        <v>3114</v>
      </c>
      <c r="U146">
        <f t="shared" si="10"/>
        <v>135</v>
      </c>
      <c r="V146">
        <f t="shared" si="11"/>
        <v>23098985</v>
      </c>
      <c r="W146">
        <f>IF($A146="","",Allocation!CD146)</f>
        <v>120729</v>
      </c>
      <c r="X146">
        <f>IF($A146="","",Allocation!CE146)</f>
        <v>280337.09</v>
      </c>
      <c r="Y146">
        <f>IF($A146="","",Allocation!CF146)</f>
        <v>92652</v>
      </c>
      <c r="Z146">
        <f>IF($A146="","",Allocation!CG146)</f>
        <v>24923</v>
      </c>
      <c r="AA146">
        <f>IF($A146="","",Allocation!CH146)</f>
        <v>662738.82</v>
      </c>
      <c r="AB146">
        <f>IF($A146="","",Allocation!CI146)</f>
        <v>2891983</v>
      </c>
      <c r="AC146">
        <f>IF($A146="","",IF(Allocation!$N$4="VOL_EFF",$G146,IF(Allocation!$N$4="VOL_CLASS",$H146,$I146)))</f>
        <v>2</v>
      </c>
      <c r="AD146">
        <f>IF($A146="","",IF(Allocation!$N$4="VOL_EFF",$L146,IF(Allocation!$N$4="VOL_CLASS",$M146,$N146)))</f>
        <v>10</v>
      </c>
      <c r="AE146">
        <f>IF($A146="","",IF(Allocation!$N$3="VOL_EFF",$L146,IF(Allocation!$N$3="VOL_CLASS",$M146,$N146)))</f>
        <v>249</v>
      </c>
      <c r="AF146">
        <f>IF($A146="","",IF(Allocation!$N$3="VOL_EFF",$Q146,IF(Allocation!$N$3="VOL_CLASS",$R146,$S146)))</f>
        <v>1249</v>
      </c>
      <c r="AG146">
        <f>IF($A146="","",IF(Allocation!$N$1="VOL_EFF",$Q146,IF(Allocation!$N$1="VOL_CLASS",$R146,$S146)))</f>
        <v>50</v>
      </c>
      <c r="AH146">
        <f>IF($A146="","",IF(Allocation!$N$1="VOL_EFF",$T146,IF(Allocation!$N$1="VOL_CLASS",$U146,$V146)))</f>
        <v>135</v>
      </c>
      <c r="AI146">
        <f t="shared" si="12"/>
        <v>30182.25</v>
      </c>
      <c r="AJ146">
        <f t="shared" si="13"/>
        <v>70084.2725</v>
      </c>
      <c r="AK146">
        <f t="shared" si="14"/>
        <v>31438.4156626506</v>
      </c>
      <c r="AL146">
        <f t="shared" si="15"/>
        <v>132547.764</v>
      </c>
      <c r="AM146">
        <f t="shared" si="16"/>
        <v>42706.9814073481</v>
      </c>
      <c r="AN146">
        <f t="shared" si="17"/>
        <v>57485.7046825307</v>
      </c>
      <c r="AO146">
        <f>IF($A146="","",Allocation!CJ146)</f>
        <v>676344</v>
      </c>
      <c r="AP146">
        <f>IF($A146="","",IF(Allocation!$N$2="VOL_EFF",$Q146,IF(Allocation!$N$2="VOL_CLASS",$R146,$S146)))</f>
        <v>9567455</v>
      </c>
      <c r="AQ146">
        <f>IF($A146="","",IF(Allocation!$N$2="VOL_EFF",$T146,IF(Allocation!$N$2="VOL_CLASS",$U146,$V146)))</f>
        <v>23098985</v>
      </c>
      <c r="AR146">
        <f t="shared" si="18"/>
        <v>11169.6117474705</v>
      </c>
      <c r="AS146" t="str">
        <f>IF($A146="","",$A146&amp;"|"&amp;Allocation!BG146)</f>
        <v>2026|ACT</v>
      </c>
    </row>
    <row r="147" ht="14.497499999999997" customHeight="1">
      <c r="A147" t="str">
        <f>IF(Allocation!BI147="","",Allocation!BI147)</f>
        <v>2026</v>
      </c>
      <c r="B147" t="str">
        <f>IF(Allocation!BJ147="","",Allocation!BJ147)</f>
        <v>MBWAY_BOR</v>
      </c>
      <c r="C147" t="str">
        <f>IF(Allocation!BK147="","",Allocation!BK147)</f>
        <v>MBWAY</v>
      </c>
      <c r="D147" t="str">
        <f>IF(Allocation!BL147="","",Allocation!BL147)</f>
        <v>BAC_MGT</v>
      </c>
      <c r="E147" t="str">
        <f>IF(Allocation!BM147="","",Allocation!BM147)</f>
        <v>B2</v>
      </c>
      <c r="F147" t="str">
        <f>IF(Allocation!BN147="","",Allocation!BN147)</f>
        <v>ALT</v>
      </c>
      <c r="G147">
        <f>IF(Allocation!BO147="","",Allocation!BO147)</f>
        <v>49</v>
      </c>
      <c r="H147">
        <f>IF(Allocation!BP147="","",Allocation!BP147)</f>
        <v>2</v>
      </c>
      <c r="I147">
        <f>IF(Allocation!BQ147="","",Allocation!BQ147)</f>
        <v>332710</v>
      </c>
      <c r="J147">
        <f>IF(Allocation!CC147="","",Allocation!CC147)</f>
        <v>0</v>
      </c>
      <c r="K147">
        <f t="shared" si="0"/>
        <v>960</v>
      </c>
      <c r="L147">
        <f t="shared" si="1"/>
        <v>249</v>
      </c>
      <c r="M147">
        <f t="shared" si="2"/>
        <v>10</v>
      </c>
      <c r="N147">
        <f t="shared" si="3"/>
        <v>1773610</v>
      </c>
      <c r="O147">
        <f t="shared" si="4"/>
        <v>4800</v>
      </c>
      <c r="P147">
        <f t="shared" si="5"/>
        <v>102</v>
      </c>
      <c r="Q147">
        <f t="shared" si="6"/>
        <v>1249</v>
      </c>
      <c r="R147">
        <f t="shared" si="7"/>
        <v>50</v>
      </c>
      <c r="S147">
        <f t="shared" si="8"/>
        <v>9567455</v>
      </c>
      <c r="T147">
        <f t="shared" si="9"/>
        <v>3114</v>
      </c>
      <c r="U147">
        <f t="shared" si="10"/>
        <v>135</v>
      </c>
      <c r="V147">
        <f t="shared" si="11"/>
        <v>23098985</v>
      </c>
      <c r="W147">
        <f>IF($A147="","",Allocation!CD147)</f>
        <v>120729</v>
      </c>
      <c r="X147">
        <f>IF($A147="","",Allocation!CE147)</f>
        <v>280337.09</v>
      </c>
      <c r="Y147">
        <f>IF($A147="","",Allocation!CF147)</f>
        <v>92652</v>
      </c>
      <c r="Z147">
        <f>IF($A147="","",Allocation!CG147)</f>
        <v>24923</v>
      </c>
      <c r="AA147">
        <f>IF($A147="","",Allocation!CH147)</f>
        <v>662738.82</v>
      </c>
      <c r="AB147">
        <f>IF($A147="","",Allocation!CI147)</f>
        <v>2891983</v>
      </c>
      <c r="AC147">
        <f>IF($A147="","",IF(Allocation!$N$4="VOL_EFF",$G147,IF(Allocation!$N$4="VOL_CLASS",$H147,$I147)))</f>
        <v>2</v>
      </c>
      <c r="AD147">
        <f>IF($A147="","",IF(Allocation!$N$4="VOL_EFF",$L147,IF(Allocation!$N$4="VOL_CLASS",$M147,$N147)))</f>
        <v>10</v>
      </c>
      <c r="AE147">
        <f>IF($A147="","",IF(Allocation!$N$3="VOL_EFF",$L147,IF(Allocation!$N$3="VOL_CLASS",$M147,$N147)))</f>
        <v>249</v>
      </c>
      <c r="AF147">
        <f>IF($A147="","",IF(Allocation!$N$3="VOL_EFF",$Q147,IF(Allocation!$N$3="VOL_CLASS",$R147,$S147)))</f>
        <v>1249</v>
      </c>
      <c r="AG147">
        <f>IF($A147="","",IF(Allocation!$N$1="VOL_EFF",$Q147,IF(Allocation!$N$1="VOL_CLASS",$R147,$S147)))</f>
        <v>50</v>
      </c>
      <c r="AH147">
        <f>IF($A147="","",IF(Allocation!$N$1="VOL_EFF",$T147,IF(Allocation!$N$1="VOL_CLASS",$U147,$V147)))</f>
        <v>135</v>
      </c>
      <c r="AI147">
        <f t="shared" si="12"/>
        <v>24145.8</v>
      </c>
      <c r="AJ147">
        <f t="shared" si="13"/>
        <v>56067.418</v>
      </c>
      <c r="AK147">
        <f t="shared" si="14"/>
        <v>18232.7228915663</v>
      </c>
      <c r="AL147">
        <f t="shared" si="15"/>
        <v>132547.764</v>
      </c>
      <c r="AM147">
        <f t="shared" si="16"/>
        <v>42706.9814073481</v>
      </c>
      <c r="AN147">
        <f t="shared" si="17"/>
        <v>47839.7019536151</v>
      </c>
      <c r="AO147">
        <f>IF($A147="","",Allocation!CJ147)</f>
        <v>676344</v>
      </c>
      <c r="AP147">
        <f>IF($A147="","",IF(Allocation!$N$2="VOL_EFF",$Q147,IF(Allocation!$N$2="VOL_CLASS",$R147,$S147)))</f>
        <v>9567455</v>
      </c>
      <c r="AQ147">
        <f>IF($A147="","",IF(Allocation!$N$2="VOL_EFF",$T147,IF(Allocation!$N$2="VOL_CLASS",$U147,$V147)))</f>
        <v>23098985</v>
      </c>
      <c r="AR147">
        <f t="shared" si="18"/>
        <v>11169.6117474705</v>
      </c>
      <c r="AS147" t="str">
        <f>IF($A147="","",$A147&amp;"|"&amp;Allocation!BG147)</f>
        <v>2026|ACT</v>
      </c>
    </row>
    <row r="148" ht="14.497499999999997" customHeight="1">
      <c r="A148" t="str">
        <f>IF(Allocation!BI148="","",Allocation!BI148)</f>
        <v>2026</v>
      </c>
      <c r="B148" t="str">
        <f>IF(Allocation!BJ148="","",Allocation!BJ148)</f>
        <v>MBWAY_BOR</v>
      </c>
      <c r="C148" t="str">
        <f>IF(Allocation!BK148="","",Allocation!BK148)</f>
        <v>MBWAY</v>
      </c>
      <c r="D148" t="str">
        <f>IF(Allocation!BL148="","",Allocation!BL148)</f>
        <v>BAC_MGT</v>
      </c>
      <c r="E148" t="str">
        <f>IF(Allocation!BM148="","",Allocation!BM148)</f>
        <v>B3</v>
      </c>
      <c r="F148" t="str">
        <f>IF(Allocation!BN148="","",Allocation!BN148)</f>
        <v>ALT</v>
      </c>
      <c r="G148">
        <f>IF(Allocation!BO148="","",Allocation!BO148)</f>
        <v>48</v>
      </c>
      <c r="H148">
        <f>IF(Allocation!BP148="","",Allocation!BP148)</f>
        <v>2</v>
      </c>
      <c r="I148">
        <f>IF(Allocation!BQ148="","",Allocation!BQ148)</f>
        <v>325920</v>
      </c>
      <c r="J148">
        <f>IF(Allocation!CC148="","",Allocation!CC148)</f>
        <v>0</v>
      </c>
      <c r="K148">
        <f t="shared" si="0"/>
        <v>960</v>
      </c>
      <c r="L148">
        <f t="shared" si="1"/>
        <v>249</v>
      </c>
      <c r="M148">
        <f t="shared" si="2"/>
        <v>10</v>
      </c>
      <c r="N148">
        <f t="shared" si="3"/>
        <v>1773610</v>
      </c>
      <c r="O148">
        <f t="shared" si="4"/>
        <v>4800</v>
      </c>
      <c r="P148">
        <f t="shared" si="5"/>
        <v>102</v>
      </c>
      <c r="Q148">
        <f t="shared" si="6"/>
        <v>1249</v>
      </c>
      <c r="R148">
        <f t="shared" si="7"/>
        <v>50</v>
      </c>
      <c r="S148">
        <f t="shared" si="8"/>
        <v>9567455</v>
      </c>
      <c r="T148">
        <f t="shared" si="9"/>
        <v>3114</v>
      </c>
      <c r="U148">
        <f t="shared" si="10"/>
        <v>135</v>
      </c>
      <c r="V148">
        <f t="shared" si="11"/>
        <v>23098985</v>
      </c>
      <c r="W148">
        <f>IF($A148="","",Allocation!CD148)</f>
        <v>120729</v>
      </c>
      <c r="X148">
        <f>IF($A148="","",Allocation!CE148)</f>
        <v>280337.09</v>
      </c>
      <c r="Y148">
        <f>IF($A148="","",Allocation!CF148)</f>
        <v>92652</v>
      </c>
      <c r="Z148">
        <f>IF($A148="","",Allocation!CG148)</f>
        <v>24923</v>
      </c>
      <c r="AA148">
        <f>IF($A148="","",Allocation!CH148)</f>
        <v>662738.82</v>
      </c>
      <c r="AB148">
        <f>IF($A148="","",Allocation!CI148)</f>
        <v>2891983</v>
      </c>
      <c r="AC148">
        <f>IF($A148="","",IF(Allocation!$N$4="VOL_EFF",$G148,IF(Allocation!$N$4="VOL_CLASS",$H148,$I148)))</f>
        <v>2</v>
      </c>
      <c r="AD148">
        <f>IF($A148="","",IF(Allocation!$N$4="VOL_EFF",$L148,IF(Allocation!$N$4="VOL_CLASS",$M148,$N148)))</f>
        <v>10</v>
      </c>
      <c r="AE148">
        <f>IF($A148="","",IF(Allocation!$N$3="VOL_EFF",$L148,IF(Allocation!$N$3="VOL_CLASS",$M148,$N148)))</f>
        <v>249</v>
      </c>
      <c r="AF148">
        <f>IF($A148="","",IF(Allocation!$N$3="VOL_EFF",$Q148,IF(Allocation!$N$3="VOL_CLASS",$R148,$S148)))</f>
        <v>1249</v>
      </c>
      <c r="AG148">
        <f>IF($A148="","",IF(Allocation!$N$1="VOL_EFF",$Q148,IF(Allocation!$N$1="VOL_CLASS",$R148,$S148)))</f>
        <v>50</v>
      </c>
      <c r="AH148">
        <f>IF($A148="","",IF(Allocation!$N$1="VOL_EFF",$T148,IF(Allocation!$N$1="VOL_CLASS",$U148,$V148)))</f>
        <v>135</v>
      </c>
      <c r="AI148">
        <f t="shared" si="12"/>
        <v>24145.8</v>
      </c>
      <c r="AJ148">
        <f t="shared" si="13"/>
        <v>56067.418</v>
      </c>
      <c r="AK148">
        <f t="shared" si="14"/>
        <v>17860.6265060241</v>
      </c>
      <c r="AL148">
        <f t="shared" si="15"/>
        <v>132547.764</v>
      </c>
      <c r="AM148">
        <f t="shared" si="16"/>
        <v>42706.9814073481</v>
      </c>
      <c r="AN148">
        <f t="shared" si="17"/>
        <v>41421.7983391573</v>
      </c>
      <c r="AO148">
        <f>IF($A148="","",Allocation!CJ148)</f>
        <v>676344</v>
      </c>
      <c r="AP148">
        <f>IF($A148="","",IF(Allocation!$N$2="VOL_EFF",$Q148,IF(Allocation!$N$2="VOL_CLASS",$R148,$S148)))</f>
        <v>9567455</v>
      </c>
      <c r="AQ148">
        <f>IF($A148="","",IF(Allocation!$N$2="VOL_EFF",$T148,IF(Allocation!$N$2="VOL_CLASS",$U148,$V148)))</f>
        <v>23098985</v>
      </c>
      <c r="AR148">
        <f t="shared" si="18"/>
        <v>11169.6117474705</v>
      </c>
      <c r="AS148" t="str">
        <f>IF($A148="","",$A148&amp;"|"&amp;Allocation!BG148)</f>
        <v>2026|ACT</v>
      </c>
    </row>
    <row r="149" ht="14.497499999999997" customHeight="1">
      <c r="A149" t="str">
        <f>IF(Allocation!BI149="","",Allocation!BI149)</f>
        <v>2026</v>
      </c>
      <c r="B149" t="str">
        <f>IF(Allocation!BJ149="","",Allocation!BJ149)</f>
        <v>MBWAY_BOR</v>
      </c>
      <c r="C149" t="str">
        <f>IF(Allocation!BK149="","",Allocation!BK149)</f>
        <v>MBWAY</v>
      </c>
      <c r="D149" t="str">
        <f>IF(Allocation!BL149="","",Allocation!BL149)</f>
        <v>MAS_MGT</v>
      </c>
      <c r="E149" t="str">
        <f>IF(Allocation!BM149="","",Allocation!BM149)</f>
        <v>M1</v>
      </c>
      <c r="F149" t="str">
        <f>IF(Allocation!BN149="","",Allocation!BN149)</f>
        <v>ALT</v>
      </c>
      <c r="G149">
        <f>IF(Allocation!BO149="","",Allocation!BO149)</f>
        <v>51</v>
      </c>
      <c r="H149">
        <f>IF(Allocation!BP149="","",Allocation!BP149)</f>
        <v>2</v>
      </c>
      <c r="I149">
        <f>IF(Allocation!BQ149="","",Allocation!BQ149)</f>
        <v>375615</v>
      </c>
      <c r="J149">
        <f>IF(Allocation!CC149="","",Allocation!CC149)</f>
        <v>51</v>
      </c>
      <c r="K149">
        <f t="shared" si="0"/>
        <v>840</v>
      </c>
      <c r="L149">
        <f t="shared" si="1"/>
        <v>249</v>
      </c>
      <c r="M149">
        <f t="shared" si="2"/>
        <v>10</v>
      </c>
      <c r="N149">
        <f t="shared" si="3"/>
        <v>1773610</v>
      </c>
      <c r="O149">
        <f t="shared" si="4"/>
        <v>4800</v>
      </c>
      <c r="P149">
        <f t="shared" si="5"/>
        <v>102</v>
      </c>
      <c r="Q149">
        <f t="shared" si="6"/>
        <v>1249</v>
      </c>
      <c r="R149">
        <f t="shared" si="7"/>
        <v>50</v>
      </c>
      <c r="S149">
        <f t="shared" si="8"/>
        <v>9567455</v>
      </c>
      <c r="T149">
        <f t="shared" si="9"/>
        <v>3114</v>
      </c>
      <c r="U149">
        <f t="shared" si="10"/>
        <v>135</v>
      </c>
      <c r="V149">
        <f t="shared" si="11"/>
        <v>23098985</v>
      </c>
      <c r="W149">
        <f>IF($A149="","",Allocation!CD149)</f>
        <v>120729</v>
      </c>
      <c r="X149">
        <f>IF($A149="","",Allocation!CE149)</f>
        <v>280337.09</v>
      </c>
      <c r="Y149">
        <f>IF($A149="","",Allocation!CF149)</f>
        <v>92652</v>
      </c>
      <c r="Z149">
        <f>IF($A149="","",Allocation!CG149)</f>
        <v>24923</v>
      </c>
      <c r="AA149">
        <f>IF($A149="","",Allocation!CH149)</f>
        <v>662738.82</v>
      </c>
      <c r="AB149">
        <f>IF($A149="","",Allocation!CI149)</f>
        <v>2891983</v>
      </c>
      <c r="AC149">
        <f>IF($A149="","",IF(Allocation!$N$4="VOL_EFF",$G149,IF(Allocation!$N$4="VOL_CLASS",$H149,$I149)))</f>
        <v>2</v>
      </c>
      <c r="AD149">
        <f>IF($A149="","",IF(Allocation!$N$4="VOL_EFF",$L149,IF(Allocation!$N$4="VOL_CLASS",$M149,$N149)))</f>
        <v>10</v>
      </c>
      <c r="AE149">
        <f>IF($A149="","",IF(Allocation!$N$3="VOL_EFF",$L149,IF(Allocation!$N$3="VOL_CLASS",$M149,$N149)))</f>
        <v>249</v>
      </c>
      <c r="AF149">
        <f>IF($A149="","",IF(Allocation!$N$3="VOL_EFF",$Q149,IF(Allocation!$N$3="VOL_CLASS",$R149,$S149)))</f>
        <v>1249</v>
      </c>
      <c r="AG149">
        <f>IF($A149="","",IF(Allocation!$N$1="VOL_EFF",$Q149,IF(Allocation!$N$1="VOL_CLASS",$R149,$S149)))</f>
        <v>50</v>
      </c>
      <c r="AH149">
        <f>IF($A149="","",IF(Allocation!$N$1="VOL_EFF",$T149,IF(Allocation!$N$1="VOL_CLASS",$U149,$V149)))</f>
        <v>135</v>
      </c>
      <c r="AI149">
        <f t="shared" si="12"/>
        <v>21127.575</v>
      </c>
      <c r="AJ149">
        <f t="shared" si="13"/>
        <v>49058.99075</v>
      </c>
      <c r="AK149">
        <f t="shared" si="14"/>
        <v>31438.4156626506</v>
      </c>
      <c r="AL149">
        <f t="shared" si="15"/>
        <v>132547.764</v>
      </c>
      <c r="AM149">
        <f t="shared" si="16"/>
        <v>42706.9814073481</v>
      </c>
      <c r="AN149">
        <f t="shared" si="17"/>
        <v>87565.6614325308</v>
      </c>
      <c r="AO149">
        <f>IF($A149="","",Allocation!CJ149)</f>
        <v>676344</v>
      </c>
      <c r="AP149">
        <f>IF($A149="","",IF(Allocation!$N$2="VOL_EFF",$Q149,IF(Allocation!$N$2="VOL_CLASS",$R149,$S149)))</f>
        <v>9567455</v>
      </c>
      <c r="AQ149">
        <f>IF($A149="","",IF(Allocation!$N$2="VOL_EFF",$T149,IF(Allocation!$N$2="VOL_CLASS",$U149,$V149)))</f>
        <v>23098985</v>
      </c>
      <c r="AR149">
        <f t="shared" si="18"/>
        <v>11169.6117474705</v>
      </c>
      <c r="AS149" t="str">
        <f>IF($A149="","",$A149&amp;"|"&amp;Allocation!BG149)</f>
        <v>2026|ACT</v>
      </c>
    </row>
    <row r="150" ht="14.497499999999997" customHeight="1">
      <c r="A150" t="str">
        <f>IF(Allocation!BI150="","",Allocation!BI150)</f>
        <v>2026</v>
      </c>
      <c r="B150" t="str">
        <f>IF(Allocation!BJ150="","",Allocation!BJ150)</f>
        <v>MBWAY_BOR</v>
      </c>
      <c r="C150" t="str">
        <f>IF(Allocation!BK150="","",Allocation!BK150)</f>
        <v>MBWAY</v>
      </c>
      <c r="D150" t="str">
        <f>IF(Allocation!BL150="","",Allocation!BL150)</f>
        <v>MAS_MGT</v>
      </c>
      <c r="E150" t="str">
        <f>IF(Allocation!BM150="","",Allocation!BM150)</f>
        <v>M2</v>
      </c>
      <c r="F150" t="str">
        <f>IF(Allocation!BN150="","",Allocation!BN150)</f>
        <v>ALT</v>
      </c>
      <c r="G150">
        <f>IF(Allocation!BO150="","",Allocation!BO150)</f>
        <v>50</v>
      </c>
      <c r="H150">
        <f>IF(Allocation!BP150="","",Allocation!BP150)</f>
        <v>2</v>
      </c>
      <c r="I150">
        <f>IF(Allocation!BQ150="","",Allocation!BQ150)</f>
        <v>363750</v>
      </c>
      <c r="J150">
        <f>IF(Allocation!CC150="","",Allocation!CC150)</f>
        <v>0</v>
      </c>
      <c r="K150">
        <f t="shared" si="0"/>
        <v>840</v>
      </c>
      <c r="L150">
        <f t="shared" si="1"/>
        <v>249</v>
      </c>
      <c r="M150">
        <f t="shared" si="2"/>
        <v>10</v>
      </c>
      <c r="N150">
        <f t="shared" si="3"/>
        <v>1773610</v>
      </c>
      <c r="O150">
        <f t="shared" si="4"/>
        <v>4800</v>
      </c>
      <c r="P150">
        <f t="shared" si="5"/>
        <v>102</v>
      </c>
      <c r="Q150">
        <f t="shared" si="6"/>
        <v>1249</v>
      </c>
      <c r="R150">
        <f t="shared" si="7"/>
        <v>50</v>
      </c>
      <c r="S150">
        <f t="shared" si="8"/>
        <v>9567455</v>
      </c>
      <c r="T150">
        <f t="shared" si="9"/>
        <v>3114</v>
      </c>
      <c r="U150">
        <f t="shared" si="10"/>
        <v>135</v>
      </c>
      <c r="V150">
        <f t="shared" si="11"/>
        <v>23098985</v>
      </c>
      <c r="W150">
        <f>IF($A150="","",Allocation!CD150)</f>
        <v>120729</v>
      </c>
      <c r="X150">
        <f>IF($A150="","",Allocation!CE150)</f>
        <v>280337.09</v>
      </c>
      <c r="Y150">
        <f>IF($A150="","",Allocation!CF150)</f>
        <v>92652</v>
      </c>
      <c r="Z150">
        <f>IF($A150="","",Allocation!CG150)</f>
        <v>24923</v>
      </c>
      <c r="AA150">
        <f>IF($A150="","",Allocation!CH150)</f>
        <v>662738.82</v>
      </c>
      <c r="AB150">
        <f>IF($A150="","",Allocation!CI150)</f>
        <v>2891983</v>
      </c>
      <c r="AC150">
        <f>IF($A150="","",IF(Allocation!$N$4="VOL_EFF",$G150,IF(Allocation!$N$4="VOL_CLASS",$H150,$I150)))</f>
        <v>2</v>
      </c>
      <c r="AD150">
        <f>IF($A150="","",IF(Allocation!$N$4="VOL_EFF",$L150,IF(Allocation!$N$4="VOL_CLASS",$M150,$N150)))</f>
        <v>10</v>
      </c>
      <c r="AE150">
        <f>IF($A150="","",IF(Allocation!$N$3="VOL_EFF",$L150,IF(Allocation!$N$3="VOL_CLASS",$M150,$N150)))</f>
        <v>249</v>
      </c>
      <c r="AF150">
        <f>IF($A150="","",IF(Allocation!$N$3="VOL_EFF",$Q150,IF(Allocation!$N$3="VOL_CLASS",$R150,$S150)))</f>
        <v>1249</v>
      </c>
      <c r="AG150">
        <f>IF($A150="","",IF(Allocation!$N$1="VOL_EFF",$Q150,IF(Allocation!$N$1="VOL_CLASS",$R150,$S150)))</f>
        <v>50</v>
      </c>
      <c r="AH150">
        <f>IF($A150="","",IF(Allocation!$N$1="VOL_EFF",$T150,IF(Allocation!$N$1="VOL_CLASS",$U150,$V150)))</f>
        <v>135</v>
      </c>
      <c r="AI150">
        <f t="shared" si="12"/>
        <v>21127.575</v>
      </c>
      <c r="AJ150">
        <f t="shared" si="13"/>
        <v>49058.99075</v>
      </c>
      <c r="AK150">
        <f t="shared" si="14"/>
        <v>18604.8192771084</v>
      </c>
      <c r="AL150">
        <f t="shared" si="15"/>
        <v>132547.764</v>
      </c>
      <c r="AM150">
        <f t="shared" si="16"/>
        <v>42706.9814073481</v>
      </c>
      <c r="AN150">
        <f t="shared" si="17"/>
        <v>88534.257818073</v>
      </c>
      <c r="AO150">
        <f>IF($A150="","",Allocation!CJ150)</f>
        <v>676344</v>
      </c>
      <c r="AP150">
        <f>IF($A150="","",IF(Allocation!$N$2="VOL_EFF",$Q150,IF(Allocation!$N$2="VOL_CLASS",$R150,$S150)))</f>
        <v>9567455</v>
      </c>
      <c r="AQ150">
        <f>IF($A150="","",IF(Allocation!$N$2="VOL_EFF",$T150,IF(Allocation!$N$2="VOL_CLASS",$U150,$V150)))</f>
        <v>23098985</v>
      </c>
      <c r="AR150">
        <f t="shared" si="18"/>
        <v>11169.6117474705</v>
      </c>
      <c r="AS150" t="str">
        <f>IF($A150="","",$A150&amp;"|"&amp;Allocation!BG150)</f>
        <v>2026|ACT</v>
      </c>
    </row>
    <row r="151" ht="14.497499999999997" customHeight="1">
      <c r="A151" t="str">
        <f>IF(Allocation!BI151="","",Allocation!BI151)</f>
        <v>2026</v>
      </c>
      <c r="B151" t="str">
        <f>IF(Allocation!BJ151="","",Allocation!BJ151)</f>
        <v>MBWAY_LYO</v>
      </c>
      <c r="C151" t="str">
        <f>IF(Allocation!BK151="","",Allocation!BK151)</f>
        <v>MBWAY</v>
      </c>
      <c r="D151" t="str">
        <f>IF(Allocation!BL151="","",Allocation!BL151)</f>
        <v>BAC_MGT</v>
      </c>
      <c r="E151" t="str">
        <f>IF(Allocation!BM151="","",Allocation!BM151)</f>
        <v>B1</v>
      </c>
      <c r="F151" t="str">
        <f>IF(Allocation!BN151="","",Allocation!BN151)</f>
        <v>INIT</v>
      </c>
      <c r="G151">
        <f>IF(Allocation!BO151="","",Allocation!BO151)</f>
        <v>66</v>
      </c>
      <c r="H151">
        <f>IF(Allocation!BP151="","",Allocation!BP151)</f>
        <v>3</v>
      </c>
      <c r="I151">
        <f>IF(Allocation!BQ151="","",Allocation!BQ151)</f>
        <v>525690</v>
      </c>
      <c r="J151">
        <f>IF(Allocation!CC151="","",Allocation!CC151)</f>
        <v>66</v>
      </c>
      <c r="K151">
        <f t="shared" si="0"/>
        <v>1800</v>
      </c>
      <c r="L151">
        <f t="shared" si="1"/>
        <v>324</v>
      </c>
      <c r="M151">
        <f t="shared" si="2"/>
        <v>13</v>
      </c>
      <c r="N151">
        <f t="shared" si="3"/>
        <v>2496705</v>
      </c>
      <c r="O151">
        <f t="shared" si="4"/>
        <v>6240</v>
      </c>
      <c r="P151">
        <f t="shared" si="5"/>
        <v>132</v>
      </c>
      <c r="Q151">
        <f t="shared" si="6"/>
        <v>1249</v>
      </c>
      <c r="R151">
        <f t="shared" si="7"/>
        <v>50</v>
      </c>
      <c r="S151">
        <f t="shared" si="8"/>
        <v>9567455</v>
      </c>
      <c r="T151">
        <f t="shared" si="9"/>
        <v>3114</v>
      </c>
      <c r="U151">
        <f t="shared" si="10"/>
        <v>135</v>
      </c>
      <c r="V151">
        <f t="shared" si="11"/>
        <v>23098985</v>
      </c>
      <c r="W151">
        <f>IF($A151="","",Allocation!CD151)</f>
        <v>156948</v>
      </c>
      <c r="X151">
        <f>IF($A151="","",Allocation!CE151)</f>
        <v>400192.8</v>
      </c>
      <c r="Y151">
        <f>IF($A151="","",Allocation!CF151)</f>
        <v>120559</v>
      </c>
      <c r="Z151">
        <f>IF($A151="","",Allocation!CG151)</f>
        <v>41783</v>
      </c>
      <c r="AA151">
        <f>IF($A151="","",Allocation!CH151)</f>
        <v>946679.56</v>
      </c>
      <c r="AB151">
        <f>IF($A151="","",Allocation!CI151)</f>
        <v>2891983</v>
      </c>
      <c r="AC151">
        <f>IF($A151="","",IF(Allocation!$N$4="VOL_EFF",$G151,IF(Allocation!$N$4="VOL_CLASS",$H151,$I151)))</f>
        <v>3</v>
      </c>
      <c r="AD151">
        <f>IF($A151="","",IF(Allocation!$N$4="VOL_EFF",$L151,IF(Allocation!$N$4="VOL_CLASS",$M151,$N151)))</f>
        <v>13</v>
      </c>
      <c r="AE151">
        <f>IF($A151="","",IF(Allocation!$N$3="VOL_EFF",$L151,IF(Allocation!$N$3="VOL_CLASS",$M151,$N151)))</f>
        <v>324</v>
      </c>
      <c r="AF151">
        <f>IF($A151="","",IF(Allocation!$N$3="VOL_EFF",$Q151,IF(Allocation!$N$3="VOL_CLASS",$R151,$S151)))</f>
        <v>1249</v>
      </c>
      <c r="AG151">
        <f>IF($A151="","",IF(Allocation!$N$1="VOL_EFF",$Q151,IF(Allocation!$N$1="VOL_CLASS",$R151,$S151)))</f>
        <v>50</v>
      </c>
      <c r="AH151">
        <f>IF($A151="","",IF(Allocation!$N$1="VOL_EFF",$T151,IF(Allocation!$N$1="VOL_CLASS",$U151,$V151)))</f>
        <v>135</v>
      </c>
      <c r="AI151">
        <f t="shared" si="12"/>
        <v>45273.4615384615</v>
      </c>
      <c r="AJ151">
        <f t="shared" si="13"/>
        <v>115440.230769231</v>
      </c>
      <c r="AK151">
        <f t="shared" si="14"/>
        <v>45449.8148148148</v>
      </c>
      <c r="AL151">
        <f t="shared" si="15"/>
        <v>218464.513846154</v>
      </c>
      <c r="AM151">
        <f t="shared" si="16"/>
        <v>64119.8423354068</v>
      </c>
      <c r="AN151">
        <f t="shared" si="17"/>
        <v>20172.1913475517</v>
      </c>
      <c r="AO151">
        <f>IF($A151="","",Allocation!CJ151)</f>
        <v>676344</v>
      </c>
      <c r="AP151">
        <f>IF($A151="","",IF(Allocation!$N$2="VOL_EFF",$Q151,IF(Allocation!$N$2="VOL_CLASS",$R151,$S151)))</f>
        <v>9567455</v>
      </c>
      <c r="AQ151">
        <f>IF($A151="","",IF(Allocation!$N$2="VOL_EFF",$T151,IF(Allocation!$N$2="VOL_CLASS",$U151,$V151)))</f>
        <v>23098985</v>
      </c>
      <c r="AR151">
        <f t="shared" si="18"/>
        <v>16769.9453483802</v>
      </c>
      <c r="AS151" t="str">
        <f>IF($A151="","",$A151&amp;"|"&amp;Allocation!BG151)</f>
        <v>2026|ACT</v>
      </c>
    </row>
    <row r="152" ht="14.497499999999997" customHeight="1">
      <c r="A152" t="str">
        <f>IF(Allocation!BI152="","",Allocation!BI152)</f>
        <v>2026</v>
      </c>
      <c r="B152" t="str">
        <f>IF(Allocation!BJ152="","",Allocation!BJ152)</f>
        <v>MBWAY_LYO</v>
      </c>
      <c r="C152" t="str">
        <f>IF(Allocation!BK152="","",Allocation!BK152)</f>
        <v>MBWAY</v>
      </c>
      <c r="D152" t="str">
        <f>IF(Allocation!BL152="","",Allocation!BL152)</f>
        <v>BAC_MGT</v>
      </c>
      <c r="E152" t="str">
        <f>IF(Allocation!BM152="","",Allocation!BM152)</f>
        <v>B2</v>
      </c>
      <c r="F152" t="str">
        <f>IF(Allocation!BN152="","",Allocation!BN152)</f>
        <v>ALT</v>
      </c>
      <c r="G152">
        <f>IF(Allocation!BO152="","",Allocation!BO152)</f>
        <v>64</v>
      </c>
      <c r="H152">
        <f>IF(Allocation!BP152="","",Allocation!BP152)</f>
        <v>2</v>
      </c>
      <c r="I152">
        <f>IF(Allocation!BQ152="","",Allocation!BQ152)</f>
        <v>470400</v>
      </c>
      <c r="J152">
        <f>IF(Allocation!CC152="","",Allocation!CC152)</f>
        <v>0</v>
      </c>
      <c r="K152">
        <f t="shared" si="0"/>
        <v>960</v>
      </c>
      <c r="L152">
        <f t="shared" si="1"/>
        <v>324</v>
      </c>
      <c r="M152">
        <f t="shared" si="2"/>
        <v>13</v>
      </c>
      <c r="N152">
        <f t="shared" si="3"/>
        <v>2496705</v>
      </c>
      <c r="O152">
        <f t="shared" si="4"/>
        <v>6240</v>
      </c>
      <c r="P152">
        <f t="shared" si="5"/>
        <v>132</v>
      </c>
      <c r="Q152">
        <f t="shared" si="6"/>
        <v>1249</v>
      </c>
      <c r="R152">
        <f t="shared" si="7"/>
        <v>50</v>
      </c>
      <c r="S152">
        <f t="shared" si="8"/>
        <v>9567455</v>
      </c>
      <c r="T152">
        <f t="shared" si="9"/>
        <v>3114</v>
      </c>
      <c r="U152">
        <f t="shared" si="10"/>
        <v>135</v>
      </c>
      <c r="V152">
        <f t="shared" si="11"/>
        <v>23098985</v>
      </c>
      <c r="W152">
        <f>IF($A152="","",Allocation!CD152)</f>
        <v>156948</v>
      </c>
      <c r="X152">
        <f>IF($A152="","",Allocation!CE152)</f>
        <v>400192.8</v>
      </c>
      <c r="Y152">
        <f>IF($A152="","",Allocation!CF152)</f>
        <v>120559</v>
      </c>
      <c r="Z152">
        <f>IF($A152="","",Allocation!CG152)</f>
        <v>41783</v>
      </c>
      <c r="AA152">
        <f>IF($A152="","",Allocation!CH152)</f>
        <v>946679.56</v>
      </c>
      <c r="AB152">
        <f>IF($A152="","",Allocation!CI152)</f>
        <v>2891983</v>
      </c>
      <c r="AC152">
        <f>IF($A152="","",IF(Allocation!$N$4="VOL_EFF",$G152,IF(Allocation!$N$4="VOL_CLASS",$H152,$I152)))</f>
        <v>2</v>
      </c>
      <c r="AD152">
        <f>IF($A152="","",IF(Allocation!$N$4="VOL_EFF",$L152,IF(Allocation!$N$4="VOL_CLASS",$M152,$N152)))</f>
        <v>13</v>
      </c>
      <c r="AE152">
        <f>IF($A152="","",IF(Allocation!$N$3="VOL_EFF",$L152,IF(Allocation!$N$3="VOL_CLASS",$M152,$N152)))</f>
        <v>324</v>
      </c>
      <c r="AF152">
        <f>IF($A152="","",IF(Allocation!$N$3="VOL_EFF",$Q152,IF(Allocation!$N$3="VOL_CLASS",$R152,$S152)))</f>
        <v>1249</v>
      </c>
      <c r="AG152">
        <f>IF($A152="","",IF(Allocation!$N$1="VOL_EFF",$Q152,IF(Allocation!$N$1="VOL_CLASS",$R152,$S152)))</f>
        <v>50</v>
      </c>
      <c r="AH152">
        <f>IF($A152="","",IF(Allocation!$N$1="VOL_EFF",$T152,IF(Allocation!$N$1="VOL_CLASS",$U152,$V152)))</f>
        <v>135</v>
      </c>
      <c r="AI152">
        <f t="shared" si="12"/>
        <v>24145.8461538462</v>
      </c>
      <c r="AJ152">
        <f t="shared" si="13"/>
        <v>61568.1230769231</v>
      </c>
      <c r="AK152">
        <f t="shared" si="14"/>
        <v>23814.1234567901</v>
      </c>
      <c r="AL152">
        <f t="shared" si="15"/>
        <v>145643.009230769</v>
      </c>
      <c r="AM152">
        <f t="shared" si="16"/>
        <v>42746.5615569379</v>
      </c>
      <c r="AN152">
        <f t="shared" si="17"/>
        <v>161302.372959147</v>
      </c>
      <c r="AO152">
        <f>IF($A152="","",Allocation!CJ152)</f>
        <v>676344</v>
      </c>
      <c r="AP152">
        <f>IF($A152="","",IF(Allocation!$N$2="VOL_EFF",$Q152,IF(Allocation!$N$2="VOL_CLASS",$R152,$S152)))</f>
        <v>9567455</v>
      </c>
      <c r="AQ152">
        <f>IF($A152="","",IF(Allocation!$N$2="VOL_EFF",$T152,IF(Allocation!$N$2="VOL_CLASS",$U152,$V152)))</f>
        <v>23098985</v>
      </c>
      <c r="AR152">
        <f t="shared" si="18"/>
        <v>11179.9635655868</v>
      </c>
      <c r="AS152" t="str">
        <f>IF($A152="","",$A152&amp;"|"&amp;Allocation!BG152)</f>
        <v>2026|ACT</v>
      </c>
    </row>
    <row r="153" ht="14.497499999999997" customHeight="1">
      <c r="A153" t="str">
        <f>IF(Allocation!BI153="","",Allocation!BI153)</f>
        <v>2026</v>
      </c>
      <c r="B153" t="str">
        <f>IF(Allocation!BJ153="","",Allocation!BJ153)</f>
        <v>MBWAY_LYO</v>
      </c>
      <c r="C153" t="str">
        <f>IF(Allocation!BK153="","",Allocation!BK153)</f>
        <v>MBWAY</v>
      </c>
      <c r="D153" t="str">
        <f>IF(Allocation!BL153="","",Allocation!BL153)</f>
        <v>BAC_MGT</v>
      </c>
      <c r="E153" t="str">
        <f>IF(Allocation!BM153="","",Allocation!BM153)</f>
        <v>B3</v>
      </c>
      <c r="F153" t="str">
        <f>IF(Allocation!BN153="","",Allocation!BN153)</f>
        <v>ALT</v>
      </c>
      <c r="G153">
        <f>IF(Allocation!BO153="","",Allocation!BO153)</f>
        <v>63</v>
      </c>
      <c r="H153">
        <f>IF(Allocation!BP153="","",Allocation!BP153)</f>
        <v>2</v>
      </c>
      <c r="I153">
        <f>IF(Allocation!BQ153="","",Allocation!BQ153)</f>
        <v>463050</v>
      </c>
      <c r="J153">
        <f>IF(Allocation!CC153="","",Allocation!CC153)</f>
        <v>0</v>
      </c>
      <c r="K153">
        <f t="shared" si="0"/>
        <v>960</v>
      </c>
      <c r="L153">
        <f t="shared" si="1"/>
        <v>324</v>
      </c>
      <c r="M153">
        <f t="shared" si="2"/>
        <v>13</v>
      </c>
      <c r="N153">
        <f t="shared" si="3"/>
        <v>2496705</v>
      </c>
      <c r="O153">
        <f t="shared" si="4"/>
        <v>6240</v>
      </c>
      <c r="P153">
        <f t="shared" si="5"/>
        <v>132</v>
      </c>
      <c r="Q153">
        <f t="shared" si="6"/>
        <v>1249</v>
      </c>
      <c r="R153">
        <f t="shared" si="7"/>
        <v>50</v>
      </c>
      <c r="S153">
        <f t="shared" si="8"/>
        <v>9567455</v>
      </c>
      <c r="T153">
        <f t="shared" si="9"/>
        <v>3114</v>
      </c>
      <c r="U153">
        <f t="shared" si="10"/>
        <v>135</v>
      </c>
      <c r="V153">
        <f t="shared" si="11"/>
        <v>23098985</v>
      </c>
      <c r="W153">
        <f>IF($A153="","",Allocation!CD153)</f>
        <v>156948</v>
      </c>
      <c r="X153">
        <f>IF($A153="","",Allocation!CE153)</f>
        <v>400192.8</v>
      </c>
      <c r="Y153">
        <f>IF($A153="","",Allocation!CF153)</f>
        <v>120559</v>
      </c>
      <c r="Z153">
        <f>IF($A153="","",Allocation!CG153)</f>
        <v>41783</v>
      </c>
      <c r="AA153">
        <f>IF($A153="","",Allocation!CH153)</f>
        <v>946679.56</v>
      </c>
      <c r="AB153">
        <f>IF($A153="","",Allocation!CI153)</f>
        <v>2891983</v>
      </c>
      <c r="AC153">
        <f>IF($A153="","",IF(Allocation!$N$4="VOL_EFF",$G153,IF(Allocation!$N$4="VOL_CLASS",$H153,$I153)))</f>
        <v>2</v>
      </c>
      <c r="AD153">
        <f>IF($A153="","",IF(Allocation!$N$4="VOL_EFF",$L153,IF(Allocation!$N$4="VOL_CLASS",$M153,$N153)))</f>
        <v>13</v>
      </c>
      <c r="AE153">
        <f>IF($A153="","",IF(Allocation!$N$3="VOL_EFF",$L153,IF(Allocation!$N$3="VOL_CLASS",$M153,$N153)))</f>
        <v>324</v>
      </c>
      <c r="AF153">
        <f>IF($A153="","",IF(Allocation!$N$3="VOL_EFF",$Q153,IF(Allocation!$N$3="VOL_CLASS",$R153,$S153)))</f>
        <v>1249</v>
      </c>
      <c r="AG153">
        <f>IF($A153="","",IF(Allocation!$N$1="VOL_EFF",$Q153,IF(Allocation!$N$1="VOL_CLASS",$R153,$S153)))</f>
        <v>50</v>
      </c>
      <c r="AH153">
        <f>IF($A153="","",IF(Allocation!$N$1="VOL_EFF",$T153,IF(Allocation!$N$1="VOL_CLASS",$U153,$V153)))</f>
        <v>135</v>
      </c>
      <c r="AI153">
        <f t="shared" si="12"/>
        <v>24145.8461538462</v>
      </c>
      <c r="AJ153">
        <f t="shared" si="13"/>
        <v>61568.1230769231</v>
      </c>
      <c r="AK153">
        <f t="shared" si="14"/>
        <v>23442.0277777778</v>
      </c>
      <c r="AL153">
        <f t="shared" si="15"/>
        <v>145643.009230769</v>
      </c>
      <c r="AM153">
        <f t="shared" si="16"/>
        <v>42746.5615569379</v>
      </c>
      <c r="AN153">
        <f t="shared" si="17"/>
        <v>154324.468638159</v>
      </c>
      <c r="AO153">
        <f>IF($A153="","",Allocation!CJ153)</f>
        <v>676344</v>
      </c>
      <c r="AP153">
        <f>IF($A153="","",IF(Allocation!$N$2="VOL_EFF",$Q153,IF(Allocation!$N$2="VOL_CLASS",$R153,$S153)))</f>
        <v>9567455</v>
      </c>
      <c r="AQ153">
        <f>IF($A153="","",IF(Allocation!$N$2="VOL_EFF",$T153,IF(Allocation!$N$2="VOL_CLASS",$U153,$V153)))</f>
        <v>23098985</v>
      </c>
      <c r="AR153">
        <f t="shared" si="18"/>
        <v>11179.9635655868</v>
      </c>
      <c r="AS153" t="str">
        <f>IF($A153="","",$A153&amp;"|"&amp;Allocation!BG153)</f>
        <v>2026|ACT</v>
      </c>
    </row>
    <row r="154" ht="14.497499999999997" customHeight="1">
      <c r="A154" t="str">
        <f>IF(Allocation!BI154="","",Allocation!BI154)</f>
        <v>2026</v>
      </c>
      <c r="B154" t="str">
        <f>IF(Allocation!BJ154="","",Allocation!BJ154)</f>
        <v>MBWAY_LYO</v>
      </c>
      <c r="C154" t="str">
        <f>IF(Allocation!BK154="","",Allocation!BK154)</f>
        <v>MBWAY</v>
      </c>
      <c r="D154" t="str">
        <f>IF(Allocation!BL154="","",Allocation!BL154)</f>
        <v>MAS_MGT</v>
      </c>
      <c r="E154" t="str">
        <f>IF(Allocation!BM154="","",Allocation!BM154)</f>
        <v>M1</v>
      </c>
      <c r="F154" t="str">
        <f>IF(Allocation!BN154="","",Allocation!BN154)</f>
        <v>ALT</v>
      </c>
      <c r="G154">
        <f>IF(Allocation!BO154="","",Allocation!BO154)</f>
        <v>66</v>
      </c>
      <c r="H154">
        <f>IF(Allocation!BP154="","",Allocation!BP154)</f>
        <v>3</v>
      </c>
      <c r="I154">
        <f>IF(Allocation!BQ154="","",Allocation!BQ154)</f>
        <v>525690</v>
      </c>
      <c r="J154">
        <f>IF(Allocation!CC154="","",Allocation!CC154)</f>
        <v>66</v>
      </c>
      <c r="K154">
        <f t="shared" si="0"/>
        <v>1260</v>
      </c>
      <c r="L154">
        <f t="shared" si="1"/>
        <v>324</v>
      </c>
      <c r="M154">
        <f t="shared" si="2"/>
        <v>13</v>
      </c>
      <c r="N154">
        <f t="shared" si="3"/>
        <v>2496705</v>
      </c>
      <c r="O154">
        <f t="shared" si="4"/>
        <v>6240</v>
      </c>
      <c r="P154">
        <f t="shared" si="5"/>
        <v>132</v>
      </c>
      <c r="Q154">
        <f t="shared" si="6"/>
        <v>1249</v>
      </c>
      <c r="R154">
        <f t="shared" si="7"/>
        <v>50</v>
      </c>
      <c r="S154">
        <f t="shared" si="8"/>
        <v>9567455</v>
      </c>
      <c r="T154">
        <f t="shared" si="9"/>
        <v>3114</v>
      </c>
      <c r="U154">
        <f t="shared" si="10"/>
        <v>135</v>
      </c>
      <c r="V154">
        <f t="shared" si="11"/>
        <v>23098985</v>
      </c>
      <c r="W154">
        <f>IF($A154="","",Allocation!CD154)</f>
        <v>156948</v>
      </c>
      <c r="X154">
        <f>IF($A154="","",Allocation!CE154)</f>
        <v>400192.8</v>
      </c>
      <c r="Y154">
        <f>IF($A154="","",Allocation!CF154)</f>
        <v>120559</v>
      </c>
      <c r="Z154">
        <f>IF($A154="","",Allocation!CG154)</f>
        <v>41783</v>
      </c>
      <c r="AA154">
        <f>IF($A154="","",Allocation!CH154)</f>
        <v>946679.56</v>
      </c>
      <c r="AB154">
        <f>IF($A154="","",Allocation!CI154)</f>
        <v>2891983</v>
      </c>
      <c r="AC154">
        <f>IF($A154="","",IF(Allocation!$N$4="VOL_EFF",$G154,IF(Allocation!$N$4="VOL_CLASS",$H154,$I154)))</f>
        <v>3</v>
      </c>
      <c r="AD154">
        <f>IF($A154="","",IF(Allocation!$N$4="VOL_EFF",$L154,IF(Allocation!$N$4="VOL_CLASS",$M154,$N154)))</f>
        <v>13</v>
      </c>
      <c r="AE154">
        <f>IF($A154="","",IF(Allocation!$N$3="VOL_EFF",$L154,IF(Allocation!$N$3="VOL_CLASS",$M154,$N154)))</f>
        <v>324</v>
      </c>
      <c r="AF154">
        <f>IF($A154="","",IF(Allocation!$N$3="VOL_EFF",$Q154,IF(Allocation!$N$3="VOL_CLASS",$R154,$S154)))</f>
        <v>1249</v>
      </c>
      <c r="AG154">
        <f>IF($A154="","",IF(Allocation!$N$1="VOL_EFF",$Q154,IF(Allocation!$N$1="VOL_CLASS",$R154,$S154)))</f>
        <v>50</v>
      </c>
      <c r="AH154">
        <f>IF($A154="","",IF(Allocation!$N$1="VOL_EFF",$T154,IF(Allocation!$N$1="VOL_CLASS",$U154,$V154)))</f>
        <v>135</v>
      </c>
      <c r="AI154">
        <f t="shared" si="12"/>
        <v>31691.4230769231</v>
      </c>
      <c r="AJ154">
        <f t="shared" si="13"/>
        <v>80808.1615384615</v>
      </c>
      <c r="AK154">
        <f t="shared" si="14"/>
        <v>45449.8148148148</v>
      </c>
      <c r="AL154">
        <f t="shared" si="15"/>
        <v>218464.513846154</v>
      </c>
      <c r="AM154">
        <f t="shared" si="16"/>
        <v>64119.8423354068</v>
      </c>
      <c r="AN154">
        <f t="shared" si="17"/>
        <v>68386.2990398596</v>
      </c>
      <c r="AO154">
        <f>IF($A154="","",Allocation!CJ154)</f>
        <v>676344</v>
      </c>
      <c r="AP154">
        <f>IF($A154="","",IF(Allocation!$N$2="VOL_EFF",$Q154,IF(Allocation!$N$2="VOL_CLASS",$R154,$S154)))</f>
        <v>9567455</v>
      </c>
      <c r="AQ154">
        <f>IF($A154="","",IF(Allocation!$N$2="VOL_EFF",$T154,IF(Allocation!$N$2="VOL_CLASS",$U154,$V154)))</f>
        <v>23098985</v>
      </c>
      <c r="AR154">
        <f t="shared" si="18"/>
        <v>16769.9453483802</v>
      </c>
      <c r="AS154" t="str">
        <f>IF($A154="","",$A154&amp;"|"&amp;Allocation!BG154)</f>
        <v>2026|ACT</v>
      </c>
    </row>
    <row r="155" ht="14.497499999999997" customHeight="1">
      <c r="A155" t="str">
        <f>IF(Allocation!BI155="","",Allocation!BI155)</f>
        <v>2026</v>
      </c>
      <c r="B155" t="str">
        <f>IF(Allocation!BJ155="","",Allocation!BJ155)</f>
        <v>MBWAY_LYO</v>
      </c>
      <c r="C155" t="str">
        <f>IF(Allocation!BK155="","",Allocation!BK155)</f>
        <v>MBWAY</v>
      </c>
      <c r="D155" t="str">
        <f>IF(Allocation!BL155="","",Allocation!BL155)</f>
        <v>MAS_MGT</v>
      </c>
      <c r="E155" t="str">
        <f>IF(Allocation!BM155="","",Allocation!BM155)</f>
        <v>M2</v>
      </c>
      <c r="F155" t="str">
        <f>IF(Allocation!BN155="","",Allocation!BN155)</f>
        <v>ALT</v>
      </c>
      <c r="G155">
        <f>IF(Allocation!BO155="","",Allocation!BO155)</f>
        <v>65</v>
      </c>
      <c r="H155">
        <f>IF(Allocation!BP155="","",Allocation!BP155)</f>
        <v>3</v>
      </c>
      <c r="I155">
        <f>IF(Allocation!BQ155="","",Allocation!BQ155)</f>
        <v>511875</v>
      </c>
      <c r="J155">
        <f>IF(Allocation!CC155="","",Allocation!CC155)</f>
        <v>0</v>
      </c>
      <c r="K155">
        <f t="shared" si="0"/>
        <v>1260</v>
      </c>
      <c r="L155">
        <f t="shared" si="1"/>
        <v>324</v>
      </c>
      <c r="M155">
        <f t="shared" si="2"/>
        <v>13</v>
      </c>
      <c r="N155">
        <f t="shared" si="3"/>
        <v>2496705</v>
      </c>
      <c r="O155">
        <f t="shared" si="4"/>
        <v>6240</v>
      </c>
      <c r="P155">
        <f t="shared" si="5"/>
        <v>132</v>
      </c>
      <c r="Q155">
        <f t="shared" si="6"/>
        <v>1249</v>
      </c>
      <c r="R155">
        <f t="shared" si="7"/>
        <v>50</v>
      </c>
      <c r="S155">
        <f t="shared" si="8"/>
        <v>9567455</v>
      </c>
      <c r="T155">
        <f t="shared" si="9"/>
        <v>3114</v>
      </c>
      <c r="U155">
        <f t="shared" si="10"/>
        <v>135</v>
      </c>
      <c r="V155">
        <f t="shared" si="11"/>
        <v>23098985</v>
      </c>
      <c r="W155">
        <f>IF($A155="","",Allocation!CD155)</f>
        <v>156948</v>
      </c>
      <c r="X155">
        <f>IF($A155="","",Allocation!CE155)</f>
        <v>400192.8</v>
      </c>
      <c r="Y155">
        <f>IF($A155="","",Allocation!CF155)</f>
        <v>120559</v>
      </c>
      <c r="Z155">
        <f>IF($A155="","",Allocation!CG155)</f>
        <v>41783</v>
      </c>
      <c r="AA155">
        <f>IF($A155="","",Allocation!CH155)</f>
        <v>946679.56</v>
      </c>
      <c r="AB155">
        <f>IF($A155="","",Allocation!CI155)</f>
        <v>2891983</v>
      </c>
      <c r="AC155">
        <f>IF($A155="","",IF(Allocation!$N$4="VOL_EFF",$G155,IF(Allocation!$N$4="VOL_CLASS",$H155,$I155)))</f>
        <v>3</v>
      </c>
      <c r="AD155">
        <f>IF($A155="","",IF(Allocation!$N$4="VOL_EFF",$L155,IF(Allocation!$N$4="VOL_CLASS",$M155,$N155)))</f>
        <v>13</v>
      </c>
      <c r="AE155">
        <f>IF($A155="","",IF(Allocation!$N$3="VOL_EFF",$L155,IF(Allocation!$N$3="VOL_CLASS",$M155,$N155)))</f>
        <v>324</v>
      </c>
      <c r="AF155">
        <f>IF($A155="","",IF(Allocation!$N$3="VOL_EFF",$Q155,IF(Allocation!$N$3="VOL_CLASS",$R155,$S155)))</f>
        <v>1249</v>
      </c>
      <c r="AG155">
        <f>IF($A155="","",IF(Allocation!$N$1="VOL_EFF",$Q155,IF(Allocation!$N$1="VOL_CLASS",$R155,$S155)))</f>
        <v>50</v>
      </c>
      <c r="AH155">
        <f>IF($A155="","",IF(Allocation!$N$1="VOL_EFF",$T155,IF(Allocation!$N$1="VOL_CLASS",$U155,$V155)))</f>
        <v>135</v>
      </c>
      <c r="AI155">
        <f t="shared" si="12"/>
        <v>31691.4230769231</v>
      </c>
      <c r="AJ155">
        <f t="shared" si="13"/>
        <v>80808.1615384615</v>
      </c>
      <c r="AK155">
        <f t="shared" si="14"/>
        <v>24186.2191358025</v>
      </c>
      <c r="AL155">
        <f t="shared" si="15"/>
        <v>218464.513846154</v>
      </c>
      <c r="AM155">
        <f t="shared" si="16"/>
        <v>64119.8423354068</v>
      </c>
      <c r="AN155">
        <f t="shared" si="17"/>
        <v>75834.8947188719</v>
      </c>
      <c r="AO155">
        <f>IF($A155="","",Allocation!CJ155)</f>
        <v>676344</v>
      </c>
      <c r="AP155">
        <f>IF($A155="","",IF(Allocation!$N$2="VOL_EFF",$Q155,IF(Allocation!$N$2="VOL_CLASS",$R155,$S155)))</f>
        <v>9567455</v>
      </c>
      <c r="AQ155">
        <f>IF($A155="","",IF(Allocation!$N$2="VOL_EFF",$T155,IF(Allocation!$N$2="VOL_CLASS",$U155,$V155)))</f>
        <v>23098985</v>
      </c>
      <c r="AR155">
        <f t="shared" si="18"/>
        <v>16769.9453483802</v>
      </c>
      <c r="AS155" t="str">
        <f>IF($A155="","",$A155&amp;"|"&amp;Allocation!BG155)</f>
        <v>2026|ACT</v>
      </c>
    </row>
    <row r="156" ht="14.497499999999997" customHeight="1">
      <c r="A156" t="str">
        <f>IF(Allocation!BI156="","",Allocation!BI156)</f>
        <v>2026</v>
      </c>
      <c r="B156" t="str">
        <f>IF(Allocation!BJ156="","",Allocation!BJ156)</f>
        <v>MBWAY_NAN</v>
      </c>
      <c r="C156" t="str">
        <f>IF(Allocation!BK156="","",Allocation!BK156)</f>
        <v>MBWAY</v>
      </c>
      <c r="D156" t="str">
        <f>IF(Allocation!BL156="","",Allocation!BL156)</f>
        <v>BAC_MGT</v>
      </c>
      <c r="E156" t="str">
        <f>IF(Allocation!BM156="","",Allocation!BM156)</f>
        <v>B1</v>
      </c>
      <c r="F156" t="str">
        <f>IF(Allocation!BN156="","",Allocation!BN156)</f>
        <v>INIT</v>
      </c>
      <c r="G156">
        <f>IF(Allocation!BO156="","",Allocation!BO156)</f>
        <v>60</v>
      </c>
      <c r="H156">
        <f>IF(Allocation!BP156="","",Allocation!BP156)</f>
        <v>2</v>
      </c>
      <c r="I156">
        <f>IF(Allocation!BQ156="","",Allocation!BQ156)</f>
        <v>455400</v>
      </c>
      <c r="J156">
        <f>IF(Allocation!CC156="","",Allocation!CC156)</f>
        <v>60</v>
      </c>
      <c r="K156">
        <f t="shared" si="0"/>
        <v>1200</v>
      </c>
      <c r="L156">
        <f t="shared" si="1"/>
        <v>294</v>
      </c>
      <c r="M156">
        <f t="shared" si="2"/>
        <v>12</v>
      </c>
      <c r="N156">
        <f t="shared" si="3"/>
        <v>2158300</v>
      </c>
      <c r="O156">
        <f t="shared" si="4"/>
        <v>5640</v>
      </c>
      <c r="P156">
        <f t="shared" si="5"/>
        <v>120</v>
      </c>
      <c r="Q156">
        <f t="shared" si="6"/>
        <v>1249</v>
      </c>
      <c r="R156">
        <f t="shared" si="7"/>
        <v>50</v>
      </c>
      <c r="S156">
        <f t="shared" si="8"/>
        <v>9567455</v>
      </c>
      <c r="T156">
        <f t="shared" si="9"/>
        <v>3114</v>
      </c>
      <c r="U156">
        <f t="shared" si="10"/>
        <v>135</v>
      </c>
      <c r="V156">
        <f t="shared" si="11"/>
        <v>23098985</v>
      </c>
      <c r="W156">
        <f>IF($A156="","",Allocation!CD156)</f>
        <v>144875</v>
      </c>
      <c r="X156">
        <f>IF($A156="","",Allocation!CE156)</f>
        <v>344252.4</v>
      </c>
      <c r="Y156">
        <f>IF($A156="","",Allocation!CF156)</f>
        <v>109396</v>
      </c>
      <c r="Z156">
        <f>IF($A156="","",Allocation!CG156)</f>
        <v>31533</v>
      </c>
      <c r="AA156">
        <f>IF($A156="","",Allocation!CH156)</f>
        <v>804994.13</v>
      </c>
      <c r="AB156">
        <f>IF($A156="","",Allocation!CI156)</f>
        <v>2891983</v>
      </c>
      <c r="AC156">
        <f>IF($A156="","",IF(Allocation!$N$4="VOL_EFF",$G156,IF(Allocation!$N$4="VOL_CLASS",$H156,$I156)))</f>
        <v>2</v>
      </c>
      <c r="AD156">
        <f>IF($A156="","",IF(Allocation!$N$4="VOL_EFF",$L156,IF(Allocation!$N$4="VOL_CLASS",$M156,$N156)))</f>
        <v>12</v>
      </c>
      <c r="AE156">
        <f>IF($A156="","",IF(Allocation!$N$3="VOL_EFF",$L156,IF(Allocation!$N$3="VOL_CLASS",$M156,$N156)))</f>
        <v>294</v>
      </c>
      <c r="AF156">
        <f>IF($A156="","",IF(Allocation!$N$3="VOL_EFF",$Q156,IF(Allocation!$N$3="VOL_CLASS",$R156,$S156)))</f>
        <v>1249</v>
      </c>
      <c r="AG156">
        <f>IF($A156="","",IF(Allocation!$N$1="VOL_EFF",$Q156,IF(Allocation!$N$1="VOL_CLASS",$R156,$S156)))</f>
        <v>50</v>
      </c>
      <c r="AH156">
        <f>IF($A156="","",IF(Allocation!$N$1="VOL_EFF",$T156,IF(Allocation!$N$1="VOL_CLASS",$U156,$V156)))</f>
        <v>135</v>
      </c>
      <c r="AI156">
        <f t="shared" si="12"/>
        <v>30824.4680851064</v>
      </c>
      <c r="AJ156">
        <f t="shared" si="13"/>
        <v>73245.1914893617</v>
      </c>
      <c r="AK156">
        <f t="shared" si="14"/>
        <v>38092.2142857143</v>
      </c>
      <c r="AL156">
        <f t="shared" si="15"/>
        <v>134165.688333333</v>
      </c>
      <c r="AM156">
        <f t="shared" si="16"/>
        <v>42020.9254811256</v>
      </c>
      <c r="AN156">
        <f t="shared" si="17"/>
        <v>126061.332091904</v>
      </c>
      <c r="AO156">
        <f>IF($A156="","",Allocation!CJ156)</f>
        <v>676344</v>
      </c>
      <c r="AP156">
        <f>IF($A156="","",IF(Allocation!$N$2="VOL_EFF",$Q156,IF(Allocation!$N$2="VOL_CLASS",$R156,$S156)))</f>
        <v>9567455</v>
      </c>
      <c r="AQ156">
        <f>IF($A156="","",IF(Allocation!$N$2="VOL_EFF",$T156,IF(Allocation!$N$2="VOL_CLASS",$U156,$V156)))</f>
        <v>23098985</v>
      </c>
      <c r="AR156">
        <f t="shared" si="18"/>
        <v>10990.1802334549</v>
      </c>
      <c r="AS156" t="str">
        <f>IF($A156="","",$A156&amp;"|"&amp;Allocation!BG156)</f>
        <v>2026|ACT</v>
      </c>
    </row>
    <row r="157" ht="14.497499999999997" customHeight="1">
      <c r="A157" t="str">
        <f>IF(Allocation!BI157="","",Allocation!BI157)</f>
        <v>2026</v>
      </c>
      <c r="B157" t="str">
        <f>IF(Allocation!BJ157="","",Allocation!BJ157)</f>
        <v>MBWAY_NAN</v>
      </c>
      <c r="C157" t="str">
        <f>IF(Allocation!BK157="","",Allocation!BK157)</f>
        <v>MBWAY</v>
      </c>
      <c r="D157" t="str">
        <f>IF(Allocation!BL157="","",Allocation!BL157)</f>
        <v>BAC_MGT</v>
      </c>
      <c r="E157" t="str">
        <f>IF(Allocation!BM157="","",Allocation!BM157)</f>
        <v>B2</v>
      </c>
      <c r="F157" t="str">
        <f>IF(Allocation!BN157="","",Allocation!BN157)</f>
        <v>ALT</v>
      </c>
      <c r="G157">
        <f>IF(Allocation!BO157="","",Allocation!BO157)</f>
        <v>58</v>
      </c>
      <c r="H157">
        <f>IF(Allocation!BP157="","",Allocation!BP157)</f>
        <v>2</v>
      </c>
      <c r="I157">
        <f>IF(Allocation!BQ157="","",Allocation!BQ157)</f>
        <v>406000</v>
      </c>
      <c r="J157">
        <f>IF(Allocation!CC157="","",Allocation!CC157)</f>
        <v>0</v>
      </c>
      <c r="K157">
        <f t="shared" si="0"/>
        <v>960</v>
      </c>
      <c r="L157">
        <f t="shared" si="1"/>
        <v>294</v>
      </c>
      <c r="M157">
        <f t="shared" si="2"/>
        <v>12</v>
      </c>
      <c r="N157">
        <f t="shared" si="3"/>
        <v>2158300</v>
      </c>
      <c r="O157">
        <f t="shared" si="4"/>
        <v>5640</v>
      </c>
      <c r="P157">
        <f t="shared" si="5"/>
        <v>120</v>
      </c>
      <c r="Q157">
        <f t="shared" si="6"/>
        <v>1249</v>
      </c>
      <c r="R157">
        <f t="shared" si="7"/>
        <v>50</v>
      </c>
      <c r="S157">
        <f t="shared" si="8"/>
        <v>9567455</v>
      </c>
      <c r="T157">
        <f t="shared" si="9"/>
        <v>3114</v>
      </c>
      <c r="U157">
        <f t="shared" si="10"/>
        <v>135</v>
      </c>
      <c r="V157">
        <f t="shared" si="11"/>
        <v>23098985</v>
      </c>
      <c r="W157">
        <f>IF($A157="","",Allocation!CD157)</f>
        <v>144875</v>
      </c>
      <c r="X157">
        <f>IF($A157="","",Allocation!CE157)</f>
        <v>344252.4</v>
      </c>
      <c r="Y157">
        <f>IF($A157="","",Allocation!CF157)</f>
        <v>109396</v>
      </c>
      <c r="Z157">
        <f>IF($A157="","",Allocation!CG157)</f>
        <v>31533</v>
      </c>
      <c r="AA157">
        <f>IF($A157="","",Allocation!CH157)</f>
        <v>804994.13</v>
      </c>
      <c r="AB157">
        <f>IF($A157="","",Allocation!CI157)</f>
        <v>2891983</v>
      </c>
      <c r="AC157">
        <f>IF($A157="","",IF(Allocation!$N$4="VOL_EFF",$G157,IF(Allocation!$N$4="VOL_CLASS",$H157,$I157)))</f>
        <v>2</v>
      </c>
      <c r="AD157">
        <f>IF($A157="","",IF(Allocation!$N$4="VOL_EFF",$L157,IF(Allocation!$N$4="VOL_CLASS",$M157,$N157)))</f>
        <v>12</v>
      </c>
      <c r="AE157">
        <f>IF($A157="","",IF(Allocation!$N$3="VOL_EFF",$L157,IF(Allocation!$N$3="VOL_CLASS",$M157,$N157)))</f>
        <v>294</v>
      </c>
      <c r="AF157">
        <f>IF($A157="","",IF(Allocation!$N$3="VOL_EFF",$Q157,IF(Allocation!$N$3="VOL_CLASS",$R157,$S157)))</f>
        <v>1249</v>
      </c>
      <c r="AG157">
        <f>IF($A157="","",IF(Allocation!$N$1="VOL_EFF",$Q157,IF(Allocation!$N$1="VOL_CLASS",$R157,$S157)))</f>
        <v>50</v>
      </c>
      <c r="AH157">
        <f>IF($A157="","",IF(Allocation!$N$1="VOL_EFF",$T157,IF(Allocation!$N$1="VOL_CLASS",$U157,$V157)))</f>
        <v>135</v>
      </c>
      <c r="AI157">
        <f t="shared" si="12"/>
        <v>24659.5744680851</v>
      </c>
      <c r="AJ157">
        <f t="shared" si="13"/>
        <v>58596.1531914894</v>
      </c>
      <c r="AK157">
        <f t="shared" si="14"/>
        <v>21581.5238095238</v>
      </c>
      <c r="AL157">
        <f t="shared" si="15"/>
        <v>134165.688333333</v>
      </c>
      <c r="AM157">
        <f t="shared" si="16"/>
        <v>42020.9254811256</v>
      </c>
      <c r="AN157">
        <f t="shared" si="17"/>
        <v>113985.954482988</v>
      </c>
      <c r="AO157">
        <f>IF($A157="","",Allocation!CJ157)</f>
        <v>676344</v>
      </c>
      <c r="AP157">
        <f>IF($A157="","",IF(Allocation!$N$2="VOL_EFF",$Q157,IF(Allocation!$N$2="VOL_CLASS",$R157,$S157)))</f>
        <v>9567455</v>
      </c>
      <c r="AQ157">
        <f>IF($A157="","",IF(Allocation!$N$2="VOL_EFF",$T157,IF(Allocation!$N$2="VOL_CLASS",$U157,$V157)))</f>
        <v>23098985</v>
      </c>
      <c r="AR157">
        <f t="shared" si="18"/>
        <v>10990.1802334549</v>
      </c>
      <c r="AS157" t="str">
        <f>IF($A157="","",$A157&amp;"|"&amp;Allocation!BG157)</f>
        <v>2026|ACT</v>
      </c>
    </row>
    <row r="158" ht="14.497499999999997" customHeight="1">
      <c r="A158" t="str">
        <f>IF(Allocation!BI158="","",Allocation!BI158)</f>
        <v>2026</v>
      </c>
      <c r="B158" t="str">
        <f>IF(Allocation!BJ158="","",Allocation!BJ158)</f>
        <v>MBWAY_NAN</v>
      </c>
      <c r="C158" t="str">
        <f>IF(Allocation!BK158="","",Allocation!BK158)</f>
        <v>MBWAY</v>
      </c>
      <c r="D158" t="str">
        <f>IF(Allocation!BL158="","",Allocation!BL158)</f>
        <v>BAC_MGT</v>
      </c>
      <c r="E158" t="str">
        <f>IF(Allocation!BM158="","",Allocation!BM158)</f>
        <v>B3</v>
      </c>
      <c r="F158" t="str">
        <f>IF(Allocation!BN158="","",Allocation!BN158)</f>
        <v>ALT</v>
      </c>
      <c r="G158">
        <f>IF(Allocation!BO158="","",Allocation!BO158)</f>
        <v>57</v>
      </c>
      <c r="H158">
        <f>IF(Allocation!BP158="","",Allocation!BP158)</f>
        <v>2</v>
      </c>
      <c r="I158">
        <f>IF(Allocation!BQ158="","",Allocation!BQ158)</f>
        <v>399000</v>
      </c>
      <c r="J158">
        <f>IF(Allocation!CC158="","",Allocation!CC158)</f>
        <v>0</v>
      </c>
      <c r="K158">
        <f t="shared" si="0"/>
        <v>960</v>
      </c>
      <c r="L158">
        <f t="shared" si="1"/>
        <v>294</v>
      </c>
      <c r="M158">
        <f t="shared" si="2"/>
        <v>12</v>
      </c>
      <c r="N158">
        <f t="shared" si="3"/>
        <v>2158300</v>
      </c>
      <c r="O158">
        <f t="shared" si="4"/>
        <v>5640</v>
      </c>
      <c r="P158">
        <f t="shared" si="5"/>
        <v>120</v>
      </c>
      <c r="Q158">
        <f t="shared" si="6"/>
        <v>1249</v>
      </c>
      <c r="R158">
        <f t="shared" si="7"/>
        <v>50</v>
      </c>
      <c r="S158">
        <f t="shared" si="8"/>
        <v>9567455</v>
      </c>
      <c r="T158">
        <f t="shared" si="9"/>
        <v>3114</v>
      </c>
      <c r="U158">
        <f t="shared" si="10"/>
        <v>135</v>
      </c>
      <c r="V158">
        <f t="shared" si="11"/>
        <v>23098985</v>
      </c>
      <c r="W158">
        <f>IF($A158="","",Allocation!CD158)</f>
        <v>144875</v>
      </c>
      <c r="X158">
        <f>IF($A158="","",Allocation!CE158)</f>
        <v>344252.4</v>
      </c>
      <c r="Y158">
        <f>IF($A158="","",Allocation!CF158)</f>
        <v>109396</v>
      </c>
      <c r="Z158">
        <f>IF($A158="","",Allocation!CG158)</f>
        <v>31533</v>
      </c>
      <c r="AA158">
        <f>IF($A158="","",Allocation!CH158)</f>
        <v>804994.13</v>
      </c>
      <c r="AB158">
        <f>IF($A158="","",Allocation!CI158)</f>
        <v>2891983</v>
      </c>
      <c r="AC158">
        <f>IF($A158="","",IF(Allocation!$N$4="VOL_EFF",$G158,IF(Allocation!$N$4="VOL_CLASS",$H158,$I158)))</f>
        <v>2</v>
      </c>
      <c r="AD158">
        <f>IF($A158="","",IF(Allocation!$N$4="VOL_EFF",$L158,IF(Allocation!$N$4="VOL_CLASS",$M158,$N158)))</f>
        <v>12</v>
      </c>
      <c r="AE158">
        <f>IF($A158="","",IF(Allocation!$N$3="VOL_EFF",$L158,IF(Allocation!$N$3="VOL_CLASS",$M158,$N158)))</f>
        <v>294</v>
      </c>
      <c r="AF158">
        <f>IF($A158="","",IF(Allocation!$N$3="VOL_EFF",$Q158,IF(Allocation!$N$3="VOL_CLASS",$R158,$S158)))</f>
        <v>1249</v>
      </c>
      <c r="AG158">
        <f>IF($A158="","",IF(Allocation!$N$1="VOL_EFF",$Q158,IF(Allocation!$N$1="VOL_CLASS",$R158,$S158)))</f>
        <v>50</v>
      </c>
      <c r="AH158">
        <f>IF($A158="","",IF(Allocation!$N$1="VOL_EFF",$T158,IF(Allocation!$N$1="VOL_CLASS",$U158,$V158)))</f>
        <v>135</v>
      </c>
      <c r="AI158">
        <f t="shared" si="12"/>
        <v>24659.5744680851</v>
      </c>
      <c r="AJ158">
        <f t="shared" si="13"/>
        <v>58596.1531914894</v>
      </c>
      <c r="AK158">
        <f t="shared" si="14"/>
        <v>21209.4285714286</v>
      </c>
      <c r="AL158">
        <f t="shared" si="15"/>
        <v>134165.688333333</v>
      </c>
      <c r="AM158">
        <f t="shared" si="16"/>
        <v>42020.9254811256</v>
      </c>
      <c r="AN158">
        <f t="shared" si="17"/>
        <v>107358.049721083</v>
      </c>
      <c r="AO158">
        <f>IF($A158="","",Allocation!CJ158)</f>
        <v>676344</v>
      </c>
      <c r="AP158">
        <f>IF($A158="","",IF(Allocation!$N$2="VOL_EFF",$Q158,IF(Allocation!$N$2="VOL_CLASS",$R158,$S158)))</f>
        <v>9567455</v>
      </c>
      <c r="AQ158">
        <f>IF($A158="","",IF(Allocation!$N$2="VOL_EFF",$T158,IF(Allocation!$N$2="VOL_CLASS",$U158,$V158)))</f>
        <v>23098985</v>
      </c>
      <c r="AR158">
        <f t="shared" si="18"/>
        <v>10990.1802334549</v>
      </c>
      <c r="AS158" t="str">
        <f>IF($A158="","",$A158&amp;"|"&amp;Allocation!BG158)</f>
        <v>2026|ACT</v>
      </c>
    </row>
    <row r="159" ht="14.497499999999997" customHeight="1">
      <c r="A159" t="str">
        <f>IF(Allocation!BI159="","",Allocation!BI159)</f>
        <v>2026</v>
      </c>
      <c r="B159" t="str">
        <f>IF(Allocation!BJ159="","",Allocation!BJ159)</f>
        <v>MBWAY_NAN</v>
      </c>
      <c r="C159" t="str">
        <f>IF(Allocation!BK159="","",Allocation!BK159)</f>
        <v>MBWAY</v>
      </c>
      <c r="D159" t="str">
        <f>IF(Allocation!BL159="","",Allocation!BL159)</f>
        <v>MAS_MGT</v>
      </c>
      <c r="E159" t="str">
        <f>IF(Allocation!BM159="","",Allocation!BM159)</f>
        <v>M1</v>
      </c>
      <c r="F159" t="str">
        <f>IF(Allocation!BN159="","",Allocation!BN159)</f>
        <v>ALT</v>
      </c>
      <c r="G159">
        <f>IF(Allocation!BO159="","",Allocation!BO159)</f>
        <v>60</v>
      </c>
      <c r="H159">
        <f>IF(Allocation!BP159="","",Allocation!BP159)</f>
        <v>3</v>
      </c>
      <c r="I159">
        <f>IF(Allocation!BQ159="","",Allocation!BQ159)</f>
        <v>455400</v>
      </c>
      <c r="J159">
        <f>IF(Allocation!CC159="","",Allocation!CC159)</f>
        <v>60</v>
      </c>
      <c r="K159">
        <f t="shared" si="0"/>
        <v>1260</v>
      </c>
      <c r="L159">
        <f t="shared" si="1"/>
        <v>294</v>
      </c>
      <c r="M159">
        <f t="shared" si="2"/>
        <v>12</v>
      </c>
      <c r="N159">
        <f t="shared" si="3"/>
        <v>2158300</v>
      </c>
      <c r="O159">
        <f t="shared" si="4"/>
        <v>5640</v>
      </c>
      <c r="P159">
        <f t="shared" si="5"/>
        <v>120</v>
      </c>
      <c r="Q159">
        <f t="shared" si="6"/>
        <v>1249</v>
      </c>
      <c r="R159">
        <f t="shared" si="7"/>
        <v>50</v>
      </c>
      <c r="S159">
        <f t="shared" si="8"/>
        <v>9567455</v>
      </c>
      <c r="T159">
        <f t="shared" si="9"/>
        <v>3114</v>
      </c>
      <c r="U159">
        <f t="shared" si="10"/>
        <v>135</v>
      </c>
      <c r="V159">
        <f t="shared" si="11"/>
        <v>23098985</v>
      </c>
      <c r="W159">
        <f>IF($A159="","",Allocation!CD159)</f>
        <v>144875</v>
      </c>
      <c r="X159">
        <f>IF($A159="","",Allocation!CE159)</f>
        <v>344252.4</v>
      </c>
      <c r="Y159">
        <f>IF($A159="","",Allocation!CF159)</f>
        <v>109396</v>
      </c>
      <c r="Z159">
        <f>IF($A159="","",Allocation!CG159)</f>
        <v>31533</v>
      </c>
      <c r="AA159">
        <f>IF($A159="","",Allocation!CH159)</f>
        <v>804994.13</v>
      </c>
      <c r="AB159">
        <f>IF($A159="","",Allocation!CI159)</f>
        <v>2891983</v>
      </c>
      <c r="AC159">
        <f>IF($A159="","",IF(Allocation!$N$4="VOL_EFF",$G159,IF(Allocation!$N$4="VOL_CLASS",$H159,$I159)))</f>
        <v>3</v>
      </c>
      <c r="AD159">
        <f>IF($A159="","",IF(Allocation!$N$4="VOL_EFF",$L159,IF(Allocation!$N$4="VOL_CLASS",$M159,$N159)))</f>
        <v>12</v>
      </c>
      <c r="AE159">
        <f>IF($A159="","",IF(Allocation!$N$3="VOL_EFF",$L159,IF(Allocation!$N$3="VOL_CLASS",$M159,$N159)))</f>
        <v>294</v>
      </c>
      <c r="AF159">
        <f>IF($A159="","",IF(Allocation!$N$3="VOL_EFF",$Q159,IF(Allocation!$N$3="VOL_CLASS",$R159,$S159)))</f>
        <v>1249</v>
      </c>
      <c r="AG159">
        <f>IF($A159="","",IF(Allocation!$N$1="VOL_EFF",$Q159,IF(Allocation!$N$1="VOL_CLASS",$R159,$S159)))</f>
        <v>50</v>
      </c>
      <c r="AH159">
        <f>IF($A159="","",IF(Allocation!$N$1="VOL_EFF",$T159,IF(Allocation!$N$1="VOL_CLASS",$U159,$V159)))</f>
        <v>135</v>
      </c>
      <c r="AI159">
        <f t="shared" si="12"/>
        <v>32365.6914893617</v>
      </c>
      <c r="AJ159">
        <f t="shared" si="13"/>
        <v>76907.4510638298</v>
      </c>
      <c r="AK159">
        <f t="shared" si="14"/>
        <v>38092.2142857143</v>
      </c>
      <c r="AL159">
        <f t="shared" si="15"/>
        <v>201248.5325</v>
      </c>
      <c r="AM159">
        <f t="shared" si="16"/>
        <v>63031.3882216885</v>
      </c>
      <c r="AN159">
        <f t="shared" si="17"/>
        <v>27269.4520892233</v>
      </c>
      <c r="AO159">
        <f>IF($A159="","",Allocation!CJ159)</f>
        <v>676344</v>
      </c>
      <c r="AP159">
        <f>IF($A159="","",IF(Allocation!$N$2="VOL_EFF",$Q159,IF(Allocation!$N$2="VOL_CLASS",$R159,$S159)))</f>
        <v>9567455</v>
      </c>
      <c r="AQ159">
        <f>IF($A159="","",IF(Allocation!$N$2="VOL_EFF",$T159,IF(Allocation!$N$2="VOL_CLASS",$U159,$V159)))</f>
        <v>23098985</v>
      </c>
      <c r="AR159">
        <f t="shared" si="18"/>
        <v>16485.2703501824</v>
      </c>
      <c r="AS159" t="str">
        <f>IF($A159="","",$A159&amp;"|"&amp;Allocation!BG159)</f>
        <v>2026|ACT</v>
      </c>
    </row>
    <row r="160" ht="14.497499999999997" customHeight="1">
      <c r="A160" t="str">
        <f>IF(Allocation!BI160="","",Allocation!BI160)</f>
        <v>2026</v>
      </c>
      <c r="B160" t="str">
        <f>IF(Allocation!BJ160="","",Allocation!BJ160)</f>
        <v>MBWAY_NAN</v>
      </c>
      <c r="C160" t="str">
        <f>IF(Allocation!BK160="","",Allocation!BK160)</f>
        <v>MBWAY</v>
      </c>
      <c r="D160" t="str">
        <f>IF(Allocation!BL160="","",Allocation!BL160)</f>
        <v>MAS_MGT</v>
      </c>
      <c r="E160" t="str">
        <f>IF(Allocation!BM160="","",Allocation!BM160)</f>
        <v>M2</v>
      </c>
      <c r="F160" t="str">
        <f>IF(Allocation!BN160="","",Allocation!BN160)</f>
        <v>ALT</v>
      </c>
      <c r="G160">
        <f>IF(Allocation!BO160="","",Allocation!BO160)</f>
        <v>59</v>
      </c>
      <c r="H160">
        <f>IF(Allocation!BP160="","",Allocation!BP160)</f>
        <v>3</v>
      </c>
      <c r="I160">
        <f>IF(Allocation!BQ160="","",Allocation!BQ160)</f>
        <v>442500</v>
      </c>
      <c r="J160">
        <f>IF(Allocation!CC160="","",Allocation!CC160)</f>
        <v>0</v>
      </c>
      <c r="K160">
        <f t="shared" si="0"/>
        <v>1260</v>
      </c>
      <c r="L160">
        <f t="shared" si="1"/>
        <v>294</v>
      </c>
      <c r="M160">
        <f t="shared" si="2"/>
        <v>12</v>
      </c>
      <c r="N160">
        <f t="shared" si="3"/>
        <v>2158300</v>
      </c>
      <c r="O160">
        <f t="shared" si="4"/>
        <v>5640</v>
      </c>
      <c r="P160">
        <f t="shared" si="5"/>
        <v>120</v>
      </c>
      <c r="Q160">
        <f t="shared" si="6"/>
        <v>1249</v>
      </c>
      <c r="R160">
        <f t="shared" si="7"/>
        <v>50</v>
      </c>
      <c r="S160">
        <f t="shared" si="8"/>
        <v>9567455</v>
      </c>
      <c r="T160">
        <f t="shared" si="9"/>
        <v>3114</v>
      </c>
      <c r="U160">
        <f t="shared" si="10"/>
        <v>135</v>
      </c>
      <c r="V160">
        <f t="shared" si="11"/>
        <v>23098985</v>
      </c>
      <c r="W160">
        <f>IF($A160="","",Allocation!CD160)</f>
        <v>144875</v>
      </c>
      <c r="X160">
        <f>IF($A160="","",Allocation!CE160)</f>
        <v>344252.4</v>
      </c>
      <c r="Y160">
        <f>IF($A160="","",Allocation!CF160)</f>
        <v>109396</v>
      </c>
      <c r="Z160">
        <f>IF($A160="","",Allocation!CG160)</f>
        <v>31533</v>
      </c>
      <c r="AA160">
        <f>IF($A160="","",Allocation!CH160)</f>
        <v>804994.13</v>
      </c>
      <c r="AB160">
        <f>IF($A160="","",Allocation!CI160)</f>
        <v>2891983</v>
      </c>
      <c r="AC160">
        <f>IF($A160="","",IF(Allocation!$N$4="VOL_EFF",$G160,IF(Allocation!$N$4="VOL_CLASS",$H160,$I160)))</f>
        <v>3</v>
      </c>
      <c r="AD160">
        <f>IF($A160="","",IF(Allocation!$N$4="VOL_EFF",$L160,IF(Allocation!$N$4="VOL_CLASS",$M160,$N160)))</f>
        <v>12</v>
      </c>
      <c r="AE160">
        <f>IF($A160="","",IF(Allocation!$N$3="VOL_EFF",$L160,IF(Allocation!$N$3="VOL_CLASS",$M160,$N160)))</f>
        <v>294</v>
      </c>
      <c r="AF160">
        <f>IF($A160="","",IF(Allocation!$N$3="VOL_EFF",$Q160,IF(Allocation!$N$3="VOL_CLASS",$R160,$S160)))</f>
        <v>1249</v>
      </c>
      <c r="AG160">
        <f>IF($A160="","",IF(Allocation!$N$1="VOL_EFF",$Q160,IF(Allocation!$N$1="VOL_CLASS",$R160,$S160)))</f>
        <v>50</v>
      </c>
      <c r="AH160">
        <f>IF($A160="","",IF(Allocation!$N$1="VOL_EFF",$T160,IF(Allocation!$N$1="VOL_CLASS",$U160,$V160)))</f>
        <v>135</v>
      </c>
      <c r="AI160">
        <f t="shared" si="12"/>
        <v>32365.6914893617</v>
      </c>
      <c r="AJ160">
        <f t="shared" si="13"/>
        <v>76907.4510638298</v>
      </c>
      <c r="AK160">
        <f t="shared" si="14"/>
        <v>21953.619047619</v>
      </c>
      <c r="AL160">
        <f t="shared" si="15"/>
        <v>201248.5325</v>
      </c>
      <c r="AM160">
        <f t="shared" si="16"/>
        <v>63031.3882216885</v>
      </c>
      <c r="AN160">
        <f t="shared" si="17"/>
        <v>30508.0473273186</v>
      </c>
      <c r="AO160">
        <f>IF($A160="","",Allocation!CJ160)</f>
        <v>676344</v>
      </c>
      <c r="AP160">
        <f>IF($A160="","",IF(Allocation!$N$2="VOL_EFF",$Q160,IF(Allocation!$N$2="VOL_CLASS",$R160,$S160)))</f>
        <v>9567455</v>
      </c>
      <c r="AQ160">
        <f>IF($A160="","",IF(Allocation!$N$2="VOL_EFF",$T160,IF(Allocation!$N$2="VOL_CLASS",$U160,$V160)))</f>
        <v>23098985</v>
      </c>
      <c r="AR160">
        <f t="shared" si="18"/>
        <v>16485.2703501824</v>
      </c>
      <c r="AS160" t="str">
        <f>IF($A160="","",$A160&amp;"|"&amp;Allocation!BG160)</f>
        <v>2026|ACT</v>
      </c>
    </row>
    <row r="161" ht="14.497499999999997" customHeight="1">
      <c r="A161" t="str">
        <f>IF(Allocation!BI161="","",Allocation!BI161)</f>
        <v>2026</v>
      </c>
      <c r="B161" t="str">
        <f>IF(Allocation!BJ161="","",Allocation!BJ161)</f>
        <v>MBWAY_PAR</v>
      </c>
      <c r="C161" t="str">
        <f>IF(Allocation!BK161="","",Allocation!BK161)</f>
        <v>MBWAY</v>
      </c>
      <c r="D161" t="str">
        <f>IF(Allocation!BL161="","",Allocation!BL161)</f>
        <v>BAC_MGT</v>
      </c>
      <c r="E161" t="str">
        <f>IF(Allocation!BM161="","",Allocation!BM161)</f>
        <v>B1</v>
      </c>
      <c r="F161" t="str">
        <f>IF(Allocation!BN161="","",Allocation!BN161)</f>
        <v>INIT</v>
      </c>
      <c r="G161">
        <f>IF(Allocation!BO161="","",Allocation!BO161)</f>
        <v>78</v>
      </c>
      <c r="H161">
        <f>IF(Allocation!BP161="","",Allocation!BP161)</f>
        <v>3</v>
      </c>
      <c r="I161">
        <f>IF(Allocation!BQ161="","",Allocation!BQ161)</f>
        <v>662220</v>
      </c>
      <c r="J161">
        <f>IF(Allocation!CC161="","",Allocation!CC161)</f>
        <v>78</v>
      </c>
      <c r="K161">
        <f t="shared" si="0"/>
        <v>1800</v>
      </c>
      <c r="L161">
        <f t="shared" si="1"/>
        <v>382</v>
      </c>
      <c r="M161">
        <f t="shared" si="2"/>
        <v>15</v>
      </c>
      <c r="N161">
        <f t="shared" si="3"/>
        <v>3138840</v>
      </c>
      <c r="O161">
        <f t="shared" si="4"/>
        <v>7200</v>
      </c>
      <c r="P161">
        <f t="shared" si="5"/>
        <v>156</v>
      </c>
      <c r="Q161">
        <f t="shared" si="6"/>
        <v>1249</v>
      </c>
      <c r="R161">
        <f t="shared" si="7"/>
        <v>50</v>
      </c>
      <c r="S161">
        <f t="shared" si="8"/>
        <v>9567455</v>
      </c>
      <c r="T161">
        <f t="shared" si="9"/>
        <v>3114</v>
      </c>
      <c r="U161">
        <f t="shared" si="10"/>
        <v>135</v>
      </c>
      <c r="V161">
        <f t="shared" si="11"/>
        <v>23098985</v>
      </c>
      <c r="W161">
        <f>IF($A161="","",Allocation!CD161)</f>
        <v>181094</v>
      </c>
      <c r="X161">
        <f>IF($A161="","",Allocation!CE161)</f>
        <v>502062.96</v>
      </c>
      <c r="Y161">
        <f>IF($A161="","",Allocation!CF161)</f>
        <v>142140</v>
      </c>
      <c r="Z161">
        <f>IF($A161="","",Allocation!CG161)</f>
        <v>68291</v>
      </c>
      <c r="AA161">
        <f>IF($A161="","",Allocation!CH161)</f>
        <v>1205188.53</v>
      </c>
      <c r="AB161">
        <f>IF($A161="","",Allocation!CI161)</f>
        <v>2891983</v>
      </c>
      <c r="AC161">
        <f>IF($A161="","",IF(Allocation!$N$4="VOL_EFF",$G161,IF(Allocation!$N$4="VOL_CLASS",$H161,$I161)))</f>
        <v>3</v>
      </c>
      <c r="AD161">
        <f>IF($A161="","",IF(Allocation!$N$4="VOL_EFF",$L161,IF(Allocation!$N$4="VOL_CLASS",$M161,$N161)))</f>
        <v>15</v>
      </c>
      <c r="AE161">
        <f>IF($A161="","",IF(Allocation!$N$3="VOL_EFF",$L161,IF(Allocation!$N$3="VOL_CLASS",$M161,$N161)))</f>
        <v>382</v>
      </c>
      <c r="AF161">
        <f>IF($A161="","",IF(Allocation!$N$3="VOL_EFF",$Q161,IF(Allocation!$N$3="VOL_CLASS",$R161,$S161)))</f>
        <v>1249</v>
      </c>
      <c r="AG161">
        <f>IF($A161="","",IF(Allocation!$N$1="VOL_EFF",$Q161,IF(Allocation!$N$1="VOL_CLASS",$R161,$S161)))</f>
        <v>50</v>
      </c>
      <c r="AH161">
        <f>IF($A161="","",IF(Allocation!$N$1="VOL_EFF",$T161,IF(Allocation!$N$1="VOL_CLASS",$U161,$V161)))</f>
        <v>135</v>
      </c>
      <c r="AI161">
        <f t="shared" si="12"/>
        <v>45273.5</v>
      </c>
      <c r="AJ161">
        <f t="shared" si="13"/>
        <v>125515.74</v>
      </c>
      <c r="AK161">
        <f t="shared" si="14"/>
        <v>63168.8507853403</v>
      </c>
      <c r="AL161">
        <f t="shared" si="15"/>
        <v>241037.706</v>
      </c>
      <c r="AM161">
        <f t="shared" si="16"/>
        <v>65518.3409542449</v>
      </c>
      <c r="AN161">
        <f t="shared" si="17"/>
        <v>104570.152671926</v>
      </c>
      <c r="AO161">
        <f>IF($A161="","",Allocation!CJ161)</f>
        <v>676344</v>
      </c>
      <c r="AP161">
        <f>IF($A161="","",IF(Allocation!$N$2="VOL_EFF",$Q161,IF(Allocation!$N$2="VOL_CLASS",$R161,$S161)))</f>
        <v>9567455</v>
      </c>
      <c r="AQ161">
        <f>IF($A161="","",IF(Allocation!$N$2="VOL_EFF",$T161,IF(Allocation!$N$2="VOL_CLASS",$U161,$V161)))</f>
        <v>23098985</v>
      </c>
      <c r="AR161">
        <f t="shared" si="18"/>
        <v>17135.7095884889</v>
      </c>
      <c r="AS161" t="str">
        <f>IF($A161="","",$A161&amp;"|"&amp;Allocation!BG161)</f>
        <v>2026|ACT</v>
      </c>
    </row>
    <row r="162" ht="14.497499999999997" customHeight="1">
      <c r="A162" t="str">
        <f>IF(Allocation!BI162="","",Allocation!BI162)</f>
        <v>2026</v>
      </c>
      <c r="B162" t="str">
        <f>IF(Allocation!BJ162="","",Allocation!BJ162)</f>
        <v>MBWAY_PAR</v>
      </c>
      <c r="C162" t="str">
        <f>IF(Allocation!BK162="","",Allocation!BK162)</f>
        <v>MBWAY</v>
      </c>
      <c r="D162" t="str">
        <f>IF(Allocation!BL162="","",Allocation!BL162)</f>
        <v>BAC_MGT</v>
      </c>
      <c r="E162" t="str">
        <f>IF(Allocation!BM162="","",Allocation!BM162)</f>
        <v>B2</v>
      </c>
      <c r="F162" t="str">
        <f>IF(Allocation!BN162="","",Allocation!BN162)</f>
        <v>ALT</v>
      </c>
      <c r="G162">
        <f>IF(Allocation!BO162="","",Allocation!BO162)</f>
        <v>76</v>
      </c>
      <c r="H162">
        <f>IF(Allocation!BP162="","",Allocation!BP162)</f>
        <v>3</v>
      </c>
      <c r="I162">
        <f>IF(Allocation!BQ162="","",Allocation!BQ162)</f>
        <v>595840</v>
      </c>
      <c r="J162">
        <f>IF(Allocation!CC162="","",Allocation!CC162)</f>
        <v>0</v>
      </c>
      <c r="K162">
        <f t="shared" si="0"/>
        <v>1440</v>
      </c>
      <c r="L162">
        <f t="shared" si="1"/>
        <v>382</v>
      </c>
      <c r="M162">
        <f t="shared" si="2"/>
        <v>15</v>
      </c>
      <c r="N162">
        <f t="shared" si="3"/>
        <v>3138840</v>
      </c>
      <c r="O162">
        <f t="shared" si="4"/>
        <v>7200</v>
      </c>
      <c r="P162">
        <f t="shared" si="5"/>
        <v>156</v>
      </c>
      <c r="Q162">
        <f t="shared" si="6"/>
        <v>1249</v>
      </c>
      <c r="R162">
        <f t="shared" si="7"/>
        <v>50</v>
      </c>
      <c r="S162">
        <f t="shared" si="8"/>
        <v>9567455</v>
      </c>
      <c r="T162">
        <f t="shared" si="9"/>
        <v>3114</v>
      </c>
      <c r="U162">
        <f t="shared" si="10"/>
        <v>135</v>
      </c>
      <c r="V162">
        <f t="shared" si="11"/>
        <v>23098985</v>
      </c>
      <c r="W162">
        <f>IF($A162="","",Allocation!CD162)</f>
        <v>181094</v>
      </c>
      <c r="X162">
        <f>IF($A162="","",Allocation!CE162)</f>
        <v>502062.96</v>
      </c>
      <c r="Y162">
        <f>IF($A162="","",Allocation!CF162)</f>
        <v>142140</v>
      </c>
      <c r="Z162">
        <f>IF($A162="","",Allocation!CG162)</f>
        <v>68291</v>
      </c>
      <c r="AA162">
        <f>IF($A162="","",Allocation!CH162)</f>
        <v>1205188.53</v>
      </c>
      <c r="AB162">
        <f>IF($A162="","",Allocation!CI162)</f>
        <v>2891983</v>
      </c>
      <c r="AC162">
        <f>IF($A162="","",IF(Allocation!$N$4="VOL_EFF",$G162,IF(Allocation!$N$4="VOL_CLASS",$H162,$I162)))</f>
        <v>3</v>
      </c>
      <c r="AD162">
        <f>IF($A162="","",IF(Allocation!$N$4="VOL_EFF",$L162,IF(Allocation!$N$4="VOL_CLASS",$M162,$N162)))</f>
        <v>15</v>
      </c>
      <c r="AE162">
        <f>IF($A162="","",IF(Allocation!$N$3="VOL_EFF",$L162,IF(Allocation!$N$3="VOL_CLASS",$M162,$N162)))</f>
        <v>382</v>
      </c>
      <c r="AF162">
        <f>IF($A162="","",IF(Allocation!$N$3="VOL_EFF",$Q162,IF(Allocation!$N$3="VOL_CLASS",$R162,$S162)))</f>
        <v>1249</v>
      </c>
      <c r="AG162">
        <f>IF($A162="","",IF(Allocation!$N$1="VOL_EFF",$Q162,IF(Allocation!$N$1="VOL_CLASS",$R162,$S162)))</f>
        <v>50</v>
      </c>
      <c r="AH162">
        <f>IF($A162="","",IF(Allocation!$N$1="VOL_EFF",$T162,IF(Allocation!$N$1="VOL_CLASS",$U162,$V162)))</f>
        <v>135</v>
      </c>
      <c r="AI162">
        <f t="shared" si="12"/>
        <v>36218.8</v>
      </c>
      <c r="AJ162">
        <f t="shared" si="13"/>
        <v>100412.592</v>
      </c>
      <c r="AK162">
        <f t="shared" si="14"/>
        <v>28279.1623036649</v>
      </c>
      <c r="AL162">
        <f t="shared" si="15"/>
        <v>241037.706</v>
      </c>
      <c r="AM162">
        <f t="shared" si="16"/>
        <v>65518.3409542449</v>
      </c>
      <c r="AN162">
        <f t="shared" si="17"/>
        <v>107237.689153601</v>
      </c>
      <c r="AO162">
        <f>IF($A162="","",Allocation!CJ162)</f>
        <v>676344</v>
      </c>
      <c r="AP162">
        <f>IF($A162="","",IF(Allocation!$N$2="VOL_EFF",$Q162,IF(Allocation!$N$2="VOL_CLASS",$R162,$S162)))</f>
        <v>9567455</v>
      </c>
      <c r="AQ162">
        <f>IF($A162="","",IF(Allocation!$N$2="VOL_EFF",$T162,IF(Allocation!$N$2="VOL_CLASS",$U162,$V162)))</f>
        <v>23098985</v>
      </c>
      <c r="AR162">
        <f t="shared" si="18"/>
        <v>17135.7095884889</v>
      </c>
      <c r="AS162" t="str">
        <f>IF($A162="","",$A162&amp;"|"&amp;Allocation!BG162)</f>
        <v>2026|ACT</v>
      </c>
    </row>
    <row r="163" ht="14.497499999999997" customHeight="1">
      <c r="A163" t="str">
        <f>IF(Allocation!BI163="","",Allocation!BI163)</f>
        <v>2026</v>
      </c>
      <c r="B163" t="str">
        <f>IF(Allocation!BJ163="","",Allocation!BJ163)</f>
        <v>MBWAY_PAR</v>
      </c>
      <c r="C163" t="str">
        <f>IF(Allocation!BK163="","",Allocation!BK163)</f>
        <v>MBWAY</v>
      </c>
      <c r="D163" t="str">
        <f>IF(Allocation!BL163="","",Allocation!BL163)</f>
        <v>BAC_MGT</v>
      </c>
      <c r="E163" t="str">
        <f>IF(Allocation!BM163="","",Allocation!BM163)</f>
        <v>B3</v>
      </c>
      <c r="F163" t="str">
        <f>IF(Allocation!BN163="","",Allocation!BN163)</f>
        <v>ALT</v>
      </c>
      <c r="G163">
        <f>IF(Allocation!BO163="","",Allocation!BO163)</f>
        <v>74</v>
      </c>
      <c r="H163">
        <f>IF(Allocation!BP163="","",Allocation!BP163)</f>
        <v>3</v>
      </c>
      <c r="I163">
        <f>IF(Allocation!BQ163="","",Allocation!BQ163)</f>
        <v>580160</v>
      </c>
      <c r="J163">
        <f>IF(Allocation!CC163="","",Allocation!CC163)</f>
        <v>0</v>
      </c>
      <c r="K163">
        <f t="shared" si="0"/>
        <v>1440</v>
      </c>
      <c r="L163">
        <f t="shared" si="1"/>
        <v>382</v>
      </c>
      <c r="M163">
        <f t="shared" si="2"/>
        <v>15</v>
      </c>
      <c r="N163">
        <f t="shared" si="3"/>
        <v>3138840</v>
      </c>
      <c r="O163">
        <f t="shared" si="4"/>
        <v>7200</v>
      </c>
      <c r="P163">
        <f t="shared" si="5"/>
        <v>156</v>
      </c>
      <c r="Q163">
        <f t="shared" si="6"/>
        <v>1249</v>
      </c>
      <c r="R163">
        <f t="shared" si="7"/>
        <v>50</v>
      </c>
      <c r="S163">
        <f t="shared" si="8"/>
        <v>9567455</v>
      </c>
      <c r="T163">
        <f t="shared" si="9"/>
        <v>3114</v>
      </c>
      <c r="U163">
        <f t="shared" si="10"/>
        <v>135</v>
      </c>
      <c r="V163">
        <f t="shared" si="11"/>
        <v>23098985</v>
      </c>
      <c r="W163">
        <f>IF($A163="","",Allocation!CD163)</f>
        <v>181094</v>
      </c>
      <c r="X163">
        <f>IF($A163="","",Allocation!CE163)</f>
        <v>502062.96</v>
      </c>
      <c r="Y163">
        <f>IF($A163="","",Allocation!CF163)</f>
        <v>142140</v>
      </c>
      <c r="Z163">
        <f>IF($A163="","",Allocation!CG163)</f>
        <v>68291</v>
      </c>
      <c r="AA163">
        <f>IF($A163="","",Allocation!CH163)</f>
        <v>1205188.53</v>
      </c>
      <c r="AB163">
        <f>IF($A163="","",Allocation!CI163)</f>
        <v>2891983</v>
      </c>
      <c r="AC163">
        <f>IF($A163="","",IF(Allocation!$N$4="VOL_EFF",$G163,IF(Allocation!$N$4="VOL_CLASS",$H163,$I163)))</f>
        <v>3</v>
      </c>
      <c r="AD163">
        <f>IF($A163="","",IF(Allocation!$N$4="VOL_EFF",$L163,IF(Allocation!$N$4="VOL_CLASS",$M163,$N163)))</f>
        <v>15</v>
      </c>
      <c r="AE163">
        <f>IF($A163="","",IF(Allocation!$N$3="VOL_EFF",$L163,IF(Allocation!$N$3="VOL_CLASS",$M163,$N163)))</f>
        <v>382</v>
      </c>
      <c r="AF163">
        <f>IF($A163="","",IF(Allocation!$N$3="VOL_EFF",$Q163,IF(Allocation!$N$3="VOL_CLASS",$R163,$S163)))</f>
        <v>1249</v>
      </c>
      <c r="AG163">
        <f>IF($A163="","",IF(Allocation!$N$1="VOL_EFF",$Q163,IF(Allocation!$N$1="VOL_CLASS",$R163,$S163)))</f>
        <v>50</v>
      </c>
      <c r="AH163">
        <f>IF($A163="","",IF(Allocation!$N$1="VOL_EFF",$T163,IF(Allocation!$N$1="VOL_CLASS",$U163,$V163)))</f>
        <v>135</v>
      </c>
      <c r="AI163">
        <f t="shared" si="12"/>
        <v>36218.8</v>
      </c>
      <c r="AJ163">
        <f t="shared" si="13"/>
        <v>100412.592</v>
      </c>
      <c r="AK163">
        <f t="shared" si="14"/>
        <v>27534.9738219895</v>
      </c>
      <c r="AL163">
        <f t="shared" si="15"/>
        <v>241037.706</v>
      </c>
      <c r="AM163">
        <f t="shared" si="16"/>
        <v>65518.3409542449</v>
      </c>
      <c r="AN163">
        <f t="shared" si="17"/>
        <v>92301.8776352767</v>
      </c>
      <c r="AO163">
        <f>IF($A163="","",Allocation!CJ163)</f>
        <v>676344</v>
      </c>
      <c r="AP163">
        <f>IF($A163="","",IF(Allocation!$N$2="VOL_EFF",$Q163,IF(Allocation!$N$2="VOL_CLASS",$R163,$S163)))</f>
        <v>9567455</v>
      </c>
      <c r="AQ163">
        <f>IF($A163="","",IF(Allocation!$N$2="VOL_EFF",$T163,IF(Allocation!$N$2="VOL_CLASS",$U163,$V163)))</f>
        <v>23098985</v>
      </c>
      <c r="AR163">
        <f t="shared" si="18"/>
        <v>17135.7095884889</v>
      </c>
      <c r="AS163" t="str">
        <f>IF($A163="","",$A163&amp;"|"&amp;Allocation!BG163)</f>
        <v>2026|ACT</v>
      </c>
    </row>
    <row r="164" ht="14.497499999999997" customHeight="1">
      <c r="A164" t="str">
        <f>IF(Allocation!BI164="","",Allocation!BI164)</f>
        <v>2026</v>
      </c>
      <c r="B164" t="str">
        <f>IF(Allocation!BJ164="","",Allocation!BJ164)</f>
        <v>MBWAY_PAR</v>
      </c>
      <c r="C164" t="str">
        <f>IF(Allocation!BK164="","",Allocation!BK164)</f>
        <v>MBWAY</v>
      </c>
      <c r="D164" t="str">
        <f>IF(Allocation!BL164="","",Allocation!BL164)</f>
        <v>MAS_MGT</v>
      </c>
      <c r="E164" t="str">
        <f>IF(Allocation!BM164="","",Allocation!BM164)</f>
        <v>M1</v>
      </c>
      <c r="F164" t="str">
        <f>IF(Allocation!BN164="","",Allocation!BN164)</f>
        <v>ALT</v>
      </c>
      <c r="G164">
        <f>IF(Allocation!BO164="","",Allocation!BO164)</f>
        <v>78</v>
      </c>
      <c r="H164">
        <f>IF(Allocation!BP164="","",Allocation!BP164)</f>
        <v>3</v>
      </c>
      <c r="I164">
        <f>IF(Allocation!BQ164="","",Allocation!BQ164)</f>
        <v>662220</v>
      </c>
      <c r="J164">
        <f>IF(Allocation!CC164="","",Allocation!CC164)</f>
        <v>78</v>
      </c>
      <c r="K164">
        <f t="shared" si="0"/>
        <v>1260</v>
      </c>
      <c r="L164">
        <f t="shared" si="1"/>
        <v>382</v>
      </c>
      <c r="M164">
        <f t="shared" si="2"/>
        <v>15</v>
      </c>
      <c r="N164">
        <f t="shared" si="3"/>
        <v>3138840</v>
      </c>
      <c r="O164">
        <f t="shared" si="4"/>
        <v>7200</v>
      </c>
      <c r="P164">
        <f t="shared" si="5"/>
        <v>156</v>
      </c>
      <c r="Q164">
        <f t="shared" si="6"/>
        <v>1249</v>
      </c>
      <c r="R164">
        <f t="shared" si="7"/>
        <v>50</v>
      </c>
      <c r="S164">
        <f t="shared" si="8"/>
        <v>9567455</v>
      </c>
      <c r="T164">
        <f t="shared" si="9"/>
        <v>3114</v>
      </c>
      <c r="U164">
        <f t="shared" si="10"/>
        <v>135</v>
      </c>
      <c r="V164">
        <f t="shared" si="11"/>
        <v>23098985</v>
      </c>
      <c r="W164">
        <f>IF($A164="","",Allocation!CD164)</f>
        <v>181094</v>
      </c>
      <c r="X164">
        <f>IF($A164="","",Allocation!CE164)</f>
        <v>502062.96</v>
      </c>
      <c r="Y164">
        <f>IF($A164="","",Allocation!CF164)</f>
        <v>142140</v>
      </c>
      <c r="Z164">
        <f>IF($A164="","",Allocation!CG164)</f>
        <v>68291</v>
      </c>
      <c r="AA164">
        <f>IF($A164="","",Allocation!CH164)</f>
        <v>1205188.53</v>
      </c>
      <c r="AB164">
        <f>IF($A164="","",Allocation!CI164)</f>
        <v>2891983</v>
      </c>
      <c r="AC164">
        <f>IF($A164="","",IF(Allocation!$N$4="VOL_EFF",$G164,IF(Allocation!$N$4="VOL_CLASS",$H164,$I164)))</f>
        <v>3</v>
      </c>
      <c r="AD164">
        <f>IF($A164="","",IF(Allocation!$N$4="VOL_EFF",$L164,IF(Allocation!$N$4="VOL_CLASS",$M164,$N164)))</f>
        <v>15</v>
      </c>
      <c r="AE164">
        <f>IF($A164="","",IF(Allocation!$N$3="VOL_EFF",$L164,IF(Allocation!$N$3="VOL_CLASS",$M164,$N164)))</f>
        <v>382</v>
      </c>
      <c r="AF164">
        <f>IF($A164="","",IF(Allocation!$N$3="VOL_EFF",$Q164,IF(Allocation!$N$3="VOL_CLASS",$R164,$S164)))</f>
        <v>1249</v>
      </c>
      <c r="AG164">
        <f>IF($A164="","",IF(Allocation!$N$1="VOL_EFF",$Q164,IF(Allocation!$N$1="VOL_CLASS",$R164,$S164)))</f>
        <v>50</v>
      </c>
      <c r="AH164">
        <f>IF($A164="","",IF(Allocation!$N$1="VOL_EFF",$T164,IF(Allocation!$N$1="VOL_CLASS",$U164,$V164)))</f>
        <v>135</v>
      </c>
      <c r="AI164">
        <f t="shared" si="12"/>
        <v>31691.45</v>
      </c>
      <c r="AJ164">
        <f t="shared" si="13"/>
        <v>87861.018</v>
      </c>
      <c r="AK164">
        <f t="shared" si="14"/>
        <v>63168.8507853403</v>
      </c>
      <c r="AL164">
        <f t="shared" si="15"/>
        <v>241037.706</v>
      </c>
      <c r="AM164">
        <f t="shared" si="16"/>
        <v>65518.3409542449</v>
      </c>
      <c r="AN164">
        <f t="shared" si="17"/>
        <v>155806.924671926</v>
      </c>
      <c r="AO164">
        <f>IF($A164="","",Allocation!CJ164)</f>
        <v>676344</v>
      </c>
      <c r="AP164">
        <f>IF($A164="","",IF(Allocation!$N$2="VOL_EFF",$Q164,IF(Allocation!$N$2="VOL_CLASS",$R164,$S164)))</f>
        <v>9567455</v>
      </c>
      <c r="AQ164">
        <f>IF($A164="","",IF(Allocation!$N$2="VOL_EFF",$T164,IF(Allocation!$N$2="VOL_CLASS",$U164,$V164)))</f>
        <v>23098985</v>
      </c>
      <c r="AR164">
        <f t="shared" si="18"/>
        <v>17135.7095884889</v>
      </c>
      <c r="AS164" t="str">
        <f>IF($A164="","",$A164&amp;"|"&amp;Allocation!BG164)</f>
        <v>2026|ACT</v>
      </c>
    </row>
    <row r="165" ht="14.497499999999997" customHeight="1">
      <c r="A165" t="str">
        <f>IF(Allocation!BI165="","",Allocation!BI165)</f>
        <v>2026</v>
      </c>
      <c r="B165" t="str">
        <f>IF(Allocation!BJ165="","",Allocation!BJ165)</f>
        <v>MBWAY_PAR</v>
      </c>
      <c r="C165" t="str">
        <f>IF(Allocation!BK165="","",Allocation!BK165)</f>
        <v>MBWAY</v>
      </c>
      <c r="D165" t="str">
        <f>IF(Allocation!BL165="","",Allocation!BL165)</f>
        <v>MAS_MGT</v>
      </c>
      <c r="E165" t="str">
        <f>IF(Allocation!BM165="","",Allocation!BM165)</f>
        <v>M2</v>
      </c>
      <c r="F165" t="str">
        <f>IF(Allocation!BN165="","",Allocation!BN165)</f>
        <v>ALT</v>
      </c>
      <c r="G165">
        <f>IF(Allocation!BO165="","",Allocation!BO165)</f>
        <v>76</v>
      </c>
      <c r="H165">
        <f>IF(Allocation!BP165="","",Allocation!BP165)</f>
        <v>3</v>
      </c>
      <c r="I165">
        <f>IF(Allocation!BQ165="","",Allocation!BQ165)</f>
        <v>638400</v>
      </c>
      <c r="J165">
        <f>IF(Allocation!CC165="","",Allocation!CC165)</f>
        <v>0</v>
      </c>
      <c r="K165">
        <f t="shared" si="0"/>
        <v>1260</v>
      </c>
      <c r="L165">
        <f t="shared" si="1"/>
        <v>382</v>
      </c>
      <c r="M165">
        <f t="shared" si="2"/>
        <v>15</v>
      </c>
      <c r="N165">
        <f t="shared" si="3"/>
        <v>3138840</v>
      </c>
      <c r="O165">
        <f t="shared" si="4"/>
        <v>7200</v>
      </c>
      <c r="P165">
        <f t="shared" si="5"/>
        <v>156</v>
      </c>
      <c r="Q165">
        <f t="shared" si="6"/>
        <v>1249</v>
      </c>
      <c r="R165">
        <f t="shared" si="7"/>
        <v>50</v>
      </c>
      <c r="S165">
        <f t="shared" si="8"/>
        <v>9567455</v>
      </c>
      <c r="T165">
        <f t="shared" si="9"/>
        <v>3114</v>
      </c>
      <c r="U165">
        <f t="shared" si="10"/>
        <v>135</v>
      </c>
      <c r="V165">
        <f t="shared" si="11"/>
        <v>23098985</v>
      </c>
      <c r="W165">
        <f>IF($A165="","",Allocation!CD165)</f>
        <v>181094</v>
      </c>
      <c r="X165">
        <f>IF($A165="","",Allocation!CE165)</f>
        <v>502062.96</v>
      </c>
      <c r="Y165">
        <f>IF($A165="","",Allocation!CF165)</f>
        <v>142140</v>
      </c>
      <c r="Z165">
        <f>IF($A165="","",Allocation!CG165)</f>
        <v>68291</v>
      </c>
      <c r="AA165">
        <f>IF($A165="","",Allocation!CH165)</f>
        <v>1205188.53</v>
      </c>
      <c r="AB165">
        <f>IF($A165="","",Allocation!CI165)</f>
        <v>2891983</v>
      </c>
      <c r="AC165">
        <f>IF($A165="","",IF(Allocation!$N$4="VOL_EFF",$G165,IF(Allocation!$N$4="VOL_CLASS",$H165,$I165)))</f>
        <v>3</v>
      </c>
      <c r="AD165">
        <f>IF($A165="","",IF(Allocation!$N$4="VOL_EFF",$L165,IF(Allocation!$N$4="VOL_CLASS",$M165,$N165)))</f>
        <v>15</v>
      </c>
      <c r="AE165">
        <f>IF($A165="","",IF(Allocation!$N$3="VOL_EFF",$L165,IF(Allocation!$N$3="VOL_CLASS",$M165,$N165)))</f>
        <v>382</v>
      </c>
      <c r="AF165">
        <f>IF($A165="","",IF(Allocation!$N$3="VOL_EFF",$Q165,IF(Allocation!$N$3="VOL_CLASS",$R165,$S165)))</f>
        <v>1249</v>
      </c>
      <c r="AG165">
        <f>IF($A165="","",IF(Allocation!$N$1="VOL_EFF",$Q165,IF(Allocation!$N$1="VOL_CLASS",$R165,$S165)))</f>
        <v>50</v>
      </c>
      <c r="AH165">
        <f>IF($A165="","",IF(Allocation!$N$1="VOL_EFF",$T165,IF(Allocation!$N$1="VOL_CLASS",$U165,$V165)))</f>
        <v>135</v>
      </c>
      <c r="AI165">
        <f t="shared" si="12"/>
        <v>31691.45</v>
      </c>
      <c r="AJ165">
        <f t="shared" si="13"/>
        <v>87861.018</v>
      </c>
      <c r="AK165">
        <f t="shared" si="14"/>
        <v>28279.1623036649</v>
      </c>
      <c r="AL165">
        <f t="shared" si="15"/>
        <v>241037.706</v>
      </c>
      <c r="AM165">
        <f t="shared" si="16"/>
        <v>65518.3409542449</v>
      </c>
      <c r="AN165">
        <f t="shared" si="17"/>
        <v>166876.613153601</v>
      </c>
      <c r="AO165">
        <f>IF($A165="","",Allocation!CJ165)</f>
        <v>676344</v>
      </c>
      <c r="AP165">
        <f>IF($A165="","",IF(Allocation!$N$2="VOL_EFF",$Q165,IF(Allocation!$N$2="VOL_CLASS",$R165,$S165)))</f>
        <v>9567455</v>
      </c>
      <c r="AQ165">
        <f>IF($A165="","",IF(Allocation!$N$2="VOL_EFF",$T165,IF(Allocation!$N$2="VOL_CLASS",$U165,$V165)))</f>
        <v>23098985</v>
      </c>
      <c r="AR165">
        <f t="shared" si="18"/>
        <v>17135.7095884889</v>
      </c>
      <c r="AS165" t="str">
        <f>IF($A165="","",$A165&amp;"|"&amp;Allocation!BG165)</f>
        <v>2026|ACT</v>
      </c>
    </row>
    <row r="166" ht="14.497499999999997" customHeight="1">
      <c r="A166" t="str">
        <f>IF(Allocation!BI166="","",Allocation!BI166)</f>
        <v>2026</v>
      </c>
      <c r="B166" t="str">
        <f>IF(Allocation!BJ166="","",Allocation!BJ166)</f>
        <v>PIGIER_BOR</v>
      </c>
      <c r="C166" t="str">
        <f>IF(Allocation!BK166="","",Allocation!BK166)</f>
        <v>PIGIER</v>
      </c>
      <c r="D166" t="str">
        <f>IF(Allocation!BL166="","",Allocation!BL166)</f>
        <v>BTS_GES</v>
      </c>
      <c r="E166" t="str">
        <f>IF(Allocation!BM166="","",Allocation!BM166)</f>
        <v>BTS1</v>
      </c>
      <c r="F166" t="str">
        <f>IF(Allocation!BN166="","",Allocation!BN166)</f>
        <v>ALT</v>
      </c>
      <c r="G166">
        <f>IF(Allocation!BO166="","",Allocation!BO166)</f>
        <v>36</v>
      </c>
      <c r="H166">
        <f>IF(Allocation!BP166="","",Allocation!BP166)</f>
        <v>2</v>
      </c>
      <c r="I166">
        <f>IF(Allocation!BQ166="","",Allocation!BQ166)</f>
        <v>212760</v>
      </c>
      <c r="J166">
        <f>IF(Allocation!CC166="","",Allocation!CC166)</f>
        <v>36</v>
      </c>
      <c r="K166">
        <f t="shared" si="0"/>
        <v>1400</v>
      </c>
      <c r="L166">
        <f t="shared" si="1"/>
        <v>176</v>
      </c>
      <c r="M166">
        <f t="shared" si="2"/>
        <v>10</v>
      </c>
      <c r="N166">
        <f t="shared" si="3"/>
        <v>1132650</v>
      </c>
      <c r="O166">
        <f t="shared" si="4"/>
        <v>5680</v>
      </c>
      <c r="P166">
        <f t="shared" si="5"/>
        <v>72</v>
      </c>
      <c r="Q166">
        <f t="shared" si="6"/>
        <v>402</v>
      </c>
      <c r="R166">
        <f t="shared" si="7"/>
        <v>20</v>
      </c>
      <c r="S166">
        <f t="shared" si="8"/>
        <v>2706480</v>
      </c>
      <c r="T166">
        <f t="shared" si="9"/>
        <v>3114</v>
      </c>
      <c r="U166">
        <f t="shared" si="10"/>
        <v>135</v>
      </c>
      <c r="V166">
        <f t="shared" si="11"/>
        <v>23098985</v>
      </c>
      <c r="W166">
        <f>IF($A166="","",Allocation!CD166)</f>
        <v>96583</v>
      </c>
      <c r="X166">
        <f>IF($A166="","",Allocation!CE166)</f>
        <v>182756.35</v>
      </c>
      <c r="Y166">
        <f>IF($A166="","",Allocation!CF166)</f>
        <v>52838</v>
      </c>
      <c r="Z166">
        <f>IF($A166="","",Allocation!CG166)</f>
        <v>21968</v>
      </c>
      <c r="AA166">
        <f>IF($A166="","",Allocation!CH166)</f>
        <v>348116.41</v>
      </c>
      <c r="AB166">
        <f>IF($A166="","",Allocation!CI166)</f>
        <v>2891983</v>
      </c>
      <c r="AC166">
        <f>IF($A166="","",IF(Allocation!$N$4="VOL_EFF",$G166,IF(Allocation!$N$4="VOL_CLASS",$H166,$I166)))</f>
        <v>2</v>
      </c>
      <c r="AD166">
        <f>IF($A166="","",IF(Allocation!$N$4="VOL_EFF",$L166,IF(Allocation!$N$4="VOL_CLASS",$M166,$N166)))</f>
        <v>10</v>
      </c>
      <c r="AE166">
        <f>IF($A166="","",IF(Allocation!$N$3="VOL_EFF",$L166,IF(Allocation!$N$3="VOL_CLASS",$M166,$N166)))</f>
        <v>176</v>
      </c>
      <c r="AF166">
        <f>IF($A166="","",IF(Allocation!$N$3="VOL_EFF",$Q166,IF(Allocation!$N$3="VOL_CLASS",$R166,$S166)))</f>
        <v>402</v>
      </c>
      <c r="AG166">
        <f>IF($A166="","",IF(Allocation!$N$1="VOL_EFF",$Q166,IF(Allocation!$N$1="VOL_CLASS",$R166,$S166)))</f>
        <v>20</v>
      </c>
      <c r="AH166">
        <f>IF($A166="","",IF(Allocation!$N$1="VOL_EFF",$T166,IF(Allocation!$N$1="VOL_CLASS",$U166,$V166)))</f>
        <v>135</v>
      </c>
      <c r="AI166">
        <f t="shared" si="12"/>
        <v>23805.6690140845</v>
      </c>
      <c r="AJ166">
        <f t="shared" si="13"/>
        <v>45045.5792253521</v>
      </c>
      <c r="AK166">
        <f t="shared" si="14"/>
        <v>21791.7727272727</v>
      </c>
      <c r="AL166">
        <f t="shared" si="15"/>
        <v>69623.282</v>
      </c>
      <c r="AM166">
        <f t="shared" si="16"/>
        <v>37515.312916897</v>
      </c>
      <c r="AN166">
        <f t="shared" si="17"/>
        <v>8039.39546263171</v>
      </c>
      <c r="AO166">
        <f>IF($A166="","",Allocation!CJ166)</f>
        <v>676344</v>
      </c>
      <c r="AP166">
        <f>IF($A166="","",IF(Allocation!$N$2="VOL_EFF",$Q166,IF(Allocation!$N$2="VOL_CLASS",$R166,$S166)))</f>
        <v>2706480</v>
      </c>
      <c r="AQ166">
        <f>IF($A166="","",IF(Allocation!$N$2="VOL_EFF",$T166,IF(Allocation!$N$2="VOL_CLASS",$U166,$V166)))</f>
        <v>23098985</v>
      </c>
      <c r="AR166">
        <f t="shared" si="18"/>
        <v>6938.98865376197</v>
      </c>
      <c r="AS166" t="str">
        <f>IF($A166="","",$A166&amp;"|"&amp;Allocation!BG166)</f>
        <v>2026|ACT</v>
      </c>
    </row>
    <row r="167" ht="14.497499999999997" customHeight="1">
      <c r="A167" t="str">
        <f>IF(Allocation!BI167="","",Allocation!BI167)</f>
        <v>2026</v>
      </c>
      <c r="B167" t="str">
        <f>IF(Allocation!BJ167="","",Allocation!BJ167)</f>
        <v>PIGIER_BOR</v>
      </c>
      <c r="C167" t="str">
        <f>IF(Allocation!BK167="","",Allocation!BK167)</f>
        <v>PIGIER</v>
      </c>
      <c r="D167" t="str">
        <f>IF(Allocation!BL167="","",Allocation!BL167)</f>
        <v>BTS_GES</v>
      </c>
      <c r="E167" t="str">
        <f>IF(Allocation!BM167="","",Allocation!BM167)</f>
        <v>BTS2</v>
      </c>
      <c r="F167" t="str">
        <f>IF(Allocation!BN167="","",Allocation!BN167)</f>
        <v>ALT</v>
      </c>
      <c r="G167">
        <f>IF(Allocation!BO167="","",Allocation!BO167)</f>
        <v>35</v>
      </c>
      <c r="H167">
        <f>IF(Allocation!BP167="","",Allocation!BP167)</f>
        <v>2</v>
      </c>
      <c r="I167">
        <f>IF(Allocation!BQ167="","",Allocation!BQ167)</f>
        <v>203700</v>
      </c>
      <c r="J167">
        <f>IF(Allocation!CC167="","",Allocation!CC167)</f>
        <v>0</v>
      </c>
      <c r="K167">
        <f t="shared" si="0"/>
        <v>1400</v>
      </c>
      <c r="L167">
        <f t="shared" si="1"/>
        <v>176</v>
      </c>
      <c r="M167">
        <f t="shared" si="2"/>
        <v>10</v>
      </c>
      <c r="N167">
        <f t="shared" si="3"/>
        <v>1132650</v>
      </c>
      <c r="O167">
        <f t="shared" si="4"/>
        <v>5680</v>
      </c>
      <c r="P167">
        <f t="shared" si="5"/>
        <v>72</v>
      </c>
      <c r="Q167">
        <f t="shared" si="6"/>
        <v>402</v>
      </c>
      <c r="R167">
        <f t="shared" si="7"/>
        <v>20</v>
      </c>
      <c r="S167">
        <f t="shared" si="8"/>
        <v>2706480</v>
      </c>
      <c r="T167">
        <f t="shared" si="9"/>
        <v>3114</v>
      </c>
      <c r="U167">
        <f t="shared" si="10"/>
        <v>135</v>
      </c>
      <c r="V167">
        <f t="shared" si="11"/>
        <v>23098985</v>
      </c>
      <c r="W167">
        <f>IF($A167="","",Allocation!CD167)</f>
        <v>96583</v>
      </c>
      <c r="X167">
        <f>IF($A167="","",Allocation!CE167)</f>
        <v>182756.35</v>
      </c>
      <c r="Y167">
        <f>IF($A167="","",Allocation!CF167)</f>
        <v>52838</v>
      </c>
      <c r="Z167">
        <f>IF($A167="","",Allocation!CG167)</f>
        <v>21968</v>
      </c>
      <c r="AA167">
        <f>IF($A167="","",Allocation!CH167)</f>
        <v>348116.41</v>
      </c>
      <c r="AB167">
        <f>IF($A167="","",Allocation!CI167)</f>
        <v>2891983</v>
      </c>
      <c r="AC167">
        <f>IF($A167="","",IF(Allocation!$N$4="VOL_EFF",$G167,IF(Allocation!$N$4="VOL_CLASS",$H167,$I167)))</f>
        <v>2</v>
      </c>
      <c r="AD167">
        <f>IF($A167="","",IF(Allocation!$N$4="VOL_EFF",$L167,IF(Allocation!$N$4="VOL_CLASS",$M167,$N167)))</f>
        <v>10</v>
      </c>
      <c r="AE167">
        <f>IF($A167="","",IF(Allocation!$N$3="VOL_EFF",$L167,IF(Allocation!$N$3="VOL_CLASS",$M167,$N167)))</f>
        <v>176</v>
      </c>
      <c r="AF167">
        <f>IF($A167="","",IF(Allocation!$N$3="VOL_EFF",$Q167,IF(Allocation!$N$3="VOL_CLASS",$R167,$S167)))</f>
        <v>402</v>
      </c>
      <c r="AG167">
        <f>IF($A167="","",IF(Allocation!$N$1="VOL_EFF",$Q167,IF(Allocation!$N$1="VOL_CLASS",$R167,$S167)))</f>
        <v>20</v>
      </c>
      <c r="AH167">
        <f>IF($A167="","",IF(Allocation!$N$1="VOL_EFF",$T167,IF(Allocation!$N$1="VOL_CLASS",$U167,$V167)))</f>
        <v>135</v>
      </c>
      <c r="AI167">
        <f t="shared" si="12"/>
        <v>23805.6690140845</v>
      </c>
      <c r="AJ167">
        <f t="shared" si="13"/>
        <v>45045.5792253521</v>
      </c>
      <c r="AK167">
        <f t="shared" si="14"/>
        <v>10507.5568181818</v>
      </c>
      <c r="AL167">
        <f t="shared" si="15"/>
        <v>69623.282</v>
      </c>
      <c r="AM167">
        <f t="shared" si="16"/>
        <v>37515.312916897</v>
      </c>
      <c r="AN167">
        <f t="shared" si="17"/>
        <v>10263.6113717226</v>
      </c>
      <c r="AO167">
        <f>IF($A167="","",Allocation!CJ167)</f>
        <v>676344</v>
      </c>
      <c r="AP167">
        <f>IF($A167="","",IF(Allocation!$N$2="VOL_EFF",$Q167,IF(Allocation!$N$2="VOL_CLASS",$R167,$S167)))</f>
        <v>2706480</v>
      </c>
      <c r="AQ167">
        <f>IF($A167="","",IF(Allocation!$N$2="VOL_EFF",$T167,IF(Allocation!$N$2="VOL_CLASS",$U167,$V167)))</f>
        <v>23098985</v>
      </c>
      <c r="AR167">
        <f t="shared" si="18"/>
        <v>6938.98865376197</v>
      </c>
      <c r="AS167" t="str">
        <f>IF($A167="","",$A167&amp;"|"&amp;Allocation!BG167)</f>
        <v>2026|ACT</v>
      </c>
    </row>
    <row r="168" ht="14.497499999999997" customHeight="1">
      <c r="A168" t="str">
        <f>IF(Allocation!BI168="","",Allocation!BI168)</f>
        <v>2026</v>
      </c>
      <c r="B168" t="str">
        <f>IF(Allocation!BJ168="","",Allocation!BJ168)</f>
        <v>PIGIER_BOR</v>
      </c>
      <c r="C168" t="str">
        <f>IF(Allocation!BK168="","",Allocation!BK168)</f>
        <v>PIGIER</v>
      </c>
      <c r="D168" t="str">
        <f>IF(Allocation!BL168="","",Allocation!BL168)</f>
        <v>BAC_RH</v>
      </c>
      <c r="E168" t="str">
        <f>IF(Allocation!BM168="","",Allocation!BM168)</f>
        <v>B1</v>
      </c>
      <c r="F168" t="str">
        <f>IF(Allocation!BN168="","",Allocation!BN168)</f>
        <v>ALT</v>
      </c>
      <c r="G168">
        <f>IF(Allocation!BO168="","",Allocation!BO168)</f>
        <v>36</v>
      </c>
      <c r="H168">
        <f>IF(Allocation!BP168="","",Allocation!BP168)</f>
        <v>2</v>
      </c>
      <c r="I168">
        <f>IF(Allocation!BQ168="","",Allocation!BQ168)</f>
        <v>247680</v>
      </c>
      <c r="J168">
        <f>IF(Allocation!CC168="","",Allocation!CC168)</f>
        <v>36</v>
      </c>
      <c r="K168">
        <f t="shared" si="0"/>
        <v>960</v>
      </c>
      <c r="L168">
        <f t="shared" si="1"/>
        <v>176</v>
      </c>
      <c r="M168">
        <f t="shared" si="2"/>
        <v>10</v>
      </c>
      <c r="N168">
        <f t="shared" si="3"/>
        <v>1132650</v>
      </c>
      <c r="O168">
        <f t="shared" si="4"/>
        <v>5680</v>
      </c>
      <c r="P168">
        <f t="shared" si="5"/>
        <v>72</v>
      </c>
      <c r="Q168">
        <f t="shared" si="6"/>
        <v>402</v>
      </c>
      <c r="R168">
        <f t="shared" si="7"/>
        <v>20</v>
      </c>
      <c r="S168">
        <f t="shared" si="8"/>
        <v>2706480</v>
      </c>
      <c r="T168">
        <f t="shared" si="9"/>
        <v>3114</v>
      </c>
      <c r="U168">
        <f t="shared" si="10"/>
        <v>135</v>
      </c>
      <c r="V168">
        <f t="shared" si="11"/>
        <v>23098985</v>
      </c>
      <c r="W168">
        <f>IF($A168="","",Allocation!CD168)</f>
        <v>96583</v>
      </c>
      <c r="X168">
        <f>IF($A168="","",Allocation!CE168)</f>
        <v>182756.35</v>
      </c>
      <c r="Y168">
        <f>IF($A168="","",Allocation!CF168)</f>
        <v>52838</v>
      </c>
      <c r="Z168">
        <f>IF($A168="","",Allocation!CG168)</f>
        <v>21968</v>
      </c>
      <c r="AA168">
        <f>IF($A168="","",Allocation!CH168)</f>
        <v>348116.41</v>
      </c>
      <c r="AB168">
        <f>IF($A168="","",Allocation!CI168)</f>
        <v>2891983</v>
      </c>
      <c r="AC168">
        <f>IF($A168="","",IF(Allocation!$N$4="VOL_EFF",$G168,IF(Allocation!$N$4="VOL_CLASS",$H168,$I168)))</f>
        <v>2</v>
      </c>
      <c r="AD168">
        <f>IF($A168="","",IF(Allocation!$N$4="VOL_EFF",$L168,IF(Allocation!$N$4="VOL_CLASS",$M168,$N168)))</f>
        <v>10</v>
      </c>
      <c r="AE168">
        <f>IF($A168="","",IF(Allocation!$N$3="VOL_EFF",$L168,IF(Allocation!$N$3="VOL_CLASS",$M168,$N168)))</f>
        <v>176</v>
      </c>
      <c r="AF168">
        <f>IF($A168="","",IF(Allocation!$N$3="VOL_EFF",$Q168,IF(Allocation!$N$3="VOL_CLASS",$R168,$S168)))</f>
        <v>402</v>
      </c>
      <c r="AG168">
        <f>IF($A168="","",IF(Allocation!$N$1="VOL_EFF",$Q168,IF(Allocation!$N$1="VOL_CLASS",$R168,$S168)))</f>
        <v>20</v>
      </c>
      <c r="AH168">
        <f>IF($A168="","",IF(Allocation!$N$1="VOL_EFF",$T168,IF(Allocation!$N$1="VOL_CLASS",$U168,$V168)))</f>
        <v>135</v>
      </c>
      <c r="AI168">
        <f t="shared" si="12"/>
        <v>16323.8873239437</v>
      </c>
      <c r="AJ168">
        <f t="shared" si="13"/>
        <v>30888.3971830986</v>
      </c>
      <c r="AK168">
        <f t="shared" si="14"/>
        <v>21791.7727272727</v>
      </c>
      <c r="AL168">
        <f t="shared" si="15"/>
        <v>69623.282</v>
      </c>
      <c r="AM168">
        <f t="shared" si="16"/>
        <v>37515.312916897</v>
      </c>
      <c r="AN168">
        <f t="shared" si="17"/>
        <v>64598.359195026</v>
      </c>
      <c r="AO168">
        <f>IF($A168="","",Allocation!CJ168)</f>
        <v>676344</v>
      </c>
      <c r="AP168">
        <f>IF($A168="","",IF(Allocation!$N$2="VOL_EFF",$Q168,IF(Allocation!$N$2="VOL_CLASS",$R168,$S168)))</f>
        <v>2706480</v>
      </c>
      <c r="AQ168">
        <f>IF($A168="","",IF(Allocation!$N$2="VOL_EFF",$T168,IF(Allocation!$N$2="VOL_CLASS",$U168,$V168)))</f>
        <v>23098985</v>
      </c>
      <c r="AR168">
        <f t="shared" si="18"/>
        <v>6938.98865376197</v>
      </c>
      <c r="AS168" t="str">
        <f>IF($A168="","",$A168&amp;"|"&amp;Allocation!BG168)</f>
        <v>2026|ACT</v>
      </c>
    </row>
    <row r="169" ht="14.497499999999997" customHeight="1">
      <c r="A169" t="str">
        <f>IF(Allocation!BI169="","",Allocation!BI169)</f>
        <v>2026</v>
      </c>
      <c r="B169" t="str">
        <f>IF(Allocation!BJ169="","",Allocation!BJ169)</f>
        <v>PIGIER_BOR</v>
      </c>
      <c r="C169" t="str">
        <f>IF(Allocation!BK169="","",Allocation!BK169)</f>
        <v>PIGIER</v>
      </c>
      <c r="D169" t="str">
        <f>IF(Allocation!BL169="","",Allocation!BL169)</f>
        <v>BAC_RH</v>
      </c>
      <c r="E169" t="str">
        <f>IF(Allocation!BM169="","",Allocation!BM169)</f>
        <v>B2</v>
      </c>
      <c r="F169" t="str">
        <f>IF(Allocation!BN169="","",Allocation!BN169)</f>
        <v>ALT</v>
      </c>
      <c r="G169">
        <f>IF(Allocation!BO169="","",Allocation!BO169)</f>
        <v>35</v>
      </c>
      <c r="H169">
        <f>IF(Allocation!BP169="","",Allocation!BP169)</f>
        <v>2</v>
      </c>
      <c r="I169">
        <f>IF(Allocation!BQ169="","",Allocation!BQ169)</f>
        <v>237650</v>
      </c>
      <c r="J169">
        <f>IF(Allocation!CC169="","",Allocation!CC169)</f>
        <v>0</v>
      </c>
      <c r="K169">
        <f t="shared" si="0"/>
        <v>960</v>
      </c>
      <c r="L169">
        <f t="shared" si="1"/>
        <v>176</v>
      </c>
      <c r="M169">
        <f t="shared" si="2"/>
        <v>10</v>
      </c>
      <c r="N169">
        <f t="shared" si="3"/>
        <v>1132650</v>
      </c>
      <c r="O169">
        <f t="shared" si="4"/>
        <v>5680</v>
      </c>
      <c r="P169">
        <f t="shared" si="5"/>
        <v>72</v>
      </c>
      <c r="Q169">
        <f t="shared" si="6"/>
        <v>402</v>
      </c>
      <c r="R169">
        <f t="shared" si="7"/>
        <v>20</v>
      </c>
      <c r="S169">
        <f t="shared" si="8"/>
        <v>2706480</v>
      </c>
      <c r="T169">
        <f t="shared" si="9"/>
        <v>3114</v>
      </c>
      <c r="U169">
        <f t="shared" si="10"/>
        <v>135</v>
      </c>
      <c r="V169">
        <f t="shared" si="11"/>
        <v>23098985</v>
      </c>
      <c r="W169">
        <f>IF($A169="","",Allocation!CD169)</f>
        <v>96583</v>
      </c>
      <c r="X169">
        <f>IF($A169="","",Allocation!CE169)</f>
        <v>182756.35</v>
      </c>
      <c r="Y169">
        <f>IF($A169="","",Allocation!CF169)</f>
        <v>52838</v>
      </c>
      <c r="Z169">
        <f>IF($A169="","",Allocation!CG169)</f>
        <v>21968</v>
      </c>
      <c r="AA169">
        <f>IF($A169="","",Allocation!CH169)</f>
        <v>348116.41</v>
      </c>
      <c r="AB169">
        <f>IF($A169="","",Allocation!CI169)</f>
        <v>2891983</v>
      </c>
      <c r="AC169">
        <f>IF($A169="","",IF(Allocation!$N$4="VOL_EFF",$G169,IF(Allocation!$N$4="VOL_CLASS",$H169,$I169)))</f>
        <v>2</v>
      </c>
      <c r="AD169">
        <f>IF($A169="","",IF(Allocation!$N$4="VOL_EFF",$L169,IF(Allocation!$N$4="VOL_CLASS",$M169,$N169)))</f>
        <v>10</v>
      </c>
      <c r="AE169">
        <f>IF($A169="","",IF(Allocation!$N$3="VOL_EFF",$L169,IF(Allocation!$N$3="VOL_CLASS",$M169,$N169)))</f>
        <v>176</v>
      </c>
      <c r="AF169">
        <f>IF($A169="","",IF(Allocation!$N$3="VOL_EFF",$Q169,IF(Allocation!$N$3="VOL_CLASS",$R169,$S169)))</f>
        <v>402</v>
      </c>
      <c r="AG169">
        <f>IF($A169="","",IF(Allocation!$N$1="VOL_EFF",$Q169,IF(Allocation!$N$1="VOL_CLASS",$R169,$S169)))</f>
        <v>20</v>
      </c>
      <c r="AH169">
        <f>IF($A169="","",IF(Allocation!$N$1="VOL_EFF",$T169,IF(Allocation!$N$1="VOL_CLASS",$U169,$V169)))</f>
        <v>135</v>
      </c>
      <c r="AI169">
        <f t="shared" si="12"/>
        <v>16323.8873239437</v>
      </c>
      <c r="AJ169">
        <f t="shared" si="13"/>
        <v>30888.3971830986</v>
      </c>
      <c r="AK169">
        <f t="shared" si="14"/>
        <v>10507.5568181818</v>
      </c>
      <c r="AL169">
        <f t="shared" si="15"/>
        <v>69623.282</v>
      </c>
      <c r="AM169">
        <f t="shared" si="16"/>
        <v>37515.312916897</v>
      </c>
      <c r="AN169">
        <f t="shared" si="17"/>
        <v>65852.5751041169</v>
      </c>
      <c r="AO169">
        <f>IF($A169="","",Allocation!CJ169)</f>
        <v>676344</v>
      </c>
      <c r="AP169">
        <f>IF($A169="","",IF(Allocation!$N$2="VOL_EFF",$Q169,IF(Allocation!$N$2="VOL_CLASS",$R169,$S169)))</f>
        <v>2706480</v>
      </c>
      <c r="AQ169">
        <f>IF($A169="","",IF(Allocation!$N$2="VOL_EFF",$T169,IF(Allocation!$N$2="VOL_CLASS",$U169,$V169)))</f>
        <v>23098985</v>
      </c>
      <c r="AR169">
        <f t="shared" si="18"/>
        <v>6938.98865376197</v>
      </c>
      <c r="AS169" t="str">
        <f>IF($A169="","",$A169&amp;"|"&amp;Allocation!BG169)</f>
        <v>2026|ACT</v>
      </c>
    </row>
    <row r="170" ht="14.497499999999997" customHeight="1">
      <c r="A170" t="str">
        <f>IF(Allocation!BI170="","",Allocation!BI170)</f>
        <v>2026</v>
      </c>
      <c r="B170" t="str">
        <f>IF(Allocation!BJ170="","",Allocation!BJ170)</f>
        <v>PIGIER_BOR</v>
      </c>
      <c r="C170" t="str">
        <f>IF(Allocation!BK170="","",Allocation!BK170)</f>
        <v>PIGIER</v>
      </c>
      <c r="D170" t="str">
        <f>IF(Allocation!BL170="","",Allocation!BL170)</f>
        <v>BAC_RH</v>
      </c>
      <c r="E170" t="str">
        <f>IF(Allocation!BM170="","",Allocation!BM170)</f>
        <v>B3</v>
      </c>
      <c r="F170" t="str">
        <f>IF(Allocation!BN170="","",Allocation!BN170)</f>
        <v>ALT</v>
      </c>
      <c r="G170">
        <f>IF(Allocation!BO170="","",Allocation!BO170)</f>
        <v>34</v>
      </c>
      <c r="H170">
        <f>IF(Allocation!BP170="","",Allocation!BP170)</f>
        <v>2</v>
      </c>
      <c r="I170">
        <f>IF(Allocation!BQ170="","",Allocation!BQ170)</f>
        <v>230860</v>
      </c>
      <c r="J170">
        <f>IF(Allocation!CC170="","",Allocation!CC170)</f>
        <v>0</v>
      </c>
      <c r="K170">
        <f t="shared" si="0"/>
        <v>960</v>
      </c>
      <c r="L170">
        <f t="shared" si="1"/>
        <v>176</v>
      </c>
      <c r="M170">
        <f t="shared" si="2"/>
        <v>10</v>
      </c>
      <c r="N170">
        <f t="shared" si="3"/>
        <v>1132650</v>
      </c>
      <c r="O170">
        <f t="shared" si="4"/>
        <v>5680</v>
      </c>
      <c r="P170">
        <f t="shared" si="5"/>
        <v>72</v>
      </c>
      <c r="Q170">
        <f t="shared" si="6"/>
        <v>402</v>
      </c>
      <c r="R170">
        <f t="shared" si="7"/>
        <v>20</v>
      </c>
      <c r="S170">
        <f t="shared" si="8"/>
        <v>2706480</v>
      </c>
      <c r="T170">
        <f t="shared" si="9"/>
        <v>3114</v>
      </c>
      <c r="U170">
        <f t="shared" si="10"/>
        <v>135</v>
      </c>
      <c r="V170">
        <f t="shared" si="11"/>
        <v>23098985</v>
      </c>
      <c r="W170">
        <f>IF($A170="","",Allocation!CD170)</f>
        <v>96583</v>
      </c>
      <c r="X170">
        <f>IF($A170="","",Allocation!CE170)</f>
        <v>182756.35</v>
      </c>
      <c r="Y170">
        <f>IF($A170="","",Allocation!CF170)</f>
        <v>52838</v>
      </c>
      <c r="Z170">
        <f>IF($A170="","",Allocation!CG170)</f>
        <v>21968</v>
      </c>
      <c r="AA170">
        <f>IF($A170="","",Allocation!CH170)</f>
        <v>348116.41</v>
      </c>
      <c r="AB170">
        <f>IF($A170="","",Allocation!CI170)</f>
        <v>2891983</v>
      </c>
      <c r="AC170">
        <f>IF($A170="","",IF(Allocation!$N$4="VOL_EFF",$G170,IF(Allocation!$N$4="VOL_CLASS",$H170,$I170)))</f>
        <v>2</v>
      </c>
      <c r="AD170">
        <f>IF($A170="","",IF(Allocation!$N$4="VOL_EFF",$L170,IF(Allocation!$N$4="VOL_CLASS",$M170,$N170)))</f>
        <v>10</v>
      </c>
      <c r="AE170">
        <f>IF($A170="","",IF(Allocation!$N$3="VOL_EFF",$L170,IF(Allocation!$N$3="VOL_CLASS",$M170,$N170)))</f>
        <v>176</v>
      </c>
      <c r="AF170">
        <f>IF($A170="","",IF(Allocation!$N$3="VOL_EFF",$Q170,IF(Allocation!$N$3="VOL_CLASS",$R170,$S170)))</f>
        <v>402</v>
      </c>
      <c r="AG170">
        <f>IF($A170="","",IF(Allocation!$N$1="VOL_EFF",$Q170,IF(Allocation!$N$1="VOL_CLASS",$R170,$S170)))</f>
        <v>20</v>
      </c>
      <c r="AH170">
        <f>IF($A170="","",IF(Allocation!$N$1="VOL_EFF",$T170,IF(Allocation!$N$1="VOL_CLASS",$U170,$V170)))</f>
        <v>135</v>
      </c>
      <c r="AI170">
        <f t="shared" si="12"/>
        <v>16323.8873239437</v>
      </c>
      <c r="AJ170">
        <f t="shared" si="13"/>
        <v>30888.3971830986</v>
      </c>
      <c r="AK170">
        <f t="shared" si="14"/>
        <v>10207.3409090909</v>
      </c>
      <c r="AL170">
        <f t="shared" si="15"/>
        <v>69623.282</v>
      </c>
      <c r="AM170">
        <f t="shared" si="16"/>
        <v>37515.312916897</v>
      </c>
      <c r="AN170">
        <f t="shared" si="17"/>
        <v>59362.7910132078</v>
      </c>
      <c r="AO170">
        <f>IF($A170="","",Allocation!CJ170)</f>
        <v>676344</v>
      </c>
      <c r="AP170">
        <f>IF($A170="","",IF(Allocation!$N$2="VOL_EFF",$Q170,IF(Allocation!$N$2="VOL_CLASS",$R170,$S170)))</f>
        <v>2706480</v>
      </c>
      <c r="AQ170">
        <f>IF($A170="","",IF(Allocation!$N$2="VOL_EFF",$T170,IF(Allocation!$N$2="VOL_CLASS",$U170,$V170)))</f>
        <v>23098985</v>
      </c>
      <c r="AR170">
        <f t="shared" si="18"/>
        <v>6938.98865376197</v>
      </c>
      <c r="AS170" t="str">
        <f>IF($A170="","",$A170&amp;"|"&amp;Allocation!BG170)</f>
        <v>2026|ACT</v>
      </c>
    </row>
    <row r="171" ht="14.497499999999997" customHeight="1">
      <c r="A171" t="str">
        <f>IF(Allocation!BI171="","",Allocation!BI171)</f>
        <v>2026</v>
      </c>
      <c r="B171" t="str">
        <f>IF(Allocation!BJ171="","",Allocation!BJ171)</f>
        <v>PIGIER_LYO</v>
      </c>
      <c r="C171" t="str">
        <f>IF(Allocation!BK171="","",Allocation!BK171)</f>
        <v>PIGIER</v>
      </c>
      <c r="D171" t="str">
        <f>IF(Allocation!BL171="","",Allocation!BL171)</f>
        <v>BAC_RH</v>
      </c>
      <c r="E171" t="str">
        <f>IF(Allocation!BM171="","",Allocation!BM171)</f>
        <v>B3</v>
      </c>
      <c r="F171" t="str">
        <f>IF(Allocation!BN171="","",Allocation!BN171)</f>
        <v>ALT</v>
      </c>
      <c r="G171">
        <f>IF(Allocation!BO171="","",Allocation!BO171)</f>
        <v>44</v>
      </c>
      <c r="H171">
        <f>IF(Allocation!BP171="","",Allocation!BP171)</f>
        <v>2</v>
      </c>
      <c r="I171">
        <f>IF(Allocation!BQ171="","",Allocation!BQ171)</f>
        <v>323400</v>
      </c>
      <c r="J171">
        <f>IF(Allocation!CC171="","",Allocation!CC171)</f>
        <v>0</v>
      </c>
      <c r="K171">
        <f t="shared" si="0"/>
        <v>960</v>
      </c>
      <c r="L171">
        <f t="shared" si="1"/>
        <v>226</v>
      </c>
      <c r="M171">
        <f t="shared" si="2"/>
        <v>10</v>
      </c>
      <c r="N171">
        <f t="shared" si="3"/>
        <v>1573830</v>
      </c>
      <c r="O171">
        <f t="shared" si="4"/>
        <v>5680</v>
      </c>
      <c r="P171">
        <f t="shared" si="5"/>
        <v>92</v>
      </c>
      <c r="Q171">
        <f t="shared" si="6"/>
        <v>402</v>
      </c>
      <c r="R171">
        <f t="shared" si="7"/>
        <v>20</v>
      </c>
      <c r="S171">
        <f t="shared" si="8"/>
        <v>2706480</v>
      </c>
      <c r="T171">
        <f t="shared" si="9"/>
        <v>3114</v>
      </c>
      <c r="U171">
        <f t="shared" si="10"/>
        <v>135</v>
      </c>
      <c r="V171">
        <f t="shared" si="11"/>
        <v>23098985</v>
      </c>
      <c r="W171">
        <f>IF($A171="","",Allocation!CD171)</f>
        <v>96583</v>
      </c>
      <c r="X171">
        <f>IF($A171="","",Allocation!CE171)</f>
        <v>241308.7</v>
      </c>
      <c r="Y171">
        <f>IF($A171="","",Allocation!CF171)</f>
        <v>67722</v>
      </c>
      <c r="Z171">
        <f>IF($A171="","",Allocation!CG171)</f>
        <v>36612</v>
      </c>
      <c r="AA171">
        <f>IF($A171="","",Allocation!CH171)</f>
        <v>537148.21</v>
      </c>
      <c r="AB171">
        <f>IF($A171="","",Allocation!CI171)</f>
        <v>2891983</v>
      </c>
      <c r="AC171">
        <f>IF($A171="","",IF(Allocation!$N$4="VOL_EFF",$G171,IF(Allocation!$N$4="VOL_CLASS",$H171,$I171)))</f>
        <v>2</v>
      </c>
      <c r="AD171">
        <f>IF($A171="","",IF(Allocation!$N$4="VOL_EFF",$L171,IF(Allocation!$N$4="VOL_CLASS",$M171,$N171)))</f>
        <v>10</v>
      </c>
      <c r="AE171">
        <f>IF($A171="","",IF(Allocation!$N$3="VOL_EFF",$L171,IF(Allocation!$N$3="VOL_CLASS",$M171,$N171)))</f>
        <v>226</v>
      </c>
      <c r="AF171">
        <f>IF($A171="","",IF(Allocation!$N$3="VOL_EFF",$Q171,IF(Allocation!$N$3="VOL_CLASS",$R171,$S171)))</f>
        <v>402</v>
      </c>
      <c r="AG171">
        <f>IF($A171="","",IF(Allocation!$N$1="VOL_EFF",$Q171,IF(Allocation!$N$1="VOL_CLASS",$R171,$S171)))</f>
        <v>20</v>
      </c>
      <c r="AH171">
        <f>IF($A171="","",IF(Allocation!$N$1="VOL_EFF",$T171,IF(Allocation!$N$1="VOL_CLASS",$U171,$V171)))</f>
        <v>135</v>
      </c>
      <c r="AI171">
        <f t="shared" si="12"/>
        <v>16323.8873239437</v>
      </c>
      <c r="AJ171">
        <f t="shared" si="13"/>
        <v>40784.5690140845</v>
      </c>
      <c r="AK171">
        <f t="shared" si="14"/>
        <v>13184.814159292</v>
      </c>
      <c r="AL171">
        <f t="shared" si="15"/>
        <v>107429.642</v>
      </c>
      <c r="AM171">
        <f t="shared" si="16"/>
        <v>48173.0722682882</v>
      </c>
      <c r="AN171">
        <f t="shared" si="17"/>
        <v>88593.7229858109</v>
      </c>
      <c r="AO171">
        <f>IF($A171="","",Allocation!CJ171)</f>
        <v>676344</v>
      </c>
      <c r="AP171">
        <f>IF($A171="","",IF(Allocation!$N$2="VOL_EFF",$Q171,IF(Allocation!$N$2="VOL_CLASS",$R171,$S171)))</f>
        <v>2706480</v>
      </c>
      <c r="AQ171">
        <f>IF($A171="","",IF(Allocation!$N$2="VOL_EFF",$T171,IF(Allocation!$N$2="VOL_CLASS",$U171,$V171)))</f>
        <v>23098985</v>
      </c>
      <c r="AR171">
        <f t="shared" si="18"/>
        <v>8910.29224858071</v>
      </c>
      <c r="AS171" t="str">
        <f>IF($A171="","",$A171&amp;"|"&amp;Allocation!BG171)</f>
        <v>2026|ACT</v>
      </c>
    </row>
    <row r="172" ht="14.497499999999997" customHeight="1">
      <c r="A172" t="str">
        <f>IF(Allocation!BI172="","",Allocation!BI172)</f>
        <v>2026</v>
      </c>
      <c r="B172" t="str">
        <f>IF(Allocation!BJ172="","",Allocation!BJ172)</f>
        <v>PIGIER_LYO</v>
      </c>
      <c r="C172" t="str">
        <f>IF(Allocation!BK172="","",Allocation!BK172)</f>
        <v>PIGIER</v>
      </c>
      <c r="D172" t="str">
        <f>IF(Allocation!BL172="","",Allocation!BL172)</f>
        <v>BAC_RH</v>
      </c>
      <c r="E172" t="str">
        <f>IF(Allocation!BM172="","",Allocation!BM172)</f>
        <v>B2</v>
      </c>
      <c r="F172" t="str">
        <f>IF(Allocation!BN172="","",Allocation!BN172)</f>
        <v>ALT</v>
      </c>
      <c r="G172">
        <f>IF(Allocation!BO172="","",Allocation!BO172)</f>
        <v>45</v>
      </c>
      <c r="H172">
        <f>IF(Allocation!BP172="","",Allocation!BP172)</f>
        <v>2</v>
      </c>
      <c r="I172">
        <f>IF(Allocation!BQ172="","",Allocation!BQ172)</f>
        <v>330750</v>
      </c>
      <c r="J172">
        <f>IF(Allocation!CC172="","",Allocation!CC172)</f>
        <v>0</v>
      </c>
      <c r="K172">
        <f t="shared" si="0"/>
        <v>960</v>
      </c>
      <c r="L172">
        <f t="shared" si="1"/>
        <v>226</v>
      </c>
      <c r="M172">
        <f t="shared" si="2"/>
        <v>10</v>
      </c>
      <c r="N172">
        <f t="shared" si="3"/>
        <v>1573830</v>
      </c>
      <c r="O172">
        <f t="shared" si="4"/>
        <v>5680</v>
      </c>
      <c r="P172">
        <f t="shared" si="5"/>
        <v>92</v>
      </c>
      <c r="Q172">
        <f t="shared" si="6"/>
        <v>402</v>
      </c>
      <c r="R172">
        <f t="shared" si="7"/>
        <v>20</v>
      </c>
      <c r="S172">
        <f t="shared" si="8"/>
        <v>2706480</v>
      </c>
      <c r="T172">
        <f t="shared" si="9"/>
        <v>3114</v>
      </c>
      <c r="U172">
        <f t="shared" si="10"/>
        <v>135</v>
      </c>
      <c r="V172">
        <f t="shared" si="11"/>
        <v>23098985</v>
      </c>
      <c r="W172">
        <f>IF($A172="","",Allocation!CD172)</f>
        <v>96583</v>
      </c>
      <c r="X172">
        <f>IF($A172="","",Allocation!CE172)</f>
        <v>241308.7</v>
      </c>
      <c r="Y172">
        <f>IF($A172="","",Allocation!CF172)</f>
        <v>67722</v>
      </c>
      <c r="Z172">
        <f>IF($A172="","",Allocation!CG172)</f>
        <v>36612</v>
      </c>
      <c r="AA172">
        <f>IF($A172="","",Allocation!CH172)</f>
        <v>537148.21</v>
      </c>
      <c r="AB172">
        <f>IF($A172="","",Allocation!CI172)</f>
        <v>2891983</v>
      </c>
      <c r="AC172">
        <f>IF($A172="","",IF(Allocation!$N$4="VOL_EFF",$G172,IF(Allocation!$N$4="VOL_CLASS",$H172,$I172)))</f>
        <v>2</v>
      </c>
      <c r="AD172">
        <f>IF($A172="","",IF(Allocation!$N$4="VOL_EFF",$L172,IF(Allocation!$N$4="VOL_CLASS",$M172,$N172)))</f>
        <v>10</v>
      </c>
      <c r="AE172">
        <f>IF($A172="","",IF(Allocation!$N$3="VOL_EFF",$L172,IF(Allocation!$N$3="VOL_CLASS",$M172,$N172)))</f>
        <v>226</v>
      </c>
      <c r="AF172">
        <f>IF($A172="","",IF(Allocation!$N$3="VOL_EFF",$Q172,IF(Allocation!$N$3="VOL_CLASS",$R172,$S172)))</f>
        <v>402</v>
      </c>
      <c r="AG172">
        <f>IF($A172="","",IF(Allocation!$N$1="VOL_EFF",$Q172,IF(Allocation!$N$1="VOL_CLASS",$R172,$S172)))</f>
        <v>20</v>
      </c>
      <c r="AH172">
        <f>IF($A172="","",IF(Allocation!$N$1="VOL_EFF",$T172,IF(Allocation!$N$1="VOL_CLASS",$U172,$V172)))</f>
        <v>135</v>
      </c>
      <c r="AI172">
        <f t="shared" si="12"/>
        <v>16323.8873239437</v>
      </c>
      <c r="AJ172">
        <f t="shared" si="13"/>
        <v>40784.5690140845</v>
      </c>
      <c r="AK172">
        <f t="shared" si="14"/>
        <v>13484.4690265487</v>
      </c>
      <c r="AL172">
        <f t="shared" si="15"/>
        <v>107429.642</v>
      </c>
      <c r="AM172">
        <f t="shared" si="16"/>
        <v>48173.0722682882</v>
      </c>
      <c r="AN172">
        <f t="shared" si="17"/>
        <v>95644.0681185542</v>
      </c>
      <c r="AO172">
        <f>IF($A172="","",Allocation!CJ172)</f>
        <v>676344</v>
      </c>
      <c r="AP172">
        <f>IF($A172="","",IF(Allocation!$N$2="VOL_EFF",$Q172,IF(Allocation!$N$2="VOL_CLASS",$R172,$S172)))</f>
        <v>2706480</v>
      </c>
      <c r="AQ172">
        <f>IF($A172="","",IF(Allocation!$N$2="VOL_EFF",$T172,IF(Allocation!$N$2="VOL_CLASS",$U172,$V172)))</f>
        <v>23098985</v>
      </c>
      <c r="AR172">
        <f t="shared" si="18"/>
        <v>8910.29224858071</v>
      </c>
      <c r="AS172" t="str">
        <f>IF($A172="","",$A172&amp;"|"&amp;Allocation!BG172)</f>
        <v>2026|ACT</v>
      </c>
    </row>
    <row r="173" ht="14.497499999999997" customHeight="1">
      <c r="A173" t="str">
        <f>IF(Allocation!BI173="","",Allocation!BI173)</f>
        <v>2026</v>
      </c>
      <c r="B173" t="str">
        <f>IF(Allocation!BJ173="","",Allocation!BJ173)</f>
        <v>PIGIER_LYO</v>
      </c>
      <c r="C173" t="str">
        <f>IF(Allocation!BK173="","",Allocation!BK173)</f>
        <v>PIGIER</v>
      </c>
      <c r="D173" t="str">
        <f>IF(Allocation!BL173="","",Allocation!BL173)</f>
        <v>BTS_GES</v>
      </c>
      <c r="E173" t="str">
        <f>IF(Allocation!BM173="","",Allocation!BM173)</f>
        <v>BTS1</v>
      </c>
      <c r="F173" t="str">
        <f>IF(Allocation!BN173="","",Allocation!BN173)</f>
        <v>ALT</v>
      </c>
      <c r="G173">
        <f>IF(Allocation!BO173="","",Allocation!BO173)</f>
        <v>46</v>
      </c>
      <c r="H173">
        <f>IF(Allocation!BP173="","",Allocation!BP173)</f>
        <v>2</v>
      </c>
      <c r="I173">
        <f>IF(Allocation!BQ173="","",Allocation!BQ173)</f>
        <v>293940</v>
      </c>
      <c r="J173">
        <f>IF(Allocation!CC173="","",Allocation!CC173)</f>
        <v>46</v>
      </c>
      <c r="K173">
        <f t="shared" si="0"/>
        <v>1400</v>
      </c>
      <c r="L173">
        <f t="shared" si="1"/>
        <v>226</v>
      </c>
      <c r="M173">
        <f t="shared" si="2"/>
        <v>10</v>
      </c>
      <c r="N173">
        <f t="shared" si="3"/>
        <v>1573830</v>
      </c>
      <c r="O173">
        <f t="shared" si="4"/>
        <v>5680</v>
      </c>
      <c r="P173">
        <f t="shared" si="5"/>
        <v>92</v>
      </c>
      <c r="Q173">
        <f t="shared" si="6"/>
        <v>402</v>
      </c>
      <c r="R173">
        <f t="shared" si="7"/>
        <v>20</v>
      </c>
      <c r="S173">
        <f t="shared" si="8"/>
        <v>2706480</v>
      </c>
      <c r="T173">
        <f t="shared" si="9"/>
        <v>3114</v>
      </c>
      <c r="U173">
        <f t="shared" si="10"/>
        <v>135</v>
      </c>
      <c r="V173">
        <f t="shared" si="11"/>
        <v>23098985</v>
      </c>
      <c r="W173">
        <f>IF($A173="","",Allocation!CD173)</f>
        <v>96583</v>
      </c>
      <c r="X173">
        <f>IF($A173="","",Allocation!CE173)</f>
        <v>241308.7</v>
      </c>
      <c r="Y173">
        <f>IF($A173="","",Allocation!CF173)</f>
        <v>67722</v>
      </c>
      <c r="Z173">
        <f>IF($A173="","",Allocation!CG173)</f>
        <v>36612</v>
      </c>
      <c r="AA173">
        <f>IF($A173="","",Allocation!CH173)</f>
        <v>537148.21</v>
      </c>
      <c r="AB173">
        <f>IF($A173="","",Allocation!CI173)</f>
        <v>2891983</v>
      </c>
      <c r="AC173">
        <f>IF($A173="","",IF(Allocation!$N$4="VOL_EFF",$G173,IF(Allocation!$N$4="VOL_CLASS",$H173,$I173)))</f>
        <v>2</v>
      </c>
      <c r="AD173">
        <f>IF($A173="","",IF(Allocation!$N$4="VOL_EFF",$L173,IF(Allocation!$N$4="VOL_CLASS",$M173,$N173)))</f>
        <v>10</v>
      </c>
      <c r="AE173">
        <f>IF($A173="","",IF(Allocation!$N$3="VOL_EFF",$L173,IF(Allocation!$N$3="VOL_CLASS",$M173,$N173)))</f>
        <v>226</v>
      </c>
      <c r="AF173">
        <f>IF($A173="","",IF(Allocation!$N$3="VOL_EFF",$Q173,IF(Allocation!$N$3="VOL_CLASS",$R173,$S173)))</f>
        <v>402</v>
      </c>
      <c r="AG173">
        <f>IF($A173="","",IF(Allocation!$N$1="VOL_EFF",$Q173,IF(Allocation!$N$1="VOL_CLASS",$R173,$S173)))</f>
        <v>20</v>
      </c>
      <c r="AH173">
        <f>IF($A173="","",IF(Allocation!$N$1="VOL_EFF",$T173,IF(Allocation!$N$1="VOL_CLASS",$U173,$V173)))</f>
        <v>135</v>
      </c>
      <c r="AI173">
        <f t="shared" si="12"/>
        <v>23805.6690140845</v>
      </c>
      <c r="AJ173">
        <f t="shared" si="13"/>
        <v>59477.4964788732</v>
      </c>
      <c r="AK173">
        <f t="shared" si="14"/>
        <v>32090.1238938053</v>
      </c>
      <c r="AL173">
        <f t="shared" si="15"/>
        <v>107429.642</v>
      </c>
      <c r="AM173">
        <f t="shared" si="16"/>
        <v>48173.0722682882</v>
      </c>
      <c r="AN173">
        <f t="shared" si="17"/>
        <v>14053.7040963681</v>
      </c>
      <c r="AO173">
        <f>IF($A173="","",Allocation!CJ173)</f>
        <v>676344</v>
      </c>
      <c r="AP173">
        <f>IF($A173="","",IF(Allocation!$N$2="VOL_EFF",$Q173,IF(Allocation!$N$2="VOL_CLASS",$R173,$S173)))</f>
        <v>2706480</v>
      </c>
      <c r="AQ173">
        <f>IF($A173="","",IF(Allocation!$N$2="VOL_EFF",$T173,IF(Allocation!$N$2="VOL_CLASS",$U173,$V173)))</f>
        <v>23098985</v>
      </c>
      <c r="AR173">
        <f t="shared" si="18"/>
        <v>8910.29224858071</v>
      </c>
      <c r="AS173" t="str">
        <f>IF($A173="","",$A173&amp;"|"&amp;Allocation!BG173)</f>
        <v>2026|ACT</v>
      </c>
    </row>
    <row r="174" ht="14.497499999999997" customHeight="1">
      <c r="A174" t="str">
        <f>IF(Allocation!BI174="","",Allocation!BI174)</f>
        <v>2026</v>
      </c>
      <c r="B174" t="str">
        <f>IF(Allocation!BJ174="","",Allocation!BJ174)</f>
        <v>PIGIER_LYO</v>
      </c>
      <c r="C174" t="str">
        <f>IF(Allocation!BK174="","",Allocation!BK174)</f>
        <v>PIGIER</v>
      </c>
      <c r="D174" t="str">
        <f>IF(Allocation!BL174="","",Allocation!BL174)</f>
        <v>BTS_GES</v>
      </c>
      <c r="E174" t="str">
        <f>IF(Allocation!BM174="","",Allocation!BM174)</f>
        <v>BTS2</v>
      </c>
      <c r="F174" t="str">
        <f>IF(Allocation!BN174="","",Allocation!BN174)</f>
        <v>ALT</v>
      </c>
      <c r="G174">
        <f>IF(Allocation!BO174="","",Allocation!BO174)</f>
        <v>45</v>
      </c>
      <c r="H174">
        <f>IF(Allocation!BP174="","",Allocation!BP174)</f>
        <v>2</v>
      </c>
      <c r="I174">
        <f>IF(Allocation!BQ174="","",Allocation!BQ174)</f>
        <v>283500</v>
      </c>
      <c r="J174">
        <f>IF(Allocation!CC174="","",Allocation!CC174)</f>
        <v>0</v>
      </c>
      <c r="K174">
        <f t="shared" si="0"/>
        <v>1400</v>
      </c>
      <c r="L174">
        <f t="shared" si="1"/>
        <v>226</v>
      </c>
      <c r="M174">
        <f t="shared" si="2"/>
        <v>10</v>
      </c>
      <c r="N174">
        <f t="shared" si="3"/>
        <v>1573830</v>
      </c>
      <c r="O174">
        <f t="shared" si="4"/>
        <v>5680</v>
      </c>
      <c r="P174">
        <f t="shared" si="5"/>
        <v>92</v>
      </c>
      <c r="Q174">
        <f t="shared" si="6"/>
        <v>402</v>
      </c>
      <c r="R174">
        <f t="shared" si="7"/>
        <v>20</v>
      </c>
      <c r="S174">
        <f t="shared" si="8"/>
        <v>2706480</v>
      </c>
      <c r="T174">
        <f t="shared" si="9"/>
        <v>3114</v>
      </c>
      <c r="U174">
        <f t="shared" si="10"/>
        <v>135</v>
      </c>
      <c r="V174">
        <f t="shared" si="11"/>
        <v>23098985</v>
      </c>
      <c r="W174">
        <f>IF($A174="","",Allocation!CD174)</f>
        <v>96583</v>
      </c>
      <c r="X174">
        <f>IF($A174="","",Allocation!CE174)</f>
        <v>241308.7</v>
      </c>
      <c r="Y174">
        <f>IF($A174="","",Allocation!CF174)</f>
        <v>67722</v>
      </c>
      <c r="Z174">
        <f>IF($A174="","",Allocation!CG174)</f>
        <v>36612</v>
      </c>
      <c r="AA174">
        <f>IF($A174="","",Allocation!CH174)</f>
        <v>537148.21</v>
      </c>
      <c r="AB174">
        <f>IF($A174="","",Allocation!CI174)</f>
        <v>2891983</v>
      </c>
      <c r="AC174">
        <f>IF($A174="","",IF(Allocation!$N$4="VOL_EFF",$G174,IF(Allocation!$N$4="VOL_CLASS",$H174,$I174)))</f>
        <v>2</v>
      </c>
      <c r="AD174">
        <f>IF($A174="","",IF(Allocation!$N$4="VOL_EFF",$L174,IF(Allocation!$N$4="VOL_CLASS",$M174,$N174)))</f>
        <v>10</v>
      </c>
      <c r="AE174">
        <f>IF($A174="","",IF(Allocation!$N$3="VOL_EFF",$L174,IF(Allocation!$N$3="VOL_CLASS",$M174,$N174)))</f>
        <v>226</v>
      </c>
      <c r="AF174">
        <f>IF($A174="","",IF(Allocation!$N$3="VOL_EFF",$Q174,IF(Allocation!$N$3="VOL_CLASS",$R174,$S174)))</f>
        <v>402</v>
      </c>
      <c r="AG174">
        <f>IF($A174="","",IF(Allocation!$N$1="VOL_EFF",$Q174,IF(Allocation!$N$1="VOL_CLASS",$R174,$S174)))</f>
        <v>20</v>
      </c>
      <c r="AH174">
        <f>IF($A174="","",IF(Allocation!$N$1="VOL_EFF",$T174,IF(Allocation!$N$1="VOL_CLASS",$U174,$V174)))</f>
        <v>135</v>
      </c>
      <c r="AI174">
        <f t="shared" si="12"/>
        <v>23805.6690140845</v>
      </c>
      <c r="AJ174">
        <f t="shared" si="13"/>
        <v>59477.4964788732</v>
      </c>
      <c r="AK174">
        <f t="shared" si="14"/>
        <v>13484.4690265487</v>
      </c>
      <c r="AL174">
        <f t="shared" si="15"/>
        <v>107429.642</v>
      </c>
      <c r="AM174">
        <f t="shared" si="16"/>
        <v>48173.0722682882</v>
      </c>
      <c r="AN174">
        <f t="shared" si="17"/>
        <v>22219.3589636247</v>
      </c>
      <c r="AO174">
        <f>IF($A174="","",Allocation!CJ174)</f>
        <v>676344</v>
      </c>
      <c r="AP174">
        <f>IF($A174="","",IF(Allocation!$N$2="VOL_EFF",$Q174,IF(Allocation!$N$2="VOL_CLASS",$R174,$S174)))</f>
        <v>2706480</v>
      </c>
      <c r="AQ174">
        <f>IF($A174="","",IF(Allocation!$N$2="VOL_EFF",$T174,IF(Allocation!$N$2="VOL_CLASS",$U174,$V174)))</f>
        <v>23098985</v>
      </c>
      <c r="AR174">
        <f t="shared" si="18"/>
        <v>8910.29224858071</v>
      </c>
      <c r="AS174" t="str">
        <f>IF($A174="","",$A174&amp;"|"&amp;Allocation!BG174)</f>
        <v>2026|ACT</v>
      </c>
    </row>
    <row r="175" ht="14.497499999999997" customHeight="1">
      <c r="A175" t="str">
        <f>IF(Allocation!BI175="","",Allocation!BI175)</f>
        <v>2026</v>
      </c>
      <c r="B175" t="str">
        <f>IF(Allocation!BJ175="","",Allocation!BJ175)</f>
        <v>PIGIER_LYO</v>
      </c>
      <c r="C175" t="str">
        <f>IF(Allocation!BK175="","",Allocation!BK175)</f>
        <v>PIGIER</v>
      </c>
      <c r="D175" t="str">
        <f>IF(Allocation!BL175="","",Allocation!BL175)</f>
        <v>BAC_RH</v>
      </c>
      <c r="E175" t="str">
        <f>IF(Allocation!BM175="","",Allocation!BM175)</f>
        <v>B1</v>
      </c>
      <c r="F175" t="str">
        <f>IF(Allocation!BN175="","",Allocation!BN175)</f>
        <v>ALT</v>
      </c>
      <c r="G175">
        <f>IF(Allocation!BO175="","",Allocation!BO175)</f>
        <v>46</v>
      </c>
      <c r="H175">
        <f>IF(Allocation!BP175="","",Allocation!BP175)</f>
        <v>2</v>
      </c>
      <c r="I175">
        <f>IF(Allocation!BQ175="","",Allocation!BQ175)</f>
        <v>342240</v>
      </c>
      <c r="J175">
        <f>IF(Allocation!CC175="","",Allocation!CC175)</f>
        <v>46</v>
      </c>
      <c r="K175">
        <f t="shared" si="0"/>
        <v>960</v>
      </c>
      <c r="L175">
        <f t="shared" si="1"/>
        <v>226</v>
      </c>
      <c r="M175">
        <f t="shared" si="2"/>
        <v>10</v>
      </c>
      <c r="N175">
        <f t="shared" si="3"/>
        <v>1573830</v>
      </c>
      <c r="O175">
        <f t="shared" si="4"/>
        <v>5680</v>
      </c>
      <c r="P175">
        <f t="shared" si="5"/>
        <v>92</v>
      </c>
      <c r="Q175">
        <f t="shared" si="6"/>
        <v>402</v>
      </c>
      <c r="R175">
        <f t="shared" si="7"/>
        <v>20</v>
      </c>
      <c r="S175">
        <f t="shared" si="8"/>
        <v>2706480</v>
      </c>
      <c r="T175">
        <f t="shared" si="9"/>
        <v>3114</v>
      </c>
      <c r="U175">
        <f t="shared" si="10"/>
        <v>135</v>
      </c>
      <c r="V175">
        <f t="shared" si="11"/>
        <v>23098985</v>
      </c>
      <c r="W175">
        <f>IF($A175="","",Allocation!CD175)</f>
        <v>96583</v>
      </c>
      <c r="X175">
        <f>IF($A175="","",Allocation!CE175)</f>
        <v>241308.7</v>
      </c>
      <c r="Y175">
        <f>IF($A175="","",Allocation!CF175)</f>
        <v>67722</v>
      </c>
      <c r="Z175">
        <f>IF($A175="","",Allocation!CG175)</f>
        <v>36612</v>
      </c>
      <c r="AA175">
        <f>IF($A175="","",Allocation!CH175)</f>
        <v>537148.21</v>
      </c>
      <c r="AB175">
        <f>IF($A175="","",Allocation!CI175)</f>
        <v>2891983</v>
      </c>
      <c r="AC175">
        <f>IF($A175="","",IF(Allocation!$N$4="VOL_EFF",$G175,IF(Allocation!$N$4="VOL_CLASS",$H175,$I175)))</f>
        <v>2</v>
      </c>
      <c r="AD175">
        <f>IF($A175="","",IF(Allocation!$N$4="VOL_EFF",$L175,IF(Allocation!$N$4="VOL_CLASS",$M175,$N175)))</f>
        <v>10</v>
      </c>
      <c r="AE175">
        <f>IF($A175="","",IF(Allocation!$N$3="VOL_EFF",$L175,IF(Allocation!$N$3="VOL_CLASS",$M175,$N175)))</f>
        <v>226</v>
      </c>
      <c r="AF175">
        <f>IF($A175="","",IF(Allocation!$N$3="VOL_EFF",$Q175,IF(Allocation!$N$3="VOL_CLASS",$R175,$S175)))</f>
        <v>402</v>
      </c>
      <c r="AG175">
        <f>IF($A175="","",IF(Allocation!$N$1="VOL_EFF",$Q175,IF(Allocation!$N$1="VOL_CLASS",$R175,$S175)))</f>
        <v>20</v>
      </c>
      <c r="AH175">
        <f>IF($A175="","",IF(Allocation!$N$1="VOL_EFF",$T175,IF(Allocation!$N$1="VOL_CLASS",$U175,$V175)))</f>
        <v>135</v>
      </c>
      <c r="AI175">
        <f t="shared" si="12"/>
        <v>16323.8873239437</v>
      </c>
      <c r="AJ175">
        <f t="shared" si="13"/>
        <v>40784.5690140845</v>
      </c>
      <c r="AK175">
        <f t="shared" si="14"/>
        <v>32090.1238938053</v>
      </c>
      <c r="AL175">
        <f t="shared" si="15"/>
        <v>107429.642</v>
      </c>
      <c r="AM175">
        <f t="shared" si="16"/>
        <v>48173.0722682882</v>
      </c>
      <c r="AN175">
        <f t="shared" si="17"/>
        <v>88528.4132512976</v>
      </c>
      <c r="AO175">
        <f>IF($A175="","",Allocation!CJ175)</f>
        <v>676344</v>
      </c>
      <c r="AP175">
        <f>IF($A175="","",IF(Allocation!$N$2="VOL_EFF",$Q175,IF(Allocation!$N$2="VOL_CLASS",$R175,$S175)))</f>
        <v>2706480</v>
      </c>
      <c r="AQ175">
        <f>IF($A175="","",IF(Allocation!$N$2="VOL_EFF",$T175,IF(Allocation!$N$2="VOL_CLASS",$U175,$V175)))</f>
        <v>23098985</v>
      </c>
      <c r="AR175">
        <f t="shared" si="18"/>
        <v>8910.29224858071</v>
      </c>
      <c r="AS175" t="str">
        <f>IF($A175="","",$A175&amp;"|"&amp;Allocation!BG175)</f>
        <v>2026|ACT</v>
      </c>
    </row>
    <row r="176" ht="14.497499999999997" customHeight="1">
      <c r="A176" t="str">
        <f>IF(Allocation!BI176="","",Allocation!BI176)</f>
        <v>2026</v>
      </c>
      <c r="B176" t="str">
        <f>IF(Allocation!BJ176="","",Allocation!BJ176)</f>
        <v>TUNON_LYO</v>
      </c>
      <c r="C176" t="str">
        <f>IF(Allocation!BK176="","",Allocation!BK176)</f>
        <v>TUNON</v>
      </c>
      <c r="D176" t="str">
        <f>IF(Allocation!BL176="","",Allocation!BL176)</f>
        <v>BAC_TOU</v>
      </c>
      <c r="E176" t="str">
        <f>IF(Allocation!BM176="","",Allocation!BM176)</f>
        <v>B1</v>
      </c>
      <c r="F176" t="str">
        <f>IF(Allocation!BN176="","",Allocation!BN176)</f>
        <v>ALT</v>
      </c>
      <c r="G176">
        <f>IF(Allocation!BO176="","",Allocation!BO176)</f>
        <v>40</v>
      </c>
      <c r="H176">
        <f>IF(Allocation!BP176="","",Allocation!BP176)</f>
        <v>2</v>
      </c>
      <c r="I176">
        <f>IF(Allocation!BQ176="","",Allocation!BQ176)</f>
        <v>297600</v>
      </c>
      <c r="J176">
        <f>IF(Allocation!CC176="","",Allocation!CC176)</f>
        <v>40</v>
      </c>
      <c r="K176">
        <f t="shared" si="0"/>
        <v>960</v>
      </c>
      <c r="L176">
        <f t="shared" si="1"/>
        <v>117</v>
      </c>
      <c r="M176">
        <f t="shared" si="2"/>
        <v>6</v>
      </c>
      <c r="N176">
        <f t="shared" si="3"/>
        <v>863550</v>
      </c>
      <c r="O176">
        <f t="shared" si="4"/>
        <v>2880</v>
      </c>
      <c r="P176">
        <f t="shared" si="5"/>
        <v>40</v>
      </c>
      <c r="Q176">
        <f t="shared" si="6"/>
        <v>255</v>
      </c>
      <c r="R176">
        <f t="shared" si="7"/>
        <v>12</v>
      </c>
      <c r="S176">
        <f t="shared" si="8"/>
        <v>1949700</v>
      </c>
      <c r="T176">
        <f t="shared" si="9"/>
        <v>3114</v>
      </c>
      <c r="U176">
        <f t="shared" si="10"/>
        <v>135</v>
      </c>
      <c r="V176">
        <f t="shared" si="11"/>
        <v>23098985</v>
      </c>
      <c r="W176">
        <f>IF($A176="","",Allocation!CD176)</f>
        <v>72438</v>
      </c>
      <c r="X176">
        <f>IF($A176="","",Allocation!CE176)</f>
        <v>185947.72</v>
      </c>
      <c r="Y176">
        <f>IF($A176="","",Allocation!CF176)</f>
        <v>43535</v>
      </c>
      <c r="Z176">
        <f>IF($A176="","",Allocation!CG176)</f>
        <v>18850</v>
      </c>
      <c r="AA176">
        <f>IF($A176="","",Allocation!CH176)</f>
        <v>375098.56</v>
      </c>
      <c r="AB176">
        <f>IF($A176="","",Allocation!CI176)</f>
        <v>2891983</v>
      </c>
      <c r="AC176">
        <f>IF($A176="","",IF(Allocation!$N$4="VOL_EFF",$G176,IF(Allocation!$N$4="VOL_CLASS",$H176,$I176)))</f>
        <v>2</v>
      </c>
      <c r="AD176">
        <f>IF($A176="","",IF(Allocation!$N$4="VOL_EFF",$L176,IF(Allocation!$N$4="VOL_CLASS",$M176,$N176)))</f>
        <v>6</v>
      </c>
      <c r="AE176">
        <f>IF($A176="","",IF(Allocation!$N$3="VOL_EFF",$L176,IF(Allocation!$N$3="VOL_CLASS",$M176,$N176)))</f>
        <v>117</v>
      </c>
      <c r="AF176">
        <f>IF($A176="","",IF(Allocation!$N$3="VOL_EFF",$Q176,IF(Allocation!$N$3="VOL_CLASS",$R176,$S176)))</f>
        <v>255</v>
      </c>
      <c r="AG176">
        <f>IF($A176="","",IF(Allocation!$N$1="VOL_EFF",$Q176,IF(Allocation!$N$1="VOL_CLASS",$R176,$S176)))</f>
        <v>12</v>
      </c>
      <c r="AH176">
        <f>IF($A176="","",IF(Allocation!$N$1="VOL_EFF",$T176,IF(Allocation!$N$1="VOL_CLASS",$U176,$V176)))</f>
        <v>135</v>
      </c>
      <c r="AI176">
        <f t="shared" si="12"/>
        <v>24146</v>
      </c>
      <c r="AJ176">
        <f t="shared" si="13"/>
        <v>61982.5733333333</v>
      </c>
      <c r="AK176">
        <f t="shared" si="14"/>
        <v>33733.7606837607</v>
      </c>
      <c r="AL176">
        <f t="shared" si="15"/>
        <v>125032.853333333</v>
      </c>
      <c r="AM176">
        <f t="shared" si="16"/>
        <v>39315.8473202614</v>
      </c>
      <c r="AN176">
        <f t="shared" si="17"/>
        <v>4657.90552254574</v>
      </c>
      <c r="AO176">
        <f>IF($A176="","",Allocation!CJ176)</f>
        <v>676344</v>
      </c>
      <c r="AP176">
        <f>IF($A176="","",IF(Allocation!$N$2="VOL_EFF",$Q176,IF(Allocation!$N$2="VOL_CLASS",$R176,$S176)))</f>
        <v>1949700</v>
      </c>
      <c r="AQ176">
        <f>IF($A176="","",IF(Allocation!$N$2="VOL_EFF",$T176,IF(Allocation!$N$2="VOL_CLASS",$U176,$V176)))</f>
        <v>23098985</v>
      </c>
      <c r="AR176">
        <f t="shared" si="18"/>
        <v>8731.05980676589</v>
      </c>
      <c r="AS176" t="str">
        <f>IF($A176="","",$A176&amp;"|"&amp;Allocation!BG176)</f>
        <v>2026|ACT</v>
      </c>
    </row>
    <row r="177" ht="14.497499999999997" customHeight="1">
      <c r="A177" t="str">
        <f>IF(Allocation!BI177="","",Allocation!BI177)</f>
        <v>2026</v>
      </c>
      <c r="B177" t="str">
        <f>IF(Allocation!BJ177="","",Allocation!BJ177)</f>
        <v>TUNON_LYO</v>
      </c>
      <c r="C177" t="str">
        <f>IF(Allocation!BK177="","",Allocation!BK177)</f>
        <v>TUNON</v>
      </c>
      <c r="D177" t="str">
        <f>IF(Allocation!BL177="","",Allocation!BL177)</f>
        <v>BAC_TOU</v>
      </c>
      <c r="E177" t="str">
        <f>IF(Allocation!BM177="","",Allocation!BM177)</f>
        <v>B2</v>
      </c>
      <c r="F177" t="str">
        <f>IF(Allocation!BN177="","",Allocation!BN177)</f>
        <v>ALT</v>
      </c>
      <c r="G177">
        <f>IF(Allocation!BO177="","",Allocation!BO177)</f>
        <v>39</v>
      </c>
      <c r="H177">
        <f>IF(Allocation!BP177="","",Allocation!BP177)</f>
        <v>2</v>
      </c>
      <c r="I177">
        <f>IF(Allocation!BQ177="","",Allocation!BQ177)</f>
        <v>286650</v>
      </c>
      <c r="J177">
        <f>IF(Allocation!CC177="","",Allocation!CC177)</f>
        <v>0</v>
      </c>
      <c r="K177">
        <f t="shared" si="0"/>
        <v>960</v>
      </c>
      <c r="L177">
        <f t="shared" si="1"/>
        <v>117</v>
      </c>
      <c r="M177">
        <f t="shared" si="2"/>
        <v>6</v>
      </c>
      <c r="N177">
        <f t="shared" si="3"/>
        <v>863550</v>
      </c>
      <c r="O177">
        <f t="shared" si="4"/>
        <v>2880</v>
      </c>
      <c r="P177">
        <f t="shared" si="5"/>
        <v>40</v>
      </c>
      <c r="Q177">
        <f t="shared" si="6"/>
        <v>255</v>
      </c>
      <c r="R177">
        <f t="shared" si="7"/>
        <v>12</v>
      </c>
      <c r="S177">
        <f t="shared" si="8"/>
        <v>1949700</v>
      </c>
      <c r="T177">
        <f t="shared" si="9"/>
        <v>3114</v>
      </c>
      <c r="U177">
        <f t="shared" si="10"/>
        <v>135</v>
      </c>
      <c r="V177">
        <f t="shared" si="11"/>
        <v>23098985</v>
      </c>
      <c r="W177">
        <f>IF($A177="","",Allocation!CD177)</f>
        <v>72438</v>
      </c>
      <c r="X177">
        <f>IF($A177="","",Allocation!CE177)</f>
        <v>185947.72</v>
      </c>
      <c r="Y177">
        <f>IF($A177="","",Allocation!CF177)</f>
        <v>43535</v>
      </c>
      <c r="Z177">
        <f>IF($A177="","",Allocation!CG177)</f>
        <v>18850</v>
      </c>
      <c r="AA177">
        <f>IF($A177="","",Allocation!CH177)</f>
        <v>375098.56</v>
      </c>
      <c r="AB177">
        <f>IF($A177="","",Allocation!CI177)</f>
        <v>2891983</v>
      </c>
      <c r="AC177">
        <f>IF($A177="","",IF(Allocation!$N$4="VOL_EFF",$G177,IF(Allocation!$N$4="VOL_CLASS",$H177,$I177)))</f>
        <v>2</v>
      </c>
      <c r="AD177">
        <f>IF($A177="","",IF(Allocation!$N$4="VOL_EFF",$L177,IF(Allocation!$N$4="VOL_CLASS",$M177,$N177)))</f>
        <v>6</v>
      </c>
      <c r="AE177">
        <f>IF($A177="","",IF(Allocation!$N$3="VOL_EFF",$L177,IF(Allocation!$N$3="VOL_CLASS",$M177,$N177)))</f>
        <v>117</v>
      </c>
      <c r="AF177">
        <f>IF($A177="","",IF(Allocation!$N$3="VOL_EFF",$Q177,IF(Allocation!$N$3="VOL_CLASS",$R177,$S177)))</f>
        <v>255</v>
      </c>
      <c r="AG177">
        <f>IF($A177="","",IF(Allocation!$N$1="VOL_EFF",$Q177,IF(Allocation!$N$1="VOL_CLASS",$R177,$S177)))</f>
        <v>12</v>
      </c>
      <c r="AH177">
        <f>IF($A177="","",IF(Allocation!$N$1="VOL_EFF",$T177,IF(Allocation!$N$1="VOL_CLASS",$U177,$V177)))</f>
        <v>135</v>
      </c>
      <c r="AI177">
        <f t="shared" si="12"/>
        <v>24146</v>
      </c>
      <c r="AJ177">
        <f t="shared" si="13"/>
        <v>61982.5733333333</v>
      </c>
      <c r="AK177">
        <f t="shared" si="14"/>
        <v>14511.6666666667</v>
      </c>
      <c r="AL177">
        <f t="shared" si="15"/>
        <v>125032.853333333</v>
      </c>
      <c r="AM177">
        <f t="shared" si="16"/>
        <v>39315.8473202614</v>
      </c>
      <c r="AN177">
        <f t="shared" si="17"/>
        <v>12929.9995396397</v>
      </c>
      <c r="AO177">
        <f>IF($A177="","",Allocation!CJ177)</f>
        <v>676344</v>
      </c>
      <c r="AP177">
        <f>IF($A177="","",IF(Allocation!$N$2="VOL_EFF",$Q177,IF(Allocation!$N$2="VOL_CLASS",$R177,$S177)))</f>
        <v>1949700</v>
      </c>
      <c r="AQ177">
        <f>IF($A177="","",IF(Allocation!$N$2="VOL_EFF",$T177,IF(Allocation!$N$2="VOL_CLASS",$U177,$V177)))</f>
        <v>23098985</v>
      </c>
      <c r="AR177">
        <f t="shared" si="18"/>
        <v>8731.05980676589</v>
      </c>
      <c r="AS177" t="str">
        <f>IF($A177="","",$A177&amp;"|"&amp;Allocation!BG177)</f>
        <v>2026|ACT</v>
      </c>
    </row>
    <row r="178" ht="14.497499999999997" customHeight="1">
      <c r="A178" t="str">
        <f>IF(Allocation!BI178="","",Allocation!BI178)</f>
        <v>2026</v>
      </c>
      <c r="B178" t="str">
        <f>IF(Allocation!BJ178="","",Allocation!BJ178)</f>
        <v>TUNON_LYO</v>
      </c>
      <c r="C178" t="str">
        <f>IF(Allocation!BK178="","",Allocation!BK178)</f>
        <v>TUNON</v>
      </c>
      <c r="D178" t="str">
        <f>IF(Allocation!BL178="","",Allocation!BL178)</f>
        <v>BAC_TOU</v>
      </c>
      <c r="E178" t="str">
        <f>IF(Allocation!BM178="","",Allocation!BM178)</f>
        <v>B3</v>
      </c>
      <c r="F178" t="str">
        <f>IF(Allocation!BN178="","",Allocation!BN178)</f>
        <v>ALT</v>
      </c>
      <c r="G178">
        <f>IF(Allocation!BO178="","",Allocation!BO178)</f>
        <v>38</v>
      </c>
      <c r="H178">
        <f>IF(Allocation!BP178="","",Allocation!BP178)</f>
        <v>2</v>
      </c>
      <c r="I178">
        <f>IF(Allocation!BQ178="","",Allocation!BQ178)</f>
        <v>279300</v>
      </c>
      <c r="J178">
        <f>IF(Allocation!CC178="","",Allocation!CC178)</f>
        <v>0</v>
      </c>
      <c r="K178">
        <f t="shared" si="0"/>
        <v>960</v>
      </c>
      <c r="L178">
        <f t="shared" si="1"/>
        <v>117</v>
      </c>
      <c r="M178">
        <f t="shared" si="2"/>
        <v>6</v>
      </c>
      <c r="N178">
        <f t="shared" si="3"/>
        <v>863550</v>
      </c>
      <c r="O178">
        <f t="shared" si="4"/>
        <v>2880</v>
      </c>
      <c r="P178">
        <f t="shared" si="5"/>
        <v>40</v>
      </c>
      <c r="Q178">
        <f t="shared" si="6"/>
        <v>255</v>
      </c>
      <c r="R178">
        <f t="shared" si="7"/>
        <v>12</v>
      </c>
      <c r="S178">
        <f t="shared" si="8"/>
        <v>1949700</v>
      </c>
      <c r="T178">
        <f t="shared" si="9"/>
        <v>3114</v>
      </c>
      <c r="U178">
        <f t="shared" si="10"/>
        <v>135</v>
      </c>
      <c r="V178">
        <f t="shared" si="11"/>
        <v>23098985</v>
      </c>
      <c r="W178">
        <f>IF($A178="","",Allocation!CD178)</f>
        <v>72438</v>
      </c>
      <c r="X178">
        <f>IF($A178="","",Allocation!CE178)</f>
        <v>185947.72</v>
      </c>
      <c r="Y178">
        <f>IF($A178="","",Allocation!CF178)</f>
        <v>43535</v>
      </c>
      <c r="Z178">
        <f>IF($A178="","",Allocation!CG178)</f>
        <v>18850</v>
      </c>
      <c r="AA178">
        <f>IF($A178="","",Allocation!CH178)</f>
        <v>375098.56</v>
      </c>
      <c r="AB178">
        <f>IF($A178="","",Allocation!CI178)</f>
        <v>2891983</v>
      </c>
      <c r="AC178">
        <f>IF($A178="","",IF(Allocation!$N$4="VOL_EFF",$G178,IF(Allocation!$N$4="VOL_CLASS",$H178,$I178)))</f>
        <v>2</v>
      </c>
      <c r="AD178">
        <f>IF($A178="","",IF(Allocation!$N$4="VOL_EFF",$L178,IF(Allocation!$N$4="VOL_CLASS",$M178,$N178)))</f>
        <v>6</v>
      </c>
      <c r="AE178">
        <f>IF($A178="","",IF(Allocation!$N$3="VOL_EFF",$L178,IF(Allocation!$N$3="VOL_CLASS",$M178,$N178)))</f>
        <v>117</v>
      </c>
      <c r="AF178">
        <f>IF($A178="","",IF(Allocation!$N$3="VOL_EFF",$Q178,IF(Allocation!$N$3="VOL_CLASS",$R178,$S178)))</f>
        <v>255</v>
      </c>
      <c r="AG178">
        <f>IF($A178="","",IF(Allocation!$N$1="VOL_EFF",$Q178,IF(Allocation!$N$1="VOL_CLASS",$R178,$S178)))</f>
        <v>12</v>
      </c>
      <c r="AH178">
        <f>IF($A178="","",IF(Allocation!$N$1="VOL_EFF",$T178,IF(Allocation!$N$1="VOL_CLASS",$U178,$V178)))</f>
        <v>135</v>
      </c>
      <c r="AI178">
        <f t="shared" si="12"/>
        <v>24146</v>
      </c>
      <c r="AJ178">
        <f t="shared" si="13"/>
        <v>61982.5733333333</v>
      </c>
      <c r="AK178">
        <f t="shared" si="14"/>
        <v>14139.5726495727</v>
      </c>
      <c r="AL178">
        <f t="shared" si="15"/>
        <v>125032.853333333</v>
      </c>
      <c r="AM178">
        <f t="shared" si="16"/>
        <v>39315.8473202614</v>
      </c>
      <c r="AN178">
        <f t="shared" si="17"/>
        <v>5952.09355673374</v>
      </c>
      <c r="AO178">
        <f>IF($A178="","",Allocation!CJ178)</f>
        <v>676344</v>
      </c>
      <c r="AP178">
        <f>IF($A178="","",IF(Allocation!$N$2="VOL_EFF",$Q178,IF(Allocation!$N$2="VOL_CLASS",$R178,$S178)))</f>
        <v>1949700</v>
      </c>
      <c r="AQ178">
        <f>IF($A178="","",IF(Allocation!$N$2="VOL_EFF",$T178,IF(Allocation!$N$2="VOL_CLASS",$U178,$V178)))</f>
        <v>23098985</v>
      </c>
      <c r="AR178">
        <f t="shared" si="18"/>
        <v>8731.05980676589</v>
      </c>
      <c r="AS178" t="str">
        <f>IF($A178="","",$A178&amp;"|"&amp;Allocation!BG178)</f>
        <v>2026|ACT</v>
      </c>
    </row>
    <row r="179" ht="14.497499999999997" customHeight="1">
      <c r="A179" t="str">
        <f>IF(Allocation!BI179="","",Allocation!BI179)</f>
        <v>2026</v>
      </c>
      <c r="B179" t="str">
        <f>IF(Allocation!BJ179="","",Allocation!BJ179)</f>
        <v>TUNON_PAR</v>
      </c>
      <c r="C179" t="str">
        <f>IF(Allocation!BK179="","",Allocation!BK179)</f>
        <v>TUNON</v>
      </c>
      <c r="D179" t="str">
        <f>IF(Allocation!BL179="","",Allocation!BL179)</f>
        <v>BAC_TOU</v>
      </c>
      <c r="E179" t="str">
        <f>IF(Allocation!BM179="","",Allocation!BM179)</f>
        <v>B1</v>
      </c>
      <c r="F179" t="str">
        <f>IF(Allocation!BN179="","",Allocation!BN179)</f>
        <v>ALT</v>
      </c>
      <c r="G179">
        <f>IF(Allocation!BO179="","",Allocation!BO179)</f>
        <v>47</v>
      </c>
      <c r="H179">
        <f>IF(Allocation!BP179="","",Allocation!BP179)</f>
        <v>2</v>
      </c>
      <c r="I179">
        <f>IF(Allocation!BQ179="","",Allocation!BQ179)</f>
        <v>372710</v>
      </c>
      <c r="J179">
        <f>IF(Allocation!CC179="","",Allocation!CC179)</f>
        <v>47</v>
      </c>
      <c r="K179">
        <f t="shared" si="0"/>
        <v>960</v>
      </c>
      <c r="L179">
        <f t="shared" si="1"/>
        <v>138</v>
      </c>
      <c r="M179">
        <f t="shared" si="2"/>
        <v>6</v>
      </c>
      <c r="N179">
        <f t="shared" si="3"/>
        <v>1086150</v>
      </c>
      <c r="O179">
        <f t="shared" si="4"/>
        <v>2880</v>
      </c>
      <c r="P179">
        <f t="shared" si="5"/>
        <v>47</v>
      </c>
      <c r="Q179">
        <f t="shared" si="6"/>
        <v>255</v>
      </c>
      <c r="R179">
        <f t="shared" si="7"/>
        <v>12</v>
      </c>
      <c r="S179">
        <f t="shared" si="8"/>
        <v>1949700</v>
      </c>
      <c r="T179">
        <f t="shared" si="9"/>
        <v>3114</v>
      </c>
      <c r="U179">
        <f t="shared" si="10"/>
        <v>135</v>
      </c>
      <c r="V179">
        <f t="shared" si="11"/>
        <v>23098985</v>
      </c>
      <c r="W179">
        <f>IF($A179="","",Allocation!CD179)</f>
        <v>72438</v>
      </c>
      <c r="X179">
        <f>IF($A179="","",Allocation!CE179)</f>
        <v>223369.51</v>
      </c>
      <c r="Y179">
        <f>IF($A179="","",Allocation!CF179)</f>
        <v>51349</v>
      </c>
      <c r="Z179">
        <f>IF($A179="","",Allocation!CG179)</f>
        <v>30240</v>
      </c>
      <c r="AA179">
        <f>IF($A179="","",Allocation!CH179)</f>
        <v>500802.19</v>
      </c>
      <c r="AB179">
        <f>IF($A179="","",Allocation!CI179)</f>
        <v>2891983</v>
      </c>
      <c r="AC179">
        <f>IF($A179="","",IF(Allocation!$N$4="VOL_EFF",$G179,IF(Allocation!$N$4="VOL_CLASS",$H179,$I179)))</f>
        <v>2</v>
      </c>
      <c r="AD179">
        <f>IF($A179="","",IF(Allocation!$N$4="VOL_EFF",$L179,IF(Allocation!$N$4="VOL_CLASS",$M179,$N179)))</f>
        <v>6</v>
      </c>
      <c r="AE179">
        <f>IF($A179="","",IF(Allocation!$N$3="VOL_EFF",$L179,IF(Allocation!$N$3="VOL_CLASS",$M179,$N179)))</f>
        <v>138</v>
      </c>
      <c r="AF179">
        <f>IF($A179="","",IF(Allocation!$N$3="VOL_EFF",$Q179,IF(Allocation!$N$3="VOL_CLASS",$R179,$S179)))</f>
        <v>255</v>
      </c>
      <c r="AG179">
        <f>IF($A179="","",IF(Allocation!$N$1="VOL_EFF",$Q179,IF(Allocation!$N$1="VOL_CLASS",$R179,$S179)))</f>
        <v>12</v>
      </c>
      <c r="AH179">
        <f>IF($A179="","",IF(Allocation!$N$1="VOL_EFF",$T179,IF(Allocation!$N$1="VOL_CLASS",$U179,$V179)))</f>
        <v>135</v>
      </c>
      <c r="AI179">
        <f t="shared" si="12"/>
        <v>24146</v>
      </c>
      <c r="AJ179">
        <f t="shared" si="13"/>
        <v>74456.5033333333</v>
      </c>
      <c r="AK179">
        <f t="shared" si="14"/>
        <v>47728.4275362319</v>
      </c>
      <c r="AL179">
        <f t="shared" si="15"/>
        <v>166934.063333333</v>
      </c>
      <c r="AM179">
        <f t="shared" si="16"/>
        <v>46372.5378649237</v>
      </c>
      <c r="AN179">
        <f t="shared" si="17"/>
        <v>2774.29482676188</v>
      </c>
      <c r="AO179">
        <f>IF($A179="","",Allocation!CJ179)</f>
        <v>676344</v>
      </c>
      <c r="AP179">
        <f>IF($A179="","",IF(Allocation!$N$2="VOL_EFF",$Q179,IF(Allocation!$N$2="VOL_CLASS",$R179,$S179)))</f>
        <v>1949700</v>
      </c>
      <c r="AQ179">
        <f>IF($A179="","",IF(Allocation!$N$2="VOL_EFF",$T179,IF(Allocation!$N$2="VOL_CLASS",$U179,$V179)))</f>
        <v>23098985</v>
      </c>
      <c r="AR179">
        <f t="shared" si="18"/>
        <v>10298.1731054162</v>
      </c>
      <c r="AS179" t="str">
        <f>IF($A179="","",$A179&amp;"|"&amp;Allocation!BG179)</f>
        <v>2026|ACT</v>
      </c>
    </row>
    <row r="180" ht="14.497499999999997" customHeight="1">
      <c r="A180" t="str">
        <f>IF(Allocation!BI180="","",Allocation!BI180)</f>
        <v>2026</v>
      </c>
      <c r="B180" t="str">
        <f>IF(Allocation!BJ180="","",Allocation!BJ180)</f>
        <v>TUNON_PAR</v>
      </c>
      <c r="C180" t="str">
        <f>IF(Allocation!BK180="","",Allocation!BK180)</f>
        <v>TUNON</v>
      </c>
      <c r="D180" t="str">
        <f>IF(Allocation!BL180="","",Allocation!BL180)</f>
        <v>BAC_TOU</v>
      </c>
      <c r="E180" t="str">
        <f>IF(Allocation!BM180="","",Allocation!BM180)</f>
        <v>B2</v>
      </c>
      <c r="F180" t="str">
        <f>IF(Allocation!BN180="","",Allocation!BN180)</f>
        <v>ALT</v>
      </c>
      <c r="G180">
        <f>IF(Allocation!BO180="","",Allocation!BO180)</f>
        <v>46</v>
      </c>
      <c r="H180">
        <f>IF(Allocation!BP180="","",Allocation!BP180)</f>
        <v>2</v>
      </c>
      <c r="I180">
        <f>IF(Allocation!BQ180="","",Allocation!BQ180)</f>
        <v>360640</v>
      </c>
      <c r="J180">
        <f>IF(Allocation!CC180="","",Allocation!CC180)</f>
        <v>0</v>
      </c>
      <c r="K180">
        <f t="shared" si="0"/>
        <v>960</v>
      </c>
      <c r="L180">
        <f t="shared" si="1"/>
        <v>138</v>
      </c>
      <c r="M180">
        <f t="shared" si="2"/>
        <v>6</v>
      </c>
      <c r="N180">
        <f t="shared" si="3"/>
        <v>1086150</v>
      </c>
      <c r="O180">
        <f t="shared" si="4"/>
        <v>2880</v>
      </c>
      <c r="P180">
        <f t="shared" si="5"/>
        <v>47</v>
      </c>
      <c r="Q180">
        <f t="shared" si="6"/>
        <v>255</v>
      </c>
      <c r="R180">
        <f t="shared" si="7"/>
        <v>12</v>
      </c>
      <c r="S180">
        <f t="shared" si="8"/>
        <v>1949700</v>
      </c>
      <c r="T180">
        <f t="shared" si="9"/>
        <v>3114</v>
      </c>
      <c r="U180">
        <f t="shared" si="10"/>
        <v>135</v>
      </c>
      <c r="V180">
        <f t="shared" si="11"/>
        <v>23098985</v>
      </c>
      <c r="W180">
        <f>IF($A180="","",Allocation!CD180)</f>
        <v>72438</v>
      </c>
      <c r="X180">
        <f>IF($A180="","",Allocation!CE180)</f>
        <v>223369.51</v>
      </c>
      <c r="Y180">
        <f>IF($A180="","",Allocation!CF180)</f>
        <v>51349</v>
      </c>
      <c r="Z180">
        <f>IF($A180="","",Allocation!CG180)</f>
        <v>30240</v>
      </c>
      <c r="AA180">
        <f>IF($A180="","",Allocation!CH180)</f>
        <v>500802.19</v>
      </c>
      <c r="AB180">
        <f>IF($A180="","",Allocation!CI180)</f>
        <v>2891983</v>
      </c>
      <c r="AC180">
        <f>IF($A180="","",IF(Allocation!$N$4="VOL_EFF",$G180,IF(Allocation!$N$4="VOL_CLASS",$H180,$I180)))</f>
        <v>2</v>
      </c>
      <c r="AD180">
        <f>IF($A180="","",IF(Allocation!$N$4="VOL_EFF",$L180,IF(Allocation!$N$4="VOL_CLASS",$M180,$N180)))</f>
        <v>6</v>
      </c>
      <c r="AE180">
        <f>IF($A180="","",IF(Allocation!$N$3="VOL_EFF",$L180,IF(Allocation!$N$3="VOL_CLASS",$M180,$N180)))</f>
        <v>138</v>
      </c>
      <c r="AF180">
        <f>IF($A180="","",IF(Allocation!$N$3="VOL_EFF",$Q180,IF(Allocation!$N$3="VOL_CLASS",$R180,$S180)))</f>
        <v>255</v>
      </c>
      <c r="AG180">
        <f>IF($A180="","",IF(Allocation!$N$1="VOL_EFF",$Q180,IF(Allocation!$N$1="VOL_CLASS",$R180,$S180)))</f>
        <v>12</v>
      </c>
      <c r="AH180">
        <f>IF($A180="","",IF(Allocation!$N$1="VOL_EFF",$T180,IF(Allocation!$N$1="VOL_CLASS",$U180,$V180)))</f>
        <v>135</v>
      </c>
      <c r="AI180">
        <f t="shared" si="12"/>
        <v>24146</v>
      </c>
      <c r="AJ180">
        <f t="shared" si="13"/>
        <v>74456.5033333333</v>
      </c>
      <c r="AK180">
        <f t="shared" si="14"/>
        <v>17116.3333333333</v>
      </c>
      <c r="AL180">
        <f t="shared" si="15"/>
        <v>166934.063333333</v>
      </c>
      <c r="AM180">
        <f t="shared" si="16"/>
        <v>46372.5378649237</v>
      </c>
      <c r="AN180">
        <f t="shared" si="17"/>
        <v>21316.3890296605</v>
      </c>
      <c r="AO180">
        <f>IF($A180="","",Allocation!CJ180)</f>
        <v>676344</v>
      </c>
      <c r="AP180">
        <f>IF($A180="","",IF(Allocation!$N$2="VOL_EFF",$Q180,IF(Allocation!$N$2="VOL_CLASS",$R180,$S180)))</f>
        <v>1949700</v>
      </c>
      <c r="AQ180">
        <f>IF($A180="","",IF(Allocation!$N$2="VOL_EFF",$T180,IF(Allocation!$N$2="VOL_CLASS",$U180,$V180)))</f>
        <v>23098985</v>
      </c>
      <c r="AR180">
        <f t="shared" si="18"/>
        <v>10298.1731054162</v>
      </c>
      <c r="AS180" t="str">
        <f>IF($A180="","",$A180&amp;"|"&amp;Allocation!BG180)</f>
        <v>2026|ACT</v>
      </c>
    </row>
    <row r="181" ht="14.497499999999997" customHeight="1">
      <c r="A181" t="str">
        <f>IF(Allocation!BI181="","",Allocation!BI181)</f>
        <v>2026</v>
      </c>
      <c r="B181" t="str">
        <f>IF(Allocation!BJ181="","",Allocation!BJ181)</f>
        <v>TUNON_PAR</v>
      </c>
      <c r="C181" t="str">
        <f>IF(Allocation!BK181="","",Allocation!BK181)</f>
        <v>TUNON</v>
      </c>
      <c r="D181" t="str">
        <f>IF(Allocation!BL181="","",Allocation!BL181)</f>
        <v>BAC_TOU</v>
      </c>
      <c r="E181" t="str">
        <f>IF(Allocation!BM181="","",Allocation!BM181)</f>
        <v>B3</v>
      </c>
      <c r="F181" t="str">
        <f>IF(Allocation!BN181="","",Allocation!BN181)</f>
        <v>ALT</v>
      </c>
      <c r="G181">
        <f>IF(Allocation!BO181="","",Allocation!BO181)</f>
        <v>45</v>
      </c>
      <c r="H181">
        <f>IF(Allocation!BP181="","",Allocation!BP181)</f>
        <v>2</v>
      </c>
      <c r="I181">
        <f>IF(Allocation!BQ181="","",Allocation!BQ181)</f>
        <v>352800</v>
      </c>
      <c r="J181">
        <f>IF(Allocation!CC181="","",Allocation!CC181)</f>
        <v>0</v>
      </c>
      <c r="K181">
        <f t="shared" si="0"/>
        <v>960</v>
      </c>
      <c r="L181">
        <f t="shared" si="1"/>
        <v>138</v>
      </c>
      <c r="M181">
        <f t="shared" si="2"/>
        <v>6</v>
      </c>
      <c r="N181">
        <f t="shared" si="3"/>
        <v>1086150</v>
      </c>
      <c r="O181">
        <f t="shared" si="4"/>
        <v>2880</v>
      </c>
      <c r="P181">
        <f t="shared" si="5"/>
        <v>47</v>
      </c>
      <c r="Q181">
        <f t="shared" si="6"/>
        <v>255</v>
      </c>
      <c r="R181">
        <f t="shared" si="7"/>
        <v>12</v>
      </c>
      <c r="S181">
        <f t="shared" si="8"/>
        <v>1949700</v>
      </c>
      <c r="T181">
        <f t="shared" si="9"/>
        <v>3114</v>
      </c>
      <c r="U181">
        <f t="shared" si="10"/>
        <v>135</v>
      </c>
      <c r="V181">
        <f t="shared" si="11"/>
        <v>23098985</v>
      </c>
      <c r="W181">
        <f>IF($A181="","",Allocation!CD181)</f>
        <v>72438</v>
      </c>
      <c r="X181">
        <f>IF($A181="","",Allocation!CE181)</f>
        <v>223369.51</v>
      </c>
      <c r="Y181">
        <f>IF($A181="","",Allocation!CF181)</f>
        <v>51349</v>
      </c>
      <c r="Z181">
        <f>IF($A181="","",Allocation!CG181)</f>
        <v>30240</v>
      </c>
      <c r="AA181">
        <f>IF($A181="","",Allocation!CH181)</f>
        <v>500802.19</v>
      </c>
      <c r="AB181">
        <f>IF($A181="","",Allocation!CI181)</f>
        <v>2891983</v>
      </c>
      <c r="AC181">
        <f>IF($A181="","",IF(Allocation!$N$4="VOL_EFF",$G181,IF(Allocation!$N$4="VOL_CLASS",$H181,$I181)))</f>
        <v>2</v>
      </c>
      <c r="AD181">
        <f>IF($A181="","",IF(Allocation!$N$4="VOL_EFF",$L181,IF(Allocation!$N$4="VOL_CLASS",$M181,$N181)))</f>
        <v>6</v>
      </c>
      <c r="AE181">
        <f>IF($A181="","",IF(Allocation!$N$3="VOL_EFF",$L181,IF(Allocation!$N$3="VOL_CLASS",$M181,$N181)))</f>
        <v>138</v>
      </c>
      <c r="AF181">
        <f>IF($A181="","",IF(Allocation!$N$3="VOL_EFF",$Q181,IF(Allocation!$N$3="VOL_CLASS",$R181,$S181)))</f>
        <v>255</v>
      </c>
      <c r="AG181">
        <f>IF($A181="","",IF(Allocation!$N$1="VOL_EFF",$Q181,IF(Allocation!$N$1="VOL_CLASS",$R181,$S181)))</f>
        <v>12</v>
      </c>
      <c r="AH181">
        <f>IF($A181="","",IF(Allocation!$N$1="VOL_EFF",$T181,IF(Allocation!$N$1="VOL_CLASS",$U181,$V181)))</f>
        <v>135</v>
      </c>
      <c r="AI181">
        <f t="shared" si="12"/>
        <v>24146</v>
      </c>
      <c r="AJ181">
        <f t="shared" si="13"/>
        <v>74456.5033333333</v>
      </c>
      <c r="AK181">
        <f t="shared" si="14"/>
        <v>16744.2391304348</v>
      </c>
      <c r="AL181">
        <f t="shared" si="15"/>
        <v>166934.063333333</v>
      </c>
      <c r="AM181">
        <f t="shared" si="16"/>
        <v>46372.5378649237</v>
      </c>
      <c r="AN181">
        <f t="shared" si="17"/>
        <v>13848.483232559</v>
      </c>
      <c r="AO181">
        <f>IF($A181="","",Allocation!CJ181)</f>
        <v>676344</v>
      </c>
      <c r="AP181">
        <f>IF($A181="","",IF(Allocation!$N$2="VOL_EFF",$Q181,IF(Allocation!$N$2="VOL_CLASS",$R181,$S181)))</f>
        <v>1949700</v>
      </c>
      <c r="AQ181">
        <f>IF($A181="","",IF(Allocation!$N$2="VOL_EFF",$T181,IF(Allocation!$N$2="VOL_CLASS",$U181,$V181)))</f>
        <v>23098985</v>
      </c>
      <c r="AR181">
        <f t="shared" si="18"/>
        <v>10298.1731054162</v>
      </c>
      <c r="AS181" t="str">
        <f>IF($A181="","",$A181&amp;"|"&amp;Allocation!BG181)</f>
        <v>2026|ACT</v>
      </c>
    </row>
    <row r="182" ht="14.497499999999997" customHeight="1">
      <c r="A182" t="str">
        <f>IF(Allocation!BI182="","",Allocation!BI182)</f>
        <v>2027</v>
      </c>
      <c r="B182" t="str">
        <f>IF(Allocation!BJ182="","",Allocation!BJ182)</f>
        <v>IPAC_MTP</v>
      </c>
      <c r="C182" t="str">
        <f>IF(Allocation!BK182="","",Allocation!BK182)</f>
        <v>IPAC</v>
      </c>
      <c r="D182" t="str">
        <f>IF(Allocation!BL182="","",Allocation!BL182)</f>
        <v>BAC_CCE</v>
      </c>
      <c r="E182" t="str">
        <f>IF(Allocation!BM182="","",Allocation!BM182)</f>
        <v>B1</v>
      </c>
      <c r="F182" t="str">
        <f>IF(Allocation!BN182="","",Allocation!BN182)</f>
        <v>ALT</v>
      </c>
      <c r="G182">
        <f>IF(Allocation!BO182="","",Allocation!BO182)</f>
        <v>44.737599</v>
      </c>
      <c r="H182">
        <f>IF(Allocation!BP182="","",Allocation!BP182)</f>
        <v>2</v>
      </c>
      <c r="I182">
        <f>IF(Allocation!BQ182="","",Allocation!BQ182)</f>
        <v>302351.043627</v>
      </c>
      <c r="J182">
        <f>IF(Allocation!CC182="","",Allocation!CC182)</f>
        <v>44.737599</v>
      </c>
      <c r="K182">
        <f t="shared" si="0"/>
        <v>960</v>
      </c>
      <c r="L182">
        <f t="shared" si="1"/>
        <v>122.132599</v>
      </c>
      <c r="M182">
        <f t="shared" si="2"/>
        <v>6</v>
      </c>
      <c r="N182">
        <f t="shared" si="3"/>
        <v>818445.728073</v>
      </c>
      <c r="O182">
        <f t="shared" si="4"/>
        <v>2880</v>
      </c>
      <c r="P182">
        <f t="shared" si="5"/>
        <v>44.737599</v>
      </c>
      <c r="Q182">
        <f t="shared" si="6"/>
        <v>395.576722</v>
      </c>
      <c r="R182">
        <f t="shared" si="7"/>
        <v>18</v>
      </c>
      <c r="S182">
        <f t="shared" si="8"/>
        <v>2704017.967109</v>
      </c>
      <c r="T182">
        <f t="shared" si="9"/>
        <v>3253.616848</v>
      </c>
      <c r="U182">
        <f t="shared" si="10"/>
        <v>135</v>
      </c>
      <c r="V182">
        <f t="shared" si="11"/>
        <v>24231703.809425</v>
      </c>
      <c r="W182">
        <f>IF($A182="","",Allocation!CD182)</f>
        <v>74584.324575</v>
      </c>
      <c r="X182">
        <f>IF($A182="","",Allocation!CE182)</f>
        <v>145069.20038</v>
      </c>
      <c r="Y182">
        <f>IF($A182="","",Allocation!CF182)</f>
        <v>44824.934018</v>
      </c>
      <c r="Z182">
        <f>IF($A182="","",Allocation!CG182)</f>
        <v>16392.24</v>
      </c>
      <c r="AA182">
        <f>IF($A182="","",Allocation!CH182)</f>
        <v>284801.162938</v>
      </c>
      <c r="AB182">
        <f>IF($A182="","",Allocation!CI182)</f>
        <v>2975861.58142</v>
      </c>
      <c r="AC182">
        <f>IF($A182="","",IF(Allocation!$N$4="VOL_EFF",$G182,IF(Allocation!$N$4="VOL_CLASS",$H182,$I182)))</f>
        <v>2</v>
      </c>
      <c r="AD182">
        <f>IF($A182="","",IF(Allocation!$N$4="VOL_EFF",$L182,IF(Allocation!$N$4="VOL_CLASS",$M182,$N182)))</f>
        <v>6</v>
      </c>
      <c r="AE182">
        <f>IF($A182="","",IF(Allocation!$N$3="VOL_EFF",$L182,IF(Allocation!$N$3="VOL_CLASS",$M182,$N182)))</f>
        <v>122.132599</v>
      </c>
      <c r="AF182">
        <f>IF($A182="","",IF(Allocation!$N$3="VOL_EFF",$Q182,IF(Allocation!$N$3="VOL_CLASS",$R182,$S182)))</f>
        <v>395.576722</v>
      </c>
      <c r="AG182">
        <f>IF($A182="","",IF(Allocation!$N$1="VOL_EFF",$Q182,IF(Allocation!$N$1="VOL_CLASS",$R182,$S182)))</f>
        <v>18</v>
      </c>
      <c r="AH182">
        <f>IF($A182="","",IF(Allocation!$N$1="VOL_EFF",$T182,IF(Allocation!$N$1="VOL_CLASS",$U182,$V182)))</f>
        <v>135</v>
      </c>
      <c r="AI182">
        <f t="shared" si="12"/>
        <v>24861.441525</v>
      </c>
      <c r="AJ182">
        <f t="shared" si="13"/>
        <v>48356.4001266667</v>
      </c>
      <c r="AK182">
        <f t="shared" si="14"/>
        <v>32811.7704097209</v>
      </c>
      <c r="AL182">
        <f t="shared" si="15"/>
        <v>94933.7209793333</v>
      </c>
      <c r="AM182">
        <f t="shared" si="16"/>
        <v>40834.8608769389</v>
      </c>
      <c r="AN182">
        <f t="shared" si="17"/>
        <v>52008.7646163075</v>
      </c>
      <c r="AO182">
        <f>IF($A182="","",Allocation!CJ182)</f>
        <v>743978.4</v>
      </c>
      <c r="AP182">
        <f>IF($A182="","",IF(Allocation!$N$2="VOL_EFF",$Q182,IF(Allocation!$N$2="VOL_CLASS",$R182,$S182)))</f>
        <v>2704017.967109</v>
      </c>
      <c r="AQ182">
        <f>IF($A182="","",IF(Allocation!$N$2="VOL_EFF",$T182,IF(Allocation!$N$2="VOL_CLASS",$U182,$V182)))</f>
        <v>24231703.809425</v>
      </c>
      <c r="AR182">
        <f t="shared" si="18"/>
        <v>8544.08509303273</v>
      </c>
      <c r="AS182" t="str">
        <f>IF($A182="","",$A182&amp;"|"&amp;Allocation!BG182)</f>
        <v>2027|V01</v>
      </c>
    </row>
    <row r="183" ht="14.497499999999997" customHeight="1">
      <c r="A183" t="str">
        <f>IF(Allocation!BI183="","",Allocation!BI183)</f>
        <v>2027</v>
      </c>
      <c r="B183" t="str">
        <f>IF(Allocation!BJ183="","",Allocation!BJ183)</f>
        <v>IPAC_MTP</v>
      </c>
      <c r="C183" t="str">
        <f>IF(Allocation!BK183="","",Allocation!BK183)</f>
        <v>IPAC</v>
      </c>
      <c r="D183" t="str">
        <f>IF(Allocation!BL183="","",Allocation!BL183)</f>
        <v>BAC_CCE</v>
      </c>
      <c r="E183" t="str">
        <f>IF(Allocation!BM183="","",Allocation!BM183)</f>
        <v>B2</v>
      </c>
      <c r="F183" t="str">
        <f>IF(Allocation!BN183="","",Allocation!BN183)</f>
        <v>ALT</v>
      </c>
      <c r="G183">
        <f>IF(Allocation!BO183="","",Allocation!BO183)</f>
        <v>39.2</v>
      </c>
      <c r="H183">
        <f>IF(Allocation!BP183="","",Allocation!BP183)</f>
        <v>2</v>
      </c>
      <c r="I183">
        <f>IF(Allocation!BQ183="","",Allocation!BQ183)</f>
        <v>261398.1734</v>
      </c>
      <c r="J183">
        <f>IF(Allocation!CC183="","",Allocation!CC183)</f>
        <v>0</v>
      </c>
      <c r="K183">
        <f t="shared" si="0"/>
        <v>960</v>
      </c>
      <c r="L183">
        <f t="shared" si="1"/>
        <v>122.132599</v>
      </c>
      <c r="M183">
        <f t="shared" si="2"/>
        <v>6</v>
      </c>
      <c r="N183">
        <f t="shared" si="3"/>
        <v>818445.728073</v>
      </c>
      <c r="O183">
        <f t="shared" si="4"/>
        <v>2880</v>
      </c>
      <c r="P183">
        <f t="shared" si="5"/>
        <v>44.737599</v>
      </c>
      <c r="Q183">
        <f t="shared" si="6"/>
        <v>395.576722</v>
      </c>
      <c r="R183">
        <f t="shared" si="7"/>
        <v>18</v>
      </c>
      <c r="S183">
        <f t="shared" si="8"/>
        <v>2704017.967109</v>
      </c>
      <c r="T183">
        <f t="shared" si="9"/>
        <v>3253.616848</v>
      </c>
      <c r="U183">
        <f t="shared" si="10"/>
        <v>135</v>
      </c>
      <c r="V183">
        <f t="shared" si="11"/>
        <v>24231703.809425</v>
      </c>
      <c r="W183">
        <f>IF($A183="","",Allocation!CD183)</f>
        <v>74584.324575</v>
      </c>
      <c r="X183">
        <f>IF($A183="","",Allocation!CE183)</f>
        <v>145069.20038</v>
      </c>
      <c r="Y183">
        <f>IF($A183="","",Allocation!CF183)</f>
        <v>44824.934018</v>
      </c>
      <c r="Z183">
        <f>IF($A183="","",Allocation!CG183)</f>
        <v>16392.24</v>
      </c>
      <c r="AA183">
        <f>IF($A183="","",Allocation!CH183)</f>
        <v>284801.162938</v>
      </c>
      <c r="AB183">
        <f>IF($A183="","",Allocation!CI183)</f>
        <v>2975861.58142</v>
      </c>
      <c r="AC183">
        <f>IF($A183="","",IF(Allocation!$N$4="VOL_EFF",$G183,IF(Allocation!$N$4="VOL_CLASS",$H183,$I183)))</f>
        <v>2</v>
      </c>
      <c r="AD183">
        <f>IF($A183="","",IF(Allocation!$N$4="VOL_EFF",$L183,IF(Allocation!$N$4="VOL_CLASS",$M183,$N183)))</f>
        <v>6</v>
      </c>
      <c r="AE183">
        <f>IF($A183="","",IF(Allocation!$N$3="VOL_EFF",$L183,IF(Allocation!$N$3="VOL_CLASS",$M183,$N183)))</f>
        <v>122.132599</v>
      </c>
      <c r="AF183">
        <f>IF($A183="","",IF(Allocation!$N$3="VOL_EFF",$Q183,IF(Allocation!$N$3="VOL_CLASS",$R183,$S183)))</f>
        <v>395.576722</v>
      </c>
      <c r="AG183">
        <f>IF($A183="","",IF(Allocation!$N$1="VOL_EFF",$Q183,IF(Allocation!$N$1="VOL_CLASS",$R183,$S183)))</f>
        <v>18</v>
      </c>
      <c r="AH183">
        <f>IF($A183="","",IF(Allocation!$N$1="VOL_EFF",$T183,IF(Allocation!$N$1="VOL_CLASS",$U183,$V183)))</f>
        <v>135</v>
      </c>
      <c r="AI183">
        <f t="shared" si="12"/>
        <v>24861.441525</v>
      </c>
      <c r="AJ183">
        <f t="shared" si="13"/>
        <v>48356.4001266667</v>
      </c>
      <c r="AK183">
        <f t="shared" si="14"/>
        <v>14387.1286445448</v>
      </c>
      <c r="AL183">
        <f t="shared" si="15"/>
        <v>94933.7209793333</v>
      </c>
      <c r="AM183">
        <f t="shared" si="16"/>
        <v>40834.8608769389</v>
      </c>
      <c r="AN183">
        <f t="shared" si="17"/>
        <v>29480.5361544835</v>
      </c>
      <c r="AO183">
        <f>IF($A183="","",Allocation!CJ183)</f>
        <v>743978.4</v>
      </c>
      <c r="AP183">
        <f>IF($A183="","",IF(Allocation!$N$2="VOL_EFF",$Q183,IF(Allocation!$N$2="VOL_CLASS",$R183,$S183)))</f>
        <v>2704017.967109</v>
      </c>
      <c r="AQ183">
        <f>IF($A183="","",IF(Allocation!$N$2="VOL_EFF",$T183,IF(Allocation!$N$2="VOL_CLASS",$U183,$V183)))</f>
        <v>24231703.809425</v>
      </c>
      <c r="AR183">
        <f t="shared" si="18"/>
        <v>8544.08509303273</v>
      </c>
      <c r="AS183" t="str">
        <f>IF($A183="","",$A183&amp;"|"&amp;Allocation!BG183)</f>
        <v>2027|V01</v>
      </c>
    </row>
    <row r="184" ht="14.497499999999997" customHeight="1">
      <c r="A184" t="str">
        <f>IF(Allocation!BI184="","",Allocation!BI184)</f>
        <v>2027</v>
      </c>
      <c r="B184" t="str">
        <f>IF(Allocation!BJ184="","",Allocation!BJ184)</f>
        <v>IPAC_MTP</v>
      </c>
      <c r="C184" t="str">
        <f>IF(Allocation!BK184="","",Allocation!BK184)</f>
        <v>IPAC</v>
      </c>
      <c r="D184" t="str">
        <f>IF(Allocation!BL184="","",Allocation!BL184)</f>
        <v>BAC_CCE</v>
      </c>
      <c r="E184" t="str">
        <f>IF(Allocation!BM184="","",Allocation!BM184)</f>
        <v>B3</v>
      </c>
      <c r="F184" t="str">
        <f>IF(Allocation!BN184="","",Allocation!BN184)</f>
        <v>ALT</v>
      </c>
      <c r="G184">
        <f>IF(Allocation!BO184="","",Allocation!BO184)</f>
        <v>38.195</v>
      </c>
      <c r="H184">
        <f>IF(Allocation!BP184="","",Allocation!BP184)</f>
        <v>2</v>
      </c>
      <c r="I184">
        <f>IF(Allocation!BQ184="","",Allocation!BQ184)</f>
        <v>254696.511046</v>
      </c>
      <c r="J184">
        <f>IF(Allocation!CC184="","",Allocation!CC184)</f>
        <v>0</v>
      </c>
      <c r="K184">
        <f t="shared" si="0"/>
        <v>960</v>
      </c>
      <c r="L184">
        <f t="shared" si="1"/>
        <v>122.132599</v>
      </c>
      <c r="M184">
        <f t="shared" si="2"/>
        <v>6</v>
      </c>
      <c r="N184">
        <f t="shared" si="3"/>
        <v>818445.728073</v>
      </c>
      <c r="O184">
        <f t="shared" si="4"/>
        <v>2880</v>
      </c>
      <c r="P184">
        <f t="shared" si="5"/>
        <v>44.737599</v>
      </c>
      <c r="Q184">
        <f t="shared" si="6"/>
        <v>395.576722</v>
      </c>
      <c r="R184">
        <f t="shared" si="7"/>
        <v>18</v>
      </c>
      <c r="S184">
        <f t="shared" si="8"/>
        <v>2704017.967109</v>
      </c>
      <c r="T184">
        <f t="shared" si="9"/>
        <v>3253.616848</v>
      </c>
      <c r="U184">
        <f t="shared" si="10"/>
        <v>135</v>
      </c>
      <c r="V184">
        <f t="shared" si="11"/>
        <v>24231703.809425</v>
      </c>
      <c r="W184">
        <f>IF($A184="","",Allocation!CD184)</f>
        <v>74584.324575</v>
      </c>
      <c r="X184">
        <f>IF($A184="","",Allocation!CE184)</f>
        <v>145069.20038</v>
      </c>
      <c r="Y184">
        <f>IF($A184="","",Allocation!CF184)</f>
        <v>44824.934018</v>
      </c>
      <c r="Z184">
        <f>IF($A184="","",Allocation!CG184)</f>
        <v>16392.24</v>
      </c>
      <c r="AA184">
        <f>IF($A184="","",Allocation!CH184)</f>
        <v>284801.162938</v>
      </c>
      <c r="AB184">
        <f>IF($A184="","",Allocation!CI184)</f>
        <v>2975861.58142</v>
      </c>
      <c r="AC184">
        <f>IF($A184="","",IF(Allocation!$N$4="VOL_EFF",$G184,IF(Allocation!$N$4="VOL_CLASS",$H184,$I184)))</f>
        <v>2</v>
      </c>
      <c r="AD184">
        <f>IF($A184="","",IF(Allocation!$N$4="VOL_EFF",$L184,IF(Allocation!$N$4="VOL_CLASS",$M184,$N184)))</f>
        <v>6</v>
      </c>
      <c r="AE184">
        <f>IF($A184="","",IF(Allocation!$N$3="VOL_EFF",$L184,IF(Allocation!$N$3="VOL_CLASS",$M184,$N184)))</f>
        <v>122.132599</v>
      </c>
      <c r="AF184">
        <f>IF($A184="","",IF(Allocation!$N$3="VOL_EFF",$Q184,IF(Allocation!$N$3="VOL_CLASS",$R184,$S184)))</f>
        <v>395.576722</v>
      </c>
      <c r="AG184">
        <f>IF($A184="","",IF(Allocation!$N$1="VOL_EFF",$Q184,IF(Allocation!$N$1="VOL_CLASS",$R184,$S184)))</f>
        <v>18</v>
      </c>
      <c r="AH184">
        <f>IF($A184="","",IF(Allocation!$N$1="VOL_EFF",$T184,IF(Allocation!$N$1="VOL_CLASS",$U184,$V184)))</f>
        <v>135</v>
      </c>
      <c r="AI184">
        <f t="shared" si="12"/>
        <v>24861.441525</v>
      </c>
      <c r="AJ184">
        <f t="shared" si="13"/>
        <v>48356.4001266667</v>
      </c>
      <c r="AK184">
        <f t="shared" si="14"/>
        <v>14018.2749637344</v>
      </c>
      <c r="AL184">
        <f t="shared" si="15"/>
        <v>94933.7209793333</v>
      </c>
      <c r="AM184">
        <f t="shared" si="16"/>
        <v>40834.8608769389</v>
      </c>
      <c r="AN184">
        <f t="shared" si="17"/>
        <v>23147.727481294</v>
      </c>
      <c r="AO184">
        <f>IF($A184="","",Allocation!CJ184)</f>
        <v>743978.4</v>
      </c>
      <c r="AP184">
        <f>IF($A184="","",IF(Allocation!$N$2="VOL_EFF",$Q184,IF(Allocation!$N$2="VOL_CLASS",$R184,$S184)))</f>
        <v>2704017.967109</v>
      </c>
      <c r="AQ184">
        <f>IF($A184="","",IF(Allocation!$N$2="VOL_EFF",$T184,IF(Allocation!$N$2="VOL_CLASS",$U184,$V184)))</f>
        <v>24231703.809425</v>
      </c>
      <c r="AR184">
        <f t="shared" si="18"/>
        <v>8544.08509303273</v>
      </c>
      <c r="AS184" t="str">
        <f>IF($A184="","",$A184&amp;"|"&amp;Allocation!BG184)</f>
        <v>2027|V01</v>
      </c>
    </row>
    <row r="185" ht="14.497499999999997" customHeight="1">
      <c r="A185" t="str">
        <f>IF(Allocation!BI185="","",Allocation!BI185)</f>
        <v>2027</v>
      </c>
      <c r="B185" t="str">
        <f>IF(Allocation!BJ185="","",Allocation!BJ185)</f>
        <v>IPAC_NAN</v>
      </c>
      <c r="C185" t="str">
        <f>IF(Allocation!BK185="","",Allocation!BK185)</f>
        <v>IPAC</v>
      </c>
      <c r="D185" t="str">
        <f>IF(Allocation!BL185="","",Allocation!BL185)</f>
        <v>BAC_CCE</v>
      </c>
      <c r="E185" t="str">
        <f>IF(Allocation!BM185="","",Allocation!BM185)</f>
        <v>B1</v>
      </c>
      <c r="F185" t="str">
        <f>IF(Allocation!BN185="","",Allocation!BN185)</f>
        <v>ALT</v>
      </c>
      <c r="G185">
        <f>IF(Allocation!BO185="","",Allocation!BO185)</f>
        <v>55.832531</v>
      </c>
      <c r="H185">
        <f>IF(Allocation!BP185="","",Allocation!BP185)</f>
        <v>2</v>
      </c>
      <c r="I185">
        <f>IF(Allocation!BQ185="","",Allocation!BQ185)</f>
        <v>396929.37515</v>
      </c>
      <c r="J185">
        <f>IF(Allocation!CC185="","",Allocation!CC185)</f>
        <v>55.832531</v>
      </c>
      <c r="K185">
        <f t="shared" si="0"/>
        <v>960</v>
      </c>
      <c r="L185">
        <f t="shared" si="1"/>
        <v>151.322531</v>
      </c>
      <c r="M185">
        <f t="shared" si="2"/>
        <v>6</v>
      </c>
      <c r="N185">
        <f t="shared" si="3"/>
        <v>1067200.8998</v>
      </c>
      <c r="O185">
        <f t="shared" si="4"/>
        <v>2880</v>
      </c>
      <c r="P185">
        <f t="shared" si="5"/>
        <v>55.832531</v>
      </c>
      <c r="Q185">
        <f t="shared" si="6"/>
        <v>395.576722</v>
      </c>
      <c r="R185">
        <f t="shared" si="7"/>
        <v>18</v>
      </c>
      <c r="S185">
        <f t="shared" si="8"/>
        <v>2704017.967109</v>
      </c>
      <c r="T185">
        <f t="shared" si="9"/>
        <v>3253.616848</v>
      </c>
      <c r="U185">
        <f t="shared" si="10"/>
        <v>135</v>
      </c>
      <c r="V185">
        <f t="shared" si="11"/>
        <v>24231703.809425</v>
      </c>
      <c r="W185">
        <f>IF($A185="","",Allocation!CD185)</f>
        <v>74584.324575</v>
      </c>
      <c r="X185">
        <f>IF($A185="","",Allocation!CE185)</f>
        <v>179282.79018</v>
      </c>
      <c r="Y185">
        <f>IF($A185="","",Allocation!CF185)</f>
        <v>55552.647065</v>
      </c>
      <c r="Z185">
        <f>IF($A185="","",Allocation!CG185)</f>
        <v>23500.8</v>
      </c>
      <c r="AA185">
        <f>IF($A185="","",Allocation!CH185)</f>
        <v>405388.681538</v>
      </c>
      <c r="AB185">
        <f>IF($A185="","",Allocation!CI185)</f>
        <v>2975861.58142</v>
      </c>
      <c r="AC185">
        <f>IF($A185="","",IF(Allocation!$N$4="VOL_EFF",$G185,IF(Allocation!$N$4="VOL_CLASS",$H185,$I185)))</f>
        <v>2</v>
      </c>
      <c r="AD185">
        <f>IF($A185="","",IF(Allocation!$N$4="VOL_EFF",$L185,IF(Allocation!$N$4="VOL_CLASS",$M185,$N185)))</f>
        <v>6</v>
      </c>
      <c r="AE185">
        <f>IF($A185="","",IF(Allocation!$N$3="VOL_EFF",$L185,IF(Allocation!$N$3="VOL_CLASS",$M185,$N185)))</f>
        <v>151.322531</v>
      </c>
      <c r="AF185">
        <f>IF($A185="","",IF(Allocation!$N$3="VOL_EFF",$Q185,IF(Allocation!$N$3="VOL_CLASS",$R185,$S185)))</f>
        <v>395.576722</v>
      </c>
      <c r="AG185">
        <f>IF($A185="","",IF(Allocation!$N$1="VOL_EFF",$Q185,IF(Allocation!$N$1="VOL_CLASS",$R185,$S185)))</f>
        <v>18</v>
      </c>
      <c r="AH185">
        <f>IF($A185="","",IF(Allocation!$N$1="VOL_EFF",$T185,IF(Allocation!$N$1="VOL_CLASS",$U185,$V185)))</f>
        <v>135</v>
      </c>
      <c r="AI185">
        <f t="shared" si="12"/>
        <v>24861.441525</v>
      </c>
      <c r="AJ185">
        <f t="shared" si="13"/>
        <v>59760.93006</v>
      </c>
      <c r="AK185">
        <f t="shared" si="14"/>
        <v>43997.7139023234</v>
      </c>
      <c r="AL185">
        <f t="shared" si="15"/>
        <v>135129.560512667</v>
      </c>
      <c r="AM185">
        <f t="shared" si="16"/>
        <v>50594.4731507046</v>
      </c>
      <c r="AN185">
        <f t="shared" si="17"/>
        <v>71999.1177205553</v>
      </c>
      <c r="AO185">
        <f>IF($A185="","",Allocation!CJ185)</f>
        <v>743978.4</v>
      </c>
      <c r="AP185">
        <f>IF($A185="","",IF(Allocation!$N$2="VOL_EFF",$Q185,IF(Allocation!$N$2="VOL_CLASS",$R185,$S185)))</f>
        <v>2704017.967109</v>
      </c>
      <c r="AQ185">
        <f>IF($A185="","",IF(Allocation!$N$2="VOL_EFF",$T185,IF(Allocation!$N$2="VOL_CLASS",$U185,$V185)))</f>
        <v>24231703.809425</v>
      </c>
      <c r="AR185">
        <f t="shared" si="18"/>
        <v>10586.1382787497</v>
      </c>
      <c r="AS185" t="str">
        <f>IF($A185="","",$A185&amp;"|"&amp;Allocation!BG185)</f>
        <v>2027|V01</v>
      </c>
    </row>
    <row r="186" ht="14.497499999999997" customHeight="1">
      <c r="A186" t="str">
        <f>IF(Allocation!BI186="","",Allocation!BI186)</f>
        <v>2027</v>
      </c>
      <c r="B186" t="str">
        <f>IF(Allocation!BJ186="","",Allocation!BJ186)</f>
        <v>IPAC_NAN</v>
      </c>
      <c r="C186" t="str">
        <f>IF(Allocation!BK186="","",Allocation!BK186)</f>
        <v>IPAC</v>
      </c>
      <c r="D186" t="str">
        <f>IF(Allocation!BL186="","",Allocation!BL186)</f>
        <v>BAC_CCE</v>
      </c>
      <c r="E186" t="str">
        <f>IF(Allocation!BM186="","",Allocation!BM186)</f>
        <v>B2</v>
      </c>
      <c r="F186" t="str">
        <f>IF(Allocation!BN186="","",Allocation!BN186)</f>
        <v>ALT</v>
      </c>
      <c r="G186">
        <f>IF(Allocation!BO186="","",Allocation!BO186)</f>
        <v>48.25</v>
      </c>
      <c r="H186">
        <f>IF(Allocation!BP186="","",Allocation!BP186)</f>
        <v>2</v>
      </c>
      <c r="I186">
        <f>IF(Allocation!BQ186="","",Allocation!BQ186)</f>
        <v>338680.50125</v>
      </c>
      <c r="J186">
        <f>IF(Allocation!CC186="","",Allocation!CC186)</f>
        <v>0</v>
      </c>
      <c r="K186">
        <f t="shared" si="0"/>
        <v>960</v>
      </c>
      <c r="L186">
        <f t="shared" si="1"/>
        <v>151.322531</v>
      </c>
      <c r="M186">
        <f t="shared" si="2"/>
        <v>6</v>
      </c>
      <c r="N186">
        <f t="shared" si="3"/>
        <v>1067200.8998</v>
      </c>
      <c r="O186">
        <f t="shared" si="4"/>
        <v>2880</v>
      </c>
      <c r="P186">
        <f t="shared" si="5"/>
        <v>55.832531</v>
      </c>
      <c r="Q186">
        <f t="shared" si="6"/>
        <v>395.576722</v>
      </c>
      <c r="R186">
        <f t="shared" si="7"/>
        <v>18</v>
      </c>
      <c r="S186">
        <f t="shared" si="8"/>
        <v>2704017.967109</v>
      </c>
      <c r="T186">
        <f t="shared" si="9"/>
        <v>3253.616848</v>
      </c>
      <c r="U186">
        <f t="shared" si="10"/>
        <v>135</v>
      </c>
      <c r="V186">
        <f t="shared" si="11"/>
        <v>24231703.809425</v>
      </c>
      <c r="W186">
        <f>IF($A186="","",Allocation!CD186)</f>
        <v>74584.324575</v>
      </c>
      <c r="X186">
        <f>IF($A186="","",Allocation!CE186)</f>
        <v>179282.79018</v>
      </c>
      <c r="Y186">
        <f>IF($A186="","",Allocation!CF186)</f>
        <v>55552.647065</v>
      </c>
      <c r="Z186">
        <f>IF($A186="","",Allocation!CG186)</f>
        <v>23500.8</v>
      </c>
      <c r="AA186">
        <f>IF($A186="","",Allocation!CH186)</f>
        <v>405388.681538</v>
      </c>
      <c r="AB186">
        <f>IF($A186="","",Allocation!CI186)</f>
        <v>2975861.58142</v>
      </c>
      <c r="AC186">
        <f>IF($A186="","",IF(Allocation!$N$4="VOL_EFF",$G186,IF(Allocation!$N$4="VOL_CLASS",$H186,$I186)))</f>
        <v>2</v>
      </c>
      <c r="AD186">
        <f>IF($A186="","",IF(Allocation!$N$4="VOL_EFF",$L186,IF(Allocation!$N$4="VOL_CLASS",$M186,$N186)))</f>
        <v>6</v>
      </c>
      <c r="AE186">
        <f>IF($A186="","",IF(Allocation!$N$3="VOL_EFF",$L186,IF(Allocation!$N$3="VOL_CLASS",$M186,$N186)))</f>
        <v>151.322531</v>
      </c>
      <c r="AF186">
        <f>IF($A186="","",IF(Allocation!$N$3="VOL_EFF",$Q186,IF(Allocation!$N$3="VOL_CLASS",$R186,$S186)))</f>
        <v>395.576722</v>
      </c>
      <c r="AG186">
        <f>IF($A186="","",IF(Allocation!$N$1="VOL_EFF",$Q186,IF(Allocation!$N$1="VOL_CLASS",$R186,$S186)))</f>
        <v>18</v>
      </c>
      <c r="AH186">
        <f>IF($A186="","",IF(Allocation!$N$1="VOL_EFF",$T186,IF(Allocation!$N$1="VOL_CLASS",$U186,$V186)))</f>
        <v>135</v>
      </c>
      <c r="AI186">
        <f t="shared" si="12"/>
        <v>24861.441525</v>
      </c>
      <c r="AJ186">
        <f t="shared" si="13"/>
        <v>59760.93006</v>
      </c>
      <c r="AK186">
        <f t="shared" si="14"/>
        <v>17713.2592428437</v>
      </c>
      <c r="AL186">
        <f t="shared" si="15"/>
        <v>135129.560512667</v>
      </c>
      <c r="AM186">
        <f t="shared" si="16"/>
        <v>50594.4731507046</v>
      </c>
      <c r="AN186">
        <f t="shared" si="17"/>
        <v>40034.6984800349</v>
      </c>
      <c r="AO186">
        <f>IF($A186="","",Allocation!CJ186)</f>
        <v>743978.4</v>
      </c>
      <c r="AP186">
        <f>IF($A186="","",IF(Allocation!$N$2="VOL_EFF",$Q186,IF(Allocation!$N$2="VOL_CLASS",$R186,$S186)))</f>
        <v>2704017.967109</v>
      </c>
      <c r="AQ186">
        <f>IF($A186="","",IF(Allocation!$N$2="VOL_EFF",$T186,IF(Allocation!$N$2="VOL_CLASS",$U186,$V186)))</f>
        <v>24231703.809425</v>
      </c>
      <c r="AR186">
        <f t="shared" si="18"/>
        <v>10586.1382787497</v>
      </c>
      <c r="AS186" t="str">
        <f>IF($A186="","",$A186&amp;"|"&amp;Allocation!BG186)</f>
        <v>2027|V01</v>
      </c>
    </row>
    <row r="187" ht="14.497499999999997" customHeight="1">
      <c r="A187" t="str">
        <f>IF(Allocation!BI187="","",Allocation!BI187)</f>
        <v>2027</v>
      </c>
      <c r="B187" t="str">
        <f>IF(Allocation!BJ187="","",Allocation!BJ187)</f>
        <v>IPAC_NAN</v>
      </c>
      <c r="C187" t="str">
        <f>IF(Allocation!BK187="","",Allocation!BK187)</f>
        <v>IPAC</v>
      </c>
      <c r="D187" t="str">
        <f>IF(Allocation!BL187="","",Allocation!BL187)</f>
        <v>BAC_CCE</v>
      </c>
      <c r="E187" t="str">
        <f>IF(Allocation!BM187="","",Allocation!BM187)</f>
        <v>B3</v>
      </c>
      <c r="F187" t="str">
        <f>IF(Allocation!BN187="","",Allocation!BN187)</f>
        <v>ALT</v>
      </c>
      <c r="G187">
        <f>IF(Allocation!BO187="","",Allocation!BO187)</f>
        <v>47.24</v>
      </c>
      <c r="H187">
        <f>IF(Allocation!BP187="","",Allocation!BP187)</f>
        <v>2</v>
      </c>
      <c r="I187">
        <f>IF(Allocation!BQ187="","",Allocation!BQ187)</f>
        <v>331591.0234</v>
      </c>
      <c r="J187">
        <f>IF(Allocation!CC187="","",Allocation!CC187)</f>
        <v>0</v>
      </c>
      <c r="K187">
        <f t="shared" si="0"/>
        <v>960</v>
      </c>
      <c r="L187">
        <f t="shared" si="1"/>
        <v>151.322531</v>
      </c>
      <c r="M187">
        <f t="shared" si="2"/>
        <v>6</v>
      </c>
      <c r="N187">
        <f t="shared" si="3"/>
        <v>1067200.8998</v>
      </c>
      <c r="O187">
        <f t="shared" si="4"/>
        <v>2880</v>
      </c>
      <c r="P187">
        <f t="shared" si="5"/>
        <v>55.832531</v>
      </c>
      <c r="Q187">
        <f t="shared" si="6"/>
        <v>395.576722</v>
      </c>
      <c r="R187">
        <f t="shared" si="7"/>
        <v>18</v>
      </c>
      <c r="S187">
        <f t="shared" si="8"/>
        <v>2704017.967109</v>
      </c>
      <c r="T187">
        <f t="shared" si="9"/>
        <v>3253.616848</v>
      </c>
      <c r="U187">
        <f t="shared" si="10"/>
        <v>135</v>
      </c>
      <c r="V187">
        <f t="shared" si="11"/>
        <v>24231703.809425</v>
      </c>
      <c r="W187">
        <f>IF($A187="","",Allocation!CD187)</f>
        <v>74584.324575</v>
      </c>
      <c r="X187">
        <f>IF($A187="","",Allocation!CE187)</f>
        <v>179282.79018</v>
      </c>
      <c r="Y187">
        <f>IF($A187="","",Allocation!CF187)</f>
        <v>55552.647065</v>
      </c>
      <c r="Z187">
        <f>IF($A187="","",Allocation!CG187)</f>
        <v>23500.8</v>
      </c>
      <c r="AA187">
        <f>IF($A187="","",Allocation!CH187)</f>
        <v>405388.681538</v>
      </c>
      <c r="AB187">
        <f>IF($A187="","",Allocation!CI187)</f>
        <v>2975861.58142</v>
      </c>
      <c r="AC187">
        <f>IF($A187="","",IF(Allocation!$N$4="VOL_EFF",$G187,IF(Allocation!$N$4="VOL_CLASS",$H187,$I187)))</f>
        <v>2</v>
      </c>
      <c r="AD187">
        <f>IF($A187="","",IF(Allocation!$N$4="VOL_EFF",$L187,IF(Allocation!$N$4="VOL_CLASS",$M187,$N187)))</f>
        <v>6</v>
      </c>
      <c r="AE187">
        <f>IF($A187="","",IF(Allocation!$N$3="VOL_EFF",$L187,IF(Allocation!$N$3="VOL_CLASS",$M187,$N187)))</f>
        <v>151.322531</v>
      </c>
      <c r="AF187">
        <f>IF($A187="","",IF(Allocation!$N$3="VOL_EFF",$Q187,IF(Allocation!$N$3="VOL_CLASS",$R187,$S187)))</f>
        <v>395.576722</v>
      </c>
      <c r="AG187">
        <f>IF($A187="","",IF(Allocation!$N$1="VOL_EFF",$Q187,IF(Allocation!$N$1="VOL_CLASS",$R187,$S187)))</f>
        <v>18</v>
      </c>
      <c r="AH187">
        <f>IF($A187="","",IF(Allocation!$N$1="VOL_EFF",$T187,IF(Allocation!$N$1="VOL_CLASS",$U187,$V187)))</f>
        <v>135</v>
      </c>
      <c r="AI187">
        <f t="shared" si="12"/>
        <v>24861.441525</v>
      </c>
      <c r="AJ187">
        <f t="shared" si="13"/>
        <v>59760.93006</v>
      </c>
      <c r="AK187">
        <f t="shared" si="14"/>
        <v>17342.4739198329</v>
      </c>
      <c r="AL187">
        <f t="shared" si="15"/>
        <v>135129.560512667</v>
      </c>
      <c r="AM187">
        <f t="shared" si="16"/>
        <v>50594.4731507046</v>
      </c>
      <c r="AN187">
        <f t="shared" si="17"/>
        <v>33316.0059530458</v>
      </c>
      <c r="AO187">
        <f>IF($A187="","",Allocation!CJ187)</f>
        <v>743978.4</v>
      </c>
      <c r="AP187">
        <f>IF($A187="","",IF(Allocation!$N$2="VOL_EFF",$Q187,IF(Allocation!$N$2="VOL_CLASS",$R187,$S187)))</f>
        <v>2704017.967109</v>
      </c>
      <c r="AQ187">
        <f>IF($A187="","",IF(Allocation!$N$2="VOL_EFF",$T187,IF(Allocation!$N$2="VOL_CLASS",$U187,$V187)))</f>
        <v>24231703.809425</v>
      </c>
      <c r="AR187">
        <f t="shared" si="18"/>
        <v>10586.1382787497</v>
      </c>
      <c r="AS187" t="str">
        <f>IF($A187="","",$A187&amp;"|"&amp;Allocation!BG187)</f>
        <v>2027|V01</v>
      </c>
    </row>
    <row r="188" ht="14.497499999999997" customHeight="1">
      <c r="A188" t="str">
        <f>IF(Allocation!BI188="","",Allocation!BI188)</f>
        <v>2027</v>
      </c>
      <c r="B188" t="str">
        <f>IF(Allocation!BJ188="","",Allocation!BJ188)</f>
        <v>IPAC_REN</v>
      </c>
      <c r="C188" t="str">
        <f>IF(Allocation!BK188="","",Allocation!BK188)</f>
        <v>IPAC</v>
      </c>
      <c r="D188" t="str">
        <f>IF(Allocation!BL188="","",Allocation!BL188)</f>
        <v>BAC_CCE</v>
      </c>
      <c r="E188" t="str">
        <f>IF(Allocation!BM188="","",Allocation!BM188)</f>
        <v>B1</v>
      </c>
      <c r="F188" t="str">
        <f>IF(Allocation!BN188="","",Allocation!BN188)</f>
        <v>ALT</v>
      </c>
      <c r="G188">
        <f>IF(Allocation!BO188="","",Allocation!BO188)</f>
        <v>44.726592</v>
      </c>
      <c r="H188">
        <f>IF(Allocation!BP188="","",Allocation!BP188)</f>
        <v>2</v>
      </c>
      <c r="I188">
        <f>IF(Allocation!BQ188="","",Allocation!BQ188)</f>
        <v>302276.65479</v>
      </c>
      <c r="J188">
        <f>IF(Allocation!CC188="","",Allocation!CC188)</f>
        <v>44.726592</v>
      </c>
      <c r="K188">
        <f t="shared" si="0"/>
        <v>960</v>
      </c>
      <c r="L188">
        <f t="shared" si="1"/>
        <v>122.121592</v>
      </c>
      <c r="M188">
        <f t="shared" si="2"/>
        <v>6</v>
      </c>
      <c r="N188">
        <f t="shared" si="3"/>
        <v>818371.339236</v>
      </c>
      <c r="O188">
        <f t="shared" si="4"/>
        <v>2880</v>
      </c>
      <c r="P188">
        <f t="shared" si="5"/>
        <v>44.726592</v>
      </c>
      <c r="Q188">
        <f t="shared" si="6"/>
        <v>395.576722</v>
      </c>
      <c r="R188">
        <f t="shared" si="7"/>
        <v>18</v>
      </c>
      <c r="S188">
        <f t="shared" si="8"/>
        <v>2704017.967109</v>
      </c>
      <c r="T188">
        <f t="shared" si="9"/>
        <v>3253.616848</v>
      </c>
      <c r="U188">
        <f t="shared" si="10"/>
        <v>135</v>
      </c>
      <c r="V188">
        <f t="shared" si="11"/>
        <v>24231703.809425</v>
      </c>
      <c r="W188">
        <f>IF($A188="","",Allocation!CD188)</f>
        <v>74584.324575</v>
      </c>
      <c r="X188">
        <f>IF($A188="","",Allocation!CE188)</f>
        <v>145155.75958</v>
      </c>
      <c r="Y188">
        <f>IF($A188="","",Allocation!CF188)</f>
        <v>44824.934018</v>
      </c>
      <c r="Z188">
        <f>IF($A188="","",Allocation!CG188)</f>
        <v>16127.64</v>
      </c>
      <c r="AA188">
        <f>IF($A188="","",Allocation!CH188)</f>
        <v>284971.099207</v>
      </c>
      <c r="AB188">
        <f>IF($A188="","",Allocation!CI188)</f>
        <v>2975861.58142</v>
      </c>
      <c r="AC188">
        <f>IF($A188="","",IF(Allocation!$N$4="VOL_EFF",$G188,IF(Allocation!$N$4="VOL_CLASS",$H188,$I188)))</f>
        <v>2</v>
      </c>
      <c r="AD188">
        <f>IF($A188="","",IF(Allocation!$N$4="VOL_EFF",$L188,IF(Allocation!$N$4="VOL_CLASS",$M188,$N188)))</f>
        <v>6</v>
      </c>
      <c r="AE188">
        <f>IF($A188="","",IF(Allocation!$N$3="VOL_EFF",$L188,IF(Allocation!$N$3="VOL_CLASS",$M188,$N188)))</f>
        <v>122.121592</v>
      </c>
      <c r="AF188">
        <f>IF($A188="","",IF(Allocation!$N$3="VOL_EFF",$Q188,IF(Allocation!$N$3="VOL_CLASS",$R188,$S188)))</f>
        <v>395.576722</v>
      </c>
      <c r="AG188">
        <f>IF($A188="","",IF(Allocation!$N$1="VOL_EFF",$Q188,IF(Allocation!$N$1="VOL_CLASS",$R188,$S188)))</f>
        <v>18</v>
      </c>
      <c r="AH188">
        <f>IF($A188="","",IF(Allocation!$N$1="VOL_EFF",$T188,IF(Allocation!$N$1="VOL_CLASS",$U188,$V188)))</f>
        <v>135</v>
      </c>
      <c r="AI188">
        <f t="shared" si="12"/>
        <v>24861.441525</v>
      </c>
      <c r="AJ188">
        <f t="shared" si="13"/>
        <v>48385.2531933333</v>
      </c>
      <c r="AK188">
        <f t="shared" si="14"/>
        <v>32544.6101886134</v>
      </c>
      <c r="AL188">
        <f t="shared" si="15"/>
        <v>94990.3664023333</v>
      </c>
      <c r="AM188">
        <f t="shared" si="16"/>
        <v>40831.1807021342</v>
      </c>
      <c r="AN188">
        <f t="shared" si="17"/>
        <v>52120.4877071967</v>
      </c>
      <c r="AO188">
        <f>IF($A188="","",Allocation!CJ188)</f>
        <v>743978.4</v>
      </c>
      <c r="AP188">
        <f>IF($A188="","",IF(Allocation!$N$2="VOL_EFF",$Q188,IF(Allocation!$N$2="VOL_CLASS",$R188,$S188)))</f>
        <v>2704017.967109</v>
      </c>
      <c r="AQ188">
        <f>IF($A188="","",IF(Allocation!$N$2="VOL_EFF",$T188,IF(Allocation!$N$2="VOL_CLASS",$U188,$V188)))</f>
        <v>24231703.809425</v>
      </c>
      <c r="AR188">
        <f t="shared" si="18"/>
        <v>8543.31507138913</v>
      </c>
      <c r="AS188" t="str">
        <f>IF($A188="","",$A188&amp;"|"&amp;Allocation!BG188)</f>
        <v>2027|V01</v>
      </c>
    </row>
    <row r="189" ht="14.497499999999997" customHeight="1">
      <c r="A189" t="str">
        <f>IF(Allocation!BI189="","",Allocation!BI189)</f>
        <v>2027</v>
      </c>
      <c r="B189" t="str">
        <f>IF(Allocation!BJ189="","",Allocation!BJ189)</f>
        <v>IPAC_REN</v>
      </c>
      <c r="C189" t="str">
        <f>IF(Allocation!BK189="","",Allocation!BK189)</f>
        <v>IPAC</v>
      </c>
      <c r="D189" t="str">
        <f>IF(Allocation!BL189="","",Allocation!BL189)</f>
        <v>BAC_CCE</v>
      </c>
      <c r="E189" t="str">
        <f>IF(Allocation!BM189="","",Allocation!BM189)</f>
        <v>B2</v>
      </c>
      <c r="F189" t="str">
        <f>IF(Allocation!BN189="","",Allocation!BN189)</f>
        <v>ALT</v>
      </c>
      <c r="G189">
        <f>IF(Allocation!BO189="","",Allocation!BO189)</f>
        <v>39.2</v>
      </c>
      <c r="H189">
        <f>IF(Allocation!BP189="","",Allocation!BP189)</f>
        <v>2</v>
      </c>
      <c r="I189">
        <f>IF(Allocation!BQ189="","",Allocation!BQ189)</f>
        <v>261398.1734</v>
      </c>
      <c r="J189">
        <f>IF(Allocation!CC189="","",Allocation!CC189)</f>
        <v>0</v>
      </c>
      <c r="K189">
        <f t="shared" si="0"/>
        <v>960</v>
      </c>
      <c r="L189">
        <f t="shared" si="1"/>
        <v>122.121592</v>
      </c>
      <c r="M189">
        <f t="shared" si="2"/>
        <v>6</v>
      </c>
      <c r="N189">
        <f t="shared" si="3"/>
        <v>818371.339236</v>
      </c>
      <c r="O189">
        <f t="shared" si="4"/>
        <v>2880</v>
      </c>
      <c r="P189">
        <f t="shared" si="5"/>
        <v>44.726592</v>
      </c>
      <c r="Q189">
        <f t="shared" si="6"/>
        <v>395.576722</v>
      </c>
      <c r="R189">
        <f t="shared" si="7"/>
        <v>18</v>
      </c>
      <c r="S189">
        <f t="shared" si="8"/>
        <v>2704017.967109</v>
      </c>
      <c r="T189">
        <f t="shared" si="9"/>
        <v>3253.616848</v>
      </c>
      <c r="U189">
        <f t="shared" si="10"/>
        <v>135</v>
      </c>
      <c r="V189">
        <f t="shared" si="11"/>
        <v>24231703.809425</v>
      </c>
      <c r="W189">
        <f>IF($A189="","",Allocation!CD189)</f>
        <v>74584.324575</v>
      </c>
      <c r="X189">
        <f>IF($A189="","",Allocation!CE189)</f>
        <v>145155.75958</v>
      </c>
      <c r="Y189">
        <f>IF($A189="","",Allocation!CF189)</f>
        <v>44824.934018</v>
      </c>
      <c r="Z189">
        <f>IF($A189="","",Allocation!CG189)</f>
        <v>16127.64</v>
      </c>
      <c r="AA189">
        <f>IF($A189="","",Allocation!CH189)</f>
        <v>284971.099207</v>
      </c>
      <c r="AB189">
        <f>IF($A189="","",Allocation!CI189)</f>
        <v>2975861.58142</v>
      </c>
      <c r="AC189">
        <f>IF($A189="","",IF(Allocation!$N$4="VOL_EFF",$G189,IF(Allocation!$N$4="VOL_CLASS",$H189,$I189)))</f>
        <v>2</v>
      </c>
      <c r="AD189">
        <f>IF($A189="","",IF(Allocation!$N$4="VOL_EFF",$L189,IF(Allocation!$N$4="VOL_CLASS",$M189,$N189)))</f>
        <v>6</v>
      </c>
      <c r="AE189">
        <f>IF($A189="","",IF(Allocation!$N$3="VOL_EFF",$L189,IF(Allocation!$N$3="VOL_CLASS",$M189,$N189)))</f>
        <v>122.121592</v>
      </c>
      <c r="AF189">
        <f>IF($A189="","",IF(Allocation!$N$3="VOL_EFF",$Q189,IF(Allocation!$N$3="VOL_CLASS",$R189,$S189)))</f>
        <v>395.576722</v>
      </c>
      <c r="AG189">
        <f>IF($A189="","",IF(Allocation!$N$1="VOL_EFF",$Q189,IF(Allocation!$N$1="VOL_CLASS",$R189,$S189)))</f>
        <v>18</v>
      </c>
      <c r="AH189">
        <f>IF($A189="","",IF(Allocation!$N$1="VOL_EFF",$T189,IF(Allocation!$N$1="VOL_CLASS",$U189,$V189)))</f>
        <v>135</v>
      </c>
      <c r="AI189">
        <f t="shared" si="12"/>
        <v>24861.441525</v>
      </c>
      <c r="AJ189">
        <f t="shared" si="13"/>
        <v>48385.2531933333</v>
      </c>
      <c r="AK189">
        <f t="shared" si="14"/>
        <v>14388.4253777628</v>
      </c>
      <c r="AL189">
        <f t="shared" si="15"/>
        <v>94990.3664023333</v>
      </c>
      <c r="AM189">
        <f t="shared" si="16"/>
        <v>40831.1807021342</v>
      </c>
      <c r="AN189">
        <f t="shared" si="17"/>
        <v>29398.1911280473</v>
      </c>
      <c r="AO189">
        <f>IF($A189="","",Allocation!CJ189)</f>
        <v>743978.4</v>
      </c>
      <c r="AP189">
        <f>IF($A189="","",IF(Allocation!$N$2="VOL_EFF",$Q189,IF(Allocation!$N$2="VOL_CLASS",$R189,$S189)))</f>
        <v>2704017.967109</v>
      </c>
      <c r="AQ189">
        <f>IF($A189="","",IF(Allocation!$N$2="VOL_EFF",$T189,IF(Allocation!$N$2="VOL_CLASS",$U189,$V189)))</f>
        <v>24231703.809425</v>
      </c>
      <c r="AR189">
        <f t="shared" si="18"/>
        <v>8543.31507138913</v>
      </c>
      <c r="AS189" t="str">
        <f>IF($A189="","",$A189&amp;"|"&amp;Allocation!BG189)</f>
        <v>2027|V01</v>
      </c>
    </row>
    <row r="190" ht="14.497499999999997" customHeight="1">
      <c r="A190" t="str">
        <f>IF(Allocation!BI190="","",Allocation!BI190)</f>
        <v>2027</v>
      </c>
      <c r="B190" t="str">
        <f>IF(Allocation!BJ190="","",Allocation!BJ190)</f>
        <v>IPAC_REN</v>
      </c>
      <c r="C190" t="str">
        <f>IF(Allocation!BK190="","",Allocation!BK190)</f>
        <v>IPAC</v>
      </c>
      <c r="D190" t="str">
        <f>IF(Allocation!BL190="","",Allocation!BL190)</f>
        <v>BAC_CCE</v>
      </c>
      <c r="E190" t="str">
        <f>IF(Allocation!BM190="","",Allocation!BM190)</f>
        <v>B3</v>
      </c>
      <c r="F190" t="str">
        <f>IF(Allocation!BN190="","",Allocation!BN190)</f>
        <v>ALT</v>
      </c>
      <c r="G190">
        <f>IF(Allocation!BO190="","",Allocation!BO190)</f>
        <v>38.195</v>
      </c>
      <c r="H190">
        <f>IF(Allocation!BP190="","",Allocation!BP190)</f>
        <v>2</v>
      </c>
      <c r="I190">
        <f>IF(Allocation!BQ190="","",Allocation!BQ190)</f>
        <v>254696.511046</v>
      </c>
      <c r="J190">
        <f>IF(Allocation!CC190="","",Allocation!CC190)</f>
        <v>0</v>
      </c>
      <c r="K190">
        <f t="shared" si="0"/>
        <v>960</v>
      </c>
      <c r="L190">
        <f t="shared" si="1"/>
        <v>122.121592</v>
      </c>
      <c r="M190">
        <f t="shared" si="2"/>
        <v>6</v>
      </c>
      <c r="N190">
        <f t="shared" si="3"/>
        <v>818371.339236</v>
      </c>
      <c r="O190">
        <f t="shared" si="4"/>
        <v>2880</v>
      </c>
      <c r="P190">
        <f t="shared" si="5"/>
        <v>44.726592</v>
      </c>
      <c r="Q190">
        <f t="shared" si="6"/>
        <v>395.576722</v>
      </c>
      <c r="R190">
        <f t="shared" si="7"/>
        <v>18</v>
      </c>
      <c r="S190">
        <f t="shared" si="8"/>
        <v>2704017.967109</v>
      </c>
      <c r="T190">
        <f t="shared" si="9"/>
        <v>3253.616848</v>
      </c>
      <c r="U190">
        <f t="shared" si="10"/>
        <v>135</v>
      </c>
      <c r="V190">
        <f t="shared" si="11"/>
        <v>24231703.809425</v>
      </c>
      <c r="W190">
        <f>IF($A190="","",Allocation!CD190)</f>
        <v>74584.324575</v>
      </c>
      <c r="X190">
        <f>IF($A190="","",Allocation!CE190)</f>
        <v>145155.75958</v>
      </c>
      <c r="Y190">
        <f>IF($A190="","",Allocation!CF190)</f>
        <v>44824.934018</v>
      </c>
      <c r="Z190">
        <f>IF($A190="","",Allocation!CG190)</f>
        <v>16127.64</v>
      </c>
      <c r="AA190">
        <f>IF($A190="","",Allocation!CH190)</f>
        <v>284971.099207</v>
      </c>
      <c r="AB190">
        <f>IF($A190="","",Allocation!CI190)</f>
        <v>2975861.58142</v>
      </c>
      <c r="AC190">
        <f>IF($A190="","",IF(Allocation!$N$4="VOL_EFF",$G190,IF(Allocation!$N$4="VOL_CLASS",$H190,$I190)))</f>
        <v>2</v>
      </c>
      <c r="AD190">
        <f>IF($A190="","",IF(Allocation!$N$4="VOL_EFF",$L190,IF(Allocation!$N$4="VOL_CLASS",$M190,$N190)))</f>
        <v>6</v>
      </c>
      <c r="AE190">
        <f>IF($A190="","",IF(Allocation!$N$3="VOL_EFF",$L190,IF(Allocation!$N$3="VOL_CLASS",$M190,$N190)))</f>
        <v>122.121592</v>
      </c>
      <c r="AF190">
        <f>IF($A190="","",IF(Allocation!$N$3="VOL_EFF",$Q190,IF(Allocation!$N$3="VOL_CLASS",$R190,$S190)))</f>
        <v>395.576722</v>
      </c>
      <c r="AG190">
        <f>IF($A190="","",IF(Allocation!$N$1="VOL_EFF",$Q190,IF(Allocation!$N$1="VOL_CLASS",$R190,$S190)))</f>
        <v>18</v>
      </c>
      <c r="AH190">
        <f>IF($A190="","",IF(Allocation!$N$1="VOL_EFF",$T190,IF(Allocation!$N$1="VOL_CLASS",$U190,$V190)))</f>
        <v>135</v>
      </c>
      <c r="AI190">
        <f t="shared" si="12"/>
        <v>24861.441525</v>
      </c>
      <c r="AJ190">
        <f t="shared" si="13"/>
        <v>48385.2531933333</v>
      </c>
      <c r="AK190">
        <f t="shared" si="14"/>
        <v>14019.5384516238</v>
      </c>
      <c r="AL190">
        <f t="shared" si="15"/>
        <v>94990.3664023333</v>
      </c>
      <c r="AM190">
        <f t="shared" si="16"/>
        <v>40831.1807021342</v>
      </c>
      <c r="AN190">
        <f t="shared" si="17"/>
        <v>23065.4157001863</v>
      </c>
      <c r="AO190">
        <f>IF($A190="","",Allocation!CJ190)</f>
        <v>743978.4</v>
      </c>
      <c r="AP190">
        <f>IF($A190="","",IF(Allocation!$N$2="VOL_EFF",$Q190,IF(Allocation!$N$2="VOL_CLASS",$R190,$S190)))</f>
        <v>2704017.967109</v>
      </c>
      <c r="AQ190">
        <f>IF($A190="","",IF(Allocation!$N$2="VOL_EFF",$T190,IF(Allocation!$N$2="VOL_CLASS",$U190,$V190)))</f>
        <v>24231703.809425</v>
      </c>
      <c r="AR190">
        <f t="shared" si="18"/>
        <v>8543.31507138913</v>
      </c>
      <c r="AS190" t="str">
        <f>IF($A190="","",$A190&amp;"|"&amp;Allocation!BG190)</f>
        <v>2027|V01</v>
      </c>
    </row>
    <row r="191" ht="14.497499999999997" customHeight="1">
      <c r="A191" t="str">
        <f>IF(Allocation!BI191="","",Allocation!BI191)</f>
        <v>2027</v>
      </c>
      <c r="B191" t="str">
        <f>IF(Allocation!BJ191="","",Allocation!BJ191)</f>
        <v>ISCOM_LIL</v>
      </c>
      <c r="C191" t="str">
        <f>IF(Allocation!BK191="","",Allocation!BK191)</f>
        <v>ISCOM</v>
      </c>
      <c r="D191" t="str">
        <f>IF(Allocation!BL191="","",Allocation!BL191)</f>
        <v>BAC_COM</v>
      </c>
      <c r="E191" t="str">
        <f>IF(Allocation!BM191="","",Allocation!BM191)</f>
        <v>B1</v>
      </c>
      <c r="F191" t="str">
        <f>IF(Allocation!BN191="","",Allocation!BN191)</f>
        <v>INIT</v>
      </c>
      <c r="G191">
        <f>IF(Allocation!BO191="","",Allocation!BO191)</f>
        <v>54.601406</v>
      </c>
      <c r="H191">
        <f>IF(Allocation!BP191="","",Allocation!BP191)</f>
        <v>2</v>
      </c>
      <c r="I191">
        <f>IF(Allocation!BQ191="","",Allocation!BQ191)</f>
        <v>407572.863954</v>
      </c>
      <c r="J191">
        <f>IF(Allocation!CC191="","",Allocation!CC191)</f>
        <v>54.601406</v>
      </c>
      <c r="K191">
        <f t="shared" si="0"/>
        <v>1200</v>
      </c>
      <c r="L191">
        <f t="shared" si="1"/>
        <v>255.086642</v>
      </c>
      <c r="M191">
        <f t="shared" si="2"/>
        <v>10</v>
      </c>
      <c r="N191">
        <f t="shared" si="3"/>
        <v>1844124.619037</v>
      </c>
      <c r="O191">
        <f t="shared" si="4"/>
        <v>4800</v>
      </c>
      <c r="P191">
        <f t="shared" si="5"/>
        <v>110.346642</v>
      </c>
      <c r="Q191">
        <f t="shared" si="6"/>
        <v>865.920342</v>
      </c>
      <c r="R191">
        <f t="shared" si="7"/>
        <v>35</v>
      </c>
      <c r="S191">
        <f t="shared" si="8"/>
        <v>6602533.150951</v>
      </c>
      <c r="T191">
        <f t="shared" si="9"/>
        <v>3253.616848</v>
      </c>
      <c r="U191">
        <f t="shared" si="10"/>
        <v>135</v>
      </c>
      <c r="V191">
        <f t="shared" si="11"/>
        <v>24231703.809425</v>
      </c>
      <c r="W191">
        <f>IF($A191="","",Allocation!CD191)</f>
        <v>124306.177995</v>
      </c>
      <c r="X191">
        <f>IF($A191="","",Allocation!CE191)</f>
        <v>303457.33522</v>
      </c>
      <c r="Y191">
        <f>IF($A191="","",Allocation!CF191)</f>
        <v>93481.120579</v>
      </c>
      <c r="Z191">
        <f>IF($A191="","",Allocation!CG191)</f>
        <v>27237.6</v>
      </c>
      <c r="AA191">
        <f>IF($A191="","",Allocation!CH191)</f>
        <v>690691.551778</v>
      </c>
      <c r="AB191">
        <f>IF($A191="","",Allocation!CI191)</f>
        <v>2975861.58142</v>
      </c>
      <c r="AC191">
        <f>IF($A191="","",IF(Allocation!$N$4="VOL_EFF",$G191,IF(Allocation!$N$4="VOL_CLASS",$H191,$I191)))</f>
        <v>2</v>
      </c>
      <c r="AD191">
        <f>IF($A191="","",IF(Allocation!$N$4="VOL_EFF",$L191,IF(Allocation!$N$4="VOL_CLASS",$M191,$N191)))</f>
        <v>10</v>
      </c>
      <c r="AE191">
        <f>IF($A191="","",IF(Allocation!$N$3="VOL_EFF",$L191,IF(Allocation!$N$3="VOL_CLASS",$M191,$N191)))</f>
        <v>255.086642</v>
      </c>
      <c r="AF191">
        <f>IF($A191="","",IF(Allocation!$N$3="VOL_EFF",$Q191,IF(Allocation!$N$3="VOL_CLASS",$R191,$S191)))</f>
        <v>865.920342</v>
      </c>
      <c r="AG191">
        <f>IF($A191="","",IF(Allocation!$N$1="VOL_EFF",$Q191,IF(Allocation!$N$1="VOL_CLASS",$R191,$S191)))</f>
        <v>35</v>
      </c>
      <c r="AH191">
        <f>IF($A191="","",IF(Allocation!$N$1="VOL_EFF",$T191,IF(Allocation!$N$1="VOL_CLASS",$U191,$V191)))</f>
        <v>135</v>
      </c>
      <c r="AI191">
        <f t="shared" si="12"/>
        <v>31076.54449875</v>
      </c>
      <c r="AJ191">
        <f t="shared" si="13"/>
        <v>75864.333805</v>
      </c>
      <c r="AK191">
        <f t="shared" si="14"/>
        <v>33487.3046677351</v>
      </c>
      <c r="AL191">
        <f t="shared" si="15"/>
        <v>138138.3103556</v>
      </c>
      <c r="AM191">
        <f t="shared" si="16"/>
        <v>45455.534908251</v>
      </c>
      <c r="AN191">
        <f t="shared" si="17"/>
        <v>71607.4698733406</v>
      </c>
      <c r="AO191">
        <f>IF($A191="","",Allocation!CJ191)</f>
        <v>743978.4</v>
      </c>
      <c r="AP191">
        <f>IF($A191="","",IF(Allocation!$N$2="VOL_EFF",$Q191,IF(Allocation!$N$2="VOL_CLASS",$R191,$S191)))</f>
        <v>6602533.150951</v>
      </c>
      <c r="AQ191">
        <f>IF($A191="","",IF(Allocation!$N$2="VOL_EFF",$T191,IF(Allocation!$N$2="VOL_CLASS",$U191,$V191)))</f>
        <v>24231703.809425</v>
      </c>
      <c r="AR191">
        <f t="shared" si="18"/>
        <v>11943.3658453233</v>
      </c>
      <c r="AS191" t="str">
        <f>IF($A191="","",$A191&amp;"|"&amp;Allocation!BG191)</f>
        <v>2027|V01</v>
      </c>
    </row>
    <row r="192" ht="14.497499999999997" customHeight="1">
      <c r="A192" t="str">
        <f>IF(Allocation!BI192="","",Allocation!BI192)</f>
        <v>2027</v>
      </c>
      <c r="B192" t="str">
        <f>IF(Allocation!BJ192="","",Allocation!BJ192)</f>
        <v>ISCOM_LIL</v>
      </c>
      <c r="C192" t="str">
        <f>IF(Allocation!BK192="","",Allocation!BK192)</f>
        <v>ISCOM</v>
      </c>
      <c r="D192" t="str">
        <f>IF(Allocation!BL192="","",Allocation!BL192)</f>
        <v>BAC_COM</v>
      </c>
      <c r="E192" t="str">
        <f>IF(Allocation!BM192="","",Allocation!BM192)</f>
        <v>B2</v>
      </c>
      <c r="F192" t="str">
        <f>IF(Allocation!BN192="","",Allocation!BN192)</f>
        <v>ALT</v>
      </c>
      <c r="G192">
        <f>IF(Allocation!BO192="","",Allocation!BO192)</f>
        <v>48.25</v>
      </c>
      <c r="H192">
        <f>IF(Allocation!BP192="","",Allocation!BP192)</f>
        <v>2</v>
      </c>
      <c r="I192">
        <f>IF(Allocation!BQ192="","",Allocation!BQ192)</f>
        <v>332098.868325</v>
      </c>
      <c r="J192">
        <f>IF(Allocation!CC192="","",Allocation!CC192)</f>
        <v>0</v>
      </c>
      <c r="K192">
        <f t="shared" si="0"/>
        <v>960</v>
      </c>
      <c r="L192">
        <f t="shared" si="1"/>
        <v>255.086642</v>
      </c>
      <c r="M192">
        <f t="shared" si="2"/>
        <v>10</v>
      </c>
      <c r="N192">
        <f t="shared" si="3"/>
        <v>1844124.619037</v>
      </c>
      <c r="O192">
        <f t="shared" si="4"/>
        <v>4800</v>
      </c>
      <c r="P192">
        <f t="shared" si="5"/>
        <v>110.346642</v>
      </c>
      <c r="Q192">
        <f t="shared" si="6"/>
        <v>865.920342</v>
      </c>
      <c r="R192">
        <f t="shared" si="7"/>
        <v>35</v>
      </c>
      <c r="S192">
        <f t="shared" si="8"/>
        <v>6602533.150951</v>
      </c>
      <c r="T192">
        <f t="shared" si="9"/>
        <v>3253.616848</v>
      </c>
      <c r="U192">
        <f t="shared" si="10"/>
        <v>135</v>
      </c>
      <c r="V192">
        <f t="shared" si="11"/>
        <v>24231703.809425</v>
      </c>
      <c r="W192">
        <f>IF($A192="","",Allocation!CD192)</f>
        <v>124306.177995</v>
      </c>
      <c r="X192">
        <f>IF($A192="","",Allocation!CE192)</f>
        <v>303457.33522</v>
      </c>
      <c r="Y192">
        <f>IF($A192="","",Allocation!CF192)</f>
        <v>93481.120579</v>
      </c>
      <c r="Z192">
        <f>IF($A192="","",Allocation!CG192)</f>
        <v>27237.6</v>
      </c>
      <c r="AA192">
        <f>IF($A192="","",Allocation!CH192)</f>
        <v>690691.551778</v>
      </c>
      <c r="AB192">
        <f>IF($A192="","",Allocation!CI192)</f>
        <v>2975861.58142</v>
      </c>
      <c r="AC192">
        <f>IF($A192="","",IF(Allocation!$N$4="VOL_EFF",$G192,IF(Allocation!$N$4="VOL_CLASS",$H192,$I192)))</f>
        <v>2</v>
      </c>
      <c r="AD192">
        <f>IF($A192="","",IF(Allocation!$N$4="VOL_EFF",$L192,IF(Allocation!$N$4="VOL_CLASS",$M192,$N192)))</f>
        <v>10</v>
      </c>
      <c r="AE192">
        <f>IF($A192="","",IF(Allocation!$N$3="VOL_EFF",$L192,IF(Allocation!$N$3="VOL_CLASS",$M192,$N192)))</f>
        <v>255.086642</v>
      </c>
      <c r="AF192">
        <f>IF($A192="","",IF(Allocation!$N$3="VOL_EFF",$Q192,IF(Allocation!$N$3="VOL_CLASS",$R192,$S192)))</f>
        <v>865.920342</v>
      </c>
      <c r="AG192">
        <f>IF($A192="","",IF(Allocation!$N$1="VOL_EFF",$Q192,IF(Allocation!$N$1="VOL_CLASS",$R192,$S192)))</f>
        <v>35</v>
      </c>
      <c r="AH192">
        <f>IF($A192="","",IF(Allocation!$N$1="VOL_EFF",$T192,IF(Allocation!$N$1="VOL_CLASS",$U192,$V192)))</f>
        <v>135</v>
      </c>
      <c r="AI192">
        <f t="shared" si="12"/>
        <v>24861.235599</v>
      </c>
      <c r="AJ192">
        <f t="shared" si="13"/>
        <v>60691.467044</v>
      </c>
      <c r="AK192">
        <f t="shared" si="14"/>
        <v>17682.0864964648</v>
      </c>
      <c r="AL192">
        <f t="shared" si="15"/>
        <v>138138.3103556</v>
      </c>
      <c r="AM192">
        <f t="shared" si="16"/>
        <v>45455.534908251</v>
      </c>
      <c r="AN192">
        <f t="shared" si="17"/>
        <v>33326.8680763609</v>
      </c>
      <c r="AO192">
        <f>IF($A192="","",Allocation!CJ192)</f>
        <v>743978.4</v>
      </c>
      <c r="AP192">
        <f>IF($A192="","",IF(Allocation!$N$2="VOL_EFF",$Q192,IF(Allocation!$N$2="VOL_CLASS",$R192,$S192)))</f>
        <v>6602533.150951</v>
      </c>
      <c r="AQ192">
        <f>IF($A192="","",IF(Allocation!$N$2="VOL_EFF",$T192,IF(Allocation!$N$2="VOL_CLASS",$U192,$V192)))</f>
        <v>24231703.809425</v>
      </c>
      <c r="AR192">
        <f t="shared" si="18"/>
        <v>11943.3658453233</v>
      </c>
      <c r="AS192" t="str">
        <f>IF($A192="","",$A192&amp;"|"&amp;Allocation!BG192)</f>
        <v>2027|V01</v>
      </c>
    </row>
    <row r="193" ht="14.497499999999997" customHeight="1">
      <c r="A193" t="str">
        <f>IF(Allocation!BI193="","",Allocation!BI193)</f>
        <v>2027</v>
      </c>
      <c r="B193" t="str">
        <f>IF(Allocation!BJ193="","",Allocation!BJ193)</f>
        <v>ISCOM_LIL</v>
      </c>
      <c r="C193" t="str">
        <f>IF(Allocation!BK193="","",Allocation!BK193)</f>
        <v>ISCOM</v>
      </c>
      <c r="D193" t="str">
        <f>IF(Allocation!BL193="","",Allocation!BL193)</f>
        <v>BAC_COM</v>
      </c>
      <c r="E193" t="str">
        <f>IF(Allocation!BM193="","",Allocation!BM193)</f>
        <v>B3</v>
      </c>
      <c r="F193" t="str">
        <f>IF(Allocation!BN193="","",Allocation!BN193)</f>
        <v>ALT</v>
      </c>
      <c r="G193">
        <f>IF(Allocation!BO193="","",Allocation!BO193)</f>
        <v>47.24</v>
      </c>
      <c r="H193">
        <f>IF(Allocation!BP193="","",Allocation!BP193)</f>
        <v>2</v>
      </c>
      <c r="I193">
        <f>IF(Allocation!BQ193="","",Allocation!BQ193)</f>
        <v>325147.161444</v>
      </c>
      <c r="J193">
        <f>IF(Allocation!CC193="","",Allocation!CC193)</f>
        <v>0</v>
      </c>
      <c r="K193">
        <f t="shared" si="0"/>
        <v>960</v>
      </c>
      <c r="L193">
        <f t="shared" si="1"/>
        <v>255.086642</v>
      </c>
      <c r="M193">
        <f t="shared" si="2"/>
        <v>10</v>
      </c>
      <c r="N193">
        <f t="shared" si="3"/>
        <v>1844124.619037</v>
      </c>
      <c r="O193">
        <f t="shared" si="4"/>
        <v>4800</v>
      </c>
      <c r="P193">
        <f t="shared" si="5"/>
        <v>110.346642</v>
      </c>
      <c r="Q193">
        <f t="shared" si="6"/>
        <v>865.920342</v>
      </c>
      <c r="R193">
        <f t="shared" si="7"/>
        <v>35</v>
      </c>
      <c r="S193">
        <f t="shared" si="8"/>
        <v>6602533.150951</v>
      </c>
      <c r="T193">
        <f t="shared" si="9"/>
        <v>3253.616848</v>
      </c>
      <c r="U193">
        <f t="shared" si="10"/>
        <v>135</v>
      </c>
      <c r="V193">
        <f t="shared" si="11"/>
        <v>24231703.809425</v>
      </c>
      <c r="W193">
        <f>IF($A193="","",Allocation!CD193)</f>
        <v>124306.177995</v>
      </c>
      <c r="X193">
        <f>IF($A193="","",Allocation!CE193)</f>
        <v>303457.33522</v>
      </c>
      <c r="Y193">
        <f>IF($A193="","",Allocation!CF193)</f>
        <v>93481.120579</v>
      </c>
      <c r="Z193">
        <f>IF($A193="","",Allocation!CG193)</f>
        <v>27237.6</v>
      </c>
      <c r="AA193">
        <f>IF($A193="","",Allocation!CH193)</f>
        <v>690691.551778</v>
      </c>
      <c r="AB193">
        <f>IF($A193="","",Allocation!CI193)</f>
        <v>2975861.58142</v>
      </c>
      <c r="AC193">
        <f>IF($A193="","",IF(Allocation!$N$4="VOL_EFF",$G193,IF(Allocation!$N$4="VOL_CLASS",$H193,$I193)))</f>
        <v>2</v>
      </c>
      <c r="AD193">
        <f>IF($A193="","",IF(Allocation!$N$4="VOL_EFF",$L193,IF(Allocation!$N$4="VOL_CLASS",$M193,$N193)))</f>
        <v>10</v>
      </c>
      <c r="AE193">
        <f>IF($A193="","",IF(Allocation!$N$3="VOL_EFF",$L193,IF(Allocation!$N$3="VOL_CLASS",$M193,$N193)))</f>
        <v>255.086642</v>
      </c>
      <c r="AF193">
        <f>IF($A193="","",IF(Allocation!$N$3="VOL_EFF",$Q193,IF(Allocation!$N$3="VOL_CLASS",$R193,$S193)))</f>
        <v>865.920342</v>
      </c>
      <c r="AG193">
        <f>IF($A193="","",IF(Allocation!$N$1="VOL_EFF",$Q193,IF(Allocation!$N$1="VOL_CLASS",$R193,$S193)))</f>
        <v>35</v>
      </c>
      <c r="AH193">
        <f>IF($A193="","",IF(Allocation!$N$1="VOL_EFF",$T193,IF(Allocation!$N$1="VOL_CLASS",$U193,$V193)))</f>
        <v>135</v>
      </c>
      <c r="AI193">
        <f t="shared" si="12"/>
        <v>24861.235599</v>
      </c>
      <c r="AJ193">
        <f t="shared" si="13"/>
        <v>60691.467044</v>
      </c>
      <c r="AK193">
        <f t="shared" si="14"/>
        <v>17311.9537014093</v>
      </c>
      <c r="AL193">
        <f t="shared" si="15"/>
        <v>138138.3103556</v>
      </c>
      <c r="AM193">
        <f t="shared" si="16"/>
        <v>45455.534908251</v>
      </c>
      <c r="AN193">
        <f t="shared" si="17"/>
        <v>26745.2939904164</v>
      </c>
      <c r="AO193">
        <f>IF($A193="","",Allocation!CJ193)</f>
        <v>743978.4</v>
      </c>
      <c r="AP193">
        <f>IF($A193="","",IF(Allocation!$N$2="VOL_EFF",$Q193,IF(Allocation!$N$2="VOL_CLASS",$R193,$S193)))</f>
        <v>6602533.150951</v>
      </c>
      <c r="AQ193">
        <f>IF($A193="","",IF(Allocation!$N$2="VOL_EFF",$T193,IF(Allocation!$N$2="VOL_CLASS",$U193,$V193)))</f>
        <v>24231703.809425</v>
      </c>
      <c r="AR193">
        <f t="shared" si="18"/>
        <v>11943.3658453233</v>
      </c>
      <c r="AS193" t="str">
        <f>IF($A193="","",$A193&amp;"|"&amp;Allocation!BG193)</f>
        <v>2027|V01</v>
      </c>
    </row>
    <row r="194" ht="14.497499999999997" customHeight="1">
      <c r="A194" t="str">
        <f>IF(Allocation!BI194="","",Allocation!BI194)</f>
        <v>2027</v>
      </c>
      <c r="B194" t="str">
        <f>IF(Allocation!BJ194="","",Allocation!BJ194)</f>
        <v>ISCOM_LIL</v>
      </c>
      <c r="C194" t="str">
        <f>IF(Allocation!BK194="","",Allocation!BK194)</f>
        <v>ISCOM</v>
      </c>
      <c r="D194" t="str">
        <f>IF(Allocation!BL194="","",Allocation!BL194)</f>
        <v>MAS_COM</v>
      </c>
      <c r="E194" t="str">
        <f>IF(Allocation!BM194="","",Allocation!BM194)</f>
        <v>M1</v>
      </c>
      <c r="F194" t="str">
        <f>IF(Allocation!BN194="","",Allocation!BN194)</f>
        <v>ALT</v>
      </c>
      <c r="G194">
        <f>IF(Allocation!BO194="","",Allocation!BO194)</f>
        <v>55.745236</v>
      </c>
      <c r="H194">
        <f>IF(Allocation!BP194="","",Allocation!BP194)</f>
        <v>2</v>
      </c>
      <c r="I194">
        <f>IF(Allocation!BQ194="","",Allocation!BQ194)</f>
        <v>416110.997001</v>
      </c>
      <c r="J194">
        <f>IF(Allocation!CC194="","",Allocation!CC194)</f>
        <v>55.745236</v>
      </c>
      <c r="K194">
        <f t="shared" si="0"/>
        <v>840</v>
      </c>
      <c r="L194">
        <f t="shared" si="1"/>
        <v>255.086642</v>
      </c>
      <c r="M194">
        <f t="shared" si="2"/>
        <v>10</v>
      </c>
      <c r="N194">
        <f t="shared" si="3"/>
        <v>1844124.619037</v>
      </c>
      <c r="O194">
        <f t="shared" si="4"/>
        <v>4800</v>
      </c>
      <c r="P194">
        <f t="shared" si="5"/>
        <v>110.346642</v>
      </c>
      <c r="Q194">
        <f t="shared" si="6"/>
        <v>865.920342</v>
      </c>
      <c r="R194">
        <f t="shared" si="7"/>
        <v>35</v>
      </c>
      <c r="S194">
        <f t="shared" si="8"/>
        <v>6602533.150951</v>
      </c>
      <c r="T194">
        <f t="shared" si="9"/>
        <v>3253.616848</v>
      </c>
      <c r="U194">
        <f t="shared" si="10"/>
        <v>135</v>
      </c>
      <c r="V194">
        <f t="shared" si="11"/>
        <v>24231703.809425</v>
      </c>
      <c r="W194">
        <f>IF($A194="","",Allocation!CD194)</f>
        <v>124306.177995</v>
      </c>
      <c r="X194">
        <f>IF($A194="","",Allocation!CE194)</f>
        <v>303457.33522</v>
      </c>
      <c r="Y194">
        <f>IF($A194="","",Allocation!CF194)</f>
        <v>93481.120579</v>
      </c>
      <c r="Z194">
        <f>IF($A194="","",Allocation!CG194)</f>
        <v>27237.6</v>
      </c>
      <c r="AA194">
        <f>IF($A194="","",Allocation!CH194)</f>
        <v>690691.551778</v>
      </c>
      <c r="AB194">
        <f>IF($A194="","",Allocation!CI194)</f>
        <v>2975861.58142</v>
      </c>
      <c r="AC194">
        <f>IF($A194="","",IF(Allocation!$N$4="VOL_EFF",$G194,IF(Allocation!$N$4="VOL_CLASS",$H194,$I194)))</f>
        <v>2</v>
      </c>
      <c r="AD194">
        <f>IF($A194="","",IF(Allocation!$N$4="VOL_EFF",$L194,IF(Allocation!$N$4="VOL_CLASS",$M194,$N194)))</f>
        <v>10</v>
      </c>
      <c r="AE194">
        <f>IF($A194="","",IF(Allocation!$N$3="VOL_EFF",$L194,IF(Allocation!$N$3="VOL_CLASS",$M194,$N194)))</f>
        <v>255.086642</v>
      </c>
      <c r="AF194">
        <f>IF($A194="","",IF(Allocation!$N$3="VOL_EFF",$Q194,IF(Allocation!$N$3="VOL_CLASS",$R194,$S194)))</f>
        <v>865.920342</v>
      </c>
      <c r="AG194">
        <f>IF($A194="","",IF(Allocation!$N$1="VOL_EFF",$Q194,IF(Allocation!$N$1="VOL_CLASS",$R194,$S194)))</f>
        <v>35</v>
      </c>
      <c r="AH194">
        <f>IF($A194="","",IF(Allocation!$N$1="VOL_EFF",$T194,IF(Allocation!$N$1="VOL_CLASS",$U194,$V194)))</f>
        <v>135</v>
      </c>
      <c r="AI194">
        <f t="shared" si="12"/>
        <v>21753.581149125</v>
      </c>
      <c r="AJ194">
        <f t="shared" si="13"/>
        <v>53105.0336635</v>
      </c>
      <c r="AK194">
        <f t="shared" si="14"/>
        <v>34188.8211030096</v>
      </c>
      <c r="AL194">
        <f t="shared" si="15"/>
        <v>138138.3103556</v>
      </c>
      <c r="AM194">
        <f t="shared" si="16"/>
        <v>45455.534908251</v>
      </c>
      <c r="AN194">
        <f t="shared" si="17"/>
        <v>111526.349976191</v>
      </c>
      <c r="AO194">
        <f>IF($A194="","",Allocation!CJ194)</f>
        <v>743978.4</v>
      </c>
      <c r="AP194">
        <f>IF($A194="","",IF(Allocation!$N$2="VOL_EFF",$Q194,IF(Allocation!$N$2="VOL_CLASS",$R194,$S194)))</f>
        <v>6602533.150951</v>
      </c>
      <c r="AQ194">
        <f>IF($A194="","",IF(Allocation!$N$2="VOL_EFF",$T194,IF(Allocation!$N$2="VOL_CLASS",$U194,$V194)))</f>
        <v>24231703.809425</v>
      </c>
      <c r="AR194">
        <f t="shared" si="18"/>
        <v>11943.3658453233</v>
      </c>
      <c r="AS194" t="str">
        <f>IF($A194="","",$A194&amp;"|"&amp;Allocation!BG194)</f>
        <v>2027|V01</v>
      </c>
    </row>
    <row r="195" ht="14.497499999999997" customHeight="1">
      <c r="A195" t="str">
        <f>IF(Allocation!BI195="","",Allocation!BI195)</f>
        <v>2027</v>
      </c>
      <c r="B195" t="str">
        <f>IF(Allocation!BJ195="","",Allocation!BJ195)</f>
        <v>ISCOM_LIL</v>
      </c>
      <c r="C195" t="str">
        <f>IF(Allocation!BK195="","",Allocation!BK195)</f>
        <v>ISCOM</v>
      </c>
      <c r="D195" t="str">
        <f>IF(Allocation!BL195="","",Allocation!BL195)</f>
        <v>MAS_COM</v>
      </c>
      <c r="E195" t="str">
        <f>IF(Allocation!BM195="","",Allocation!BM195)</f>
        <v>M2</v>
      </c>
      <c r="F195" t="str">
        <f>IF(Allocation!BN195="","",Allocation!BN195)</f>
        <v>ALT</v>
      </c>
      <c r="G195">
        <f>IF(Allocation!BO195="","",Allocation!BO195)</f>
        <v>49.25</v>
      </c>
      <c r="H195">
        <f>IF(Allocation!BP195="","",Allocation!BP195)</f>
        <v>2</v>
      </c>
      <c r="I195">
        <f>IF(Allocation!BQ195="","",Allocation!BQ195)</f>
        <v>363194.728313</v>
      </c>
      <c r="J195">
        <f>IF(Allocation!CC195="","",Allocation!CC195)</f>
        <v>0</v>
      </c>
      <c r="K195">
        <f t="shared" si="0"/>
        <v>840</v>
      </c>
      <c r="L195">
        <f t="shared" si="1"/>
        <v>255.086642</v>
      </c>
      <c r="M195">
        <f t="shared" si="2"/>
        <v>10</v>
      </c>
      <c r="N195">
        <f t="shared" si="3"/>
        <v>1844124.619037</v>
      </c>
      <c r="O195">
        <f t="shared" si="4"/>
        <v>4800</v>
      </c>
      <c r="P195">
        <f t="shared" si="5"/>
        <v>110.346642</v>
      </c>
      <c r="Q195">
        <f t="shared" si="6"/>
        <v>865.920342</v>
      </c>
      <c r="R195">
        <f t="shared" si="7"/>
        <v>35</v>
      </c>
      <c r="S195">
        <f t="shared" si="8"/>
        <v>6602533.150951</v>
      </c>
      <c r="T195">
        <f t="shared" si="9"/>
        <v>3253.616848</v>
      </c>
      <c r="U195">
        <f t="shared" si="10"/>
        <v>135</v>
      </c>
      <c r="V195">
        <f t="shared" si="11"/>
        <v>24231703.809425</v>
      </c>
      <c r="W195">
        <f>IF($A195="","",Allocation!CD195)</f>
        <v>124306.177995</v>
      </c>
      <c r="X195">
        <f>IF($A195="","",Allocation!CE195)</f>
        <v>303457.33522</v>
      </c>
      <c r="Y195">
        <f>IF($A195="","",Allocation!CF195)</f>
        <v>93481.120579</v>
      </c>
      <c r="Z195">
        <f>IF($A195="","",Allocation!CG195)</f>
        <v>27237.6</v>
      </c>
      <c r="AA195">
        <f>IF($A195="","",Allocation!CH195)</f>
        <v>690691.551778</v>
      </c>
      <c r="AB195">
        <f>IF($A195="","",Allocation!CI195)</f>
        <v>2975861.58142</v>
      </c>
      <c r="AC195">
        <f>IF($A195="","",IF(Allocation!$N$4="VOL_EFF",$G195,IF(Allocation!$N$4="VOL_CLASS",$H195,$I195)))</f>
        <v>2</v>
      </c>
      <c r="AD195">
        <f>IF($A195="","",IF(Allocation!$N$4="VOL_EFF",$L195,IF(Allocation!$N$4="VOL_CLASS",$M195,$N195)))</f>
        <v>10</v>
      </c>
      <c r="AE195">
        <f>IF($A195="","",IF(Allocation!$N$3="VOL_EFF",$L195,IF(Allocation!$N$3="VOL_CLASS",$M195,$N195)))</f>
        <v>255.086642</v>
      </c>
      <c r="AF195">
        <f>IF($A195="","",IF(Allocation!$N$3="VOL_EFF",$Q195,IF(Allocation!$N$3="VOL_CLASS",$R195,$S195)))</f>
        <v>865.920342</v>
      </c>
      <c r="AG195">
        <f>IF($A195="","",IF(Allocation!$N$1="VOL_EFF",$Q195,IF(Allocation!$N$1="VOL_CLASS",$R195,$S195)))</f>
        <v>35</v>
      </c>
      <c r="AH195">
        <f>IF($A195="","",IF(Allocation!$N$1="VOL_EFF",$T195,IF(Allocation!$N$1="VOL_CLASS",$U195,$V195)))</f>
        <v>135</v>
      </c>
      <c r="AI195">
        <f t="shared" si="12"/>
        <v>21753.581149125</v>
      </c>
      <c r="AJ195">
        <f t="shared" si="13"/>
        <v>53105.0336635</v>
      </c>
      <c r="AK195">
        <f t="shared" si="14"/>
        <v>18048.5546103812</v>
      </c>
      <c r="AL195">
        <f t="shared" si="15"/>
        <v>138138.3103556</v>
      </c>
      <c r="AM195">
        <f t="shared" si="16"/>
        <v>45455.534908251</v>
      </c>
      <c r="AN195">
        <f t="shared" si="17"/>
        <v>74750.3477808195</v>
      </c>
      <c r="AO195">
        <f>IF($A195="","",Allocation!CJ195)</f>
        <v>743978.4</v>
      </c>
      <c r="AP195">
        <f>IF($A195="","",IF(Allocation!$N$2="VOL_EFF",$Q195,IF(Allocation!$N$2="VOL_CLASS",$R195,$S195)))</f>
        <v>6602533.150951</v>
      </c>
      <c r="AQ195">
        <f>IF($A195="","",IF(Allocation!$N$2="VOL_EFF",$T195,IF(Allocation!$N$2="VOL_CLASS",$U195,$V195)))</f>
        <v>24231703.809425</v>
      </c>
      <c r="AR195">
        <f t="shared" si="18"/>
        <v>11943.3658453233</v>
      </c>
      <c r="AS195" t="str">
        <f>IF($A195="","",$A195&amp;"|"&amp;Allocation!BG195)</f>
        <v>2027|V01</v>
      </c>
    </row>
    <row r="196" ht="14.497499999999997" customHeight="1">
      <c r="A196" t="str">
        <f>IF(Allocation!BI196="","",Allocation!BI196)</f>
        <v>2027</v>
      </c>
      <c r="B196" t="str">
        <f>IF(Allocation!BJ196="","",Allocation!BJ196)</f>
        <v>ISCOM_PAR</v>
      </c>
      <c r="C196" t="str">
        <f>IF(Allocation!BK196="","",Allocation!BK196)</f>
        <v>ISCOM</v>
      </c>
      <c r="D196" t="str">
        <f>IF(Allocation!BL196="","",Allocation!BL196)</f>
        <v>BAC_COM</v>
      </c>
      <c r="E196" t="str">
        <f>IF(Allocation!BM196="","",Allocation!BM196)</f>
        <v>B1</v>
      </c>
      <c r="F196" t="str">
        <f>IF(Allocation!BN196="","",Allocation!BN196)</f>
        <v>INIT</v>
      </c>
      <c r="G196">
        <f>IF(Allocation!BO196="","",Allocation!BO196)</f>
        <v>78.323408</v>
      </c>
      <c r="H196">
        <f>IF(Allocation!BP196="","",Allocation!BP196)</f>
        <v>3</v>
      </c>
      <c r="I196">
        <f>IF(Allocation!BQ196="","",Allocation!BQ196)</f>
        <v>667159.885872</v>
      </c>
      <c r="J196">
        <f>IF(Allocation!CC196="","",Allocation!CC196)</f>
        <v>78.323408</v>
      </c>
      <c r="K196">
        <f t="shared" si="0"/>
        <v>1800</v>
      </c>
      <c r="L196">
        <f t="shared" si="1"/>
        <v>369.352343</v>
      </c>
      <c r="M196">
        <f t="shared" si="2"/>
        <v>15</v>
      </c>
      <c r="N196">
        <f t="shared" si="3"/>
        <v>3048653.606211</v>
      </c>
      <c r="O196">
        <f t="shared" si="4"/>
        <v>7200</v>
      </c>
      <c r="P196">
        <f t="shared" si="5"/>
        <v>158.282343</v>
      </c>
      <c r="Q196">
        <f t="shared" si="6"/>
        <v>865.920342</v>
      </c>
      <c r="R196">
        <f t="shared" si="7"/>
        <v>35</v>
      </c>
      <c r="S196">
        <f t="shared" si="8"/>
        <v>6602533.150951</v>
      </c>
      <c r="T196">
        <f t="shared" si="9"/>
        <v>3253.616848</v>
      </c>
      <c r="U196">
        <f t="shared" si="10"/>
        <v>135</v>
      </c>
      <c r="V196">
        <f t="shared" si="11"/>
        <v>24231703.809425</v>
      </c>
      <c r="W196">
        <f>IF($A196="","",Allocation!CD196)</f>
        <v>186459.781808</v>
      </c>
      <c r="X196">
        <f>IF($A196="","",Allocation!CE196)</f>
        <v>520261.81168</v>
      </c>
      <c r="Y196">
        <f>IF($A196="","",Allocation!CF196)</f>
        <v>135624.898557</v>
      </c>
      <c r="Z196">
        <f>IF($A196="","",Allocation!CG196)</f>
        <v>65664</v>
      </c>
      <c r="AA196">
        <f>IF($A196="","",Allocation!CH196)</f>
        <v>1157580.073157</v>
      </c>
      <c r="AB196">
        <f>IF($A196="","",Allocation!CI196)</f>
        <v>2975861.58142</v>
      </c>
      <c r="AC196">
        <f>IF($A196="","",IF(Allocation!$N$4="VOL_EFF",$G196,IF(Allocation!$N$4="VOL_CLASS",$H196,$I196)))</f>
        <v>3</v>
      </c>
      <c r="AD196">
        <f>IF($A196="","",IF(Allocation!$N$4="VOL_EFF",$L196,IF(Allocation!$N$4="VOL_CLASS",$M196,$N196)))</f>
        <v>15</v>
      </c>
      <c r="AE196">
        <f>IF($A196="","",IF(Allocation!$N$3="VOL_EFF",$L196,IF(Allocation!$N$3="VOL_CLASS",$M196,$N196)))</f>
        <v>369.352343</v>
      </c>
      <c r="AF196">
        <f>IF($A196="","",IF(Allocation!$N$3="VOL_EFF",$Q196,IF(Allocation!$N$3="VOL_CLASS",$R196,$S196)))</f>
        <v>865.920342</v>
      </c>
      <c r="AG196">
        <f>IF($A196="","",IF(Allocation!$N$1="VOL_EFF",$Q196,IF(Allocation!$N$1="VOL_CLASS",$R196,$S196)))</f>
        <v>35</v>
      </c>
      <c r="AH196">
        <f>IF($A196="","",IF(Allocation!$N$1="VOL_EFF",$T196,IF(Allocation!$N$1="VOL_CLASS",$U196,$V196)))</f>
        <v>135</v>
      </c>
      <c r="AI196">
        <f t="shared" si="12"/>
        <v>46614.945452</v>
      </c>
      <c r="AJ196">
        <f t="shared" si="13"/>
        <v>130065.45292</v>
      </c>
      <c r="AK196">
        <f t="shared" si="14"/>
        <v>61252.8314727875</v>
      </c>
      <c r="AL196">
        <f t="shared" si="15"/>
        <v>231516.0146314</v>
      </c>
      <c r="AM196">
        <f t="shared" si="16"/>
        <v>65817.2775690888</v>
      </c>
      <c r="AN196">
        <f t="shared" si="17"/>
        <v>114599.984119776</v>
      </c>
      <c r="AO196">
        <f>IF($A196="","",Allocation!CJ196)</f>
        <v>743978.4</v>
      </c>
      <c r="AP196">
        <f>IF($A196="","",IF(Allocation!$N$2="VOL_EFF",$Q196,IF(Allocation!$N$2="VOL_CLASS",$R196,$S196)))</f>
        <v>6602533.150951</v>
      </c>
      <c r="AQ196">
        <f>IF($A196="","",IF(Allocation!$N$2="VOL_EFF",$T196,IF(Allocation!$N$2="VOL_CLASS",$U196,$V196)))</f>
        <v>24231703.809425</v>
      </c>
      <c r="AR196">
        <f t="shared" si="18"/>
        <v>17293.3797069481</v>
      </c>
      <c r="AS196" t="str">
        <f>IF($A196="","",$A196&amp;"|"&amp;Allocation!BG196)</f>
        <v>2027|V01</v>
      </c>
    </row>
    <row r="197" ht="14.497499999999997" customHeight="1">
      <c r="A197" t="str">
        <f>IF(Allocation!BI197="","",Allocation!BI197)</f>
        <v>2027</v>
      </c>
      <c r="B197" t="str">
        <f>IF(Allocation!BJ197="","",Allocation!BJ197)</f>
        <v>ISCOM_PAR</v>
      </c>
      <c r="C197" t="str">
        <f>IF(Allocation!BK197="","",Allocation!BK197)</f>
        <v>ISCOM</v>
      </c>
      <c r="D197" t="str">
        <f>IF(Allocation!BL197="","",Allocation!BL197)</f>
        <v>BAC_COM</v>
      </c>
      <c r="E197" t="str">
        <f>IF(Allocation!BM197="","",Allocation!BM197)</f>
        <v>B2</v>
      </c>
      <c r="F197" t="str">
        <f>IF(Allocation!BN197="","",Allocation!BN197)</f>
        <v>ALT</v>
      </c>
      <c r="G197">
        <f>IF(Allocation!BO197="","",Allocation!BO197)</f>
        <v>70.36</v>
      </c>
      <c r="H197">
        <f>IF(Allocation!BP197="","",Allocation!BP197)</f>
        <v>3</v>
      </c>
      <c r="I197">
        <f>IF(Allocation!BQ197="","",Allocation!BQ197)</f>
        <v>553462.060704</v>
      </c>
      <c r="J197">
        <f>IF(Allocation!CC197="","",Allocation!CC197)</f>
        <v>0</v>
      </c>
      <c r="K197">
        <f t="shared" si="0"/>
        <v>1440</v>
      </c>
      <c r="L197">
        <f t="shared" si="1"/>
        <v>369.352343</v>
      </c>
      <c r="M197">
        <f t="shared" si="2"/>
        <v>15</v>
      </c>
      <c r="N197">
        <f t="shared" si="3"/>
        <v>3048653.606211</v>
      </c>
      <c r="O197">
        <f t="shared" si="4"/>
        <v>7200</v>
      </c>
      <c r="P197">
        <f t="shared" si="5"/>
        <v>158.282343</v>
      </c>
      <c r="Q197">
        <f t="shared" si="6"/>
        <v>865.920342</v>
      </c>
      <c r="R197">
        <f t="shared" si="7"/>
        <v>35</v>
      </c>
      <c r="S197">
        <f t="shared" si="8"/>
        <v>6602533.150951</v>
      </c>
      <c r="T197">
        <f t="shared" si="9"/>
        <v>3253.616848</v>
      </c>
      <c r="U197">
        <f t="shared" si="10"/>
        <v>135</v>
      </c>
      <c r="V197">
        <f t="shared" si="11"/>
        <v>24231703.809425</v>
      </c>
      <c r="W197">
        <f>IF($A197="","",Allocation!CD197)</f>
        <v>186459.781808</v>
      </c>
      <c r="X197">
        <f>IF($A197="","",Allocation!CE197)</f>
        <v>520261.81168</v>
      </c>
      <c r="Y197">
        <f>IF($A197="","",Allocation!CF197)</f>
        <v>135624.898557</v>
      </c>
      <c r="Z197">
        <f>IF($A197="","",Allocation!CG197)</f>
        <v>65664</v>
      </c>
      <c r="AA197">
        <f>IF($A197="","",Allocation!CH197)</f>
        <v>1157580.073157</v>
      </c>
      <c r="AB197">
        <f>IF($A197="","",Allocation!CI197)</f>
        <v>2975861.58142</v>
      </c>
      <c r="AC197">
        <f>IF($A197="","",IF(Allocation!$N$4="VOL_EFF",$G197,IF(Allocation!$N$4="VOL_CLASS",$H197,$I197)))</f>
        <v>3</v>
      </c>
      <c r="AD197">
        <f>IF($A197="","",IF(Allocation!$N$4="VOL_EFF",$L197,IF(Allocation!$N$4="VOL_CLASS",$M197,$N197)))</f>
        <v>15</v>
      </c>
      <c r="AE197">
        <f>IF($A197="","",IF(Allocation!$N$3="VOL_EFF",$L197,IF(Allocation!$N$3="VOL_CLASS",$M197,$N197)))</f>
        <v>369.352343</v>
      </c>
      <c r="AF197">
        <f>IF($A197="","",IF(Allocation!$N$3="VOL_EFF",$Q197,IF(Allocation!$N$3="VOL_CLASS",$R197,$S197)))</f>
        <v>865.920342</v>
      </c>
      <c r="AG197">
        <f>IF($A197="","",IF(Allocation!$N$1="VOL_EFF",$Q197,IF(Allocation!$N$1="VOL_CLASS",$R197,$S197)))</f>
        <v>35</v>
      </c>
      <c r="AH197">
        <f>IF($A197="","",IF(Allocation!$N$1="VOL_EFF",$T197,IF(Allocation!$N$1="VOL_CLASS",$U197,$V197)))</f>
        <v>135</v>
      </c>
      <c r="AI197">
        <f t="shared" si="12"/>
        <v>37291.9563616</v>
      </c>
      <c r="AJ197">
        <f t="shared" si="13"/>
        <v>104052.362336</v>
      </c>
      <c r="AK197">
        <f t="shared" si="14"/>
        <v>25835.9478241364</v>
      </c>
      <c r="AL197">
        <f t="shared" si="15"/>
        <v>231516.0146314</v>
      </c>
      <c r="AM197">
        <f t="shared" si="16"/>
        <v>65817.2775690888</v>
      </c>
      <c r="AN197">
        <f t="shared" si="17"/>
        <v>71655.1222748266</v>
      </c>
      <c r="AO197">
        <f>IF($A197="","",Allocation!CJ197)</f>
        <v>743978.4</v>
      </c>
      <c r="AP197">
        <f>IF($A197="","",IF(Allocation!$N$2="VOL_EFF",$Q197,IF(Allocation!$N$2="VOL_CLASS",$R197,$S197)))</f>
        <v>6602533.150951</v>
      </c>
      <c r="AQ197">
        <f>IF($A197="","",IF(Allocation!$N$2="VOL_EFF",$T197,IF(Allocation!$N$2="VOL_CLASS",$U197,$V197)))</f>
        <v>24231703.809425</v>
      </c>
      <c r="AR197">
        <f t="shared" si="18"/>
        <v>17293.3797069481</v>
      </c>
      <c r="AS197" t="str">
        <f>IF($A197="","",$A197&amp;"|"&amp;Allocation!BG197)</f>
        <v>2027|V01</v>
      </c>
    </row>
    <row r="198" ht="14.497499999999997" customHeight="1">
      <c r="A198" t="str">
        <f>IF(Allocation!BI198="","",Allocation!BI198)</f>
        <v>2027</v>
      </c>
      <c r="B198" t="str">
        <f>IF(Allocation!BJ198="","",Allocation!BJ198)</f>
        <v>ISCOM_PAR</v>
      </c>
      <c r="C198" t="str">
        <f>IF(Allocation!BK198="","",Allocation!BK198)</f>
        <v>ISCOM</v>
      </c>
      <c r="D198" t="str">
        <f>IF(Allocation!BL198="","",Allocation!BL198)</f>
        <v>BAC_COM</v>
      </c>
      <c r="E198" t="str">
        <f>IF(Allocation!BM198="","",Allocation!BM198)</f>
        <v>B3</v>
      </c>
      <c r="F198" t="str">
        <f>IF(Allocation!BN198="","",Allocation!BN198)</f>
        <v>ALT</v>
      </c>
      <c r="G198">
        <f>IF(Allocation!BO198="","",Allocation!BO198)</f>
        <v>69.35</v>
      </c>
      <c r="H198">
        <f>IF(Allocation!BP198="","",Allocation!BP198)</f>
        <v>3</v>
      </c>
      <c r="I198">
        <f>IF(Allocation!BQ198="","",Allocation!BQ198)</f>
        <v>545517.25284</v>
      </c>
      <c r="J198">
        <f>IF(Allocation!CC198="","",Allocation!CC198)</f>
        <v>0</v>
      </c>
      <c r="K198">
        <f t="shared" si="0"/>
        <v>1440</v>
      </c>
      <c r="L198">
        <f t="shared" si="1"/>
        <v>369.352343</v>
      </c>
      <c r="M198">
        <f t="shared" si="2"/>
        <v>15</v>
      </c>
      <c r="N198">
        <f t="shared" si="3"/>
        <v>3048653.606211</v>
      </c>
      <c r="O198">
        <f t="shared" si="4"/>
        <v>7200</v>
      </c>
      <c r="P198">
        <f t="shared" si="5"/>
        <v>158.282343</v>
      </c>
      <c r="Q198">
        <f t="shared" si="6"/>
        <v>865.920342</v>
      </c>
      <c r="R198">
        <f t="shared" si="7"/>
        <v>35</v>
      </c>
      <c r="S198">
        <f t="shared" si="8"/>
        <v>6602533.150951</v>
      </c>
      <c r="T198">
        <f t="shared" si="9"/>
        <v>3253.616848</v>
      </c>
      <c r="U198">
        <f t="shared" si="10"/>
        <v>135</v>
      </c>
      <c r="V198">
        <f t="shared" si="11"/>
        <v>24231703.809425</v>
      </c>
      <c r="W198">
        <f>IF($A198="","",Allocation!CD198)</f>
        <v>186459.781808</v>
      </c>
      <c r="X198">
        <f>IF($A198="","",Allocation!CE198)</f>
        <v>520261.81168</v>
      </c>
      <c r="Y198">
        <f>IF($A198="","",Allocation!CF198)</f>
        <v>135624.898557</v>
      </c>
      <c r="Z198">
        <f>IF($A198="","",Allocation!CG198)</f>
        <v>65664</v>
      </c>
      <c r="AA198">
        <f>IF($A198="","",Allocation!CH198)</f>
        <v>1157580.073157</v>
      </c>
      <c r="AB198">
        <f>IF($A198="","",Allocation!CI198)</f>
        <v>2975861.58142</v>
      </c>
      <c r="AC198">
        <f>IF($A198="","",IF(Allocation!$N$4="VOL_EFF",$G198,IF(Allocation!$N$4="VOL_CLASS",$H198,$I198)))</f>
        <v>3</v>
      </c>
      <c r="AD198">
        <f>IF($A198="","",IF(Allocation!$N$4="VOL_EFF",$L198,IF(Allocation!$N$4="VOL_CLASS",$M198,$N198)))</f>
        <v>15</v>
      </c>
      <c r="AE198">
        <f>IF($A198="","",IF(Allocation!$N$3="VOL_EFF",$L198,IF(Allocation!$N$3="VOL_CLASS",$M198,$N198)))</f>
        <v>369.352343</v>
      </c>
      <c r="AF198">
        <f>IF($A198="","",IF(Allocation!$N$3="VOL_EFF",$Q198,IF(Allocation!$N$3="VOL_CLASS",$R198,$S198)))</f>
        <v>865.920342</v>
      </c>
      <c r="AG198">
        <f>IF($A198="","",IF(Allocation!$N$1="VOL_EFF",$Q198,IF(Allocation!$N$1="VOL_CLASS",$R198,$S198)))</f>
        <v>35</v>
      </c>
      <c r="AH198">
        <f>IF($A198="","",IF(Allocation!$N$1="VOL_EFF",$T198,IF(Allocation!$N$1="VOL_CLASS",$U198,$V198)))</f>
        <v>135</v>
      </c>
      <c r="AI198">
        <f t="shared" si="12"/>
        <v>37291.9563616</v>
      </c>
      <c r="AJ198">
        <f t="shared" si="13"/>
        <v>104052.362336</v>
      </c>
      <c r="AK198">
        <f t="shared" si="14"/>
        <v>25465.0793292191</v>
      </c>
      <c r="AL198">
        <f t="shared" si="15"/>
        <v>231516.0146314</v>
      </c>
      <c r="AM198">
        <f t="shared" si="16"/>
        <v>65817.2775690888</v>
      </c>
      <c r="AN198">
        <f t="shared" si="17"/>
        <v>64081.1829057439</v>
      </c>
      <c r="AO198">
        <f>IF($A198="","",Allocation!CJ198)</f>
        <v>743978.4</v>
      </c>
      <c r="AP198">
        <f>IF($A198="","",IF(Allocation!$N$2="VOL_EFF",$Q198,IF(Allocation!$N$2="VOL_CLASS",$R198,$S198)))</f>
        <v>6602533.150951</v>
      </c>
      <c r="AQ198">
        <f>IF($A198="","",IF(Allocation!$N$2="VOL_EFF",$T198,IF(Allocation!$N$2="VOL_CLASS",$U198,$V198)))</f>
        <v>24231703.809425</v>
      </c>
      <c r="AR198">
        <f t="shared" si="18"/>
        <v>17293.3797069481</v>
      </c>
      <c r="AS198" t="str">
        <f>IF($A198="","",$A198&amp;"|"&amp;Allocation!BG198)</f>
        <v>2027|V01</v>
      </c>
    </row>
    <row r="199" ht="14.497499999999997" customHeight="1">
      <c r="A199" t="str">
        <f>IF(Allocation!BI199="","",Allocation!BI199)</f>
        <v>2027</v>
      </c>
      <c r="B199" t="str">
        <f>IF(Allocation!BJ199="","",Allocation!BJ199)</f>
        <v>ISCOM_PAR</v>
      </c>
      <c r="C199" t="str">
        <f>IF(Allocation!BK199="","",Allocation!BK199)</f>
        <v>ISCOM</v>
      </c>
      <c r="D199" t="str">
        <f>IF(Allocation!BL199="","",Allocation!BL199)</f>
        <v>MAS_COM</v>
      </c>
      <c r="E199" t="str">
        <f>IF(Allocation!BM199="","",Allocation!BM199)</f>
        <v>M1</v>
      </c>
      <c r="F199" t="str">
        <f>IF(Allocation!BN199="","",Allocation!BN199)</f>
        <v>ALT</v>
      </c>
      <c r="G199">
        <f>IF(Allocation!BO199="","",Allocation!BO199)</f>
        <v>79.958935</v>
      </c>
      <c r="H199">
        <f>IF(Allocation!BP199="","",Allocation!BP199)</f>
        <v>3</v>
      </c>
      <c r="I199">
        <f>IF(Allocation!BQ199="","",Allocation!BQ199)</f>
        <v>681091.327755</v>
      </c>
      <c r="J199">
        <f>IF(Allocation!CC199="","",Allocation!CC199)</f>
        <v>79.958935</v>
      </c>
      <c r="K199">
        <f t="shared" si="0"/>
        <v>1260</v>
      </c>
      <c r="L199">
        <f t="shared" si="1"/>
        <v>369.352343</v>
      </c>
      <c r="M199">
        <f t="shared" si="2"/>
        <v>15</v>
      </c>
      <c r="N199">
        <f t="shared" si="3"/>
        <v>3048653.606211</v>
      </c>
      <c r="O199">
        <f t="shared" si="4"/>
        <v>7200</v>
      </c>
      <c r="P199">
        <f t="shared" si="5"/>
        <v>158.282343</v>
      </c>
      <c r="Q199">
        <f t="shared" si="6"/>
        <v>865.920342</v>
      </c>
      <c r="R199">
        <f t="shared" si="7"/>
        <v>35</v>
      </c>
      <c r="S199">
        <f t="shared" si="8"/>
        <v>6602533.150951</v>
      </c>
      <c r="T199">
        <f t="shared" si="9"/>
        <v>3253.616848</v>
      </c>
      <c r="U199">
        <f t="shared" si="10"/>
        <v>135</v>
      </c>
      <c r="V199">
        <f t="shared" si="11"/>
        <v>24231703.809425</v>
      </c>
      <c r="W199">
        <f>IF($A199="","",Allocation!CD199)</f>
        <v>186459.781808</v>
      </c>
      <c r="X199">
        <f>IF($A199="","",Allocation!CE199)</f>
        <v>520261.81168</v>
      </c>
      <c r="Y199">
        <f>IF($A199="","",Allocation!CF199)</f>
        <v>135624.898557</v>
      </c>
      <c r="Z199">
        <f>IF($A199="","",Allocation!CG199)</f>
        <v>65664</v>
      </c>
      <c r="AA199">
        <f>IF($A199="","",Allocation!CH199)</f>
        <v>1157580.073157</v>
      </c>
      <c r="AB199">
        <f>IF($A199="","",Allocation!CI199)</f>
        <v>2975861.58142</v>
      </c>
      <c r="AC199">
        <f>IF($A199="","",IF(Allocation!$N$4="VOL_EFF",$G199,IF(Allocation!$N$4="VOL_CLASS",$H199,$I199)))</f>
        <v>3</v>
      </c>
      <c r="AD199">
        <f>IF($A199="","",IF(Allocation!$N$4="VOL_EFF",$L199,IF(Allocation!$N$4="VOL_CLASS",$M199,$N199)))</f>
        <v>15</v>
      </c>
      <c r="AE199">
        <f>IF($A199="","",IF(Allocation!$N$3="VOL_EFF",$L199,IF(Allocation!$N$3="VOL_CLASS",$M199,$N199)))</f>
        <v>369.352343</v>
      </c>
      <c r="AF199">
        <f>IF($A199="","",IF(Allocation!$N$3="VOL_EFF",$Q199,IF(Allocation!$N$3="VOL_CLASS",$R199,$S199)))</f>
        <v>865.920342</v>
      </c>
      <c r="AG199">
        <f>IF($A199="","",IF(Allocation!$N$1="VOL_EFF",$Q199,IF(Allocation!$N$1="VOL_CLASS",$R199,$S199)))</f>
        <v>35</v>
      </c>
      <c r="AH199">
        <f>IF($A199="","",IF(Allocation!$N$1="VOL_EFF",$T199,IF(Allocation!$N$1="VOL_CLASS",$U199,$V199)))</f>
        <v>135</v>
      </c>
      <c r="AI199">
        <f t="shared" si="12"/>
        <v>32630.4618164</v>
      </c>
      <c r="AJ199">
        <f t="shared" si="13"/>
        <v>91045.817044</v>
      </c>
      <c r="AK199">
        <f t="shared" si="14"/>
        <v>62531.8955770996</v>
      </c>
      <c r="AL199">
        <f t="shared" si="15"/>
        <v>231516.0146314</v>
      </c>
      <c r="AM199">
        <f t="shared" si="16"/>
        <v>65817.2775690888</v>
      </c>
      <c r="AN199">
        <f t="shared" si="17"/>
        <v>180256.481410063</v>
      </c>
      <c r="AO199">
        <f>IF($A199="","",Allocation!CJ199)</f>
        <v>743978.4</v>
      </c>
      <c r="AP199">
        <f>IF($A199="","",IF(Allocation!$N$2="VOL_EFF",$Q199,IF(Allocation!$N$2="VOL_CLASS",$R199,$S199)))</f>
        <v>6602533.150951</v>
      </c>
      <c r="AQ199">
        <f>IF($A199="","",IF(Allocation!$N$2="VOL_EFF",$T199,IF(Allocation!$N$2="VOL_CLASS",$U199,$V199)))</f>
        <v>24231703.809425</v>
      </c>
      <c r="AR199">
        <f t="shared" si="18"/>
        <v>17293.3797069481</v>
      </c>
      <c r="AS199" t="str">
        <f>IF($A199="","",$A199&amp;"|"&amp;Allocation!BG199)</f>
        <v>2027|V01</v>
      </c>
    </row>
    <row r="200" ht="14.497499999999997" customHeight="1">
      <c r="A200" t="str">
        <f>IF(Allocation!BI200="","",Allocation!BI200)</f>
        <v>2027</v>
      </c>
      <c r="B200" t="str">
        <f>IF(Allocation!BJ200="","",Allocation!BJ200)</f>
        <v>ISCOM_PAR</v>
      </c>
      <c r="C200" t="str">
        <f>IF(Allocation!BK200="","",Allocation!BK200)</f>
        <v>ISCOM</v>
      </c>
      <c r="D200" t="str">
        <f>IF(Allocation!BL200="","",Allocation!BL200)</f>
        <v>MAS_COM</v>
      </c>
      <c r="E200" t="str">
        <f>IF(Allocation!BM200="","",Allocation!BM200)</f>
        <v>M2</v>
      </c>
      <c r="F200" t="str">
        <f>IF(Allocation!BN200="","",Allocation!BN200)</f>
        <v>ALT</v>
      </c>
      <c r="G200">
        <f>IF(Allocation!BO200="","",Allocation!BO200)</f>
        <v>71.36</v>
      </c>
      <c r="H200">
        <f>IF(Allocation!BP200="","",Allocation!BP200)</f>
        <v>3</v>
      </c>
      <c r="I200">
        <f>IF(Allocation!BQ200="","",Allocation!BQ200)</f>
        <v>601423.07904</v>
      </c>
      <c r="J200">
        <f>IF(Allocation!CC200="","",Allocation!CC200)</f>
        <v>0</v>
      </c>
      <c r="K200">
        <f t="shared" si="0"/>
        <v>1260</v>
      </c>
      <c r="L200">
        <f t="shared" si="1"/>
        <v>369.352343</v>
      </c>
      <c r="M200">
        <f t="shared" si="2"/>
        <v>15</v>
      </c>
      <c r="N200">
        <f t="shared" si="3"/>
        <v>3048653.606211</v>
      </c>
      <c r="O200">
        <f t="shared" si="4"/>
        <v>7200</v>
      </c>
      <c r="P200">
        <f t="shared" si="5"/>
        <v>158.282343</v>
      </c>
      <c r="Q200">
        <f t="shared" si="6"/>
        <v>865.920342</v>
      </c>
      <c r="R200">
        <f t="shared" si="7"/>
        <v>35</v>
      </c>
      <c r="S200">
        <f t="shared" si="8"/>
        <v>6602533.150951</v>
      </c>
      <c r="T200">
        <f t="shared" si="9"/>
        <v>3253.616848</v>
      </c>
      <c r="U200">
        <f t="shared" si="10"/>
        <v>135</v>
      </c>
      <c r="V200">
        <f t="shared" si="11"/>
        <v>24231703.809425</v>
      </c>
      <c r="W200">
        <f>IF($A200="","",Allocation!CD200)</f>
        <v>186459.781808</v>
      </c>
      <c r="X200">
        <f>IF($A200="","",Allocation!CE200)</f>
        <v>520261.81168</v>
      </c>
      <c r="Y200">
        <f>IF($A200="","",Allocation!CF200)</f>
        <v>135624.898557</v>
      </c>
      <c r="Z200">
        <f>IF($A200="","",Allocation!CG200)</f>
        <v>65664</v>
      </c>
      <c r="AA200">
        <f>IF($A200="","",Allocation!CH200)</f>
        <v>1157580.073157</v>
      </c>
      <c r="AB200">
        <f>IF($A200="","",Allocation!CI200)</f>
        <v>2975861.58142</v>
      </c>
      <c r="AC200">
        <f>IF($A200="","",IF(Allocation!$N$4="VOL_EFF",$G200,IF(Allocation!$N$4="VOL_CLASS",$H200,$I200)))</f>
        <v>3</v>
      </c>
      <c r="AD200">
        <f>IF($A200="","",IF(Allocation!$N$4="VOL_EFF",$L200,IF(Allocation!$N$4="VOL_CLASS",$M200,$N200)))</f>
        <v>15</v>
      </c>
      <c r="AE200">
        <f>IF($A200="","",IF(Allocation!$N$3="VOL_EFF",$L200,IF(Allocation!$N$3="VOL_CLASS",$M200,$N200)))</f>
        <v>369.352343</v>
      </c>
      <c r="AF200">
        <f>IF($A200="","",IF(Allocation!$N$3="VOL_EFF",$Q200,IF(Allocation!$N$3="VOL_CLASS",$R200,$S200)))</f>
        <v>865.920342</v>
      </c>
      <c r="AG200">
        <f>IF($A200="","",IF(Allocation!$N$1="VOL_EFF",$Q200,IF(Allocation!$N$1="VOL_CLASS",$R200,$S200)))</f>
        <v>35</v>
      </c>
      <c r="AH200">
        <f>IF($A200="","",IF(Allocation!$N$1="VOL_EFF",$T200,IF(Allocation!$N$1="VOL_CLASS",$U200,$V200)))</f>
        <v>135</v>
      </c>
      <c r="AI200">
        <f t="shared" si="12"/>
        <v>32630.4618164</v>
      </c>
      <c r="AJ200">
        <f t="shared" si="13"/>
        <v>91045.817044</v>
      </c>
      <c r="AK200">
        <f t="shared" si="14"/>
        <v>26203.1443537574</v>
      </c>
      <c r="AL200">
        <f t="shared" si="15"/>
        <v>231516.0146314</v>
      </c>
      <c r="AM200">
        <f t="shared" si="16"/>
        <v>65817.2775690888</v>
      </c>
      <c r="AN200">
        <f t="shared" si="17"/>
        <v>136916.983918406</v>
      </c>
      <c r="AO200">
        <f>IF($A200="","",Allocation!CJ200)</f>
        <v>743978.4</v>
      </c>
      <c r="AP200">
        <f>IF($A200="","",IF(Allocation!$N$2="VOL_EFF",$Q200,IF(Allocation!$N$2="VOL_CLASS",$R200,$S200)))</f>
        <v>6602533.150951</v>
      </c>
      <c r="AQ200">
        <f>IF($A200="","",IF(Allocation!$N$2="VOL_EFF",$T200,IF(Allocation!$N$2="VOL_CLASS",$U200,$V200)))</f>
        <v>24231703.809425</v>
      </c>
      <c r="AR200">
        <f t="shared" si="18"/>
        <v>17293.3797069481</v>
      </c>
      <c r="AS200" t="str">
        <f>IF($A200="","",$A200&amp;"|"&amp;Allocation!BG200)</f>
        <v>2027|V01</v>
      </c>
    </row>
    <row r="201" ht="14.497499999999997" customHeight="1">
      <c r="A201" t="str">
        <f>IF(Allocation!BI201="","",Allocation!BI201)</f>
        <v>2027</v>
      </c>
      <c r="B201" t="str">
        <f>IF(Allocation!BJ201="","",Allocation!BJ201)</f>
        <v>ISCOM_TLS</v>
      </c>
      <c r="C201" t="str">
        <f>IF(Allocation!BK201="","",Allocation!BK201)</f>
        <v>ISCOM</v>
      </c>
      <c r="D201" t="str">
        <f>IF(Allocation!BL201="","",Allocation!BL201)</f>
        <v>BAC_COM</v>
      </c>
      <c r="E201" t="str">
        <f>IF(Allocation!BM201="","",Allocation!BM201)</f>
        <v>B1</v>
      </c>
      <c r="F201" t="str">
        <f>IF(Allocation!BN201="","",Allocation!BN201)</f>
        <v>INIT</v>
      </c>
      <c r="G201">
        <f>IF(Allocation!BO201="","",Allocation!BO201)</f>
        <v>51.351967</v>
      </c>
      <c r="H201">
        <f>IF(Allocation!BP201="","",Allocation!BP201)</f>
        <v>2</v>
      </c>
      <c r="I201">
        <f>IF(Allocation!BQ201="","",Allocation!BQ201)</f>
        <v>375588.902862</v>
      </c>
      <c r="J201">
        <f>IF(Allocation!CC201="","",Allocation!CC201)</f>
        <v>51.351967</v>
      </c>
      <c r="K201">
        <f t="shared" si="0"/>
        <v>1200</v>
      </c>
      <c r="L201">
        <f t="shared" si="1"/>
        <v>241.481357</v>
      </c>
      <c r="M201">
        <f t="shared" si="2"/>
        <v>10</v>
      </c>
      <c r="N201">
        <f t="shared" si="3"/>
        <v>1709754.925703</v>
      </c>
      <c r="O201">
        <f t="shared" si="4"/>
        <v>4800</v>
      </c>
      <c r="P201">
        <f t="shared" si="5"/>
        <v>103.781357</v>
      </c>
      <c r="Q201">
        <f t="shared" si="6"/>
        <v>865.920342</v>
      </c>
      <c r="R201">
        <f t="shared" si="7"/>
        <v>35</v>
      </c>
      <c r="S201">
        <f t="shared" si="8"/>
        <v>6602533.150951</v>
      </c>
      <c r="T201">
        <f t="shared" si="9"/>
        <v>3253.616848</v>
      </c>
      <c r="U201">
        <f t="shared" si="10"/>
        <v>135</v>
      </c>
      <c r="V201">
        <f t="shared" si="11"/>
        <v>24231703.809425</v>
      </c>
      <c r="W201">
        <f>IF($A201="","",Allocation!CD201)</f>
        <v>124306.177995</v>
      </c>
      <c r="X201">
        <f>IF($A201="","",Allocation!CE201)</f>
        <v>285351.00542</v>
      </c>
      <c r="Y201">
        <f>IF($A201="","",Allocation!CF201)</f>
        <v>88500.801162</v>
      </c>
      <c r="Z201">
        <f>IF($A201="","",Allocation!CG201)</f>
        <v>23849.64</v>
      </c>
      <c r="AA201">
        <f>IF($A201="","",Allocation!CH201)</f>
        <v>625795.443026</v>
      </c>
      <c r="AB201">
        <f>IF($A201="","",Allocation!CI201)</f>
        <v>2975861.58142</v>
      </c>
      <c r="AC201">
        <f>IF($A201="","",IF(Allocation!$N$4="VOL_EFF",$G201,IF(Allocation!$N$4="VOL_CLASS",$H201,$I201)))</f>
        <v>2</v>
      </c>
      <c r="AD201">
        <f>IF($A201="","",IF(Allocation!$N$4="VOL_EFF",$L201,IF(Allocation!$N$4="VOL_CLASS",$M201,$N201)))</f>
        <v>10</v>
      </c>
      <c r="AE201">
        <f>IF($A201="","",IF(Allocation!$N$3="VOL_EFF",$L201,IF(Allocation!$N$3="VOL_CLASS",$M201,$N201)))</f>
        <v>241.481357</v>
      </c>
      <c r="AF201">
        <f>IF($A201="","",IF(Allocation!$N$3="VOL_EFF",$Q201,IF(Allocation!$N$3="VOL_CLASS",$R201,$S201)))</f>
        <v>865.920342</v>
      </c>
      <c r="AG201">
        <f>IF($A201="","",IF(Allocation!$N$1="VOL_EFF",$Q201,IF(Allocation!$N$1="VOL_CLASS",$R201,$S201)))</f>
        <v>35</v>
      </c>
      <c r="AH201">
        <f>IF($A201="","",IF(Allocation!$N$1="VOL_EFF",$T201,IF(Allocation!$N$1="VOL_CLASS",$U201,$V201)))</f>
        <v>135</v>
      </c>
      <c r="AI201">
        <f t="shared" si="12"/>
        <v>31076.54449875</v>
      </c>
      <c r="AJ201">
        <f t="shared" si="13"/>
        <v>71337.751355</v>
      </c>
      <c r="AK201">
        <f t="shared" si="14"/>
        <v>30621.0664376941</v>
      </c>
      <c r="AL201">
        <f t="shared" si="15"/>
        <v>125159.0886052</v>
      </c>
      <c r="AM201">
        <f t="shared" si="16"/>
        <v>43031.1213740676</v>
      </c>
      <c r="AN201">
        <f t="shared" si="17"/>
        <v>63056.9753511103</v>
      </c>
      <c r="AO201">
        <f>IF($A201="","",Allocation!CJ201)</f>
        <v>743978.4</v>
      </c>
      <c r="AP201">
        <f>IF($A201="","",IF(Allocation!$N$2="VOL_EFF",$Q201,IF(Allocation!$N$2="VOL_CLASS",$R201,$S201)))</f>
        <v>6602533.150951</v>
      </c>
      <c r="AQ201">
        <f>IF($A201="","",IF(Allocation!$N$2="VOL_EFF",$T201,IF(Allocation!$N$2="VOL_CLASS",$U201,$V201)))</f>
        <v>24231703.809425</v>
      </c>
      <c r="AR201">
        <f t="shared" si="18"/>
        <v>11306.355240178</v>
      </c>
      <c r="AS201" t="str">
        <f>IF($A201="","",$A201&amp;"|"&amp;Allocation!BG201)</f>
        <v>2027|V01</v>
      </c>
    </row>
    <row r="202" ht="14.497499999999997" customHeight="1">
      <c r="A202" t="str">
        <f>IF(Allocation!BI202="","",Allocation!BI202)</f>
        <v>2027</v>
      </c>
      <c r="B202" t="str">
        <f>IF(Allocation!BJ202="","",Allocation!BJ202)</f>
        <v>ISCOM_TLS</v>
      </c>
      <c r="C202" t="str">
        <f>IF(Allocation!BK202="","",Allocation!BK202)</f>
        <v>ISCOM</v>
      </c>
      <c r="D202" t="str">
        <f>IF(Allocation!BL202="","",Allocation!BL202)</f>
        <v>BAC_COM</v>
      </c>
      <c r="E202" t="str">
        <f>IF(Allocation!BM202="","",Allocation!BM202)</f>
        <v>B2</v>
      </c>
      <c r="F202" t="str">
        <f>IF(Allocation!BN202="","",Allocation!BN202)</f>
        <v>ALT</v>
      </c>
      <c r="G202">
        <f>IF(Allocation!BO202="","",Allocation!BO202)</f>
        <v>46.235</v>
      </c>
      <c r="H202">
        <f>IF(Allocation!BP202="","",Allocation!BP202)</f>
        <v>2</v>
      </c>
      <c r="I202">
        <f>IF(Allocation!BQ202="","",Allocation!BQ202)</f>
        <v>311735.381832</v>
      </c>
      <c r="J202">
        <f>IF(Allocation!CC202="","",Allocation!CC202)</f>
        <v>0</v>
      </c>
      <c r="K202">
        <f t="shared" si="0"/>
        <v>960</v>
      </c>
      <c r="L202">
        <f t="shared" si="1"/>
        <v>241.481357</v>
      </c>
      <c r="M202">
        <f t="shared" si="2"/>
        <v>10</v>
      </c>
      <c r="N202">
        <f t="shared" si="3"/>
        <v>1709754.925703</v>
      </c>
      <c r="O202">
        <f t="shared" si="4"/>
        <v>4800</v>
      </c>
      <c r="P202">
        <f t="shared" si="5"/>
        <v>103.781357</v>
      </c>
      <c r="Q202">
        <f t="shared" si="6"/>
        <v>865.920342</v>
      </c>
      <c r="R202">
        <f t="shared" si="7"/>
        <v>35</v>
      </c>
      <c r="S202">
        <f t="shared" si="8"/>
        <v>6602533.150951</v>
      </c>
      <c r="T202">
        <f t="shared" si="9"/>
        <v>3253.616848</v>
      </c>
      <c r="U202">
        <f t="shared" si="10"/>
        <v>135</v>
      </c>
      <c r="V202">
        <f t="shared" si="11"/>
        <v>24231703.809425</v>
      </c>
      <c r="W202">
        <f>IF($A202="","",Allocation!CD202)</f>
        <v>124306.177995</v>
      </c>
      <c r="X202">
        <f>IF($A202="","",Allocation!CE202)</f>
        <v>285351.00542</v>
      </c>
      <c r="Y202">
        <f>IF($A202="","",Allocation!CF202)</f>
        <v>88500.801162</v>
      </c>
      <c r="Z202">
        <f>IF($A202="","",Allocation!CG202)</f>
        <v>23849.64</v>
      </c>
      <c r="AA202">
        <f>IF($A202="","",Allocation!CH202)</f>
        <v>625795.443026</v>
      </c>
      <c r="AB202">
        <f>IF($A202="","",Allocation!CI202)</f>
        <v>2975861.58142</v>
      </c>
      <c r="AC202">
        <f>IF($A202="","",IF(Allocation!$N$4="VOL_EFF",$G202,IF(Allocation!$N$4="VOL_CLASS",$H202,$I202)))</f>
        <v>2</v>
      </c>
      <c r="AD202">
        <f>IF($A202="","",IF(Allocation!$N$4="VOL_EFF",$L202,IF(Allocation!$N$4="VOL_CLASS",$M202,$N202)))</f>
        <v>10</v>
      </c>
      <c r="AE202">
        <f>IF($A202="","",IF(Allocation!$N$3="VOL_EFF",$L202,IF(Allocation!$N$3="VOL_CLASS",$M202,$N202)))</f>
        <v>241.481357</v>
      </c>
      <c r="AF202">
        <f>IF($A202="","",IF(Allocation!$N$3="VOL_EFF",$Q202,IF(Allocation!$N$3="VOL_CLASS",$R202,$S202)))</f>
        <v>865.920342</v>
      </c>
      <c r="AG202">
        <f>IF($A202="","",IF(Allocation!$N$1="VOL_EFF",$Q202,IF(Allocation!$N$1="VOL_CLASS",$R202,$S202)))</f>
        <v>35</v>
      </c>
      <c r="AH202">
        <f>IF($A202="","",IF(Allocation!$N$1="VOL_EFF",$T202,IF(Allocation!$N$1="VOL_CLASS",$U202,$V202)))</f>
        <v>135</v>
      </c>
      <c r="AI202">
        <f t="shared" si="12"/>
        <v>24861.235599</v>
      </c>
      <c r="AJ202">
        <f t="shared" si="13"/>
        <v>57070.201084</v>
      </c>
      <c r="AK202">
        <f t="shared" si="14"/>
        <v>16944.7223278817</v>
      </c>
      <c r="AL202">
        <f t="shared" si="15"/>
        <v>125159.0886052</v>
      </c>
      <c r="AM202">
        <f t="shared" si="16"/>
        <v>43031.1213740676</v>
      </c>
      <c r="AN202">
        <f t="shared" si="17"/>
        <v>33362.6576016727</v>
      </c>
      <c r="AO202">
        <f>IF($A202="","",Allocation!CJ202)</f>
        <v>743978.4</v>
      </c>
      <c r="AP202">
        <f>IF($A202="","",IF(Allocation!$N$2="VOL_EFF",$Q202,IF(Allocation!$N$2="VOL_CLASS",$R202,$S202)))</f>
        <v>6602533.150951</v>
      </c>
      <c r="AQ202">
        <f>IF($A202="","",IF(Allocation!$N$2="VOL_EFF",$T202,IF(Allocation!$N$2="VOL_CLASS",$U202,$V202)))</f>
        <v>24231703.809425</v>
      </c>
      <c r="AR202">
        <f t="shared" si="18"/>
        <v>11306.355240178</v>
      </c>
      <c r="AS202" t="str">
        <f>IF($A202="","",$A202&amp;"|"&amp;Allocation!BG202)</f>
        <v>2027|V01</v>
      </c>
    </row>
    <row r="203" ht="14.497499999999997" customHeight="1">
      <c r="A203" t="str">
        <f>IF(Allocation!BI203="","",Allocation!BI203)</f>
        <v>2027</v>
      </c>
      <c r="B203" t="str">
        <f>IF(Allocation!BJ203="","",Allocation!BJ203)</f>
        <v>ISCOM_TLS</v>
      </c>
      <c r="C203" t="str">
        <f>IF(Allocation!BK203="","",Allocation!BK203)</f>
        <v>ISCOM</v>
      </c>
      <c r="D203" t="str">
        <f>IF(Allocation!BL203="","",Allocation!BL203)</f>
        <v>BAC_COM</v>
      </c>
      <c r="E203" t="str">
        <f>IF(Allocation!BM203="","",Allocation!BM203)</f>
        <v>B3</v>
      </c>
      <c r="F203" t="str">
        <f>IF(Allocation!BN203="","",Allocation!BN203)</f>
        <v>ALT</v>
      </c>
      <c r="G203">
        <f>IF(Allocation!BO203="","",Allocation!BO203)</f>
        <v>45.23</v>
      </c>
      <c r="H203">
        <f>IF(Allocation!BP203="","",Allocation!BP203)</f>
        <v>2</v>
      </c>
      <c r="I203">
        <f>IF(Allocation!BQ203="","",Allocation!BQ203)</f>
        <v>304959.258576</v>
      </c>
      <c r="J203">
        <f>IF(Allocation!CC203="","",Allocation!CC203)</f>
        <v>0</v>
      </c>
      <c r="K203">
        <f t="shared" si="0"/>
        <v>960</v>
      </c>
      <c r="L203">
        <f t="shared" si="1"/>
        <v>241.481357</v>
      </c>
      <c r="M203">
        <f t="shared" si="2"/>
        <v>10</v>
      </c>
      <c r="N203">
        <f t="shared" si="3"/>
        <v>1709754.925703</v>
      </c>
      <c r="O203">
        <f t="shared" si="4"/>
        <v>4800</v>
      </c>
      <c r="P203">
        <f t="shared" si="5"/>
        <v>103.781357</v>
      </c>
      <c r="Q203">
        <f t="shared" si="6"/>
        <v>865.920342</v>
      </c>
      <c r="R203">
        <f t="shared" si="7"/>
        <v>35</v>
      </c>
      <c r="S203">
        <f t="shared" si="8"/>
        <v>6602533.150951</v>
      </c>
      <c r="T203">
        <f t="shared" si="9"/>
        <v>3253.616848</v>
      </c>
      <c r="U203">
        <f t="shared" si="10"/>
        <v>135</v>
      </c>
      <c r="V203">
        <f t="shared" si="11"/>
        <v>24231703.809425</v>
      </c>
      <c r="W203">
        <f>IF($A203="","",Allocation!CD203)</f>
        <v>124306.177995</v>
      </c>
      <c r="X203">
        <f>IF($A203="","",Allocation!CE203)</f>
        <v>285351.00542</v>
      </c>
      <c r="Y203">
        <f>IF($A203="","",Allocation!CF203)</f>
        <v>88500.801162</v>
      </c>
      <c r="Z203">
        <f>IF($A203="","",Allocation!CG203)</f>
        <v>23849.64</v>
      </c>
      <c r="AA203">
        <f>IF($A203="","",Allocation!CH203)</f>
        <v>625795.443026</v>
      </c>
      <c r="AB203">
        <f>IF($A203="","",Allocation!CI203)</f>
        <v>2975861.58142</v>
      </c>
      <c r="AC203">
        <f>IF($A203="","",IF(Allocation!$N$4="VOL_EFF",$G203,IF(Allocation!$N$4="VOL_CLASS",$H203,$I203)))</f>
        <v>2</v>
      </c>
      <c r="AD203">
        <f>IF($A203="","",IF(Allocation!$N$4="VOL_EFF",$L203,IF(Allocation!$N$4="VOL_CLASS",$M203,$N203)))</f>
        <v>10</v>
      </c>
      <c r="AE203">
        <f>IF($A203="","",IF(Allocation!$N$3="VOL_EFF",$L203,IF(Allocation!$N$3="VOL_CLASS",$M203,$N203)))</f>
        <v>241.481357</v>
      </c>
      <c r="AF203">
        <f>IF($A203="","",IF(Allocation!$N$3="VOL_EFF",$Q203,IF(Allocation!$N$3="VOL_CLASS",$R203,$S203)))</f>
        <v>865.920342</v>
      </c>
      <c r="AG203">
        <f>IF($A203="","",IF(Allocation!$N$1="VOL_EFF",$Q203,IF(Allocation!$N$1="VOL_CLASS",$R203,$S203)))</f>
        <v>35</v>
      </c>
      <c r="AH203">
        <f>IF($A203="","",IF(Allocation!$N$1="VOL_EFF",$T203,IF(Allocation!$N$1="VOL_CLASS",$U203,$V203)))</f>
        <v>135</v>
      </c>
      <c r="AI203">
        <f t="shared" si="12"/>
        <v>24861.235599</v>
      </c>
      <c r="AJ203">
        <f t="shared" si="13"/>
        <v>57070.201084</v>
      </c>
      <c r="AK203">
        <f t="shared" si="14"/>
        <v>16576.3986350187</v>
      </c>
      <c r="AL203">
        <f t="shared" si="15"/>
        <v>125159.0886052</v>
      </c>
      <c r="AM203">
        <f t="shared" si="16"/>
        <v>43031.1213740676</v>
      </c>
      <c r="AN203">
        <f t="shared" si="17"/>
        <v>26954.8580385357</v>
      </c>
      <c r="AO203">
        <f>IF($A203="","",Allocation!CJ203)</f>
        <v>743978.4</v>
      </c>
      <c r="AP203">
        <f>IF($A203="","",IF(Allocation!$N$2="VOL_EFF",$Q203,IF(Allocation!$N$2="VOL_CLASS",$R203,$S203)))</f>
        <v>6602533.150951</v>
      </c>
      <c r="AQ203">
        <f>IF($A203="","",IF(Allocation!$N$2="VOL_EFF",$T203,IF(Allocation!$N$2="VOL_CLASS",$U203,$V203)))</f>
        <v>24231703.809425</v>
      </c>
      <c r="AR203">
        <f t="shared" si="18"/>
        <v>11306.355240178</v>
      </c>
      <c r="AS203" t="str">
        <f>IF($A203="","",$A203&amp;"|"&amp;Allocation!BG203)</f>
        <v>2027|V01</v>
      </c>
    </row>
    <row r="204" ht="14.497499999999997" customHeight="1">
      <c r="A204" t="str">
        <f>IF(Allocation!BI204="","",Allocation!BI204)</f>
        <v>2027</v>
      </c>
      <c r="B204" t="str">
        <f>IF(Allocation!BJ204="","",Allocation!BJ204)</f>
        <v>ISCOM_TLS</v>
      </c>
      <c r="C204" t="str">
        <f>IF(Allocation!BK204="","",Allocation!BK204)</f>
        <v>ISCOM</v>
      </c>
      <c r="D204" t="str">
        <f>IF(Allocation!BL204="","",Allocation!BL204)</f>
        <v>MAS_COM</v>
      </c>
      <c r="E204" t="str">
        <f>IF(Allocation!BM204="","",Allocation!BM204)</f>
        <v>M1</v>
      </c>
      <c r="F204" t="str">
        <f>IF(Allocation!BN204="","",Allocation!BN204)</f>
        <v>ALT</v>
      </c>
      <c r="G204">
        <f>IF(Allocation!BO204="","",Allocation!BO204)</f>
        <v>52.42939</v>
      </c>
      <c r="H204">
        <f>IF(Allocation!BP204="","",Allocation!BP204)</f>
        <v>2</v>
      </c>
      <c r="I204">
        <f>IF(Allocation!BQ204="","",Allocation!BQ204)</f>
        <v>383469.187613</v>
      </c>
      <c r="J204">
        <f>IF(Allocation!CC204="","",Allocation!CC204)</f>
        <v>52.42939</v>
      </c>
      <c r="K204">
        <f t="shared" si="0"/>
        <v>840</v>
      </c>
      <c r="L204">
        <f t="shared" si="1"/>
        <v>241.481357</v>
      </c>
      <c r="M204">
        <f t="shared" si="2"/>
        <v>10</v>
      </c>
      <c r="N204">
        <f t="shared" si="3"/>
        <v>1709754.925703</v>
      </c>
      <c r="O204">
        <f t="shared" si="4"/>
        <v>4800</v>
      </c>
      <c r="P204">
        <f t="shared" si="5"/>
        <v>103.781357</v>
      </c>
      <c r="Q204">
        <f t="shared" si="6"/>
        <v>865.920342</v>
      </c>
      <c r="R204">
        <f t="shared" si="7"/>
        <v>35</v>
      </c>
      <c r="S204">
        <f t="shared" si="8"/>
        <v>6602533.150951</v>
      </c>
      <c r="T204">
        <f t="shared" si="9"/>
        <v>3253.616848</v>
      </c>
      <c r="U204">
        <f t="shared" si="10"/>
        <v>135</v>
      </c>
      <c r="V204">
        <f t="shared" si="11"/>
        <v>24231703.809425</v>
      </c>
      <c r="W204">
        <f>IF($A204="","",Allocation!CD204)</f>
        <v>124306.177995</v>
      </c>
      <c r="X204">
        <f>IF($A204="","",Allocation!CE204)</f>
        <v>285351.00542</v>
      </c>
      <c r="Y204">
        <f>IF($A204="","",Allocation!CF204)</f>
        <v>88500.801162</v>
      </c>
      <c r="Z204">
        <f>IF($A204="","",Allocation!CG204)</f>
        <v>23849.64</v>
      </c>
      <c r="AA204">
        <f>IF($A204="","",Allocation!CH204)</f>
        <v>625795.443026</v>
      </c>
      <c r="AB204">
        <f>IF($A204="","",Allocation!CI204)</f>
        <v>2975861.58142</v>
      </c>
      <c r="AC204">
        <f>IF($A204="","",IF(Allocation!$N$4="VOL_EFF",$G204,IF(Allocation!$N$4="VOL_CLASS",$H204,$I204)))</f>
        <v>2</v>
      </c>
      <c r="AD204">
        <f>IF($A204="","",IF(Allocation!$N$4="VOL_EFF",$L204,IF(Allocation!$N$4="VOL_CLASS",$M204,$N204)))</f>
        <v>10</v>
      </c>
      <c r="AE204">
        <f>IF($A204="","",IF(Allocation!$N$3="VOL_EFF",$L204,IF(Allocation!$N$3="VOL_CLASS",$M204,$N204)))</f>
        <v>241.481357</v>
      </c>
      <c r="AF204">
        <f>IF($A204="","",IF(Allocation!$N$3="VOL_EFF",$Q204,IF(Allocation!$N$3="VOL_CLASS",$R204,$S204)))</f>
        <v>865.920342</v>
      </c>
      <c r="AG204">
        <f>IF($A204="","",IF(Allocation!$N$1="VOL_EFF",$Q204,IF(Allocation!$N$1="VOL_CLASS",$R204,$S204)))</f>
        <v>35</v>
      </c>
      <c r="AH204">
        <f>IF($A204="","",IF(Allocation!$N$1="VOL_EFF",$T204,IF(Allocation!$N$1="VOL_CLASS",$U204,$V204)))</f>
        <v>135</v>
      </c>
      <c r="AI204">
        <f t="shared" si="12"/>
        <v>21753.581149125</v>
      </c>
      <c r="AJ204">
        <f t="shared" si="13"/>
        <v>49936.4259485</v>
      </c>
      <c r="AK204">
        <f t="shared" si="14"/>
        <v>31263.5314335238</v>
      </c>
      <c r="AL204">
        <f t="shared" si="15"/>
        <v>125159.0886052</v>
      </c>
      <c r="AM204">
        <f t="shared" si="16"/>
        <v>43031.1213740676</v>
      </c>
      <c r="AN204">
        <f t="shared" si="17"/>
        <v>101019.083862406</v>
      </c>
      <c r="AO204">
        <f>IF($A204="","",Allocation!CJ204)</f>
        <v>743978.4</v>
      </c>
      <c r="AP204">
        <f>IF($A204="","",IF(Allocation!$N$2="VOL_EFF",$Q204,IF(Allocation!$N$2="VOL_CLASS",$R204,$S204)))</f>
        <v>6602533.150951</v>
      </c>
      <c r="AQ204">
        <f>IF($A204="","",IF(Allocation!$N$2="VOL_EFF",$T204,IF(Allocation!$N$2="VOL_CLASS",$U204,$V204)))</f>
        <v>24231703.809425</v>
      </c>
      <c r="AR204">
        <f t="shared" si="18"/>
        <v>11306.355240178</v>
      </c>
      <c r="AS204" t="str">
        <f>IF($A204="","",$A204&amp;"|"&amp;Allocation!BG204)</f>
        <v>2027|V01</v>
      </c>
    </row>
    <row r="205" ht="14.497499999999997" customHeight="1">
      <c r="A205" t="str">
        <f>IF(Allocation!BI205="","",Allocation!BI205)</f>
        <v>2027</v>
      </c>
      <c r="B205" t="str">
        <f>IF(Allocation!BJ205="","",Allocation!BJ205)</f>
        <v>ISCOM_TLS</v>
      </c>
      <c r="C205" t="str">
        <f>IF(Allocation!BK205="","",Allocation!BK205)</f>
        <v>ISCOM</v>
      </c>
      <c r="D205" t="str">
        <f>IF(Allocation!BL205="","",Allocation!BL205)</f>
        <v>MAS_COM</v>
      </c>
      <c r="E205" t="str">
        <f>IF(Allocation!BM205="","",Allocation!BM205)</f>
        <v>M2</v>
      </c>
      <c r="F205" t="str">
        <f>IF(Allocation!BN205="","",Allocation!BN205)</f>
        <v>ALT</v>
      </c>
      <c r="G205">
        <f>IF(Allocation!BO205="","",Allocation!BO205)</f>
        <v>46.235</v>
      </c>
      <c r="H205">
        <f>IF(Allocation!BP205="","",Allocation!BP205)</f>
        <v>2</v>
      </c>
      <c r="I205">
        <f>IF(Allocation!BQ205="","",Allocation!BQ205)</f>
        <v>334002.19482</v>
      </c>
      <c r="J205">
        <f>IF(Allocation!CC205="","",Allocation!CC205)</f>
        <v>0</v>
      </c>
      <c r="K205">
        <f t="shared" si="0"/>
        <v>840</v>
      </c>
      <c r="L205">
        <f t="shared" si="1"/>
        <v>241.481357</v>
      </c>
      <c r="M205">
        <f t="shared" si="2"/>
        <v>10</v>
      </c>
      <c r="N205">
        <f t="shared" si="3"/>
        <v>1709754.925703</v>
      </c>
      <c r="O205">
        <f t="shared" si="4"/>
        <v>4800</v>
      </c>
      <c r="P205">
        <f t="shared" si="5"/>
        <v>103.781357</v>
      </c>
      <c r="Q205">
        <f t="shared" si="6"/>
        <v>865.920342</v>
      </c>
      <c r="R205">
        <f t="shared" si="7"/>
        <v>35</v>
      </c>
      <c r="S205">
        <f t="shared" si="8"/>
        <v>6602533.150951</v>
      </c>
      <c r="T205">
        <f t="shared" si="9"/>
        <v>3253.616848</v>
      </c>
      <c r="U205">
        <f t="shared" si="10"/>
        <v>135</v>
      </c>
      <c r="V205">
        <f t="shared" si="11"/>
        <v>24231703.809425</v>
      </c>
      <c r="W205">
        <f>IF($A205="","",Allocation!CD205)</f>
        <v>124306.177995</v>
      </c>
      <c r="X205">
        <f>IF($A205="","",Allocation!CE205)</f>
        <v>285351.00542</v>
      </c>
      <c r="Y205">
        <f>IF($A205="","",Allocation!CF205)</f>
        <v>88500.801162</v>
      </c>
      <c r="Z205">
        <f>IF($A205="","",Allocation!CG205)</f>
        <v>23849.64</v>
      </c>
      <c r="AA205">
        <f>IF($A205="","",Allocation!CH205)</f>
        <v>625795.443026</v>
      </c>
      <c r="AB205">
        <f>IF($A205="","",Allocation!CI205)</f>
        <v>2975861.58142</v>
      </c>
      <c r="AC205">
        <f>IF($A205="","",IF(Allocation!$N$4="VOL_EFF",$G205,IF(Allocation!$N$4="VOL_CLASS",$H205,$I205)))</f>
        <v>2</v>
      </c>
      <c r="AD205">
        <f>IF($A205="","",IF(Allocation!$N$4="VOL_EFF",$L205,IF(Allocation!$N$4="VOL_CLASS",$M205,$N205)))</f>
        <v>10</v>
      </c>
      <c r="AE205">
        <f>IF($A205="","",IF(Allocation!$N$3="VOL_EFF",$L205,IF(Allocation!$N$3="VOL_CLASS",$M205,$N205)))</f>
        <v>241.481357</v>
      </c>
      <c r="AF205">
        <f>IF($A205="","",IF(Allocation!$N$3="VOL_EFF",$Q205,IF(Allocation!$N$3="VOL_CLASS",$R205,$S205)))</f>
        <v>865.920342</v>
      </c>
      <c r="AG205">
        <f>IF($A205="","",IF(Allocation!$N$1="VOL_EFF",$Q205,IF(Allocation!$N$1="VOL_CLASS",$R205,$S205)))</f>
        <v>35</v>
      </c>
      <c r="AH205">
        <f>IF($A205="","",IF(Allocation!$N$1="VOL_EFF",$T205,IF(Allocation!$N$1="VOL_CLASS",$U205,$V205)))</f>
        <v>135</v>
      </c>
      <c r="AI205">
        <f t="shared" si="12"/>
        <v>21753.581149125</v>
      </c>
      <c r="AJ205">
        <f t="shared" si="13"/>
        <v>49936.4259485</v>
      </c>
      <c r="AK205">
        <f t="shared" si="14"/>
        <v>16944.7223278817</v>
      </c>
      <c r="AL205">
        <f t="shared" si="15"/>
        <v>125159.0886052</v>
      </c>
      <c r="AM205">
        <f t="shared" si="16"/>
        <v>43031.1213740676</v>
      </c>
      <c r="AN205">
        <f t="shared" si="17"/>
        <v>65870.9001750477</v>
      </c>
      <c r="AO205">
        <f>IF($A205="","",Allocation!CJ205)</f>
        <v>743978.4</v>
      </c>
      <c r="AP205">
        <f>IF($A205="","",IF(Allocation!$N$2="VOL_EFF",$Q205,IF(Allocation!$N$2="VOL_CLASS",$R205,$S205)))</f>
        <v>6602533.150951</v>
      </c>
      <c r="AQ205">
        <f>IF($A205="","",IF(Allocation!$N$2="VOL_EFF",$T205,IF(Allocation!$N$2="VOL_CLASS",$U205,$V205)))</f>
        <v>24231703.809425</v>
      </c>
      <c r="AR205">
        <f t="shared" si="18"/>
        <v>11306.355240178</v>
      </c>
      <c r="AS205" t="str">
        <f>IF($A205="","",$A205&amp;"|"&amp;Allocation!BG205)</f>
        <v>2027|V01</v>
      </c>
    </row>
    <row r="206" ht="14.497499999999997" customHeight="1">
      <c r="A206" t="str">
        <f>IF(Allocation!BI206="","",Allocation!BI206)</f>
        <v>2027</v>
      </c>
      <c r="B206" t="str">
        <f>IF(Allocation!BJ206="","",Allocation!BJ206)</f>
        <v>MBWAY_BOR</v>
      </c>
      <c r="C206" t="str">
        <f>IF(Allocation!BK206="","",Allocation!BK206)</f>
        <v>MBWAY</v>
      </c>
      <c r="D206" t="str">
        <f>IF(Allocation!BL206="","",Allocation!BL206)</f>
        <v>BAC_MGT</v>
      </c>
      <c r="E206" t="str">
        <f>IF(Allocation!BM206="","",Allocation!BM206)</f>
        <v>B1</v>
      </c>
      <c r="F206" t="str">
        <f>IF(Allocation!BN206="","",Allocation!BN206)</f>
        <v>INIT</v>
      </c>
      <c r="G206">
        <f>IF(Allocation!BO206="","",Allocation!BO206)</f>
        <v>55.74675</v>
      </c>
      <c r="H206">
        <f>IF(Allocation!BP206="","",Allocation!BP206)</f>
        <v>2</v>
      </c>
      <c r="I206">
        <f>IF(Allocation!BQ206="","",Allocation!BQ206)</f>
        <v>411986.15422</v>
      </c>
      <c r="J206">
        <f>IF(Allocation!CC206="","",Allocation!CC206)</f>
        <v>55.74675</v>
      </c>
      <c r="K206">
        <f t="shared" si="0"/>
        <v>1200</v>
      </c>
      <c r="L206">
        <f t="shared" si="1"/>
        <v>260.41181</v>
      </c>
      <c r="M206">
        <f t="shared" si="2"/>
        <v>10</v>
      </c>
      <c r="N206">
        <f t="shared" si="3"/>
        <v>1863775.815944</v>
      </c>
      <c r="O206">
        <f t="shared" si="4"/>
        <v>4800</v>
      </c>
      <c r="P206">
        <f t="shared" si="5"/>
        <v>112.65681</v>
      </c>
      <c r="Q206">
        <f t="shared" si="6"/>
        <v>1305.035426</v>
      </c>
      <c r="R206">
        <f t="shared" si="7"/>
        <v>50</v>
      </c>
      <c r="S206">
        <f t="shared" si="8"/>
        <v>10043742.187896</v>
      </c>
      <c r="T206">
        <f t="shared" si="9"/>
        <v>3253.616848</v>
      </c>
      <c r="U206">
        <f t="shared" si="10"/>
        <v>135</v>
      </c>
      <c r="V206">
        <f t="shared" si="11"/>
        <v>24231703.809425</v>
      </c>
      <c r="W206">
        <f>IF($A206="","",Allocation!CD206)</f>
        <v>124306.177995</v>
      </c>
      <c r="X206">
        <f>IF($A206="","",Allocation!CE206)</f>
        <v>298839.33794</v>
      </c>
      <c r="Y206">
        <f>IF($A206="","",Allocation!CF206)</f>
        <v>95397.261665</v>
      </c>
      <c r="Z206">
        <f>IF($A206="","",Allocation!CG206)</f>
        <v>26916.84</v>
      </c>
      <c r="AA206">
        <f>IF($A206="","",Allocation!CH206)</f>
        <v>689721.513923</v>
      </c>
      <c r="AB206">
        <f>IF($A206="","",Allocation!CI206)</f>
        <v>2975861.58142</v>
      </c>
      <c r="AC206">
        <f>IF($A206="","",IF(Allocation!$N$4="VOL_EFF",$G206,IF(Allocation!$N$4="VOL_CLASS",$H206,$I206)))</f>
        <v>2</v>
      </c>
      <c r="AD206">
        <f>IF($A206="","",IF(Allocation!$N$4="VOL_EFF",$L206,IF(Allocation!$N$4="VOL_CLASS",$M206,$N206)))</f>
        <v>10</v>
      </c>
      <c r="AE206">
        <f>IF($A206="","",IF(Allocation!$N$3="VOL_EFF",$L206,IF(Allocation!$N$3="VOL_CLASS",$M206,$N206)))</f>
        <v>260.41181</v>
      </c>
      <c r="AF206">
        <f>IF($A206="","",IF(Allocation!$N$3="VOL_EFF",$Q206,IF(Allocation!$N$3="VOL_CLASS",$R206,$S206)))</f>
        <v>1305.035426</v>
      </c>
      <c r="AG206">
        <f>IF($A206="","",IF(Allocation!$N$1="VOL_EFF",$Q206,IF(Allocation!$N$1="VOL_CLASS",$R206,$S206)))</f>
        <v>50</v>
      </c>
      <c r="AH206">
        <f>IF($A206="","",IF(Allocation!$N$1="VOL_EFF",$T206,IF(Allocation!$N$1="VOL_CLASS",$U206,$V206)))</f>
        <v>135</v>
      </c>
      <c r="AI206">
        <f t="shared" si="12"/>
        <v>31076.54449875</v>
      </c>
      <c r="AJ206">
        <f t="shared" si="13"/>
        <v>74709.834485</v>
      </c>
      <c r="AK206">
        <f t="shared" si="14"/>
        <v>33741.2825484388</v>
      </c>
      <c r="AL206">
        <f t="shared" si="15"/>
        <v>137944.3027846</v>
      </c>
      <c r="AM206">
        <f t="shared" si="16"/>
        <v>43986.2900093578</v>
      </c>
      <c r="AN206">
        <f t="shared" si="17"/>
        <v>78221.2370696245</v>
      </c>
      <c r="AO206">
        <f>IF($A206="","",Allocation!CJ206)</f>
        <v>743978.4</v>
      </c>
      <c r="AP206">
        <f>IF($A206="","",IF(Allocation!$N$2="VOL_EFF",$Q206,IF(Allocation!$N$2="VOL_CLASS",$R206,$S206)))</f>
        <v>10043742.187896</v>
      </c>
      <c r="AQ206">
        <f>IF($A206="","",IF(Allocation!$N$2="VOL_EFF",$T206,IF(Allocation!$N$2="VOL_CLASS",$U206,$V206)))</f>
        <v>24231703.809425</v>
      </c>
      <c r="AR206">
        <f t="shared" si="18"/>
        <v>12306.6628242289</v>
      </c>
      <c r="AS206" t="str">
        <f>IF($A206="","",$A206&amp;"|"&amp;Allocation!BG206)</f>
        <v>2027|V01</v>
      </c>
    </row>
    <row r="207" ht="14.497499999999997" customHeight="1">
      <c r="A207" t="str">
        <f>IF(Allocation!BI207="","",Allocation!BI207)</f>
        <v>2027</v>
      </c>
      <c r="B207" t="str">
        <f>IF(Allocation!BJ207="","",Allocation!BJ207)</f>
        <v>MBWAY_BOR</v>
      </c>
      <c r="C207" t="str">
        <f>IF(Allocation!BK207="","",Allocation!BK207)</f>
        <v>MBWAY</v>
      </c>
      <c r="D207" t="str">
        <f>IF(Allocation!BL207="","",Allocation!BL207)</f>
        <v>BAC_MGT</v>
      </c>
      <c r="E207" t="str">
        <f>IF(Allocation!BM207="","",Allocation!BM207)</f>
        <v>B2</v>
      </c>
      <c r="F207" t="str">
        <f>IF(Allocation!BN207="","",Allocation!BN207)</f>
        <v>ALT</v>
      </c>
      <c r="G207">
        <f>IF(Allocation!BO207="","",Allocation!BO207)</f>
        <v>49.255</v>
      </c>
      <c r="H207">
        <f>IF(Allocation!BP207="","",Allocation!BP207)</f>
        <v>2</v>
      </c>
      <c r="I207">
        <f>IF(Allocation!BQ207="","",Allocation!BQ207)</f>
        <v>335605.306246</v>
      </c>
      <c r="J207">
        <f>IF(Allocation!CC207="","",Allocation!CC207)</f>
        <v>0</v>
      </c>
      <c r="K207">
        <f t="shared" si="0"/>
        <v>960</v>
      </c>
      <c r="L207">
        <f t="shared" si="1"/>
        <v>260.41181</v>
      </c>
      <c r="M207">
        <f t="shared" si="2"/>
        <v>10</v>
      </c>
      <c r="N207">
        <f t="shared" si="3"/>
        <v>1863775.815944</v>
      </c>
      <c r="O207">
        <f t="shared" si="4"/>
        <v>4800</v>
      </c>
      <c r="P207">
        <f t="shared" si="5"/>
        <v>112.65681</v>
      </c>
      <c r="Q207">
        <f t="shared" si="6"/>
        <v>1305.035426</v>
      </c>
      <c r="R207">
        <f t="shared" si="7"/>
        <v>50</v>
      </c>
      <c r="S207">
        <f t="shared" si="8"/>
        <v>10043742.187896</v>
      </c>
      <c r="T207">
        <f t="shared" si="9"/>
        <v>3253.616848</v>
      </c>
      <c r="U207">
        <f t="shared" si="10"/>
        <v>135</v>
      </c>
      <c r="V207">
        <f t="shared" si="11"/>
        <v>24231703.809425</v>
      </c>
      <c r="W207">
        <f>IF($A207="","",Allocation!CD207)</f>
        <v>124306.177995</v>
      </c>
      <c r="X207">
        <f>IF($A207="","",Allocation!CE207)</f>
        <v>298839.33794</v>
      </c>
      <c r="Y207">
        <f>IF($A207="","",Allocation!CF207)</f>
        <v>95397.261665</v>
      </c>
      <c r="Z207">
        <f>IF($A207="","",Allocation!CG207)</f>
        <v>26916.84</v>
      </c>
      <c r="AA207">
        <f>IF($A207="","",Allocation!CH207)</f>
        <v>689721.513923</v>
      </c>
      <c r="AB207">
        <f>IF($A207="","",Allocation!CI207)</f>
        <v>2975861.58142</v>
      </c>
      <c r="AC207">
        <f>IF($A207="","",IF(Allocation!$N$4="VOL_EFF",$G207,IF(Allocation!$N$4="VOL_CLASS",$H207,$I207)))</f>
        <v>2</v>
      </c>
      <c r="AD207">
        <f>IF($A207="","",IF(Allocation!$N$4="VOL_EFF",$L207,IF(Allocation!$N$4="VOL_CLASS",$M207,$N207)))</f>
        <v>10</v>
      </c>
      <c r="AE207">
        <f>IF($A207="","",IF(Allocation!$N$3="VOL_EFF",$L207,IF(Allocation!$N$3="VOL_CLASS",$M207,$N207)))</f>
        <v>260.41181</v>
      </c>
      <c r="AF207">
        <f>IF($A207="","",IF(Allocation!$N$3="VOL_EFF",$Q207,IF(Allocation!$N$3="VOL_CLASS",$R207,$S207)))</f>
        <v>1305.035426</v>
      </c>
      <c r="AG207">
        <f>IF($A207="","",IF(Allocation!$N$1="VOL_EFF",$Q207,IF(Allocation!$N$1="VOL_CLASS",$R207,$S207)))</f>
        <v>50</v>
      </c>
      <c r="AH207">
        <f>IF($A207="","",IF(Allocation!$N$1="VOL_EFF",$T207,IF(Allocation!$N$1="VOL_CLASS",$U207,$V207)))</f>
        <v>135</v>
      </c>
      <c r="AI207">
        <f t="shared" si="12"/>
        <v>24861.235599</v>
      </c>
      <c r="AJ207">
        <f t="shared" si="13"/>
        <v>59767.867588</v>
      </c>
      <c r="AK207">
        <f t="shared" si="14"/>
        <v>18043.6982612639</v>
      </c>
      <c r="AL207">
        <f t="shared" si="15"/>
        <v>137944.3027846</v>
      </c>
      <c r="AM207">
        <f t="shared" si="16"/>
        <v>43986.2900093578</v>
      </c>
      <c r="AN207">
        <f t="shared" si="17"/>
        <v>38695.2491795494</v>
      </c>
      <c r="AO207">
        <f>IF($A207="","",Allocation!CJ207)</f>
        <v>743978.4</v>
      </c>
      <c r="AP207">
        <f>IF($A207="","",IF(Allocation!$N$2="VOL_EFF",$Q207,IF(Allocation!$N$2="VOL_CLASS",$R207,$S207)))</f>
        <v>10043742.187896</v>
      </c>
      <c r="AQ207">
        <f>IF($A207="","",IF(Allocation!$N$2="VOL_EFF",$T207,IF(Allocation!$N$2="VOL_CLASS",$U207,$V207)))</f>
        <v>24231703.809425</v>
      </c>
      <c r="AR207">
        <f t="shared" si="18"/>
        <v>12306.6628242289</v>
      </c>
      <c r="AS207" t="str">
        <f>IF($A207="","",$A207&amp;"|"&amp;Allocation!BG207)</f>
        <v>2027|V01</v>
      </c>
    </row>
    <row r="208" ht="14.497499999999997" customHeight="1">
      <c r="A208" t="str">
        <f>IF(Allocation!BI208="","",Allocation!BI208)</f>
        <v>2027</v>
      </c>
      <c r="B208" t="str">
        <f>IF(Allocation!BJ208="","",Allocation!BJ208)</f>
        <v>MBWAY_BOR</v>
      </c>
      <c r="C208" t="str">
        <f>IF(Allocation!BK208="","",Allocation!BK208)</f>
        <v>MBWAY</v>
      </c>
      <c r="D208" t="str">
        <f>IF(Allocation!BL208="","",Allocation!BL208)</f>
        <v>BAC_MGT</v>
      </c>
      <c r="E208" t="str">
        <f>IF(Allocation!BM208="","",Allocation!BM208)</f>
        <v>B3</v>
      </c>
      <c r="F208" t="str">
        <f>IF(Allocation!BN208="","",Allocation!BN208)</f>
        <v>ALT</v>
      </c>
      <c r="G208">
        <f>IF(Allocation!BO208="","",Allocation!BO208)</f>
        <v>48.245</v>
      </c>
      <c r="H208">
        <f>IF(Allocation!BP208="","",Allocation!BP208)</f>
        <v>2</v>
      </c>
      <c r="I208">
        <f>IF(Allocation!BQ208="","",Allocation!BQ208)</f>
        <v>328723.540754</v>
      </c>
      <c r="J208">
        <f>IF(Allocation!CC208="","",Allocation!CC208)</f>
        <v>0</v>
      </c>
      <c r="K208">
        <f t="shared" si="0"/>
        <v>960</v>
      </c>
      <c r="L208">
        <f t="shared" si="1"/>
        <v>260.41181</v>
      </c>
      <c r="M208">
        <f t="shared" si="2"/>
        <v>10</v>
      </c>
      <c r="N208">
        <f t="shared" si="3"/>
        <v>1863775.815944</v>
      </c>
      <c r="O208">
        <f t="shared" si="4"/>
        <v>4800</v>
      </c>
      <c r="P208">
        <f t="shared" si="5"/>
        <v>112.65681</v>
      </c>
      <c r="Q208">
        <f t="shared" si="6"/>
        <v>1305.035426</v>
      </c>
      <c r="R208">
        <f t="shared" si="7"/>
        <v>50</v>
      </c>
      <c r="S208">
        <f t="shared" si="8"/>
        <v>10043742.187896</v>
      </c>
      <c r="T208">
        <f t="shared" si="9"/>
        <v>3253.616848</v>
      </c>
      <c r="U208">
        <f t="shared" si="10"/>
        <v>135</v>
      </c>
      <c r="V208">
        <f t="shared" si="11"/>
        <v>24231703.809425</v>
      </c>
      <c r="W208">
        <f>IF($A208="","",Allocation!CD208)</f>
        <v>124306.177995</v>
      </c>
      <c r="X208">
        <f>IF($A208="","",Allocation!CE208)</f>
        <v>298839.33794</v>
      </c>
      <c r="Y208">
        <f>IF($A208="","",Allocation!CF208)</f>
        <v>95397.261665</v>
      </c>
      <c r="Z208">
        <f>IF($A208="","",Allocation!CG208)</f>
        <v>26916.84</v>
      </c>
      <c r="AA208">
        <f>IF($A208="","",Allocation!CH208)</f>
        <v>689721.513923</v>
      </c>
      <c r="AB208">
        <f>IF($A208="","",Allocation!CI208)</f>
        <v>2975861.58142</v>
      </c>
      <c r="AC208">
        <f>IF($A208="","",IF(Allocation!$N$4="VOL_EFF",$G208,IF(Allocation!$N$4="VOL_CLASS",$H208,$I208)))</f>
        <v>2</v>
      </c>
      <c r="AD208">
        <f>IF($A208="","",IF(Allocation!$N$4="VOL_EFF",$L208,IF(Allocation!$N$4="VOL_CLASS",$M208,$N208)))</f>
        <v>10</v>
      </c>
      <c r="AE208">
        <f>IF($A208="","",IF(Allocation!$N$3="VOL_EFF",$L208,IF(Allocation!$N$3="VOL_CLASS",$M208,$N208)))</f>
        <v>260.41181</v>
      </c>
      <c r="AF208">
        <f>IF($A208="","",IF(Allocation!$N$3="VOL_EFF",$Q208,IF(Allocation!$N$3="VOL_CLASS",$R208,$S208)))</f>
        <v>1305.035426</v>
      </c>
      <c r="AG208">
        <f>IF($A208="","",IF(Allocation!$N$1="VOL_EFF",$Q208,IF(Allocation!$N$1="VOL_CLASS",$R208,$S208)))</f>
        <v>50</v>
      </c>
      <c r="AH208">
        <f>IF($A208="","",IF(Allocation!$N$1="VOL_EFF",$T208,IF(Allocation!$N$1="VOL_CLASS",$U208,$V208)))</f>
        <v>135</v>
      </c>
      <c r="AI208">
        <f t="shared" si="12"/>
        <v>24861.235599</v>
      </c>
      <c r="AJ208">
        <f t="shared" si="13"/>
        <v>59767.867588</v>
      </c>
      <c r="AK208">
        <f t="shared" si="14"/>
        <v>17673.7026213516</v>
      </c>
      <c r="AL208">
        <f t="shared" si="15"/>
        <v>137944.3027846</v>
      </c>
      <c r="AM208">
        <f t="shared" si="16"/>
        <v>43986.2900093578</v>
      </c>
      <c r="AN208">
        <f t="shared" si="17"/>
        <v>32183.4793274617</v>
      </c>
      <c r="AO208">
        <f>IF($A208="","",Allocation!CJ208)</f>
        <v>743978.4</v>
      </c>
      <c r="AP208">
        <f>IF($A208="","",IF(Allocation!$N$2="VOL_EFF",$Q208,IF(Allocation!$N$2="VOL_CLASS",$R208,$S208)))</f>
        <v>10043742.187896</v>
      </c>
      <c r="AQ208">
        <f>IF($A208="","",IF(Allocation!$N$2="VOL_EFF",$T208,IF(Allocation!$N$2="VOL_CLASS",$U208,$V208)))</f>
        <v>24231703.809425</v>
      </c>
      <c r="AR208">
        <f t="shared" si="18"/>
        <v>12306.6628242289</v>
      </c>
      <c r="AS208" t="str">
        <f>IF($A208="","",$A208&amp;"|"&amp;Allocation!BG208)</f>
        <v>2027|V01</v>
      </c>
    </row>
    <row r="209" ht="14.497499999999997" customHeight="1">
      <c r="A209" t="str">
        <f>IF(Allocation!BI209="","",Allocation!BI209)</f>
        <v>2027</v>
      </c>
      <c r="B209" t="str">
        <f>IF(Allocation!BJ209="","",Allocation!BJ209)</f>
        <v>MBWAY_BOR</v>
      </c>
      <c r="C209" t="str">
        <f>IF(Allocation!BK209="","",Allocation!BK209)</f>
        <v>MBWAY</v>
      </c>
      <c r="D209" t="str">
        <f>IF(Allocation!BL209="","",Allocation!BL209)</f>
        <v>MAS_MGT</v>
      </c>
      <c r="E209" t="str">
        <f>IF(Allocation!BM209="","",Allocation!BM209)</f>
        <v>M1</v>
      </c>
      <c r="F209" t="str">
        <f>IF(Allocation!BN209="","",Allocation!BN209)</f>
        <v>ALT</v>
      </c>
      <c r="G209">
        <f>IF(Allocation!BO209="","",Allocation!BO209)</f>
        <v>56.91006</v>
      </c>
      <c r="H209">
        <f>IF(Allocation!BP209="","",Allocation!BP209)</f>
        <v>2</v>
      </c>
      <c r="I209">
        <f>IF(Allocation!BQ209="","",Allocation!BQ209)</f>
        <v>420583.383889</v>
      </c>
      <c r="J209">
        <f>IF(Allocation!CC209="","",Allocation!CC209)</f>
        <v>56.91006</v>
      </c>
      <c r="K209">
        <f t="shared" si="0"/>
        <v>840</v>
      </c>
      <c r="L209">
        <f t="shared" si="1"/>
        <v>260.41181</v>
      </c>
      <c r="M209">
        <f t="shared" si="2"/>
        <v>10</v>
      </c>
      <c r="N209">
        <f t="shared" si="3"/>
        <v>1863775.815944</v>
      </c>
      <c r="O209">
        <f t="shared" si="4"/>
        <v>4800</v>
      </c>
      <c r="P209">
        <f t="shared" si="5"/>
        <v>112.65681</v>
      </c>
      <c r="Q209">
        <f t="shared" si="6"/>
        <v>1305.035426</v>
      </c>
      <c r="R209">
        <f t="shared" si="7"/>
        <v>50</v>
      </c>
      <c r="S209">
        <f t="shared" si="8"/>
        <v>10043742.187896</v>
      </c>
      <c r="T209">
        <f t="shared" si="9"/>
        <v>3253.616848</v>
      </c>
      <c r="U209">
        <f t="shared" si="10"/>
        <v>135</v>
      </c>
      <c r="V209">
        <f t="shared" si="11"/>
        <v>24231703.809425</v>
      </c>
      <c r="W209">
        <f>IF($A209="","",Allocation!CD209)</f>
        <v>124306.177995</v>
      </c>
      <c r="X209">
        <f>IF($A209="","",Allocation!CE209)</f>
        <v>298839.33794</v>
      </c>
      <c r="Y209">
        <f>IF($A209="","",Allocation!CF209)</f>
        <v>95397.261665</v>
      </c>
      <c r="Z209">
        <f>IF($A209="","",Allocation!CG209)</f>
        <v>26916.84</v>
      </c>
      <c r="AA209">
        <f>IF($A209="","",Allocation!CH209)</f>
        <v>689721.513923</v>
      </c>
      <c r="AB209">
        <f>IF($A209="","",Allocation!CI209)</f>
        <v>2975861.58142</v>
      </c>
      <c r="AC209">
        <f>IF($A209="","",IF(Allocation!$N$4="VOL_EFF",$G209,IF(Allocation!$N$4="VOL_CLASS",$H209,$I209)))</f>
        <v>2</v>
      </c>
      <c r="AD209">
        <f>IF($A209="","",IF(Allocation!$N$4="VOL_EFF",$L209,IF(Allocation!$N$4="VOL_CLASS",$M209,$N209)))</f>
        <v>10</v>
      </c>
      <c r="AE209">
        <f>IF($A209="","",IF(Allocation!$N$3="VOL_EFF",$L209,IF(Allocation!$N$3="VOL_CLASS",$M209,$N209)))</f>
        <v>260.41181</v>
      </c>
      <c r="AF209">
        <f>IF($A209="","",IF(Allocation!$N$3="VOL_EFF",$Q209,IF(Allocation!$N$3="VOL_CLASS",$R209,$S209)))</f>
        <v>1305.035426</v>
      </c>
      <c r="AG209">
        <f>IF($A209="","",IF(Allocation!$N$1="VOL_EFF",$Q209,IF(Allocation!$N$1="VOL_CLASS",$R209,$S209)))</f>
        <v>50</v>
      </c>
      <c r="AH209">
        <f>IF($A209="","",IF(Allocation!$N$1="VOL_EFF",$T209,IF(Allocation!$N$1="VOL_CLASS",$U209,$V209)))</f>
        <v>135</v>
      </c>
      <c r="AI209">
        <f t="shared" si="12"/>
        <v>21753.581149125</v>
      </c>
      <c r="AJ209">
        <f t="shared" si="13"/>
        <v>52296.8841395</v>
      </c>
      <c r="AK209">
        <f t="shared" si="14"/>
        <v>34445.387655937</v>
      </c>
      <c r="AL209">
        <f t="shared" si="15"/>
        <v>137944.3027846</v>
      </c>
      <c r="AM209">
        <f t="shared" si="16"/>
        <v>43986.2900093578</v>
      </c>
      <c r="AN209">
        <f t="shared" si="17"/>
        <v>117850.275326251</v>
      </c>
      <c r="AO209">
        <f>IF($A209="","",Allocation!CJ209)</f>
        <v>743978.4</v>
      </c>
      <c r="AP209">
        <f>IF($A209="","",IF(Allocation!$N$2="VOL_EFF",$Q209,IF(Allocation!$N$2="VOL_CLASS",$R209,$S209)))</f>
        <v>10043742.187896</v>
      </c>
      <c r="AQ209">
        <f>IF($A209="","",IF(Allocation!$N$2="VOL_EFF",$T209,IF(Allocation!$N$2="VOL_CLASS",$U209,$V209)))</f>
        <v>24231703.809425</v>
      </c>
      <c r="AR209">
        <f t="shared" si="18"/>
        <v>12306.6628242289</v>
      </c>
      <c r="AS209" t="str">
        <f>IF($A209="","",$A209&amp;"|"&amp;Allocation!BG209)</f>
        <v>2027|V01</v>
      </c>
    </row>
    <row r="210" ht="14.497499999999997" customHeight="1">
      <c r="A210" t="str">
        <f>IF(Allocation!BI210="","",Allocation!BI210)</f>
        <v>2027</v>
      </c>
      <c r="B210" t="str">
        <f>IF(Allocation!BJ210="","",Allocation!BJ210)</f>
        <v>MBWAY_BOR</v>
      </c>
      <c r="C210" t="str">
        <f>IF(Allocation!BK210="","",Allocation!BK210)</f>
        <v>MBWAY</v>
      </c>
      <c r="D210" t="str">
        <f>IF(Allocation!BL210="","",Allocation!BL210)</f>
        <v>MAS_MGT</v>
      </c>
      <c r="E210" t="str">
        <f>IF(Allocation!BM210="","",Allocation!BM210)</f>
        <v>M2</v>
      </c>
      <c r="F210" t="str">
        <f>IF(Allocation!BN210="","",Allocation!BN210)</f>
        <v>ALT</v>
      </c>
      <c r="G210">
        <f>IF(Allocation!BO210="","",Allocation!BO210)</f>
        <v>50.255</v>
      </c>
      <c r="H210">
        <f>IF(Allocation!BP210="","",Allocation!BP210)</f>
        <v>2</v>
      </c>
      <c r="I210">
        <f>IF(Allocation!BQ210="","",Allocation!BQ210)</f>
        <v>366877.430835</v>
      </c>
      <c r="J210">
        <f>IF(Allocation!CC210="","",Allocation!CC210)</f>
        <v>0</v>
      </c>
      <c r="K210">
        <f t="shared" si="0"/>
        <v>840</v>
      </c>
      <c r="L210">
        <f t="shared" si="1"/>
        <v>260.41181</v>
      </c>
      <c r="M210">
        <f t="shared" si="2"/>
        <v>10</v>
      </c>
      <c r="N210">
        <f t="shared" si="3"/>
        <v>1863775.815944</v>
      </c>
      <c r="O210">
        <f t="shared" si="4"/>
        <v>4800</v>
      </c>
      <c r="P210">
        <f t="shared" si="5"/>
        <v>112.65681</v>
      </c>
      <c r="Q210">
        <f t="shared" si="6"/>
        <v>1305.035426</v>
      </c>
      <c r="R210">
        <f t="shared" si="7"/>
        <v>50</v>
      </c>
      <c r="S210">
        <f t="shared" si="8"/>
        <v>10043742.187896</v>
      </c>
      <c r="T210">
        <f t="shared" si="9"/>
        <v>3253.616848</v>
      </c>
      <c r="U210">
        <f t="shared" si="10"/>
        <v>135</v>
      </c>
      <c r="V210">
        <f t="shared" si="11"/>
        <v>24231703.809425</v>
      </c>
      <c r="W210">
        <f>IF($A210="","",Allocation!CD210)</f>
        <v>124306.177995</v>
      </c>
      <c r="X210">
        <f>IF($A210="","",Allocation!CE210)</f>
        <v>298839.33794</v>
      </c>
      <c r="Y210">
        <f>IF($A210="","",Allocation!CF210)</f>
        <v>95397.261665</v>
      </c>
      <c r="Z210">
        <f>IF($A210="","",Allocation!CG210)</f>
        <v>26916.84</v>
      </c>
      <c r="AA210">
        <f>IF($A210="","",Allocation!CH210)</f>
        <v>689721.513923</v>
      </c>
      <c r="AB210">
        <f>IF($A210="","",Allocation!CI210)</f>
        <v>2975861.58142</v>
      </c>
      <c r="AC210">
        <f>IF($A210="","",IF(Allocation!$N$4="VOL_EFF",$G210,IF(Allocation!$N$4="VOL_CLASS",$H210,$I210)))</f>
        <v>2</v>
      </c>
      <c r="AD210">
        <f>IF($A210="","",IF(Allocation!$N$4="VOL_EFF",$L210,IF(Allocation!$N$4="VOL_CLASS",$M210,$N210)))</f>
        <v>10</v>
      </c>
      <c r="AE210">
        <f>IF($A210="","",IF(Allocation!$N$3="VOL_EFF",$L210,IF(Allocation!$N$3="VOL_CLASS",$M210,$N210)))</f>
        <v>260.41181</v>
      </c>
      <c r="AF210">
        <f>IF($A210="","",IF(Allocation!$N$3="VOL_EFF",$Q210,IF(Allocation!$N$3="VOL_CLASS",$R210,$S210)))</f>
        <v>1305.035426</v>
      </c>
      <c r="AG210">
        <f>IF($A210="","",IF(Allocation!$N$1="VOL_EFF",$Q210,IF(Allocation!$N$1="VOL_CLASS",$R210,$S210)))</f>
        <v>50</v>
      </c>
      <c r="AH210">
        <f>IF($A210="","",IF(Allocation!$N$1="VOL_EFF",$T210,IF(Allocation!$N$1="VOL_CLASS",$U210,$V210)))</f>
        <v>135</v>
      </c>
      <c r="AI210">
        <f t="shared" si="12"/>
        <v>21753.581149125</v>
      </c>
      <c r="AJ210">
        <f t="shared" si="13"/>
        <v>52296.8841395</v>
      </c>
      <c r="AK210">
        <f t="shared" si="14"/>
        <v>18410.0305780086</v>
      </c>
      <c r="AL210">
        <f t="shared" si="15"/>
        <v>137944.3027846</v>
      </c>
      <c r="AM210">
        <f t="shared" si="16"/>
        <v>43986.2900093578</v>
      </c>
      <c r="AN210">
        <f t="shared" si="17"/>
        <v>80179.6793501797</v>
      </c>
      <c r="AO210">
        <f>IF($A210="","",Allocation!CJ210)</f>
        <v>743978.4</v>
      </c>
      <c r="AP210">
        <f>IF($A210="","",IF(Allocation!$N$2="VOL_EFF",$Q210,IF(Allocation!$N$2="VOL_CLASS",$R210,$S210)))</f>
        <v>10043742.187896</v>
      </c>
      <c r="AQ210">
        <f>IF($A210="","",IF(Allocation!$N$2="VOL_EFF",$T210,IF(Allocation!$N$2="VOL_CLASS",$U210,$V210)))</f>
        <v>24231703.809425</v>
      </c>
      <c r="AR210">
        <f t="shared" si="18"/>
        <v>12306.6628242289</v>
      </c>
      <c r="AS210" t="str">
        <f>IF($A210="","",$A210&amp;"|"&amp;Allocation!BG210)</f>
        <v>2027|V01</v>
      </c>
    </row>
    <row r="211" ht="14.497499999999997" customHeight="1">
      <c r="A211" t="str">
        <f>IF(Allocation!BI211="","",Allocation!BI211)</f>
        <v>2027</v>
      </c>
      <c r="B211" t="str">
        <f>IF(Allocation!BJ211="","",Allocation!BJ211)</f>
        <v>MBWAY_LYO</v>
      </c>
      <c r="C211" t="str">
        <f>IF(Allocation!BK211="","",Allocation!BK211)</f>
        <v>MBWAY</v>
      </c>
      <c r="D211" t="str">
        <f>IF(Allocation!BL211="","",Allocation!BL211)</f>
        <v>BAC_MGT</v>
      </c>
      <c r="E211" t="str">
        <f>IF(Allocation!BM211="","",Allocation!BM211)</f>
        <v>B1</v>
      </c>
      <c r="F211" t="str">
        <f>IF(Allocation!BN211="","",Allocation!BN211)</f>
        <v>INIT</v>
      </c>
      <c r="G211">
        <f>IF(Allocation!BO211="","",Allocation!BO211)</f>
        <v>72.005855</v>
      </c>
      <c r="H211">
        <f>IF(Allocation!BP211="","",Allocation!BP211)</f>
        <v>3</v>
      </c>
      <c r="I211">
        <f>IF(Allocation!BQ211="","",Allocation!BQ211)</f>
        <v>575499.955531</v>
      </c>
      <c r="J211">
        <f>IF(Allocation!CC211="","",Allocation!CC211)</f>
        <v>72.005855</v>
      </c>
      <c r="K211">
        <f t="shared" si="0"/>
        <v>1800</v>
      </c>
      <c r="L211">
        <f t="shared" si="1"/>
        <v>338.498202</v>
      </c>
      <c r="M211">
        <f t="shared" si="2"/>
        <v>13</v>
      </c>
      <c r="N211">
        <f t="shared" si="3"/>
        <v>2620797.055606</v>
      </c>
      <c r="O211">
        <f t="shared" si="4"/>
        <v>6240</v>
      </c>
      <c r="P211">
        <f t="shared" si="5"/>
        <v>145.518202</v>
      </c>
      <c r="Q211">
        <f t="shared" si="6"/>
        <v>1305.035426</v>
      </c>
      <c r="R211">
        <f t="shared" si="7"/>
        <v>50</v>
      </c>
      <c r="S211">
        <f t="shared" si="8"/>
        <v>10043742.187896</v>
      </c>
      <c r="T211">
        <f t="shared" si="9"/>
        <v>3253.616848</v>
      </c>
      <c r="U211">
        <f t="shared" si="10"/>
        <v>135</v>
      </c>
      <c r="V211">
        <f t="shared" si="11"/>
        <v>24231703.809425</v>
      </c>
      <c r="W211">
        <f>IF($A211="","",Allocation!CD211)</f>
        <v>161598.340283</v>
      </c>
      <c r="X211">
        <f>IF($A211="","",Allocation!CE211)</f>
        <v>426605.5248</v>
      </c>
      <c r="Y211">
        <f>IF($A211="","",Allocation!CF211)</f>
        <v>124131.140927</v>
      </c>
      <c r="Z211">
        <f>IF($A211="","",Allocation!CG211)</f>
        <v>45125.64</v>
      </c>
      <c r="AA211">
        <f>IF($A211="","",Allocation!CH211)</f>
        <v>985233.873682</v>
      </c>
      <c r="AB211">
        <f>IF($A211="","",Allocation!CI211)</f>
        <v>2975861.58142</v>
      </c>
      <c r="AC211">
        <f>IF($A211="","",IF(Allocation!$N$4="VOL_EFF",$G211,IF(Allocation!$N$4="VOL_CLASS",$H211,$I211)))</f>
        <v>3</v>
      </c>
      <c r="AD211">
        <f>IF($A211="","",IF(Allocation!$N$4="VOL_EFF",$L211,IF(Allocation!$N$4="VOL_CLASS",$M211,$N211)))</f>
        <v>13</v>
      </c>
      <c r="AE211">
        <f>IF($A211="","",IF(Allocation!$N$3="VOL_EFF",$L211,IF(Allocation!$N$3="VOL_CLASS",$M211,$N211)))</f>
        <v>338.498202</v>
      </c>
      <c r="AF211">
        <f>IF($A211="","",IF(Allocation!$N$3="VOL_EFF",$Q211,IF(Allocation!$N$3="VOL_CLASS",$R211,$S211)))</f>
        <v>1305.035426</v>
      </c>
      <c r="AG211">
        <f>IF($A211="","",IF(Allocation!$N$1="VOL_EFF",$Q211,IF(Allocation!$N$1="VOL_CLASS",$R211,$S211)))</f>
        <v>50</v>
      </c>
      <c r="AH211">
        <f>IF($A211="","",IF(Allocation!$N$1="VOL_EFF",$T211,IF(Allocation!$N$1="VOL_CLASS",$U211,$V211)))</f>
        <v>135</v>
      </c>
      <c r="AI211">
        <f t="shared" si="12"/>
        <v>46614.9058508654</v>
      </c>
      <c r="AJ211">
        <f t="shared" si="13"/>
        <v>123059.286</v>
      </c>
      <c r="AK211">
        <f t="shared" si="14"/>
        <v>48734.6021693802</v>
      </c>
      <c r="AL211">
        <f t="shared" si="15"/>
        <v>227361.663157385</v>
      </c>
      <c r="AM211">
        <f t="shared" si="16"/>
        <v>65972.1944054312</v>
      </c>
      <c r="AN211">
        <f t="shared" si="17"/>
        <v>45299.335518471</v>
      </c>
      <c r="AO211">
        <f>IF($A211="","",Allocation!CJ211)</f>
        <v>743978.4</v>
      </c>
      <c r="AP211">
        <f>IF($A211="","",IF(Allocation!$N$2="VOL_EFF",$Q211,IF(Allocation!$N$2="VOL_CLASS",$R211,$S211)))</f>
        <v>10043742.187896</v>
      </c>
      <c r="AQ211">
        <f>IF($A211="","",IF(Allocation!$N$2="VOL_EFF",$T211,IF(Allocation!$N$2="VOL_CLASS",$U211,$V211)))</f>
        <v>24231703.809425</v>
      </c>
      <c r="AR211">
        <f t="shared" si="18"/>
        <v>18457.9684294673</v>
      </c>
      <c r="AS211" t="str">
        <f>IF($A211="","",$A211&amp;"|"&amp;Allocation!BG211)</f>
        <v>2027|V01</v>
      </c>
    </row>
    <row r="212" ht="14.497499999999997" customHeight="1">
      <c r="A212" t="str">
        <f>IF(Allocation!BI212="","",Allocation!BI212)</f>
        <v>2027</v>
      </c>
      <c r="B212" t="str">
        <f>IF(Allocation!BJ212="","",Allocation!BJ212)</f>
        <v>MBWAY_LYO</v>
      </c>
      <c r="C212" t="str">
        <f>IF(Allocation!BK212="","",Allocation!BK212)</f>
        <v>MBWAY</v>
      </c>
      <c r="D212" t="str">
        <f>IF(Allocation!BL212="","",Allocation!BL212)</f>
        <v>BAC_MGT</v>
      </c>
      <c r="E212" t="str">
        <f>IF(Allocation!BM212="","",Allocation!BM212)</f>
        <v>B2</v>
      </c>
      <c r="F212" t="str">
        <f>IF(Allocation!BN212="","",Allocation!BN212)</f>
        <v>ALT</v>
      </c>
      <c r="G212">
        <f>IF(Allocation!BO212="","",Allocation!BO212)</f>
        <v>64.33</v>
      </c>
      <c r="H212">
        <f>IF(Allocation!BP212="","",Allocation!BP212)</f>
        <v>2</v>
      </c>
      <c r="I212">
        <f>IF(Allocation!BQ212="","",Allocation!BQ212)</f>
        <v>474470.93274</v>
      </c>
      <c r="J212">
        <f>IF(Allocation!CC212="","",Allocation!CC212)</f>
        <v>0</v>
      </c>
      <c r="K212">
        <f t="shared" si="0"/>
        <v>960</v>
      </c>
      <c r="L212">
        <f t="shared" si="1"/>
        <v>338.498202</v>
      </c>
      <c r="M212">
        <f t="shared" si="2"/>
        <v>13</v>
      </c>
      <c r="N212">
        <f t="shared" si="3"/>
        <v>2620797.055606</v>
      </c>
      <c r="O212">
        <f t="shared" si="4"/>
        <v>6240</v>
      </c>
      <c r="P212">
        <f t="shared" si="5"/>
        <v>145.518202</v>
      </c>
      <c r="Q212">
        <f t="shared" si="6"/>
        <v>1305.035426</v>
      </c>
      <c r="R212">
        <f t="shared" si="7"/>
        <v>50</v>
      </c>
      <c r="S212">
        <f t="shared" si="8"/>
        <v>10043742.187896</v>
      </c>
      <c r="T212">
        <f t="shared" si="9"/>
        <v>3253.616848</v>
      </c>
      <c r="U212">
        <f t="shared" si="10"/>
        <v>135</v>
      </c>
      <c r="V212">
        <f t="shared" si="11"/>
        <v>24231703.809425</v>
      </c>
      <c r="W212">
        <f>IF($A212="","",Allocation!CD212)</f>
        <v>161598.340283</v>
      </c>
      <c r="X212">
        <f>IF($A212="","",Allocation!CE212)</f>
        <v>426605.5248</v>
      </c>
      <c r="Y212">
        <f>IF($A212="","",Allocation!CF212)</f>
        <v>124131.140927</v>
      </c>
      <c r="Z212">
        <f>IF($A212="","",Allocation!CG212)</f>
        <v>45125.64</v>
      </c>
      <c r="AA212">
        <f>IF($A212="","",Allocation!CH212)</f>
        <v>985233.873682</v>
      </c>
      <c r="AB212">
        <f>IF($A212="","",Allocation!CI212)</f>
        <v>2975861.58142</v>
      </c>
      <c r="AC212">
        <f>IF($A212="","",IF(Allocation!$N$4="VOL_EFF",$G212,IF(Allocation!$N$4="VOL_CLASS",$H212,$I212)))</f>
        <v>2</v>
      </c>
      <c r="AD212">
        <f>IF($A212="","",IF(Allocation!$N$4="VOL_EFF",$L212,IF(Allocation!$N$4="VOL_CLASS",$M212,$N212)))</f>
        <v>13</v>
      </c>
      <c r="AE212">
        <f>IF($A212="","",IF(Allocation!$N$3="VOL_EFF",$L212,IF(Allocation!$N$3="VOL_CLASS",$M212,$N212)))</f>
        <v>338.498202</v>
      </c>
      <c r="AF212">
        <f>IF($A212="","",IF(Allocation!$N$3="VOL_EFF",$Q212,IF(Allocation!$N$3="VOL_CLASS",$R212,$S212)))</f>
        <v>1305.035426</v>
      </c>
      <c r="AG212">
        <f>IF($A212="","",IF(Allocation!$N$1="VOL_EFF",$Q212,IF(Allocation!$N$1="VOL_CLASS",$R212,$S212)))</f>
        <v>50</v>
      </c>
      <c r="AH212">
        <f>IF($A212="","",IF(Allocation!$N$1="VOL_EFF",$T212,IF(Allocation!$N$1="VOL_CLASS",$U212,$V212)))</f>
        <v>135</v>
      </c>
      <c r="AI212">
        <f t="shared" si="12"/>
        <v>24861.2831204615</v>
      </c>
      <c r="AJ212">
        <f t="shared" si="13"/>
        <v>65631.6192</v>
      </c>
      <c r="AK212">
        <f t="shared" si="14"/>
        <v>23590.5427226875</v>
      </c>
      <c r="AL212">
        <f t="shared" si="15"/>
        <v>151574.442104923</v>
      </c>
      <c r="AM212">
        <f t="shared" si="16"/>
        <v>43981.4629369541</v>
      </c>
      <c r="AN212">
        <f t="shared" si="17"/>
        <v>152526.270368662</v>
      </c>
      <c r="AO212">
        <f>IF($A212="","",Allocation!CJ212)</f>
        <v>743978.4</v>
      </c>
      <c r="AP212">
        <f>IF($A212="","",IF(Allocation!$N$2="VOL_EFF",$Q212,IF(Allocation!$N$2="VOL_CLASS",$R212,$S212)))</f>
        <v>10043742.187896</v>
      </c>
      <c r="AQ212">
        <f>IF($A212="","",IF(Allocation!$N$2="VOL_EFF",$T212,IF(Allocation!$N$2="VOL_CLASS",$U212,$V212)))</f>
        <v>24231703.809425</v>
      </c>
      <c r="AR212">
        <f t="shared" si="18"/>
        <v>12305.3122863116</v>
      </c>
      <c r="AS212" t="str">
        <f>IF($A212="","",$A212&amp;"|"&amp;Allocation!BG212)</f>
        <v>2027|V01</v>
      </c>
    </row>
    <row r="213" ht="14.497499999999997" customHeight="1">
      <c r="A213" t="str">
        <f>IF(Allocation!BI213="","",Allocation!BI213)</f>
        <v>2027</v>
      </c>
      <c r="B213" t="str">
        <f>IF(Allocation!BJ213="","",Allocation!BJ213)</f>
        <v>MBWAY_LYO</v>
      </c>
      <c r="C213" t="str">
        <f>IF(Allocation!BK213="","",Allocation!BK213)</f>
        <v>MBWAY</v>
      </c>
      <c r="D213" t="str">
        <f>IF(Allocation!BL213="","",Allocation!BL213)</f>
        <v>BAC_MGT</v>
      </c>
      <c r="E213" t="str">
        <f>IF(Allocation!BM213="","",Allocation!BM213)</f>
        <v>B3</v>
      </c>
      <c r="F213" t="str">
        <f>IF(Allocation!BN213="","",Allocation!BN213)</f>
        <v>ALT</v>
      </c>
      <c r="G213">
        <f>IF(Allocation!BO213="","",Allocation!BO213)</f>
        <v>63.32</v>
      </c>
      <c r="H213">
        <f>IF(Allocation!BP213="","",Allocation!BP213)</f>
        <v>2</v>
      </c>
      <c r="I213">
        <f>IF(Allocation!BQ213="","",Allocation!BQ213)</f>
        <v>467021.59896</v>
      </c>
      <c r="J213">
        <f>IF(Allocation!CC213="","",Allocation!CC213)</f>
        <v>0</v>
      </c>
      <c r="K213">
        <f t="shared" si="0"/>
        <v>960</v>
      </c>
      <c r="L213">
        <f t="shared" si="1"/>
        <v>338.498202</v>
      </c>
      <c r="M213">
        <f t="shared" si="2"/>
        <v>13</v>
      </c>
      <c r="N213">
        <f t="shared" si="3"/>
        <v>2620797.055606</v>
      </c>
      <c r="O213">
        <f t="shared" si="4"/>
        <v>6240</v>
      </c>
      <c r="P213">
        <f t="shared" si="5"/>
        <v>145.518202</v>
      </c>
      <c r="Q213">
        <f t="shared" si="6"/>
        <v>1305.035426</v>
      </c>
      <c r="R213">
        <f t="shared" si="7"/>
        <v>50</v>
      </c>
      <c r="S213">
        <f t="shared" si="8"/>
        <v>10043742.187896</v>
      </c>
      <c r="T213">
        <f t="shared" si="9"/>
        <v>3253.616848</v>
      </c>
      <c r="U213">
        <f t="shared" si="10"/>
        <v>135</v>
      </c>
      <c r="V213">
        <f t="shared" si="11"/>
        <v>24231703.809425</v>
      </c>
      <c r="W213">
        <f>IF($A213="","",Allocation!CD213)</f>
        <v>161598.340283</v>
      </c>
      <c r="X213">
        <f>IF($A213="","",Allocation!CE213)</f>
        <v>426605.5248</v>
      </c>
      <c r="Y213">
        <f>IF($A213="","",Allocation!CF213)</f>
        <v>124131.140927</v>
      </c>
      <c r="Z213">
        <f>IF($A213="","",Allocation!CG213)</f>
        <v>45125.64</v>
      </c>
      <c r="AA213">
        <f>IF($A213="","",Allocation!CH213)</f>
        <v>985233.873682</v>
      </c>
      <c r="AB213">
        <f>IF($A213="","",Allocation!CI213)</f>
        <v>2975861.58142</v>
      </c>
      <c r="AC213">
        <f>IF($A213="","",IF(Allocation!$N$4="VOL_EFF",$G213,IF(Allocation!$N$4="VOL_CLASS",$H213,$I213)))</f>
        <v>2</v>
      </c>
      <c r="AD213">
        <f>IF($A213="","",IF(Allocation!$N$4="VOL_EFF",$L213,IF(Allocation!$N$4="VOL_CLASS",$M213,$N213)))</f>
        <v>13</v>
      </c>
      <c r="AE213">
        <f>IF($A213="","",IF(Allocation!$N$3="VOL_EFF",$L213,IF(Allocation!$N$3="VOL_CLASS",$M213,$N213)))</f>
        <v>338.498202</v>
      </c>
      <c r="AF213">
        <f>IF($A213="","",IF(Allocation!$N$3="VOL_EFF",$Q213,IF(Allocation!$N$3="VOL_CLASS",$R213,$S213)))</f>
        <v>1305.035426</v>
      </c>
      <c r="AG213">
        <f>IF($A213="","",IF(Allocation!$N$1="VOL_EFF",$Q213,IF(Allocation!$N$1="VOL_CLASS",$R213,$S213)))</f>
        <v>50</v>
      </c>
      <c r="AH213">
        <f>IF($A213="","",IF(Allocation!$N$1="VOL_EFF",$T213,IF(Allocation!$N$1="VOL_CLASS",$U213,$V213)))</f>
        <v>135</v>
      </c>
      <c r="AI213">
        <f t="shared" si="12"/>
        <v>24861.2831204615</v>
      </c>
      <c r="AJ213">
        <f t="shared" si="13"/>
        <v>65631.6192</v>
      </c>
      <c r="AK213">
        <f t="shared" si="14"/>
        <v>23220.1642344252</v>
      </c>
      <c r="AL213">
        <f t="shared" si="15"/>
        <v>151574.442104923</v>
      </c>
      <c r="AM213">
        <f t="shared" si="16"/>
        <v>43981.4629369541</v>
      </c>
      <c r="AN213">
        <f t="shared" si="17"/>
        <v>145447.315076925</v>
      </c>
      <c r="AO213">
        <f>IF($A213="","",Allocation!CJ213)</f>
        <v>743978.4</v>
      </c>
      <c r="AP213">
        <f>IF($A213="","",IF(Allocation!$N$2="VOL_EFF",$Q213,IF(Allocation!$N$2="VOL_CLASS",$R213,$S213)))</f>
        <v>10043742.187896</v>
      </c>
      <c r="AQ213">
        <f>IF($A213="","",IF(Allocation!$N$2="VOL_EFF",$T213,IF(Allocation!$N$2="VOL_CLASS",$U213,$V213)))</f>
        <v>24231703.809425</v>
      </c>
      <c r="AR213">
        <f t="shared" si="18"/>
        <v>12305.3122863116</v>
      </c>
      <c r="AS213" t="str">
        <f>IF($A213="","",$A213&amp;"|"&amp;Allocation!BG213)</f>
        <v>2027|V01</v>
      </c>
    </row>
    <row r="214" ht="14.497499999999997" customHeight="1">
      <c r="A214" t="str">
        <f>IF(Allocation!BI214="","",Allocation!BI214)</f>
        <v>2027</v>
      </c>
      <c r="B214" t="str">
        <f>IF(Allocation!BJ214="","",Allocation!BJ214)</f>
        <v>MBWAY_LYO</v>
      </c>
      <c r="C214" t="str">
        <f>IF(Allocation!BK214="","",Allocation!BK214)</f>
        <v>MBWAY</v>
      </c>
      <c r="D214" t="str">
        <f>IF(Allocation!BL214="","",Allocation!BL214)</f>
        <v>MAS_MGT</v>
      </c>
      <c r="E214" t="str">
        <f>IF(Allocation!BM214="","",Allocation!BM214)</f>
        <v>M1</v>
      </c>
      <c r="F214" t="str">
        <f>IF(Allocation!BN214="","",Allocation!BN214)</f>
        <v>ALT</v>
      </c>
      <c r="G214">
        <f>IF(Allocation!BO214="","",Allocation!BO214)</f>
        <v>73.512347</v>
      </c>
      <c r="H214">
        <f>IF(Allocation!BP214="","",Allocation!BP214)</f>
        <v>3</v>
      </c>
      <c r="I214">
        <f>IF(Allocation!BQ214="","",Allocation!BQ214)</f>
        <v>587540.449725</v>
      </c>
      <c r="J214">
        <f>IF(Allocation!CC214="","",Allocation!CC214)</f>
        <v>73.512347</v>
      </c>
      <c r="K214">
        <f t="shared" si="0"/>
        <v>1260</v>
      </c>
      <c r="L214">
        <f t="shared" si="1"/>
        <v>338.498202</v>
      </c>
      <c r="M214">
        <f t="shared" si="2"/>
        <v>13</v>
      </c>
      <c r="N214">
        <f t="shared" si="3"/>
        <v>2620797.055606</v>
      </c>
      <c r="O214">
        <f t="shared" si="4"/>
        <v>6240</v>
      </c>
      <c r="P214">
        <f t="shared" si="5"/>
        <v>145.518202</v>
      </c>
      <c r="Q214">
        <f t="shared" si="6"/>
        <v>1305.035426</v>
      </c>
      <c r="R214">
        <f t="shared" si="7"/>
        <v>50</v>
      </c>
      <c r="S214">
        <f t="shared" si="8"/>
        <v>10043742.187896</v>
      </c>
      <c r="T214">
        <f t="shared" si="9"/>
        <v>3253.616848</v>
      </c>
      <c r="U214">
        <f t="shared" si="10"/>
        <v>135</v>
      </c>
      <c r="V214">
        <f t="shared" si="11"/>
        <v>24231703.809425</v>
      </c>
      <c r="W214">
        <f>IF($A214="","",Allocation!CD214)</f>
        <v>161598.340283</v>
      </c>
      <c r="X214">
        <f>IF($A214="","",Allocation!CE214)</f>
        <v>426605.5248</v>
      </c>
      <c r="Y214">
        <f>IF($A214="","",Allocation!CF214)</f>
        <v>124131.140927</v>
      </c>
      <c r="Z214">
        <f>IF($A214="","",Allocation!CG214)</f>
        <v>45125.64</v>
      </c>
      <c r="AA214">
        <f>IF($A214="","",Allocation!CH214)</f>
        <v>985233.873682</v>
      </c>
      <c r="AB214">
        <f>IF($A214="","",Allocation!CI214)</f>
        <v>2975861.58142</v>
      </c>
      <c r="AC214">
        <f>IF($A214="","",IF(Allocation!$N$4="VOL_EFF",$G214,IF(Allocation!$N$4="VOL_CLASS",$H214,$I214)))</f>
        <v>3</v>
      </c>
      <c r="AD214">
        <f>IF($A214="","",IF(Allocation!$N$4="VOL_EFF",$L214,IF(Allocation!$N$4="VOL_CLASS",$M214,$N214)))</f>
        <v>13</v>
      </c>
      <c r="AE214">
        <f>IF($A214="","",IF(Allocation!$N$3="VOL_EFF",$L214,IF(Allocation!$N$3="VOL_CLASS",$M214,$N214)))</f>
        <v>338.498202</v>
      </c>
      <c r="AF214">
        <f>IF($A214="","",IF(Allocation!$N$3="VOL_EFF",$Q214,IF(Allocation!$N$3="VOL_CLASS",$R214,$S214)))</f>
        <v>1305.035426</v>
      </c>
      <c r="AG214">
        <f>IF($A214="","",IF(Allocation!$N$1="VOL_EFF",$Q214,IF(Allocation!$N$1="VOL_CLASS",$R214,$S214)))</f>
        <v>50</v>
      </c>
      <c r="AH214">
        <f>IF($A214="","",IF(Allocation!$N$1="VOL_EFF",$T214,IF(Allocation!$N$1="VOL_CLASS",$U214,$V214)))</f>
        <v>135</v>
      </c>
      <c r="AI214">
        <f t="shared" si="12"/>
        <v>32630.4340956058</v>
      </c>
      <c r="AJ214">
        <f t="shared" si="13"/>
        <v>86141.5002</v>
      </c>
      <c r="AK214">
        <f t="shared" si="14"/>
        <v>49754.2177033024</v>
      </c>
      <c r="AL214">
        <f t="shared" si="15"/>
        <v>227361.663157385</v>
      </c>
      <c r="AM214">
        <f t="shared" si="16"/>
        <v>65972.1944054312</v>
      </c>
      <c r="AN214">
        <f t="shared" si="17"/>
        <v>107222.471733808</v>
      </c>
      <c r="AO214">
        <f>IF($A214="","",Allocation!CJ214)</f>
        <v>743978.4</v>
      </c>
      <c r="AP214">
        <f>IF($A214="","",IF(Allocation!$N$2="VOL_EFF",$Q214,IF(Allocation!$N$2="VOL_CLASS",$R214,$S214)))</f>
        <v>10043742.187896</v>
      </c>
      <c r="AQ214">
        <f>IF($A214="","",IF(Allocation!$N$2="VOL_EFF",$T214,IF(Allocation!$N$2="VOL_CLASS",$U214,$V214)))</f>
        <v>24231703.809425</v>
      </c>
      <c r="AR214">
        <f t="shared" si="18"/>
        <v>18457.9684294673</v>
      </c>
      <c r="AS214" t="str">
        <f>IF($A214="","",$A214&amp;"|"&amp;Allocation!BG214)</f>
        <v>2027|V01</v>
      </c>
    </row>
    <row r="215" ht="14.497499999999997" customHeight="1">
      <c r="A215" t="str">
        <f>IF(Allocation!BI215="","",Allocation!BI215)</f>
        <v>2027</v>
      </c>
      <c r="B215" t="str">
        <f>IF(Allocation!BJ215="","",Allocation!BJ215)</f>
        <v>MBWAY_LYO</v>
      </c>
      <c r="C215" t="str">
        <f>IF(Allocation!BK215="","",Allocation!BK215)</f>
        <v>MBWAY</v>
      </c>
      <c r="D215" t="str">
        <f>IF(Allocation!BL215="","",Allocation!BL215)</f>
        <v>MAS_MGT</v>
      </c>
      <c r="E215" t="str">
        <f>IF(Allocation!BM215="","",Allocation!BM215)</f>
        <v>M2</v>
      </c>
      <c r="F215" t="str">
        <f>IF(Allocation!BN215="","",Allocation!BN215)</f>
        <v>ALT</v>
      </c>
      <c r="G215">
        <f>IF(Allocation!BO215="","",Allocation!BO215)</f>
        <v>65.33</v>
      </c>
      <c r="H215">
        <f>IF(Allocation!BP215="","",Allocation!BP215)</f>
        <v>3</v>
      </c>
      <c r="I215">
        <f>IF(Allocation!BQ215="","",Allocation!BQ215)</f>
        <v>516264.11865</v>
      </c>
      <c r="J215">
        <f>IF(Allocation!CC215="","",Allocation!CC215)</f>
        <v>0</v>
      </c>
      <c r="K215">
        <f t="shared" si="0"/>
        <v>1260</v>
      </c>
      <c r="L215">
        <f t="shared" si="1"/>
        <v>338.498202</v>
      </c>
      <c r="M215">
        <f t="shared" si="2"/>
        <v>13</v>
      </c>
      <c r="N215">
        <f t="shared" si="3"/>
        <v>2620797.055606</v>
      </c>
      <c r="O215">
        <f t="shared" si="4"/>
        <v>6240</v>
      </c>
      <c r="P215">
        <f t="shared" si="5"/>
        <v>145.518202</v>
      </c>
      <c r="Q215">
        <f t="shared" si="6"/>
        <v>1305.035426</v>
      </c>
      <c r="R215">
        <f t="shared" si="7"/>
        <v>50</v>
      </c>
      <c r="S215">
        <f t="shared" si="8"/>
        <v>10043742.187896</v>
      </c>
      <c r="T215">
        <f t="shared" si="9"/>
        <v>3253.616848</v>
      </c>
      <c r="U215">
        <f t="shared" si="10"/>
        <v>135</v>
      </c>
      <c r="V215">
        <f t="shared" si="11"/>
        <v>24231703.809425</v>
      </c>
      <c r="W215">
        <f>IF($A215="","",Allocation!CD215)</f>
        <v>161598.340283</v>
      </c>
      <c r="X215">
        <f>IF($A215="","",Allocation!CE215)</f>
        <v>426605.5248</v>
      </c>
      <c r="Y215">
        <f>IF($A215="","",Allocation!CF215)</f>
        <v>124131.140927</v>
      </c>
      <c r="Z215">
        <f>IF($A215="","",Allocation!CG215)</f>
        <v>45125.64</v>
      </c>
      <c r="AA215">
        <f>IF($A215="","",Allocation!CH215)</f>
        <v>985233.873682</v>
      </c>
      <c r="AB215">
        <f>IF($A215="","",Allocation!CI215)</f>
        <v>2975861.58142</v>
      </c>
      <c r="AC215">
        <f>IF($A215="","",IF(Allocation!$N$4="VOL_EFF",$G215,IF(Allocation!$N$4="VOL_CLASS",$H215,$I215)))</f>
        <v>3</v>
      </c>
      <c r="AD215">
        <f>IF($A215="","",IF(Allocation!$N$4="VOL_EFF",$L215,IF(Allocation!$N$4="VOL_CLASS",$M215,$N215)))</f>
        <v>13</v>
      </c>
      <c r="AE215">
        <f>IF($A215="","",IF(Allocation!$N$3="VOL_EFF",$L215,IF(Allocation!$N$3="VOL_CLASS",$M215,$N215)))</f>
        <v>338.498202</v>
      </c>
      <c r="AF215">
        <f>IF($A215="","",IF(Allocation!$N$3="VOL_EFF",$Q215,IF(Allocation!$N$3="VOL_CLASS",$R215,$S215)))</f>
        <v>1305.035426</v>
      </c>
      <c r="AG215">
        <f>IF($A215="","",IF(Allocation!$N$1="VOL_EFF",$Q215,IF(Allocation!$N$1="VOL_CLASS",$R215,$S215)))</f>
        <v>50</v>
      </c>
      <c r="AH215">
        <f>IF($A215="","",IF(Allocation!$N$1="VOL_EFF",$T215,IF(Allocation!$N$1="VOL_CLASS",$U215,$V215)))</f>
        <v>135</v>
      </c>
      <c r="AI215">
        <f t="shared" si="12"/>
        <v>32630.4340956058</v>
      </c>
      <c r="AJ215">
        <f t="shared" si="13"/>
        <v>86141.5002</v>
      </c>
      <c r="AK215">
        <f t="shared" si="14"/>
        <v>23957.2540972047</v>
      </c>
      <c r="AL215">
        <f t="shared" si="15"/>
        <v>227361.663157385</v>
      </c>
      <c r="AM215">
        <f t="shared" si="16"/>
        <v>65972.1944054312</v>
      </c>
      <c r="AN215">
        <f t="shared" si="17"/>
        <v>61743.104264906</v>
      </c>
      <c r="AO215">
        <f>IF($A215="","",Allocation!CJ215)</f>
        <v>743978.4</v>
      </c>
      <c r="AP215">
        <f>IF($A215="","",IF(Allocation!$N$2="VOL_EFF",$Q215,IF(Allocation!$N$2="VOL_CLASS",$R215,$S215)))</f>
        <v>10043742.187896</v>
      </c>
      <c r="AQ215">
        <f>IF($A215="","",IF(Allocation!$N$2="VOL_EFF",$T215,IF(Allocation!$N$2="VOL_CLASS",$U215,$V215)))</f>
        <v>24231703.809425</v>
      </c>
      <c r="AR215">
        <f t="shared" si="18"/>
        <v>18457.9684294673</v>
      </c>
      <c r="AS215" t="str">
        <f>IF($A215="","",$A215&amp;"|"&amp;Allocation!BG215)</f>
        <v>2027|V01</v>
      </c>
    </row>
    <row r="216" ht="14.497499999999997" customHeight="1">
      <c r="A216" t="str">
        <f>IF(Allocation!BI216="","",Allocation!BI216)</f>
        <v>2027</v>
      </c>
      <c r="B216" t="str">
        <f>IF(Allocation!BJ216="","",Allocation!BJ216)</f>
        <v>MBWAY_NAN</v>
      </c>
      <c r="C216" t="str">
        <f>IF(Allocation!BK216="","",Allocation!BK216)</f>
        <v>MBWAY</v>
      </c>
      <c r="D216" t="str">
        <f>IF(Allocation!BL216="","",Allocation!BL216)</f>
        <v>BAC_MGT</v>
      </c>
      <c r="E216" t="str">
        <f>IF(Allocation!BM216="","",Allocation!BM216)</f>
        <v>B1</v>
      </c>
      <c r="F216" t="str">
        <f>IF(Allocation!BN216="","",Allocation!BN216)</f>
        <v>INIT</v>
      </c>
      <c r="G216">
        <f>IF(Allocation!BO216="","",Allocation!BO216)</f>
        <v>65.539302</v>
      </c>
      <c r="H216">
        <f>IF(Allocation!BP216="","",Allocation!BP216)</f>
        <v>2</v>
      </c>
      <c r="I216">
        <f>IF(Allocation!BQ216="","",Allocation!BQ216)</f>
        <v>499153.877962</v>
      </c>
      <c r="J216">
        <f>IF(Allocation!CC216="","",Allocation!CC216)</f>
        <v>65.539302</v>
      </c>
      <c r="K216">
        <f t="shared" si="0"/>
        <v>1200</v>
      </c>
      <c r="L216">
        <f t="shared" si="1"/>
        <v>307.342957</v>
      </c>
      <c r="M216">
        <f t="shared" si="2"/>
        <v>12</v>
      </c>
      <c r="N216">
        <f t="shared" si="3"/>
        <v>2267018.468208</v>
      </c>
      <c r="O216">
        <f t="shared" si="4"/>
        <v>5640</v>
      </c>
      <c r="P216">
        <f t="shared" si="5"/>
        <v>132.452957</v>
      </c>
      <c r="Q216">
        <f t="shared" si="6"/>
        <v>1305.035426</v>
      </c>
      <c r="R216">
        <f t="shared" si="7"/>
        <v>50</v>
      </c>
      <c r="S216">
        <f t="shared" si="8"/>
        <v>10043742.187896</v>
      </c>
      <c r="T216">
        <f t="shared" si="9"/>
        <v>3253.616848</v>
      </c>
      <c r="U216">
        <f t="shared" si="10"/>
        <v>135</v>
      </c>
      <c r="V216">
        <f t="shared" si="11"/>
        <v>24231703.809425</v>
      </c>
      <c r="W216">
        <f>IF($A216="","",Allocation!CD216)</f>
        <v>149167.619521</v>
      </c>
      <c r="X216">
        <f>IF($A216="","",Allocation!CE216)</f>
        <v>366973.0584</v>
      </c>
      <c r="Y216">
        <f>IF($A216="","",Allocation!CF216)</f>
        <v>112637.383297</v>
      </c>
      <c r="Z216">
        <f>IF($A216="","",Allocation!CG216)</f>
        <v>34055.64</v>
      </c>
      <c r="AA216">
        <f>IF($A216="","",Allocation!CH216)</f>
        <v>837601.248173</v>
      </c>
      <c r="AB216">
        <f>IF($A216="","",Allocation!CI216)</f>
        <v>2975861.58142</v>
      </c>
      <c r="AC216">
        <f>IF($A216="","",IF(Allocation!$N$4="VOL_EFF",$G216,IF(Allocation!$N$4="VOL_CLASS",$H216,$I216)))</f>
        <v>2</v>
      </c>
      <c r="AD216">
        <f>IF($A216="","",IF(Allocation!$N$4="VOL_EFF",$L216,IF(Allocation!$N$4="VOL_CLASS",$M216,$N216)))</f>
        <v>12</v>
      </c>
      <c r="AE216">
        <f>IF($A216="","",IF(Allocation!$N$3="VOL_EFF",$L216,IF(Allocation!$N$3="VOL_CLASS",$M216,$N216)))</f>
        <v>307.342957</v>
      </c>
      <c r="AF216">
        <f>IF($A216="","",IF(Allocation!$N$3="VOL_EFF",$Q216,IF(Allocation!$N$3="VOL_CLASS",$R216,$S216)))</f>
        <v>1305.035426</v>
      </c>
      <c r="AG216">
        <f>IF($A216="","",IF(Allocation!$N$1="VOL_EFF",$Q216,IF(Allocation!$N$1="VOL_CLASS",$R216,$S216)))</f>
        <v>50</v>
      </c>
      <c r="AH216">
        <f>IF($A216="","",IF(Allocation!$N$1="VOL_EFF",$T216,IF(Allocation!$N$1="VOL_CLASS",$U216,$V216)))</f>
        <v>135</v>
      </c>
      <c r="AI216">
        <f t="shared" si="12"/>
        <v>31737.7913874468</v>
      </c>
      <c r="AJ216">
        <f t="shared" si="13"/>
        <v>78079.3741276596</v>
      </c>
      <c r="AK216">
        <f t="shared" si="14"/>
        <v>40870.4782503382</v>
      </c>
      <c r="AL216">
        <f t="shared" si="15"/>
        <v>139600.208028833</v>
      </c>
      <c r="AM216">
        <f t="shared" si="16"/>
        <v>43261.2114088822</v>
      </c>
      <c r="AN216">
        <f t="shared" si="17"/>
        <v>153501.017369619</v>
      </c>
      <c r="AO216">
        <f>IF($A216="","",Allocation!CJ216)</f>
        <v>743978.4</v>
      </c>
      <c r="AP216">
        <f>IF($A216="","",IF(Allocation!$N$2="VOL_EFF",$Q216,IF(Allocation!$N$2="VOL_CLASS",$R216,$S216)))</f>
        <v>10043742.187896</v>
      </c>
      <c r="AQ216">
        <f>IF($A216="","",IF(Allocation!$N$2="VOL_EFF",$T216,IF(Allocation!$N$2="VOL_CLASS",$U216,$V216)))</f>
        <v>24231703.809425</v>
      </c>
      <c r="AR216">
        <f t="shared" si="18"/>
        <v>12103.7973892213</v>
      </c>
      <c r="AS216" t="str">
        <f>IF($A216="","",$A216&amp;"|"&amp;Allocation!BG216)</f>
        <v>2027|V01</v>
      </c>
    </row>
    <row r="217" ht="14.497499999999997" customHeight="1">
      <c r="A217" t="str">
        <f>IF(Allocation!BI217="","",Allocation!BI217)</f>
        <v>2027</v>
      </c>
      <c r="B217" t="str">
        <f>IF(Allocation!BJ217="","",Allocation!BJ217)</f>
        <v>MBWAY_NAN</v>
      </c>
      <c r="C217" t="str">
        <f>IF(Allocation!BK217="","",Allocation!BK217)</f>
        <v>MBWAY</v>
      </c>
      <c r="D217" t="str">
        <f>IF(Allocation!BL217="","",Allocation!BL217)</f>
        <v>BAC_MGT</v>
      </c>
      <c r="E217" t="str">
        <f>IF(Allocation!BM217="","",Allocation!BM217)</f>
        <v>B2</v>
      </c>
      <c r="F217" t="str">
        <f>IF(Allocation!BN217="","",Allocation!BN217)</f>
        <v>ALT</v>
      </c>
      <c r="G217">
        <f>IF(Allocation!BO217="","",Allocation!BO217)</f>
        <v>58.3</v>
      </c>
      <c r="H217">
        <f>IF(Allocation!BP217="","",Allocation!BP217)</f>
        <v>2</v>
      </c>
      <c r="I217">
        <f>IF(Allocation!BQ217="","",Allocation!BQ217)</f>
        <v>409520.188</v>
      </c>
      <c r="J217">
        <f>IF(Allocation!CC217="","",Allocation!CC217)</f>
        <v>0</v>
      </c>
      <c r="K217">
        <f t="shared" si="0"/>
        <v>960</v>
      </c>
      <c r="L217">
        <f t="shared" si="1"/>
        <v>307.342957</v>
      </c>
      <c r="M217">
        <f t="shared" si="2"/>
        <v>12</v>
      </c>
      <c r="N217">
        <f t="shared" si="3"/>
        <v>2267018.468208</v>
      </c>
      <c r="O217">
        <f t="shared" si="4"/>
        <v>5640</v>
      </c>
      <c r="P217">
        <f t="shared" si="5"/>
        <v>132.452957</v>
      </c>
      <c r="Q217">
        <f t="shared" si="6"/>
        <v>1305.035426</v>
      </c>
      <c r="R217">
        <f t="shared" si="7"/>
        <v>50</v>
      </c>
      <c r="S217">
        <f t="shared" si="8"/>
        <v>10043742.187896</v>
      </c>
      <c r="T217">
        <f t="shared" si="9"/>
        <v>3253.616848</v>
      </c>
      <c r="U217">
        <f t="shared" si="10"/>
        <v>135</v>
      </c>
      <c r="V217">
        <f t="shared" si="11"/>
        <v>24231703.809425</v>
      </c>
      <c r="W217">
        <f>IF($A217="","",Allocation!CD217)</f>
        <v>149167.619521</v>
      </c>
      <c r="X217">
        <f>IF($A217="","",Allocation!CE217)</f>
        <v>366973.0584</v>
      </c>
      <c r="Y217">
        <f>IF($A217="","",Allocation!CF217)</f>
        <v>112637.383297</v>
      </c>
      <c r="Z217">
        <f>IF($A217="","",Allocation!CG217)</f>
        <v>34055.64</v>
      </c>
      <c r="AA217">
        <f>IF($A217="","",Allocation!CH217)</f>
        <v>837601.248173</v>
      </c>
      <c r="AB217">
        <f>IF($A217="","",Allocation!CI217)</f>
        <v>2975861.58142</v>
      </c>
      <c r="AC217">
        <f>IF($A217="","",IF(Allocation!$N$4="VOL_EFF",$G217,IF(Allocation!$N$4="VOL_CLASS",$H217,$I217)))</f>
        <v>2</v>
      </c>
      <c r="AD217">
        <f>IF($A217="","",IF(Allocation!$N$4="VOL_EFF",$L217,IF(Allocation!$N$4="VOL_CLASS",$M217,$N217)))</f>
        <v>12</v>
      </c>
      <c r="AE217">
        <f>IF($A217="","",IF(Allocation!$N$3="VOL_EFF",$L217,IF(Allocation!$N$3="VOL_CLASS",$M217,$N217)))</f>
        <v>307.342957</v>
      </c>
      <c r="AF217">
        <f>IF($A217="","",IF(Allocation!$N$3="VOL_EFF",$Q217,IF(Allocation!$N$3="VOL_CLASS",$R217,$S217)))</f>
        <v>1305.035426</v>
      </c>
      <c r="AG217">
        <f>IF($A217="","",IF(Allocation!$N$1="VOL_EFF",$Q217,IF(Allocation!$N$1="VOL_CLASS",$R217,$S217)))</f>
        <v>50</v>
      </c>
      <c r="AH217">
        <f>IF($A217="","",IF(Allocation!$N$1="VOL_EFF",$T217,IF(Allocation!$N$1="VOL_CLASS",$U217,$V217)))</f>
        <v>135</v>
      </c>
      <c r="AI217">
        <f t="shared" si="12"/>
        <v>25390.2331099574</v>
      </c>
      <c r="AJ217">
        <f t="shared" si="13"/>
        <v>62463.4993021277</v>
      </c>
      <c r="AK217">
        <f t="shared" si="14"/>
        <v>21366.2271955531</v>
      </c>
      <c r="AL217">
        <f t="shared" si="15"/>
        <v>139600.208028833</v>
      </c>
      <c r="AM217">
        <f t="shared" si="16"/>
        <v>43261.2114088822</v>
      </c>
      <c r="AN217">
        <f t="shared" si="17"/>
        <v>105335.011565425</v>
      </c>
      <c r="AO217">
        <f>IF($A217="","",Allocation!CJ217)</f>
        <v>743978.4</v>
      </c>
      <c r="AP217">
        <f>IF($A217="","",IF(Allocation!$N$2="VOL_EFF",$Q217,IF(Allocation!$N$2="VOL_CLASS",$R217,$S217)))</f>
        <v>10043742.187896</v>
      </c>
      <c r="AQ217">
        <f>IF($A217="","",IF(Allocation!$N$2="VOL_EFF",$T217,IF(Allocation!$N$2="VOL_CLASS",$U217,$V217)))</f>
        <v>24231703.809425</v>
      </c>
      <c r="AR217">
        <f t="shared" si="18"/>
        <v>12103.7973892213</v>
      </c>
      <c r="AS217" t="str">
        <f>IF($A217="","",$A217&amp;"|"&amp;Allocation!BG217)</f>
        <v>2027|V01</v>
      </c>
    </row>
    <row r="218" ht="14.497499999999997" customHeight="1">
      <c r="A218" t="str">
        <f>IF(Allocation!BI218="","",Allocation!BI218)</f>
        <v>2027</v>
      </c>
      <c r="B218" t="str">
        <f>IF(Allocation!BJ218="","",Allocation!BJ218)</f>
        <v>MBWAY_NAN</v>
      </c>
      <c r="C218" t="str">
        <f>IF(Allocation!BK218="","",Allocation!BK218)</f>
        <v>MBWAY</v>
      </c>
      <c r="D218" t="str">
        <f>IF(Allocation!BL218="","",Allocation!BL218)</f>
        <v>BAC_MGT</v>
      </c>
      <c r="E218" t="str">
        <f>IF(Allocation!BM218="","",Allocation!BM218)</f>
        <v>B3</v>
      </c>
      <c r="F218" t="str">
        <f>IF(Allocation!BN218="","",Allocation!BN218)</f>
        <v>ALT</v>
      </c>
      <c r="G218">
        <f>IF(Allocation!BO218="","",Allocation!BO218)</f>
        <v>57.29</v>
      </c>
      <c r="H218">
        <f>IF(Allocation!BP218="","",Allocation!BP218)</f>
        <v>2</v>
      </c>
      <c r="I218">
        <f>IF(Allocation!BQ218="","",Allocation!BQ218)</f>
        <v>402425.5844</v>
      </c>
      <c r="J218">
        <f>IF(Allocation!CC218="","",Allocation!CC218)</f>
        <v>0</v>
      </c>
      <c r="K218">
        <f t="shared" si="0"/>
        <v>960</v>
      </c>
      <c r="L218">
        <f t="shared" si="1"/>
        <v>307.342957</v>
      </c>
      <c r="M218">
        <f t="shared" si="2"/>
        <v>12</v>
      </c>
      <c r="N218">
        <f t="shared" si="3"/>
        <v>2267018.468208</v>
      </c>
      <c r="O218">
        <f t="shared" si="4"/>
        <v>5640</v>
      </c>
      <c r="P218">
        <f t="shared" si="5"/>
        <v>132.452957</v>
      </c>
      <c r="Q218">
        <f t="shared" si="6"/>
        <v>1305.035426</v>
      </c>
      <c r="R218">
        <f t="shared" si="7"/>
        <v>50</v>
      </c>
      <c r="S218">
        <f t="shared" si="8"/>
        <v>10043742.187896</v>
      </c>
      <c r="T218">
        <f t="shared" si="9"/>
        <v>3253.616848</v>
      </c>
      <c r="U218">
        <f t="shared" si="10"/>
        <v>135</v>
      </c>
      <c r="V218">
        <f t="shared" si="11"/>
        <v>24231703.809425</v>
      </c>
      <c r="W218">
        <f>IF($A218="","",Allocation!CD218)</f>
        <v>149167.619521</v>
      </c>
      <c r="X218">
        <f>IF($A218="","",Allocation!CE218)</f>
        <v>366973.0584</v>
      </c>
      <c r="Y218">
        <f>IF($A218="","",Allocation!CF218)</f>
        <v>112637.383297</v>
      </c>
      <c r="Z218">
        <f>IF($A218="","",Allocation!CG218)</f>
        <v>34055.64</v>
      </c>
      <c r="AA218">
        <f>IF($A218="","",Allocation!CH218)</f>
        <v>837601.248173</v>
      </c>
      <c r="AB218">
        <f>IF($A218="","",Allocation!CI218)</f>
        <v>2975861.58142</v>
      </c>
      <c r="AC218">
        <f>IF($A218="","",IF(Allocation!$N$4="VOL_EFF",$G218,IF(Allocation!$N$4="VOL_CLASS",$H218,$I218)))</f>
        <v>2</v>
      </c>
      <c r="AD218">
        <f>IF($A218="","",IF(Allocation!$N$4="VOL_EFF",$L218,IF(Allocation!$N$4="VOL_CLASS",$M218,$N218)))</f>
        <v>12</v>
      </c>
      <c r="AE218">
        <f>IF($A218="","",IF(Allocation!$N$3="VOL_EFF",$L218,IF(Allocation!$N$3="VOL_CLASS",$M218,$N218)))</f>
        <v>307.342957</v>
      </c>
      <c r="AF218">
        <f>IF($A218="","",IF(Allocation!$N$3="VOL_EFF",$Q218,IF(Allocation!$N$3="VOL_CLASS",$R218,$S218)))</f>
        <v>1305.035426</v>
      </c>
      <c r="AG218">
        <f>IF($A218="","",IF(Allocation!$N$1="VOL_EFF",$Q218,IF(Allocation!$N$1="VOL_CLASS",$R218,$S218)))</f>
        <v>50</v>
      </c>
      <c r="AH218">
        <f>IF($A218="","",IF(Allocation!$N$1="VOL_EFF",$T218,IF(Allocation!$N$1="VOL_CLASS",$U218,$V218)))</f>
        <v>135</v>
      </c>
      <c r="AI218">
        <f t="shared" si="12"/>
        <v>25390.2331099574</v>
      </c>
      <c r="AJ218">
        <f t="shared" si="13"/>
        <v>62463.4993021277</v>
      </c>
      <c r="AK218">
        <f t="shared" si="14"/>
        <v>20996.0747175512</v>
      </c>
      <c r="AL218">
        <f t="shared" si="15"/>
        <v>139600.208028833</v>
      </c>
      <c r="AM218">
        <f t="shared" si="16"/>
        <v>43261.2114088822</v>
      </c>
      <c r="AN218">
        <f t="shared" si="17"/>
        <v>98610.5604434272</v>
      </c>
      <c r="AO218">
        <f>IF($A218="","",Allocation!CJ218)</f>
        <v>743978.4</v>
      </c>
      <c r="AP218">
        <f>IF($A218="","",IF(Allocation!$N$2="VOL_EFF",$Q218,IF(Allocation!$N$2="VOL_CLASS",$R218,$S218)))</f>
        <v>10043742.187896</v>
      </c>
      <c r="AQ218">
        <f>IF($A218="","",IF(Allocation!$N$2="VOL_EFF",$T218,IF(Allocation!$N$2="VOL_CLASS",$U218,$V218)))</f>
        <v>24231703.809425</v>
      </c>
      <c r="AR218">
        <f t="shared" si="18"/>
        <v>12103.7973892213</v>
      </c>
      <c r="AS218" t="str">
        <f>IF($A218="","",$A218&amp;"|"&amp;Allocation!BG218)</f>
        <v>2027|V01</v>
      </c>
    </row>
    <row r="219" ht="14.497499999999997" customHeight="1">
      <c r="A219" t="str">
        <f>IF(Allocation!BI219="","",Allocation!BI219)</f>
        <v>2027</v>
      </c>
      <c r="B219" t="str">
        <f>IF(Allocation!BJ219="","",Allocation!BJ219)</f>
        <v>MBWAY_NAN</v>
      </c>
      <c r="C219" t="str">
        <f>IF(Allocation!BK219="","",Allocation!BK219)</f>
        <v>MBWAY</v>
      </c>
      <c r="D219" t="str">
        <f>IF(Allocation!BL219="","",Allocation!BL219)</f>
        <v>MAS_MGT</v>
      </c>
      <c r="E219" t="str">
        <f>IF(Allocation!BM219="","",Allocation!BM219)</f>
        <v>M1</v>
      </c>
      <c r="F219" t="str">
        <f>IF(Allocation!BN219="","",Allocation!BN219)</f>
        <v>ALT</v>
      </c>
      <c r="G219">
        <f>IF(Allocation!BO219="","",Allocation!BO219)</f>
        <v>66.913655</v>
      </c>
      <c r="H219">
        <f>IF(Allocation!BP219="","",Allocation!BP219)</f>
        <v>3</v>
      </c>
      <c r="I219">
        <f>IF(Allocation!BQ219="","",Allocation!BQ219)</f>
        <v>509621.087846</v>
      </c>
      <c r="J219">
        <f>IF(Allocation!CC219="","",Allocation!CC219)</f>
        <v>66.913655</v>
      </c>
      <c r="K219">
        <f t="shared" si="0"/>
        <v>1260</v>
      </c>
      <c r="L219">
        <f t="shared" si="1"/>
        <v>307.342957</v>
      </c>
      <c r="M219">
        <f t="shared" si="2"/>
        <v>12</v>
      </c>
      <c r="N219">
        <f t="shared" si="3"/>
        <v>2267018.468208</v>
      </c>
      <c r="O219">
        <f t="shared" si="4"/>
        <v>5640</v>
      </c>
      <c r="P219">
        <f t="shared" si="5"/>
        <v>132.452957</v>
      </c>
      <c r="Q219">
        <f t="shared" si="6"/>
        <v>1305.035426</v>
      </c>
      <c r="R219">
        <f t="shared" si="7"/>
        <v>50</v>
      </c>
      <c r="S219">
        <f t="shared" si="8"/>
        <v>10043742.187896</v>
      </c>
      <c r="T219">
        <f t="shared" si="9"/>
        <v>3253.616848</v>
      </c>
      <c r="U219">
        <f t="shared" si="10"/>
        <v>135</v>
      </c>
      <c r="V219">
        <f t="shared" si="11"/>
        <v>24231703.809425</v>
      </c>
      <c r="W219">
        <f>IF($A219="","",Allocation!CD219)</f>
        <v>149167.619521</v>
      </c>
      <c r="X219">
        <f>IF($A219="","",Allocation!CE219)</f>
        <v>366973.0584</v>
      </c>
      <c r="Y219">
        <f>IF($A219="","",Allocation!CF219)</f>
        <v>112637.383297</v>
      </c>
      <c r="Z219">
        <f>IF($A219="","",Allocation!CG219)</f>
        <v>34055.64</v>
      </c>
      <c r="AA219">
        <f>IF($A219="","",Allocation!CH219)</f>
        <v>837601.248173</v>
      </c>
      <c r="AB219">
        <f>IF($A219="","",Allocation!CI219)</f>
        <v>2975861.58142</v>
      </c>
      <c r="AC219">
        <f>IF($A219="","",IF(Allocation!$N$4="VOL_EFF",$G219,IF(Allocation!$N$4="VOL_CLASS",$H219,$I219)))</f>
        <v>3</v>
      </c>
      <c r="AD219">
        <f>IF($A219="","",IF(Allocation!$N$4="VOL_EFF",$L219,IF(Allocation!$N$4="VOL_CLASS",$M219,$N219)))</f>
        <v>12</v>
      </c>
      <c r="AE219">
        <f>IF($A219="","",IF(Allocation!$N$3="VOL_EFF",$L219,IF(Allocation!$N$3="VOL_CLASS",$M219,$N219)))</f>
        <v>307.342957</v>
      </c>
      <c r="AF219">
        <f>IF($A219="","",IF(Allocation!$N$3="VOL_EFF",$Q219,IF(Allocation!$N$3="VOL_CLASS",$R219,$S219)))</f>
        <v>1305.035426</v>
      </c>
      <c r="AG219">
        <f>IF($A219="","",IF(Allocation!$N$1="VOL_EFF",$Q219,IF(Allocation!$N$1="VOL_CLASS",$R219,$S219)))</f>
        <v>50</v>
      </c>
      <c r="AH219">
        <f>IF($A219="","",IF(Allocation!$N$1="VOL_EFF",$T219,IF(Allocation!$N$1="VOL_CLASS",$U219,$V219)))</f>
        <v>135</v>
      </c>
      <c r="AI219">
        <f t="shared" si="12"/>
        <v>33324.6809568191</v>
      </c>
      <c r="AJ219">
        <f t="shared" si="13"/>
        <v>81983.3428340425</v>
      </c>
      <c r="AK219">
        <f t="shared" si="14"/>
        <v>41727.5283360224</v>
      </c>
      <c r="AL219">
        <f t="shared" si="15"/>
        <v>209400.31204325</v>
      </c>
      <c r="AM219">
        <f t="shared" si="16"/>
        <v>64891.8171133233</v>
      </c>
      <c r="AN219">
        <f t="shared" si="17"/>
        <v>60137.7104787107</v>
      </c>
      <c r="AO219">
        <f>IF($A219="","",Allocation!CJ219)</f>
        <v>743978.4</v>
      </c>
      <c r="AP219">
        <f>IF($A219="","",IF(Allocation!$N$2="VOL_EFF",$Q219,IF(Allocation!$N$2="VOL_CLASS",$R219,$S219)))</f>
        <v>10043742.187896</v>
      </c>
      <c r="AQ219">
        <f>IF($A219="","",IF(Allocation!$N$2="VOL_EFF",$T219,IF(Allocation!$N$2="VOL_CLASS",$U219,$V219)))</f>
        <v>24231703.809425</v>
      </c>
      <c r="AR219">
        <f t="shared" si="18"/>
        <v>18155.696083832</v>
      </c>
      <c r="AS219" t="str">
        <f>IF($A219="","",$A219&amp;"|"&amp;Allocation!BG219)</f>
        <v>2027|V01</v>
      </c>
    </row>
    <row r="220" ht="14.497499999999997" customHeight="1">
      <c r="A220" t="str">
        <f>IF(Allocation!BI220="","",Allocation!BI220)</f>
        <v>2027</v>
      </c>
      <c r="B220" t="str">
        <f>IF(Allocation!BJ220="","",Allocation!BJ220)</f>
        <v>MBWAY_NAN</v>
      </c>
      <c r="C220" t="str">
        <f>IF(Allocation!BK220="","",Allocation!BK220)</f>
        <v>MBWAY</v>
      </c>
      <c r="D220" t="str">
        <f>IF(Allocation!BL220="","",Allocation!BL220)</f>
        <v>MAS_MGT</v>
      </c>
      <c r="E220" t="str">
        <f>IF(Allocation!BM220="","",Allocation!BM220)</f>
        <v>M2</v>
      </c>
      <c r="F220" t="str">
        <f>IF(Allocation!BN220="","",Allocation!BN220)</f>
        <v>ALT</v>
      </c>
      <c r="G220">
        <f>IF(Allocation!BO220="","",Allocation!BO220)</f>
        <v>59.3</v>
      </c>
      <c r="H220">
        <f>IF(Allocation!BP220="","",Allocation!BP220)</f>
        <v>3</v>
      </c>
      <c r="I220">
        <f>IF(Allocation!BQ220="","",Allocation!BQ220)</f>
        <v>446297.73</v>
      </c>
      <c r="J220">
        <f>IF(Allocation!CC220="","",Allocation!CC220)</f>
        <v>0</v>
      </c>
      <c r="K220">
        <f t="shared" si="0"/>
        <v>1260</v>
      </c>
      <c r="L220">
        <f t="shared" si="1"/>
        <v>307.342957</v>
      </c>
      <c r="M220">
        <f t="shared" si="2"/>
        <v>12</v>
      </c>
      <c r="N220">
        <f t="shared" si="3"/>
        <v>2267018.468208</v>
      </c>
      <c r="O220">
        <f t="shared" si="4"/>
        <v>5640</v>
      </c>
      <c r="P220">
        <f t="shared" si="5"/>
        <v>132.452957</v>
      </c>
      <c r="Q220">
        <f t="shared" si="6"/>
        <v>1305.035426</v>
      </c>
      <c r="R220">
        <f t="shared" si="7"/>
        <v>50</v>
      </c>
      <c r="S220">
        <f t="shared" si="8"/>
        <v>10043742.187896</v>
      </c>
      <c r="T220">
        <f t="shared" si="9"/>
        <v>3253.616848</v>
      </c>
      <c r="U220">
        <f t="shared" si="10"/>
        <v>135</v>
      </c>
      <c r="V220">
        <f t="shared" si="11"/>
        <v>24231703.809425</v>
      </c>
      <c r="W220">
        <f>IF($A220="","",Allocation!CD220)</f>
        <v>149167.619521</v>
      </c>
      <c r="X220">
        <f>IF($A220="","",Allocation!CE220)</f>
        <v>366973.0584</v>
      </c>
      <c r="Y220">
        <f>IF($A220="","",Allocation!CF220)</f>
        <v>112637.383297</v>
      </c>
      <c r="Z220">
        <f>IF($A220="","",Allocation!CG220)</f>
        <v>34055.64</v>
      </c>
      <c r="AA220">
        <f>IF($A220="","",Allocation!CH220)</f>
        <v>837601.248173</v>
      </c>
      <c r="AB220">
        <f>IF($A220="","",Allocation!CI220)</f>
        <v>2975861.58142</v>
      </c>
      <c r="AC220">
        <f>IF($A220="","",IF(Allocation!$N$4="VOL_EFF",$G220,IF(Allocation!$N$4="VOL_CLASS",$H220,$I220)))</f>
        <v>3</v>
      </c>
      <c r="AD220">
        <f>IF($A220="","",IF(Allocation!$N$4="VOL_EFF",$L220,IF(Allocation!$N$4="VOL_CLASS",$M220,$N220)))</f>
        <v>12</v>
      </c>
      <c r="AE220">
        <f>IF($A220="","",IF(Allocation!$N$3="VOL_EFF",$L220,IF(Allocation!$N$3="VOL_CLASS",$M220,$N220)))</f>
        <v>307.342957</v>
      </c>
      <c r="AF220">
        <f>IF($A220="","",IF(Allocation!$N$3="VOL_EFF",$Q220,IF(Allocation!$N$3="VOL_CLASS",$R220,$S220)))</f>
        <v>1305.035426</v>
      </c>
      <c r="AG220">
        <f>IF($A220="","",IF(Allocation!$N$1="VOL_EFF",$Q220,IF(Allocation!$N$1="VOL_CLASS",$R220,$S220)))</f>
        <v>50</v>
      </c>
      <c r="AH220">
        <f>IF($A220="","",IF(Allocation!$N$1="VOL_EFF",$T220,IF(Allocation!$N$1="VOL_CLASS",$U220,$V220)))</f>
        <v>135</v>
      </c>
      <c r="AI220">
        <f t="shared" si="12"/>
        <v>33324.6809568191</v>
      </c>
      <c r="AJ220">
        <f t="shared" si="13"/>
        <v>81983.3428340425</v>
      </c>
      <c r="AK220">
        <f t="shared" si="14"/>
        <v>21732.7147975351</v>
      </c>
      <c r="AL220">
        <f t="shared" si="15"/>
        <v>209400.31204325</v>
      </c>
      <c r="AM220">
        <f t="shared" si="16"/>
        <v>64891.8171133233</v>
      </c>
      <c r="AN220">
        <f t="shared" si="17"/>
        <v>16809.166171198</v>
      </c>
      <c r="AO220">
        <f>IF($A220="","",Allocation!CJ220)</f>
        <v>743978.4</v>
      </c>
      <c r="AP220">
        <f>IF($A220="","",IF(Allocation!$N$2="VOL_EFF",$Q220,IF(Allocation!$N$2="VOL_CLASS",$R220,$S220)))</f>
        <v>10043742.187896</v>
      </c>
      <c r="AQ220">
        <f>IF($A220="","",IF(Allocation!$N$2="VOL_EFF",$T220,IF(Allocation!$N$2="VOL_CLASS",$U220,$V220)))</f>
        <v>24231703.809425</v>
      </c>
      <c r="AR220">
        <f t="shared" si="18"/>
        <v>18155.696083832</v>
      </c>
      <c r="AS220" t="str">
        <f>IF($A220="","",$A220&amp;"|"&amp;Allocation!BG220)</f>
        <v>2027|V01</v>
      </c>
    </row>
    <row r="221" ht="14.497499999999997" customHeight="1">
      <c r="A221" t="str">
        <f>IF(Allocation!BI221="","",Allocation!BI221)</f>
        <v>2027</v>
      </c>
      <c r="B221" t="str">
        <f>IF(Allocation!BJ221="","",Allocation!BJ221)</f>
        <v>MBWAY_PAR</v>
      </c>
      <c r="C221" t="str">
        <f>IF(Allocation!BK221="","",Allocation!BK221)</f>
        <v>MBWAY</v>
      </c>
      <c r="D221" t="str">
        <f>IF(Allocation!BL221="","",Allocation!BL221)</f>
        <v>BAC_MGT</v>
      </c>
      <c r="E221" t="str">
        <f>IF(Allocation!BM221="","",Allocation!BM221)</f>
        <v>B1</v>
      </c>
      <c r="F221" t="str">
        <f>IF(Allocation!BN221="","",Allocation!BN221)</f>
        <v>INIT</v>
      </c>
      <c r="G221">
        <f>IF(Allocation!BO221="","",Allocation!BO221)</f>
        <v>84.920597</v>
      </c>
      <c r="H221">
        <f>IF(Allocation!BP221="","",Allocation!BP221)</f>
        <v>3</v>
      </c>
      <c r="I221">
        <f>IF(Allocation!BQ221="","",Allocation!BQ221)</f>
        <v>723458.267422</v>
      </c>
      <c r="J221">
        <f>IF(Allocation!CC221="","",Allocation!CC221)</f>
        <v>84.920597</v>
      </c>
      <c r="K221">
        <f t="shared" si="0"/>
        <v>1800</v>
      </c>
      <c r="L221">
        <f t="shared" si="1"/>
        <v>398.782457</v>
      </c>
      <c r="M221">
        <f t="shared" si="2"/>
        <v>15</v>
      </c>
      <c r="N221">
        <f t="shared" si="3"/>
        <v>3292150.848138</v>
      </c>
      <c r="O221">
        <f t="shared" si="4"/>
        <v>7200</v>
      </c>
      <c r="P221">
        <f t="shared" si="5"/>
        <v>171.622457</v>
      </c>
      <c r="Q221">
        <f t="shared" si="6"/>
        <v>1305.035426</v>
      </c>
      <c r="R221">
        <f t="shared" si="7"/>
        <v>50</v>
      </c>
      <c r="S221">
        <f t="shared" si="8"/>
        <v>10043742.187896</v>
      </c>
      <c r="T221">
        <f t="shared" si="9"/>
        <v>3253.616848</v>
      </c>
      <c r="U221">
        <f t="shared" si="10"/>
        <v>135</v>
      </c>
      <c r="V221">
        <f t="shared" si="11"/>
        <v>24231703.809425</v>
      </c>
      <c r="W221">
        <f>IF($A221="","",Allocation!CD221)</f>
        <v>186459.781808</v>
      </c>
      <c r="X221">
        <f>IF($A221="","",Allocation!CE221)</f>
        <v>535199.11536</v>
      </c>
      <c r="Y221">
        <f>IF($A221="","",Allocation!CF221)</f>
        <v>146351.581975</v>
      </c>
      <c r="Z221">
        <f>IF($A221="","",Allocation!CG221)</f>
        <v>73754.28</v>
      </c>
      <c r="AA221">
        <f>IF($A221="","",Allocation!CH221)</f>
        <v>1254602.380422</v>
      </c>
      <c r="AB221">
        <f>IF($A221="","",Allocation!CI221)</f>
        <v>2975861.58142</v>
      </c>
      <c r="AC221">
        <f>IF($A221="","",IF(Allocation!$N$4="VOL_EFF",$G221,IF(Allocation!$N$4="VOL_CLASS",$H221,$I221)))</f>
        <v>3</v>
      </c>
      <c r="AD221">
        <f>IF($A221="","",IF(Allocation!$N$4="VOL_EFF",$L221,IF(Allocation!$N$4="VOL_CLASS",$M221,$N221)))</f>
        <v>15</v>
      </c>
      <c r="AE221">
        <f>IF($A221="","",IF(Allocation!$N$3="VOL_EFF",$L221,IF(Allocation!$N$3="VOL_CLASS",$M221,$N221)))</f>
        <v>398.782457</v>
      </c>
      <c r="AF221">
        <f>IF($A221="","",IF(Allocation!$N$3="VOL_EFF",$Q221,IF(Allocation!$N$3="VOL_CLASS",$R221,$S221)))</f>
        <v>1305.035426</v>
      </c>
      <c r="AG221">
        <f>IF($A221="","",IF(Allocation!$N$1="VOL_EFF",$Q221,IF(Allocation!$N$1="VOL_CLASS",$R221,$S221)))</f>
        <v>50</v>
      </c>
      <c r="AH221">
        <f>IF($A221="","",IF(Allocation!$N$1="VOL_EFF",$T221,IF(Allocation!$N$1="VOL_CLASS",$U221,$V221)))</f>
        <v>135</v>
      </c>
      <c r="AI221">
        <f t="shared" si="12"/>
        <v>46614.945452</v>
      </c>
      <c r="AJ221">
        <f t="shared" si="13"/>
        <v>133799.77884</v>
      </c>
      <c r="AK221">
        <f t="shared" si="14"/>
        <v>67659.9162495988</v>
      </c>
      <c r="AL221">
        <f t="shared" si="15"/>
        <v>250920.4760844</v>
      </c>
      <c r="AM221">
        <f t="shared" si="16"/>
        <v>67358.5456982395</v>
      </c>
      <c r="AN221">
        <f t="shared" si="17"/>
        <v>138258.757674342</v>
      </c>
      <c r="AO221">
        <f>IF($A221="","",Allocation!CJ221)</f>
        <v>743978.4</v>
      </c>
      <c r="AP221">
        <f>IF($A221="","",IF(Allocation!$N$2="VOL_EFF",$Q221,IF(Allocation!$N$2="VOL_CLASS",$R221,$S221)))</f>
        <v>10043742.187896</v>
      </c>
      <c r="AQ221">
        <f>IF($A221="","",IF(Allocation!$N$2="VOL_EFF",$T221,IF(Allocation!$N$2="VOL_CLASS",$U221,$V221)))</f>
        <v>24231703.809425</v>
      </c>
      <c r="AR221">
        <f t="shared" si="18"/>
        <v>18845.8474234197</v>
      </c>
      <c r="AS221" t="str">
        <f>IF($A221="","",$A221&amp;"|"&amp;Allocation!BG221)</f>
        <v>2027|V01</v>
      </c>
    </row>
    <row r="222" ht="14.497499999999997" customHeight="1">
      <c r="A222" t="str">
        <f>IF(Allocation!BI222="","",Allocation!BI222)</f>
        <v>2027</v>
      </c>
      <c r="B222" t="str">
        <f>IF(Allocation!BJ222="","",Allocation!BJ222)</f>
        <v>MBWAY_PAR</v>
      </c>
      <c r="C222" t="str">
        <f>IF(Allocation!BK222="","",Allocation!BK222)</f>
        <v>MBWAY</v>
      </c>
      <c r="D222" t="str">
        <f>IF(Allocation!BL222="","",Allocation!BL222)</f>
        <v>BAC_MGT</v>
      </c>
      <c r="E222" t="str">
        <f>IF(Allocation!BM222="","",Allocation!BM222)</f>
        <v>B2</v>
      </c>
      <c r="F222" t="str">
        <f>IF(Allocation!BN222="","",Allocation!BN222)</f>
        <v>ALT</v>
      </c>
      <c r="G222">
        <f>IF(Allocation!BO222="","",Allocation!BO222)</f>
        <v>76.39</v>
      </c>
      <c r="H222">
        <f>IF(Allocation!BP222="","",Allocation!BP222)</f>
        <v>3</v>
      </c>
      <c r="I222">
        <f>IF(Allocation!BQ222="","",Allocation!BQ222)</f>
        <v>600981.763648</v>
      </c>
      <c r="J222">
        <f>IF(Allocation!CC222="","",Allocation!CC222)</f>
        <v>0</v>
      </c>
      <c r="K222">
        <f t="shared" si="0"/>
        <v>1440</v>
      </c>
      <c r="L222">
        <f t="shared" si="1"/>
        <v>398.782457</v>
      </c>
      <c r="M222">
        <f t="shared" si="2"/>
        <v>15</v>
      </c>
      <c r="N222">
        <f t="shared" si="3"/>
        <v>3292150.848138</v>
      </c>
      <c r="O222">
        <f t="shared" si="4"/>
        <v>7200</v>
      </c>
      <c r="P222">
        <f t="shared" si="5"/>
        <v>171.622457</v>
      </c>
      <c r="Q222">
        <f t="shared" si="6"/>
        <v>1305.035426</v>
      </c>
      <c r="R222">
        <f t="shared" si="7"/>
        <v>50</v>
      </c>
      <c r="S222">
        <f t="shared" si="8"/>
        <v>10043742.187896</v>
      </c>
      <c r="T222">
        <f t="shared" si="9"/>
        <v>3253.616848</v>
      </c>
      <c r="U222">
        <f t="shared" si="10"/>
        <v>135</v>
      </c>
      <c r="V222">
        <f t="shared" si="11"/>
        <v>24231703.809425</v>
      </c>
      <c r="W222">
        <f>IF($A222="","",Allocation!CD222)</f>
        <v>186459.781808</v>
      </c>
      <c r="X222">
        <f>IF($A222="","",Allocation!CE222)</f>
        <v>535199.11536</v>
      </c>
      <c r="Y222">
        <f>IF($A222="","",Allocation!CF222)</f>
        <v>146351.581975</v>
      </c>
      <c r="Z222">
        <f>IF($A222="","",Allocation!CG222)</f>
        <v>73754.28</v>
      </c>
      <c r="AA222">
        <f>IF($A222="","",Allocation!CH222)</f>
        <v>1254602.380422</v>
      </c>
      <c r="AB222">
        <f>IF($A222="","",Allocation!CI222)</f>
        <v>2975861.58142</v>
      </c>
      <c r="AC222">
        <f>IF($A222="","",IF(Allocation!$N$4="VOL_EFF",$G222,IF(Allocation!$N$4="VOL_CLASS",$H222,$I222)))</f>
        <v>3</v>
      </c>
      <c r="AD222">
        <f>IF($A222="","",IF(Allocation!$N$4="VOL_EFF",$L222,IF(Allocation!$N$4="VOL_CLASS",$M222,$N222)))</f>
        <v>15</v>
      </c>
      <c r="AE222">
        <f>IF($A222="","",IF(Allocation!$N$3="VOL_EFF",$L222,IF(Allocation!$N$3="VOL_CLASS",$M222,$N222)))</f>
        <v>398.782457</v>
      </c>
      <c r="AF222">
        <f>IF($A222="","",IF(Allocation!$N$3="VOL_EFF",$Q222,IF(Allocation!$N$3="VOL_CLASS",$R222,$S222)))</f>
        <v>1305.035426</v>
      </c>
      <c r="AG222">
        <f>IF($A222="","",IF(Allocation!$N$1="VOL_EFF",$Q222,IF(Allocation!$N$1="VOL_CLASS",$R222,$S222)))</f>
        <v>50</v>
      </c>
      <c r="AH222">
        <f>IF($A222="","",IF(Allocation!$N$1="VOL_EFF",$T222,IF(Allocation!$N$1="VOL_CLASS",$U222,$V222)))</f>
        <v>135</v>
      </c>
      <c r="AI222">
        <f t="shared" si="12"/>
        <v>37291.9563616</v>
      </c>
      <c r="AJ222">
        <f t="shared" si="13"/>
        <v>107039.823072</v>
      </c>
      <c r="AK222">
        <f t="shared" si="14"/>
        <v>28034.8273872796</v>
      </c>
      <c r="AL222">
        <f t="shared" si="15"/>
        <v>250920.4760844</v>
      </c>
      <c r="AM222">
        <f t="shared" si="16"/>
        <v>67358.5456982395</v>
      </c>
      <c r="AN222">
        <f t="shared" si="17"/>
        <v>91490.2876210612</v>
      </c>
      <c r="AO222">
        <f>IF($A222="","",Allocation!CJ222)</f>
        <v>743978.4</v>
      </c>
      <c r="AP222">
        <f>IF($A222="","",IF(Allocation!$N$2="VOL_EFF",$Q222,IF(Allocation!$N$2="VOL_CLASS",$R222,$S222)))</f>
        <v>10043742.187896</v>
      </c>
      <c r="AQ222">
        <f>IF($A222="","",IF(Allocation!$N$2="VOL_EFF",$T222,IF(Allocation!$N$2="VOL_CLASS",$U222,$V222)))</f>
        <v>24231703.809425</v>
      </c>
      <c r="AR222">
        <f t="shared" si="18"/>
        <v>18845.8474234197</v>
      </c>
      <c r="AS222" t="str">
        <f>IF($A222="","",$A222&amp;"|"&amp;Allocation!BG222)</f>
        <v>2027|V01</v>
      </c>
    </row>
    <row r="223" ht="14.497499999999997" customHeight="1">
      <c r="A223" t="str">
        <f>IF(Allocation!BI223="","",Allocation!BI223)</f>
        <v>2027</v>
      </c>
      <c r="B223" t="str">
        <f>IF(Allocation!BJ223="","",Allocation!BJ223)</f>
        <v>MBWAY_PAR</v>
      </c>
      <c r="C223" t="str">
        <f>IF(Allocation!BK223="","",Allocation!BK223)</f>
        <v>MBWAY</v>
      </c>
      <c r="D223" t="str">
        <f>IF(Allocation!BL223="","",Allocation!BL223)</f>
        <v>BAC_MGT</v>
      </c>
      <c r="E223" t="str">
        <f>IF(Allocation!BM223="","",Allocation!BM223)</f>
        <v>B3</v>
      </c>
      <c r="F223" t="str">
        <f>IF(Allocation!BN223="","",Allocation!BN223)</f>
        <v>ALT</v>
      </c>
      <c r="G223">
        <f>IF(Allocation!BO223="","",Allocation!BO223)</f>
        <v>74.38</v>
      </c>
      <c r="H223">
        <f>IF(Allocation!BP223="","",Allocation!BP223)</f>
        <v>3</v>
      </c>
      <c r="I223">
        <f>IF(Allocation!BQ223="","",Allocation!BQ223)</f>
        <v>585168.524416</v>
      </c>
      <c r="J223">
        <f>IF(Allocation!CC223="","",Allocation!CC223)</f>
        <v>0</v>
      </c>
      <c r="K223">
        <f t="shared" si="0"/>
        <v>1440</v>
      </c>
      <c r="L223">
        <f t="shared" si="1"/>
        <v>398.782457</v>
      </c>
      <c r="M223">
        <f t="shared" si="2"/>
        <v>15</v>
      </c>
      <c r="N223">
        <f t="shared" si="3"/>
        <v>3292150.848138</v>
      </c>
      <c r="O223">
        <f t="shared" si="4"/>
        <v>7200</v>
      </c>
      <c r="P223">
        <f t="shared" si="5"/>
        <v>171.622457</v>
      </c>
      <c r="Q223">
        <f t="shared" si="6"/>
        <v>1305.035426</v>
      </c>
      <c r="R223">
        <f t="shared" si="7"/>
        <v>50</v>
      </c>
      <c r="S223">
        <f t="shared" si="8"/>
        <v>10043742.187896</v>
      </c>
      <c r="T223">
        <f t="shared" si="9"/>
        <v>3253.616848</v>
      </c>
      <c r="U223">
        <f t="shared" si="10"/>
        <v>135</v>
      </c>
      <c r="V223">
        <f t="shared" si="11"/>
        <v>24231703.809425</v>
      </c>
      <c r="W223">
        <f>IF($A223="","",Allocation!CD223)</f>
        <v>186459.781808</v>
      </c>
      <c r="X223">
        <f>IF($A223="","",Allocation!CE223)</f>
        <v>535199.11536</v>
      </c>
      <c r="Y223">
        <f>IF($A223="","",Allocation!CF223)</f>
        <v>146351.581975</v>
      </c>
      <c r="Z223">
        <f>IF($A223="","",Allocation!CG223)</f>
        <v>73754.28</v>
      </c>
      <c r="AA223">
        <f>IF($A223="","",Allocation!CH223)</f>
        <v>1254602.380422</v>
      </c>
      <c r="AB223">
        <f>IF($A223="","",Allocation!CI223)</f>
        <v>2975861.58142</v>
      </c>
      <c r="AC223">
        <f>IF($A223="","",IF(Allocation!$N$4="VOL_EFF",$G223,IF(Allocation!$N$4="VOL_CLASS",$H223,$I223)))</f>
        <v>3</v>
      </c>
      <c r="AD223">
        <f>IF($A223="","",IF(Allocation!$N$4="VOL_EFF",$L223,IF(Allocation!$N$4="VOL_CLASS",$M223,$N223)))</f>
        <v>15</v>
      </c>
      <c r="AE223">
        <f>IF($A223="","",IF(Allocation!$N$3="VOL_EFF",$L223,IF(Allocation!$N$3="VOL_CLASS",$M223,$N223)))</f>
        <v>398.782457</v>
      </c>
      <c r="AF223">
        <f>IF($A223="","",IF(Allocation!$N$3="VOL_EFF",$Q223,IF(Allocation!$N$3="VOL_CLASS",$R223,$S223)))</f>
        <v>1305.035426</v>
      </c>
      <c r="AG223">
        <f>IF($A223="","",IF(Allocation!$N$1="VOL_EFF",$Q223,IF(Allocation!$N$1="VOL_CLASS",$R223,$S223)))</f>
        <v>50</v>
      </c>
      <c r="AH223">
        <f>IF($A223="","",IF(Allocation!$N$1="VOL_EFF",$T223,IF(Allocation!$N$1="VOL_CLASS",$U223,$V223)))</f>
        <v>135</v>
      </c>
      <c r="AI223">
        <f t="shared" si="12"/>
        <v>37291.9563616</v>
      </c>
      <c r="AJ223">
        <f t="shared" si="13"/>
        <v>107039.823072</v>
      </c>
      <c r="AK223">
        <f t="shared" si="14"/>
        <v>27297.1653497298</v>
      </c>
      <c r="AL223">
        <f t="shared" si="15"/>
        <v>250920.4760844</v>
      </c>
      <c r="AM223">
        <f t="shared" si="16"/>
        <v>67358.5456982395</v>
      </c>
      <c r="AN223">
        <f t="shared" si="17"/>
        <v>76414.710426611</v>
      </c>
      <c r="AO223">
        <f>IF($A223="","",Allocation!CJ223)</f>
        <v>743978.4</v>
      </c>
      <c r="AP223">
        <f>IF($A223="","",IF(Allocation!$N$2="VOL_EFF",$Q223,IF(Allocation!$N$2="VOL_CLASS",$R223,$S223)))</f>
        <v>10043742.187896</v>
      </c>
      <c r="AQ223">
        <f>IF($A223="","",IF(Allocation!$N$2="VOL_EFF",$T223,IF(Allocation!$N$2="VOL_CLASS",$U223,$V223)))</f>
        <v>24231703.809425</v>
      </c>
      <c r="AR223">
        <f t="shared" si="18"/>
        <v>18845.8474234197</v>
      </c>
      <c r="AS223" t="str">
        <f>IF($A223="","",$A223&amp;"|"&amp;Allocation!BG223)</f>
        <v>2027|V01</v>
      </c>
    </row>
    <row r="224" ht="14.497499999999997" customHeight="1">
      <c r="A224" t="str">
        <f>IF(Allocation!BI224="","",Allocation!BI224)</f>
        <v>2027</v>
      </c>
      <c r="B224" t="str">
        <f>IF(Allocation!BJ224="","",Allocation!BJ224)</f>
        <v>MBWAY_PAR</v>
      </c>
      <c r="C224" t="str">
        <f>IF(Allocation!BK224="","",Allocation!BK224)</f>
        <v>MBWAY</v>
      </c>
      <c r="D224" t="str">
        <f>IF(Allocation!BL224="","",Allocation!BL224)</f>
        <v>MAS_MGT</v>
      </c>
      <c r="E224" t="str">
        <f>IF(Allocation!BM224="","",Allocation!BM224)</f>
        <v>M1</v>
      </c>
      <c r="F224" t="str">
        <f>IF(Allocation!BN224="","",Allocation!BN224)</f>
        <v>ALT</v>
      </c>
      <c r="G224">
        <f>IF(Allocation!BO224="","",Allocation!BO224)</f>
        <v>86.70186</v>
      </c>
      <c r="H224">
        <f>IF(Allocation!BP224="","",Allocation!BP224)</f>
        <v>3</v>
      </c>
      <c r="I224">
        <f>IF(Allocation!BQ224="","",Allocation!BQ224)</f>
        <v>738633.260172</v>
      </c>
      <c r="J224">
        <f>IF(Allocation!CC224="","",Allocation!CC224)</f>
        <v>86.70186</v>
      </c>
      <c r="K224">
        <f t="shared" si="0"/>
        <v>1260</v>
      </c>
      <c r="L224">
        <f t="shared" si="1"/>
        <v>398.782457</v>
      </c>
      <c r="M224">
        <f t="shared" si="2"/>
        <v>15</v>
      </c>
      <c r="N224">
        <f t="shared" si="3"/>
        <v>3292150.848138</v>
      </c>
      <c r="O224">
        <f t="shared" si="4"/>
        <v>7200</v>
      </c>
      <c r="P224">
        <f t="shared" si="5"/>
        <v>171.622457</v>
      </c>
      <c r="Q224">
        <f t="shared" si="6"/>
        <v>1305.035426</v>
      </c>
      <c r="R224">
        <f t="shared" si="7"/>
        <v>50</v>
      </c>
      <c r="S224">
        <f t="shared" si="8"/>
        <v>10043742.187896</v>
      </c>
      <c r="T224">
        <f t="shared" si="9"/>
        <v>3253.616848</v>
      </c>
      <c r="U224">
        <f t="shared" si="10"/>
        <v>135</v>
      </c>
      <c r="V224">
        <f t="shared" si="11"/>
        <v>24231703.809425</v>
      </c>
      <c r="W224">
        <f>IF($A224="","",Allocation!CD224)</f>
        <v>186459.781808</v>
      </c>
      <c r="X224">
        <f>IF($A224="","",Allocation!CE224)</f>
        <v>535199.11536</v>
      </c>
      <c r="Y224">
        <f>IF($A224="","",Allocation!CF224)</f>
        <v>146351.581975</v>
      </c>
      <c r="Z224">
        <f>IF($A224="","",Allocation!CG224)</f>
        <v>73754.28</v>
      </c>
      <c r="AA224">
        <f>IF($A224="","",Allocation!CH224)</f>
        <v>1254602.380422</v>
      </c>
      <c r="AB224">
        <f>IF($A224="","",Allocation!CI224)</f>
        <v>2975861.58142</v>
      </c>
      <c r="AC224">
        <f>IF($A224="","",IF(Allocation!$N$4="VOL_EFF",$G224,IF(Allocation!$N$4="VOL_CLASS",$H224,$I224)))</f>
        <v>3</v>
      </c>
      <c r="AD224">
        <f>IF($A224="","",IF(Allocation!$N$4="VOL_EFF",$L224,IF(Allocation!$N$4="VOL_CLASS",$M224,$N224)))</f>
        <v>15</v>
      </c>
      <c r="AE224">
        <f>IF($A224="","",IF(Allocation!$N$3="VOL_EFF",$L224,IF(Allocation!$N$3="VOL_CLASS",$M224,$N224)))</f>
        <v>398.782457</v>
      </c>
      <c r="AF224">
        <f>IF($A224="","",IF(Allocation!$N$3="VOL_EFF",$Q224,IF(Allocation!$N$3="VOL_CLASS",$R224,$S224)))</f>
        <v>1305.035426</v>
      </c>
      <c r="AG224">
        <f>IF($A224="","",IF(Allocation!$N$1="VOL_EFF",$Q224,IF(Allocation!$N$1="VOL_CLASS",$R224,$S224)))</f>
        <v>50</v>
      </c>
      <c r="AH224">
        <f>IF($A224="","",IF(Allocation!$N$1="VOL_EFF",$T224,IF(Allocation!$N$1="VOL_CLASS",$U224,$V224)))</f>
        <v>135</v>
      </c>
      <c r="AI224">
        <f t="shared" si="12"/>
        <v>32630.4618164</v>
      </c>
      <c r="AJ224">
        <f t="shared" si="13"/>
        <v>93659.845188</v>
      </c>
      <c r="AK224">
        <f t="shared" si="14"/>
        <v>69079.1256011123</v>
      </c>
      <c r="AL224">
        <f t="shared" si="15"/>
        <v>250920.4760844</v>
      </c>
      <c r="AM224">
        <f t="shared" si="16"/>
        <v>67358.5456982395</v>
      </c>
      <c r="AN224">
        <f t="shared" si="17"/>
        <v>206138.958360429</v>
      </c>
      <c r="AO224">
        <f>IF($A224="","",Allocation!CJ224)</f>
        <v>743978.4</v>
      </c>
      <c r="AP224">
        <f>IF($A224="","",IF(Allocation!$N$2="VOL_EFF",$Q224,IF(Allocation!$N$2="VOL_CLASS",$R224,$S224)))</f>
        <v>10043742.187896</v>
      </c>
      <c r="AQ224">
        <f>IF($A224="","",IF(Allocation!$N$2="VOL_EFF",$T224,IF(Allocation!$N$2="VOL_CLASS",$U224,$V224)))</f>
        <v>24231703.809425</v>
      </c>
      <c r="AR224">
        <f t="shared" si="18"/>
        <v>18845.8474234197</v>
      </c>
      <c r="AS224" t="str">
        <f>IF($A224="","",$A224&amp;"|"&amp;Allocation!BG224)</f>
        <v>2027|V01</v>
      </c>
    </row>
    <row r="225" ht="14.497499999999997" customHeight="1">
      <c r="A225" t="str">
        <f>IF(Allocation!BI225="","",Allocation!BI225)</f>
        <v>2027</v>
      </c>
      <c r="B225" t="str">
        <f>IF(Allocation!BJ225="","",Allocation!BJ225)</f>
        <v>MBWAY_PAR</v>
      </c>
      <c r="C225" t="str">
        <f>IF(Allocation!BK225="","",Allocation!BK225)</f>
        <v>MBWAY</v>
      </c>
      <c r="D225" t="str">
        <f>IF(Allocation!BL225="","",Allocation!BL225)</f>
        <v>MAS_MGT</v>
      </c>
      <c r="E225" t="str">
        <f>IF(Allocation!BM225="","",Allocation!BM225)</f>
        <v>M2</v>
      </c>
      <c r="F225" t="str">
        <f>IF(Allocation!BN225="","",Allocation!BN225)</f>
        <v>ALT</v>
      </c>
      <c r="G225">
        <f>IF(Allocation!BO225="","",Allocation!BO225)</f>
        <v>76.39</v>
      </c>
      <c r="H225">
        <f>IF(Allocation!BP225="","",Allocation!BP225)</f>
        <v>3</v>
      </c>
      <c r="I225">
        <f>IF(Allocation!BQ225="","",Allocation!BQ225)</f>
        <v>643909.03248</v>
      </c>
      <c r="J225">
        <f>IF(Allocation!CC225="","",Allocation!CC225)</f>
        <v>0</v>
      </c>
      <c r="K225">
        <f t="shared" si="0"/>
        <v>1260</v>
      </c>
      <c r="L225">
        <f t="shared" si="1"/>
        <v>398.782457</v>
      </c>
      <c r="M225">
        <f t="shared" si="2"/>
        <v>15</v>
      </c>
      <c r="N225">
        <f t="shared" si="3"/>
        <v>3292150.848138</v>
      </c>
      <c r="O225">
        <f t="shared" si="4"/>
        <v>7200</v>
      </c>
      <c r="P225">
        <f t="shared" si="5"/>
        <v>171.622457</v>
      </c>
      <c r="Q225">
        <f t="shared" si="6"/>
        <v>1305.035426</v>
      </c>
      <c r="R225">
        <f t="shared" si="7"/>
        <v>50</v>
      </c>
      <c r="S225">
        <f t="shared" si="8"/>
        <v>10043742.187896</v>
      </c>
      <c r="T225">
        <f t="shared" si="9"/>
        <v>3253.616848</v>
      </c>
      <c r="U225">
        <f t="shared" si="10"/>
        <v>135</v>
      </c>
      <c r="V225">
        <f t="shared" si="11"/>
        <v>24231703.809425</v>
      </c>
      <c r="W225">
        <f>IF($A225="","",Allocation!CD225)</f>
        <v>186459.781808</v>
      </c>
      <c r="X225">
        <f>IF($A225="","",Allocation!CE225)</f>
        <v>535199.11536</v>
      </c>
      <c r="Y225">
        <f>IF($A225="","",Allocation!CF225)</f>
        <v>146351.581975</v>
      </c>
      <c r="Z225">
        <f>IF($A225="","",Allocation!CG225)</f>
        <v>73754.28</v>
      </c>
      <c r="AA225">
        <f>IF($A225="","",Allocation!CH225)</f>
        <v>1254602.380422</v>
      </c>
      <c r="AB225">
        <f>IF($A225="","",Allocation!CI225)</f>
        <v>2975861.58142</v>
      </c>
      <c r="AC225">
        <f>IF($A225="","",IF(Allocation!$N$4="VOL_EFF",$G225,IF(Allocation!$N$4="VOL_CLASS",$H225,$I225)))</f>
        <v>3</v>
      </c>
      <c r="AD225">
        <f>IF($A225="","",IF(Allocation!$N$4="VOL_EFF",$L225,IF(Allocation!$N$4="VOL_CLASS",$M225,$N225)))</f>
        <v>15</v>
      </c>
      <c r="AE225">
        <f>IF($A225="","",IF(Allocation!$N$3="VOL_EFF",$L225,IF(Allocation!$N$3="VOL_CLASS",$M225,$N225)))</f>
        <v>398.782457</v>
      </c>
      <c r="AF225">
        <f>IF($A225="","",IF(Allocation!$N$3="VOL_EFF",$Q225,IF(Allocation!$N$3="VOL_CLASS",$R225,$S225)))</f>
        <v>1305.035426</v>
      </c>
      <c r="AG225">
        <f>IF($A225="","",IF(Allocation!$N$1="VOL_EFF",$Q225,IF(Allocation!$N$1="VOL_CLASS",$R225,$S225)))</f>
        <v>50</v>
      </c>
      <c r="AH225">
        <f>IF($A225="","",IF(Allocation!$N$1="VOL_EFF",$T225,IF(Allocation!$N$1="VOL_CLASS",$U225,$V225)))</f>
        <v>135</v>
      </c>
      <c r="AI225">
        <f t="shared" si="12"/>
        <v>32630.4618164</v>
      </c>
      <c r="AJ225">
        <f t="shared" si="13"/>
        <v>93659.845188</v>
      </c>
      <c r="AK225">
        <f t="shared" si="14"/>
        <v>28034.8273872796</v>
      </c>
      <c r="AL225">
        <f t="shared" si="15"/>
        <v>250920.4760844</v>
      </c>
      <c r="AM225">
        <f t="shared" si="16"/>
        <v>67358.5456982395</v>
      </c>
      <c r="AN225">
        <f t="shared" si="17"/>
        <v>152459.028882261</v>
      </c>
      <c r="AO225">
        <f>IF($A225="","",Allocation!CJ225)</f>
        <v>743978.4</v>
      </c>
      <c r="AP225">
        <f>IF($A225="","",IF(Allocation!$N$2="VOL_EFF",$Q225,IF(Allocation!$N$2="VOL_CLASS",$R225,$S225)))</f>
        <v>10043742.187896</v>
      </c>
      <c r="AQ225">
        <f>IF($A225="","",IF(Allocation!$N$2="VOL_EFF",$T225,IF(Allocation!$N$2="VOL_CLASS",$U225,$V225)))</f>
        <v>24231703.809425</v>
      </c>
      <c r="AR225">
        <f t="shared" si="18"/>
        <v>18845.8474234197</v>
      </c>
      <c r="AS225" t="str">
        <f>IF($A225="","",$A225&amp;"|"&amp;Allocation!BG225)</f>
        <v>2027|V01</v>
      </c>
    </row>
    <row r="226" ht="14.497499999999997" customHeight="1">
      <c r="A226" t="str">
        <f>IF(Allocation!BI226="","",Allocation!BI226)</f>
        <v>2027</v>
      </c>
      <c r="B226" t="str">
        <f>IF(Allocation!BJ226="","",Allocation!BJ226)</f>
        <v>PIGIER_BOR</v>
      </c>
      <c r="C226" t="str">
        <f>IF(Allocation!BK226="","",Allocation!BK226)</f>
        <v>PIGIER</v>
      </c>
      <c r="D226" t="str">
        <f>IF(Allocation!BL226="","",Allocation!BL226)</f>
        <v>BTS_GES</v>
      </c>
      <c r="E226" t="str">
        <f>IF(Allocation!BM226="","",Allocation!BM226)</f>
        <v>BTS1</v>
      </c>
      <c r="F226" t="str">
        <f>IF(Allocation!BN226="","",Allocation!BN226)</f>
        <v>ALT</v>
      </c>
      <c r="G226">
        <f>IF(Allocation!BO226="","",Allocation!BO226)</f>
        <v>40.09082</v>
      </c>
      <c r="H226">
        <f>IF(Allocation!BP226="","",Allocation!BP226)</f>
        <v>2</v>
      </c>
      <c r="I226">
        <f>IF(Allocation!BQ226="","",Allocation!BQ226)</f>
        <v>237545.733774</v>
      </c>
      <c r="J226">
        <f>IF(Allocation!CC226="","",Allocation!CC226)</f>
        <v>40.09082</v>
      </c>
      <c r="K226">
        <f t="shared" si="0"/>
        <v>1400</v>
      </c>
      <c r="L226">
        <f t="shared" si="1"/>
        <v>184.71664</v>
      </c>
      <c r="M226">
        <f t="shared" si="2"/>
        <v>10</v>
      </c>
      <c r="N226">
        <f t="shared" si="3"/>
        <v>1191512.604488</v>
      </c>
      <c r="O226">
        <f t="shared" si="4"/>
        <v>5680</v>
      </c>
      <c r="P226">
        <f t="shared" si="5"/>
        <v>80.18164</v>
      </c>
      <c r="Q226">
        <f t="shared" si="6"/>
        <v>421.664172</v>
      </c>
      <c r="R226">
        <f t="shared" si="7"/>
        <v>20</v>
      </c>
      <c r="S226">
        <f t="shared" si="8"/>
        <v>2845382.668199</v>
      </c>
      <c r="T226">
        <f t="shared" si="9"/>
        <v>3253.616848</v>
      </c>
      <c r="U226">
        <f t="shared" si="10"/>
        <v>135</v>
      </c>
      <c r="V226">
        <f t="shared" si="11"/>
        <v>24231703.809425</v>
      </c>
      <c r="W226">
        <f>IF($A226="","",Allocation!CD226)</f>
        <v>99444.73647</v>
      </c>
      <c r="X226">
        <f>IF($A226="","",Allocation!CE226)</f>
        <v>194818.2691</v>
      </c>
      <c r="Y226">
        <f>IF($A226="","",Allocation!CF226)</f>
        <v>54403.580192</v>
      </c>
      <c r="Z226">
        <f>IF($A226="","",Allocation!CG226)</f>
        <v>23725.44</v>
      </c>
      <c r="AA226">
        <f>IF($A226="","",Allocation!CH226)</f>
        <v>360701.117209</v>
      </c>
      <c r="AB226">
        <f>IF($A226="","",Allocation!CI226)</f>
        <v>2975861.58142</v>
      </c>
      <c r="AC226">
        <f>IF($A226="","",IF(Allocation!$N$4="VOL_EFF",$G226,IF(Allocation!$N$4="VOL_CLASS",$H226,$I226)))</f>
        <v>2</v>
      </c>
      <c r="AD226">
        <f>IF($A226="","",IF(Allocation!$N$4="VOL_EFF",$L226,IF(Allocation!$N$4="VOL_CLASS",$M226,$N226)))</f>
        <v>10</v>
      </c>
      <c r="AE226">
        <f>IF($A226="","",IF(Allocation!$N$3="VOL_EFF",$L226,IF(Allocation!$N$3="VOL_CLASS",$M226,$N226)))</f>
        <v>184.71664</v>
      </c>
      <c r="AF226">
        <f>IF($A226="","",IF(Allocation!$N$3="VOL_EFF",$Q226,IF(Allocation!$N$3="VOL_CLASS",$R226,$S226)))</f>
        <v>421.664172</v>
      </c>
      <c r="AG226">
        <f>IF($A226="","",IF(Allocation!$N$1="VOL_EFF",$Q226,IF(Allocation!$N$1="VOL_CLASS",$R226,$S226)))</f>
        <v>20</v>
      </c>
      <c r="AH226">
        <f>IF($A226="","",IF(Allocation!$N$1="VOL_EFF",$T226,IF(Allocation!$N$1="VOL_CLASS",$U226,$V226)))</f>
        <v>135</v>
      </c>
      <c r="AI226">
        <f t="shared" si="12"/>
        <v>24511.0265947183</v>
      </c>
      <c r="AJ226">
        <f t="shared" si="13"/>
        <v>48018.5874542254</v>
      </c>
      <c r="AK226">
        <f t="shared" si="14"/>
        <v>23670.4496167418</v>
      </c>
      <c r="AL226">
        <f t="shared" si="15"/>
        <v>72140.2234418</v>
      </c>
      <c r="AM226">
        <f t="shared" si="16"/>
        <v>38625.8694443613</v>
      </c>
      <c r="AN226">
        <f t="shared" si="17"/>
        <v>22925.6139983709</v>
      </c>
      <c r="AO226">
        <f>IF($A226="","",Allocation!CJ226)</f>
        <v>743978.4</v>
      </c>
      <c r="AP226">
        <f>IF($A226="","",IF(Allocation!$N$2="VOL_EFF",$Q226,IF(Allocation!$N$2="VOL_CLASS",$R226,$S226)))</f>
        <v>2845382.668199</v>
      </c>
      <c r="AQ226">
        <f>IF($A226="","",IF(Allocation!$N$2="VOL_EFF",$T226,IF(Allocation!$N$2="VOL_CLASS",$U226,$V226)))</f>
        <v>24231703.809425</v>
      </c>
      <c r="AR226">
        <f t="shared" si="18"/>
        <v>7653.96322378222</v>
      </c>
      <c r="AS226" t="str">
        <f>IF($A226="","",$A226&amp;"|"&amp;Allocation!BG226)</f>
        <v>2027|V01</v>
      </c>
    </row>
    <row r="227" ht="14.497499999999997" customHeight="1">
      <c r="A227" t="str">
        <f>IF(Allocation!BI227="","",Allocation!BI227)</f>
        <v>2027</v>
      </c>
      <c r="B227" t="str">
        <f>IF(Allocation!BJ227="","",Allocation!BJ227)</f>
        <v>PIGIER_BOR</v>
      </c>
      <c r="C227" t="str">
        <f>IF(Allocation!BK227="","",Allocation!BK227)</f>
        <v>PIGIER</v>
      </c>
      <c r="D227" t="str">
        <f>IF(Allocation!BL227="","",Allocation!BL227)</f>
        <v>BTS_GES</v>
      </c>
      <c r="E227" t="str">
        <f>IF(Allocation!BM227="","",Allocation!BM227)</f>
        <v>BTS2</v>
      </c>
      <c r="F227" t="str">
        <f>IF(Allocation!BN227="","",Allocation!BN227)</f>
        <v>ALT</v>
      </c>
      <c r="G227">
        <f>IF(Allocation!BO227="","",Allocation!BO227)</f>
        <v>35.18</v>
      </c>
      <c r="H227">
        <f>IF(Allocation!BP227="","",Allocation!BP227)</f>
        <v>2</v>
      </c>
      <c r="I227">
        <f>IF(Allocation!BQ227="","",Allocation!BQ227)</f>
        <v>205281.991236</v>
      </c>
      <c r="J227">
        <f>IF(Allocation!CC227="","",Allocation!CC227)</f>
        <v>0</v>
      </c>
      <c r="K227">
        <f t="shared" si="0"/>
        <v>1400</v>
      </c>
      <c r="L227">
        <f t="shared" si="1"/>
        <v>184.71664</v>
      </c>
      <c r="M227">
        <f t="shared" si="2"/>
        <v>10</v>
      </c>
      <c r="N227">
        <f t="shared" si="3"/>
        <v>1191512.604488</v>
      </c>
      <c r="O227">
        <f t="shared" si="4"/>
        <v>5680</v>
      </c>
      <c r="P227">
        <f t="shared" si="5"/>
        <v>80.18164</v>
      </c>
      <c r="Q227">
        <f t="shared" si="6"/>
        <v>421.664172</v>
      </c>
      <c r="R227">
        <f t="shared" si="7"/>
        <v>20</v>
      </c>
      <c r="S227">
        <f t="shared" si="8"/>
        <v>2845382.668199</v>
      </c>
      <c r="T227">
        <f t="shared" si="9"/>
        <v>3253.616848</v>
      </c>
      <c r="U227">
        <f t="shared" si="10"/>
        <v>135</v>
      </c>
      <c r="V227">
        <f t="shared" si="11"/>
        <v>24231703.809425</v>
      </c>
      <c r="W227">
        <f>IF($A227="","",Allocation!CD227)</f>
        <v>99444.73647</v>
      </c>
      <c r="X227">
        <f>IF($A227="","",Allocation!CE227)</f>
        <v>194818.2691</v>
      </c>
      <c r="Y227">
        <f>IF($A227="","",Allocation!CF227)</f>
        <v>54403.580192</v>
      </c>
      <c r="Z227">
        <f>IF($A227="","",Allocation!CG227)</f>
        <v>23725.44</v>
      </c>
      <c r="AA227">
        <f>IF($A227="","",Allocation!CH227)</f>
        <v>360701.117209</v>
      </c>
      <c r="AB227">
        <f>IF($A227="","",Allocation!CI227)</f>
        <v>2975861.58142</v>
      </c>
      <c r="AC227">
        <f>IF($A227="","",IF(Allocation!$N$4="VOL_EFF",$G227,IF(Allocation!$N$4="VOL_CLASS",$H227,$I227)))</f>
        <v>2</v>
      </c>
      <c r="AD227">
        <f>IF($A227="","",IF(Allocation!$N$4="VOL_EFF",$L227,IF(Allocation!$N$4="VOL_CLASS",$M227,$N227)))</f>
        <v>10</v>
      </c>
      <c r="AE227">
        <f>IF($A227="","",IF(Allocation!$N$3="VOL_EFF",$L227,IF(Allocation!$N$3="VOL_CLASS",$M227,$N227)))</f>
        <v>184.71664</v>
      </c>
      <c r="AF227">
        <f>IF($A227="","",IF(Allocation!$N$3="VOL_EFF",$Q227,IF(Allocation!$N$3="VOL_CLASS",$R227,$S227)))</f>
        <v>421.664172</v>
      </c>
      <c r="AG227">
        <f>IF($A227="","",IF(Allocation!$N$1="VOL_EFF",$Q227,IF(Allocation!$N$1="VOL_CLASS",$R227,$S227)))</f>
        <v>20</v>
      </c>
      <c r="AH227">
        <f>IF($A227="","",IF(Allocation!$N$1="VOL_EFF",$T227,IF(Allocation!$N$1="VOL_CLASS",$U227,$V227)))</f>
        <v>135</v>
      </c>
      <c r="AI227">
        <f t="shared" si="12"/>
        <v>24511.0265947183</v>
      </c>
      <c r="AJ227">
        <f t="shared" si="13"/>
        <v>48018.5874542254</v>
      </c>
      <c r="AK227">
        <f t="shared" si="14"/>
        <v>10361.3727012063</v>
      </c>
      <c r="AL227">
        <f t="shared" si="15"/>
        <v>72140.2234418</v>
      </c>
      <c r="AM227">
        <f t="shared" si="16"/>
        <v>38625.8694443613</v>
      </c>
      <c r="AN227">
        <f t="shared" si="17"/>
        <v>3970.94837590645</v>
      </c>
      <c r="AO227">
        <f>IF($A227="","",Allocation!CJ227)</f>
        <v>743978.4</v>
      </c>
      <c r="AP227">
        <f>IF($A227="","",IF(Allocation!$N$2="VOL_EFF",$Q227,IF(Allocation!$N$2="VOL_CLASS",$R227,$S227)))</f>
        <v>2845382.668199</v>
      </c>
      <c r="AQ227">
        <f>IF($A227="","",IF(Allocation!$N$2="VOL_EFF",$T227,IF(Allocation!$N$2="VOL_CLASS",$U227,$V227)))</f>
        <v>24231703.809425</v>
      </c>
      <c r="AR227">
        <f t="shared" si="18"/>
        <v>7653.96322378222</v>
      </c>
      <c r="AS227" t="str">
        <f>IF($A227="","",$A227&amp;"|"&amp;Allocation!BG227)</f>
        <v>2027|V01</v>
      </c>
    </row>
    <row r="228" ht="14.497499999999997" customHeight="1">
      <c r="A228" t="str">
        <f>IF(Allocation!BI228="","",Allocation!BI228)</f>
        <v>2027</v>
      </c>
      <c r="B228" t="str">
        <f>IF(Allocation!BJ228="","",Allocation!BJ228)</f>
        <v>PIGIER_BOR</v>
      </c>
      <c r="C228" t="str">
        <f>IF(Allocation!BK228="","",Allocation!BK228)</f>
        <v>PIGIER</v>
      </c>
      <c r="D228" t="str">
        <f>IF(Allocation!BL228="","",Allocation!BL228)</f>
        <v>BAC_RH</v>
      </c>
      <c r="E228" t="str">
        <f>IF(Allocation!BM228="","",Allocation!BM228)</f>
        <v>B1</v>
      </c>
      <c r="F228" t="str">
        <f>IF(Allocation!BN228="","",Allocation!BN228)</f>
        <v>ALT</v>
      </c>
      <c r="G228">
        <f>IF(Allocation!BO228="","",Allocation!BO228)</f>
        <v>40.09082</v>
      </c>
      <c r="H228">
        <f>IF(Allocation!BP228="","",Allocation!BP228)</f>
        <v>2</v>
      </c>
      <c r="I228">
        <f>IF(Allocation!BQ228="","",Allocation!BQ228)</f>
        <v>276535.327103</v>
      </c>
      <c r="J228">
        <f>IF(Allocation!CC228="","",Allocation!CC228)</f>
        <v>40.09082</v>
      </c>
      <c r="K228">
        <f t="shared" si="0"/>
        <v>960</v>
      </c>
      <c r="L228">
        <f t="shared" si="1"/>
        <v>184.71664</v>
      </c>
      <c r="M228">
        <f t="shared" si="2"/>
        <v>10</v>
      </c>
      <c r="N228">
        <f t="shared" si="3"/>
        <v>1191512.604488</v>
      </c>
      <c r="O228">
        <f t="shared" si="4"/>
        <v>5680</v>
      </c>
      <c r="P228">
        <f t="shared" si="5"/>
        <v>80.18164</v>
      </c>
      <c r="Q228">
        <f t="shared" si="6"/>
        <v>421.664172</v>
      </c>
      <c r="R228">
        <f t="shared" si="7"/>
        <v>20</v>
      </c>
      <c r="S228">
        <f t="shared" si="8"/>
        <v>2845382.668199</v>
      </c>
      <c r="T228">
        <f t="shared" si="9"/>
        <v>3253.616848</v>
      </c>
      <c r="U228">
        <f t="shared" si="10"/>
        <v>135</v>
      </c>
      <c r="V228">
        <f t="shared" si="11"/>
        <v>24231703.809425</v>
      </c>
      <c r="W228">
        <f>IF($A228="","",Allocation!CD228)</f>
        <v>99444.73647</v>
      </c>
      <c r="X228">
        <f>IF($A228="","",Allocation!CE228)</f>
        <v>194818.2691</v>
      </c>
      <c r="Y228">
        <f>IF($A228="","",Allocation!CF228)</f>
        <v>54403.580192</v>
      </c>
      <c r="Z228">
        <f>IF($A228="","",Allocation!CG228)</f>
        <v>23725.44</v>
      </c>
      <c r="AA228">
        <f>IF($A228="","",Allocation!CH228)</f>
        <v>360701.117209</v>
      </c>
      <c r="AB228">
        <f>IF($A228="","",Allocation!CI228)</f>
        <v>2975861.58142</v>
      </c>
      <c r="AC228">
        <f>IF($A228="","",IF(Allocation!$N$4="VOL_EFF",$G228,IF(Allocation!$N$4="VOL_CLASS",$H228,$I228)))</f>
        <v>2</v>
      </c>
      <c r="AD228">
        <f>IF($A228="","",IF(Allocation!$N$4="VOL_EFF",$L228,IF(Allocation!$N$4="VOL_CLASS",$M228,$N228)))</f>
        <v>10</v>
      </c>
      <c r="AE228">
        <f>IF($A228="","",IF(Allocation!$N$3="VOL_EFF",$L228,IF(Allocation!$N$3="VOL_CLASS",$M228,$N228)))</f>
        <v>184.71664</v>
      </c>
      <c r="AF228">
        <f>IF($A228="","",IF(Allocation!$N$3="VOL_EFF",$Q228,IF(Allocation!$N$3="VOL_CLASS",$R228,$S228)))</f>
        <v>421.664172</v>
      </c>
      <c r="AG228">
        <f>IF($A228="","",IF(Allocation!$N$1="VOL_EFF",$Q228,IF(Allocation!$N$1="VOL_CLASS",$R228,$S228)))</f>
        <v>20</v>
      </c>
      <c r="AH228">
        <f>IF($A228="","",IF(Allocation!$N$1="VOL_EFF",$T228,IF(Allocation!$N$1="VOL_CLASS",$U228,$V228)))</f>
        <v>135</v>
      </c>
      <c r="AI228">
        <f t="shared" si="12"/>
        <v>16807.5610935211</v>
      </c>
      <c r="AJ228">
        <f t="shared" si="13"/>
        <v>32927.0313971831</v>
      </c>
      <c r="AK228">
        <f t="shared" si="14"/>
        <v>23670.4496167418</v>
      </c>
      <c r="AL228">
        <f t="shared" si="15"/>
        <v>72140.2234418</v>
      </c>
      <c r="AM228">
        <f t="shared" si="16"/>
        <v>38625.8694443613</v>
      </c>
      <c r="AN228">
        <f t="shared" si="17"/>
        <v>84710.2288856105</v>
      </c>
      <c r="AO228">
        <f>IF($A228="","",Allocation!CJ228)</f>
        <v>743978.4</v>
      </c>
      <c r="AP228">
        <f>IF($A228="","",IF(Allocation!$N$2="VOL_EFF",$Q228,IF(Allocation!$N$2="VOL_CLASS",$R228,$S228)))</f>
        <v>2845382.668199</v>
      </c>
      <c r="AQ228">
        <f>IF($A228="","",IF(Allocation!$N$2="VOL_EFF",$T228,IF(Allocation!$N$2="VOL_CLASS",$U228,$V228)))</f>
        <v>24231703.809425</v>
      </c>
      <c r="AR228">
        <f t="shared" si="18"/>
        <v>7653.96322378222</v>
      </c>
      <c r="AS228" t="str">
        <f>IF($A228="","",$A228&amp;"|"&amp;Allocation!BG228)</f>
        <v>2027|V01</v>
      </c>
    </row>
    <row r="229" ht="14.497499999999997" customHeight="1">
      <c r="A229" t="str">
        <f>IF(Allocation!BI229="","",Allocation!BI229)</f>
        <v>2027</v>
      </c>
      <c r="B229" t="str">
        <f>IF(Allocation!BJ229="","",Allocation!BJ229)</f>
        <v>PIGIER_BOR</v>
      </c>
      <c r="C229" t="str">
        <f>IF(Allocation!BK229="","",Allocation!BK229)</f>
        <v>PIGIER</v>
      </c>
      <c r="D229" t="str">
        <f>IF(Allocation!BL229="","",Allocation!BL229)</f>
        <v>BAC_RH</v>
      </c>
      <c r="E229" t="str">
        <f>IF(Allocation!BM229="","",Allocation!BM229)</f>
        <v>B2</v>
      </c>
      <c r="F229" t="str">
        <f>IF(Allocation!BN229="","",Allocation!BN229)</f>
        <v>ALT</v>
      </c>
      <c r="G229">
        <f>IF(Allocation!BO229="","",Allocation!BO229)</f>
        <v>35.18</v>
      </c>
      <c r="H229">
        <f>IF(Allocation!BP229="","",Allocation!BP229)</f>
        <v>2</v>
      </c>
      <c r="I229">
        <f>IF(Allocation!BQ229="","",Allocation!BQ229)</f>
        <v>239495.656442</v>
      </c>
      <c r="J229">
        <f>IF(Allocation!CC229="","",Allocation!CC229)</f>
        <v>0</v>
      </c>
      <c r="K229">
        <f t="shared" si="0"/>
        <v>960</v>
      </c>
      <c r="L229">
        <f t="shared" si="1"/>
        <v>184.71664</v>
      </c>
      <c r="M229">
        <f t="shared" si="2"/>
        <v>10</v>
      </c>
      <c r="N229">
        <f t="shared" si="3"/>
        <v>1191512.604488</v>
      </c>
      <c r="O229">
        <f t="shared" si="4"/>
        <v>5680</v>
      </c>
      <c r="P229">
        <f t="shared" si="5"/>
        <v>80.18164</v>
      </c>
      <c r="Q229">
        <f t="shared" si="6"/>
        <v>421.664172</v>
      </c>
      <c r="R229">
        <f t="shared" si="7"/>
        <v>20</v>
      </c>
      <c r="S229">
        <f t="shared" si="8"/>
        <v>2845382.668199</v>
      </c>
      <c r="T229">
        <f t="shared" si="9"/>
        <v>3253.616848</v>
      </c>
      <c r="U229">
        <f t="shared" si="10"/>
        <v>135</v>
      </c>
      <c r="V229">
        <f t="shared" si="11"/>
        <v>24231703.809425</v>
      </c>
      <c r="W229">
        <f>IF($A229="","",Allocation!CD229)</f>
        <v>99444.73647</v>
      </c>
      <c r="X229">
        <f>IF($A229="","",Allocation!CE229)</f>
        <v>194818.2691</v>
      </c>
      <c r="Y229">
        <f>IF($A229="","",Allocation!CF229)</f>
        <v>54403.580192</v>
      </c>
      <c r="Z229">
        <f>IF($A229="","",Allocation!CG229)</f>
        <v>23725.44</v>
      </c>
      <c r="AA229">
        <f>IF($A229="","",Allocation!CH229)</f>
        <v>360701.117209</v>
      </c>
      <c r="AB229">
        <f>IF($A229="","",Allocation!CI229)</f>
        <v>2975861.58142</v>
      </c>
      <c r="AC229">
        <f>IF($A229="","",IF(Allocation!$N$4="VOL_EFF",$G229,IF(Allocation!$N$4="VOL_CLASS",$H229,$I229)))</f>
        <v>2</v>
      </c>
      <c r="AD229">
        <f>IF($A229="","",IF(Allocation!$N$4="VOL_EFF",$L229,IF(Allocation!$N$4="VOL_CLASS",$M229,$N229)))</f>
        <v>10</v>
      </c>
      <c r="AE229">
        <f>IF($A229="","",IF(Allocation!$N$3="VOL_EFF",$L229,IF(Allocation!$N$3="VOL_CLASS",$M229,$N229)))</f>
        <v>184.71664</v>
      </c>
      <c r="AF229">
        <f>IF($A229="","",IF(Allocation!$N$3="VOL_EFF",$Q229,IF(Allocation!$N$3="VOL_CLASS",$R229,$S229)))</f>
        <v>421.664172</v>
      </c>
      <c r="AG229">
        <f>IF($A229="","",IF(Allocation!$N$1="VOL_EFF",$Q229,IF(Allocation!$N$1="VOL_CLASS",$R229,$S229)))</f>
        <v>20</v>
      </c>
      <c r="AH229">
        <f>IF($A229="","",IF(Allocation!$N$1="VOL_EFF",$T229,IF(Allocation!$N$1="VOL_CLASS",$U229,$V229)))</f>
        <v>135</v>
      </c>
      <c r="AI229">
        <f t="shared" si="12"/>
        <v>16807.5610935211</v>
      </c>
      <c r="AJ229">
        <f t="shared" si="13"/>
        <v>32927.0313971831</v>
      </c>
      <c r="AK229">
        <f t="shared" si="14"/>
        <v>10361.3727012063</v>
      </c>
      <c r="AL229">
        <f t="shared" si="15"/>
        <v>72140.2234418</v>
      </c>
      <c r="AM229">
        <f t="shared" si="16"/>
        <v>38625.8694443613</v>
      </c>
      <c r="AN229">
        <f t="shared" si="17"/>
        <v>60979.635140146</v>
      </c>
      <c r="AO229">
        <f>IF($A229="","",Allocation!CJ229)</f>
        <v>743978.4</v>
      </c>
      <c r="AP229">
        <f>IF($A229="","",IF(Allocation!$N$2="VOL_EFF",$Q229,IF(Allocation!$N$2="VOL_CLASS",$R229,$S229)))</f>
        <v>2845382.668199</v>
      </c>
      <c r="AQ229">
        <f>IF($A229="","",IF(Allocation!$N$2="VOL_EFF",$T229,IF(Allocation!$N$2="VOL_CLASS",$U229,$V229)))</f>
        <v>24231703.809425</v>
      </c>
      <c r="AR229">
        <f t="shared" si="18"/>
        <v>7653.96322378222</v>
      </c>
      <c r="AS229" t="str">
        <f>IF($A229="","",$A229&amp;"|"&amp;Allocation!BG229)</f>
        <v>2027|V01</v>
      </c>
    </row>
    <row r="230" ht="14.497499999999997" customHeight="1">
      <c r="A230" t="str">
        <f>IF(Allocation!BI230="","",Allocation!BI230)</f>
        <v>2027</v>
      </c>
      <c r="B230" t="str">
        <f>IF(Allocation!BJ230="","",Allocation!BJ230)</f>
        <v>PIGIER_BOR</v>
      </c>
      <c r="C230" t="str">
        <f>IF(Allocation!BK230="","",Allocation!BK230)</f>
        <v>PIGIER</v>
      </c>
      <c r="D230" t="str">
        <f>IF(Allocation!BL230="","",Allocation!BL230)</f>
        <v>BAC_RH</v>
      </c>
      <c r="E230" t="str">
        <f>IF(Allocation!BM230="","",Allocation!BM230)</f>
        <v>B3</v>
      </c>
      <c r="F230" t="str">
        <f>IF(Allocation!BN230="","",Allocation!BN230)</f>
        <v>ALT</v>
      </c>
      <c r="G230">
        <f>IF(Allocation!BO230="","",Allocation!BO230)</f>
        <v>34.175</v>
      </c>
      <c r="H230">
        <f>IF(Allocation!BP230="","",Allocation!BP230)</f>
        <v>2</v>
      </c>
      <c r="I230">
        <f>IF(Allocation!BQ230="","",Allocation!BQ230)</f>
        <v>232653.895933</v>
      </c>
      <c r="J230">
        <f>IF(Allocation!CC230="","",Allocation!CC230)</f>
        <v>0</v>
      </c>
      <c r="K230">
        <f t="shared" si="0"/>
        <v>960</v>
      </c>
      <c r="L230">
        <f t="shared" si="1"/>
        <v>184.71664</v>
      </c>
      <c r="M230">
        <f t="shared" si="2"/>
        <v>10</v>
      </c>
      <c r="N230">
        <f t="shared" si="3"/>
        <v>1191512.604488</v>
      </c>
      <c r="O230">
        <f t="shared" si="4"/>
        <v>5680</v>
      </c>
      <c r="P230">
        <f t="shared" si="5"/>
        <v>80.18164</v>
      </c>
      <c r="Q230">
        <f t="shared" si="6"/>
        <v>421.664172</v>
      </c>
      <c r="R230">
        <f t="shared" si="7"/>
        <v>20</v>
      </c>
      <c r="S230">
        <f t="shared" si="8"/>
        <v>2845382.668199</v>
      </c>
      <c r="T230">
        <f t="shared" si="9"/>
        <v>3253.616848</v>
      </c>
      <c r="U230">
        <f t="shared" si="10"/>
        <v>135</v>
      </c>
      <c r="V230">
        <f t="shared" si="11"/>
        <v>24231703.809425</v>
      </c>
      <c r="W230">
        <f>IF($A230="","",Allocation!CD230)</f>
        <v>99444.73647</v>
      </c>
      <c r="X230">
        <f>IF($A230="","",Allocation!CE230)</f>
        <v>194818.2691</v>
      </c>
      <c r="Y230">
        <f>IF($A230="","",Allocation!CF230)</f>
        <v>54403.580192</v>
      </c>
      <c r="Z230">
        <f>IF($A230="","",Allocation!CG230)</f>
        <v>23725.44</v>
      </c>
      <c r="AA230">
        <f>IF($A230="","",Allocation!CH230)</f>
        <v>360701.117209</v>
      </c>
      <c r="AB230">
        <f>IF($A230="","",Allocation!CI230)</f>
        <v>2975861.58142</v>
      </c>
      <c r="AC230">
        <f>IF($A230="","",IF(Allocation!$N$4="VOL_EFF",$G230,IF(Allocation!$N$4="VOL_CLASS",$H230,$I230)))</f>
        <v>2</v>
      </c>
      <c r="AD230">
        <f>IF($A230="","",IF(Allocation!$N$4="VOL_EFF",$L230,IF(Allocation!$N$4="VOL_CLASS",$M230,$N230)))</f>
        <v>10</v>
      </c>
      <c r="AE230">
        <f>IF($A230="","",IF(Allocation!$N$3="VOL_EFF",$L230,IF(Allocation!$N$3="VOL_CLASS",$M230,$N230)))</f>
        <v>184.71664</v>
      </c>
      <c r="AF230">
        <f>IF($A230="","",IF(Allocation!$N$3="VOL_EFF",$Q230,IF(Allocation!$N$3="VOL_CLASS",$R230,$S230)))</f>
        <v>421.664172</v>
      </c>
      <c r="AG230">
        <f>IF($A230="","",IF(Allocation!$N$1="VOL_EFF",$Q230,IF(Allocation!$N$1="VOL_CLASS",$R230,$S230)))</f>
        <v>20</v>
      </c>
      <c r="AH230">
        <f>IF($A230="","",IF(Allocation!$N$1="VOL_EFF",$T230,IF(Allocation!$N$1="VOL_CLASS",$U230,$V230)))</f>
        <v>135</v>
      </c>
      <c r="AI230">
        <f t="shared" si="12"/>
        <v>16807.5610935211</v>
      </c>
      <c r="AJ230">
        <f t="shared" si="13"/>
        <v>32927.0313971831</v>
      </c>
      <c r="AK230">
        <f t="shared" si="14"/>
        <v>10065.3755561037</v>
      </c>
      <c r="AL230">
        <f t="shared" si="15"/>
        <v>72140.2234418</v>
      </c>
      <c r="AM230">
        <f t="shared" si="16"/>
        <v>38625.8694443613</v>
      </c>
      <c r="AN230">
        <f t="shared" si="17"/>
        <v>54433.8717762486</v>
      </c>
      <c r="AO230">
        <f>IF($A230="","",Allocation!CJ230)</f>
        <v>743978.4</v>
      </c>
      <c r="AP230">
        <f>IF($A230="","",IF(Allocation!$N$2="VOL_EFF",$Q230,IF(Allocation!$N$2="VOL_CLASS",$R230,$S230)))</f>
        <v>2845382.668199</v>
      </c>
      <c r="AQ230">
        <f>IF($A230="","",IF(Allocation!$N$2="VOL_EFF",$T230,IF(Allocation!$N$2="VOL_CLASS",$U230,$V230)))</f>
        <v>24231703.809425</v>
      </c>
      <c r="AR230">
        <f t="shared" si="18"/>
        <v>7653.96322378222</v>
      </c>
      <c r="AS230" t="str">
        <f>IF($A230="","",$A230&amp;"|"&amp;Allocation!BG230)</f>
        <v>2027|V01</v>
      </c>
    </row>
    <row r="231" ht="14.497499999999997" customHeight="1">
      <c r="A231" t="str">
        <f>IF(Allocation!BI231="","",Allocation!BI231)</f>
        <v>2027</v>
      </c>
      <c r="B231" t="str">
        <f>IF(Allocation!BJ231="","",Allocation!BJ231)</f>
        <v>PIGIER_LYO</v>
      </c>
      <c r="C231" t="str">
        <f>IF(Allocation!BK231="","",Allocation!BK231)</f>
        <v>PIGIER</v>
      </c>
      <c r="D231" t="str">
        <f>IF(Allocation!BL231="","",Allocation!BL231)</f>
        <v>BAC_RH</v>
      </c>
      <c r="E231" t="str">
        <f>IF(Allocation!BM231="","",Allocation!BM231)</f>
        <v>B3</v>
      </c>
      <c r="F231" t="str">
        <f>IF(Allocation!BN231="","",Allocation!BN231)</f>
        <v>ALT</v>
      </c>
      <c r="G231">
        <f>IF(Allocation!BO231="","",Allocation!BO231)</f>
        <v>44.225</v>
      </c>
      <c r="H231">
        <f>IF(Allocation!BP231="","",Allocation!BP231)</f>
        <v>2</v>
      </c>
      <c r="I231">
        <f>IF(Allocation!BQ231="","",Allocation!BQ231)</f>
        <v>325902.140288</v>
      </c>
      <c r="J231">
        <f>IF(Allocation!CC231="","",Allocation!CC231)</f>
        <v>0</v>
      </c>
      <c r="K231">
        <f t="shared" si="0"/>
        <v>960</v>
      </c>
      <c r="L231">
        <f t="shared" si="1"/>
        <v>236.947532</v>
      </c>
      <c r="M231">
        <f t="shared" si="2"/>
        <v>10</v>
      </c>
      <c r="N231">
        <f t="shared" si="3"/>
        <v>1653870.063711</v>
      </c>
      <c r="O231">
        <f t="shared" si="4"/>
        <v>5680</v>
      </c>
      <c r="P231">
        <f t="shared" si="5"/>
        <v>102.262532</v>
      </c>
      <c r="Q231">
        <f t="shared" si="6"/>
        <v>421.664172</v>
      </c>
      <c r="R231">
        <f t="shared" si="7"/>
        <v>20</v>
      </c>
      <c r="S231">
        <f t="shared" si="8"/>
        <v>2845382.668199</v>
      </c>
      <c r="T231">
        <f t="shared" si="9"/>
        <v>3253.616848</v>
      </c>
      <c r="U231">
        <f t="shared" si="10"/>
        <v>135</v>
      </c>
      <c r="V231">
        <f t="shared" si="11"/>
        <v>24231703.809425</v>
      </c>
      <c r="W231">
        <f>IF($A231="","",Allocation!CD231)</f>
        <v>99444.73647</v>
      </c>
      <c r="X231">
        <f>IF($A231="","",Allocation!CE231)</f>
        <v>257235.0742</v>
      </c>
      <c r="Y231">
        <f>IF($A231="","",Allocation!CF231)</f>
        <v>69728.590365</v>
      </c>
      <c r="Z231">
        <f>IF($A231="","",Allocation!CG231)</f>
        <v>39540.96</v>
      </c>
      <c r="AA231">
        <f>IF($A231="","",Allocation!CH231)</f>
        <v>558386.852255</v>
      </c>
      <c r="AB231">
        <f>IF($A231="","",Allocation!CI231)</f>
        <v>2975861.58142</v>
      </c>
      <c r="AC231">
        <f>IF($A231="","",IF(Allocation!$N$4="VOL_EFF",$G231,IF(Allocation!$N$4="VOL_CLASS",$H231,$I231)))</f>
        <v>2</v>
      </c>
      <c r="AD231">
        <f>IF($A231="","",IF(Allocation!$N$4="VOL_EFF",$L231,IF(Allocation!$N$4="VOL_CLASS",$M231,$N231)))</f>
        <v>10</v>
      </c>
      <c r="AE231">
        <f>IF($A231="","",IF(Allocation!$N$3="VOL_EFF",$L231,IF(Allocation!$N$3="VOL_CLASS",$M231,$N231)))</f>
        <v>236.947532</v>
      </c>
      <c r="AF231">
        <f>IF($A231="","",IF(Allocation!$N$3="VOL_EFF",$Q231,IF(Allocation!$N$3="VOL_CLASS",$R231,$S231)))</f>
        <v>421.664172</v>
      </c>
      <c r="AG231">
        <f>IF($A231="","",IF(Allocation!$N$1="VOL_EFF",$Q231,IF(Allocation!$N$1="VOL_CLASS",$R231,$S231)))</f>
        <v>20</v>
      </c>
      <c r="AH231">
        <f>IF($A231="","",IF(Allocation!$N$1="VOL_EFF",$T231,IF(Allocation!$N$1="VOL_CLASS",$U231,$V231)))</f>
        <v>135</v>
      </c>
      <c r="AI231">
        <f t="shared" si="12"/>
        <v>16807.5610935211</v>
      </c>
      <c r="AJ231">
        <f t="shared" si="13"/>
        <v>43476.3505690141</v>
      </c>
      <c r="AK231">
        <f t="shared" si="14"/>
        <v>13014.4715282037</v>
      </c>
      <c r="AL231">
        <f t="shared" si="15"/>
        <v>111677.370451</v>
      </c>
      <c r="AM231">
        <f t="shared" si="16"/>
        <v>49547.8070421572</v>
      </c>
      <c r="AN231">
        <f t="shared" si="17"/>
        <v>81560.3645483625</v>
      </c>
      <c r="AO231">
        <f>IF($A231="","",Allocation!CJ231)</f>
        <v>743978.4</v>
      </c>
      <c r="AP231">
        <f>IF($A231="","",IF(Allocation!$N$2="VOL_EFF",$Q231,IF(Allocation!$N$2="VOL_CLASS",$R231,$S231)))</f>
        <v>2845382.668199</v>
      </c>
      <c r="AQ231">
        <f>IF($A231="","",IF(Allocation!$N$2="VOL_EFF",$T231,IF(Allocation!$N$2="VOL_CLASS",$U231,$V231)))</f>
        <v>24231703.809425</v>
      </c>
      <c r="AR231">
        <f t="shared" si="18"/>
        <v>9818.21505574138</v>
      </c>
      <c r="AS231" t="str">
        <f>IF($A231="","",$A231&amp;"|"&amp;Allocation!BG231)</f>
        <v>2027|V01</v>
      </c>
    </row>
    <row r="232" ht="14.497499999999997" customHeight="1">
      <c r="A232" t="str">
        <f>IF(Allocation!BI232="","",Allocation!BI232)</f>
        <v>2027</v>
      </c>
      <c r="B232" t="str">
        <f>IF(Allocation!BJ232="","",Allocation!BJ232)</f>
        <v>PIGIER_LYO</v>
      </c>
      <c r="C232" t="str">
        <f>IF(Allocation!BK232="","",Allocation!BK232)</f>
        <v>PIGIER</v>
      </c>
      <c r="D232" t="str">
        <f>IF(Allocation!BL232="","",Allocation!BL232)</f>
        <v>BAC_RH</v>
      </c>
      <c r="E232" t="str">
        <f>IF(Allocation!BM232="","",Allocation!BM232)</f>
        <v>B2</v>
      </c>
      <c r="F232" t="str">
        <f>IF(Allocation!BN232="","",Allocation!BN232)</f>
        <v>ALT</v>
      </c>
      <c r="G232">
        <f>IF(Allocation!BO232="","",Allocation!BO232)</f>
        <v>45.23</v>
      </c>
      <c r="H232">
        <f>IF(Allocation!BP232="","",Allocation!BP232)</f>
        <v>2</v>
      </c>
      <c r="I232">
        <f>IF(Allocation!BQ232="","",Allocation!BQ232)</f>
        <v>333308.169705</v>
      </c>
      <c r="J232">
        <f>IF(Allocation!CC232="","",Allocation!CC232)</f>
        <v>0</v>
      </c>
      <c r="K232">
        <f t="shared" si="0"/>
        <v>960</v>
      </c>
      <c r="L232">
        <f t="shared" si="1"/>
        <v>236.947532</v>
      </c>
      <c r="M232">
        <f t="shared" si="2"/>
        <v>10</v>
      </c>
      <c r="N232">
        <f t="shared" si="3"/>
        <v>1653870.063711</v>
      </c>
      <c r="O232">
        <f t="shared" si="4"/>
        <v>5680</v>
      </c>
      <c r="P232">
        <f t="shared" si="5"/>
        <v>102.262532</v>
      </c>
      <c r="Q232">
        <f t="shared" si="6"/>
        <v>421.664172</v>
      </c>
      <c r="R232">
        <f t="shared" si="7"/>
        <v>20</v>
      </c>
      <c r="S232">
        <f t="shared" si="8"/>
        <v>2845382.668199</v>
      </c>
      <c r="T232">
        <f t="shared" si="9"/>
        <v>3253.616848</v>
      </c>
      <c r="U232">
        <f t="shared" si="10"/>
        <v>135</v>
      </c>
      <c r="V232">
        <f t="shared" si="11"/>
        <v>24231703.809425</v>
      </c>
      <c r="W232">
        <f>IF($A232="","",Allocation!CD232)</f>
        <v>99444.73647</v>
      </c>
      <c r="X232">
        <f>IF($A232="","",Allocation!CE232)</f>
        <v>257235.0742</v>
      </c>
      <c r="Y232">
        <f>IF($A232="","",Allocation!CF232)</f>
        <v>69728.590365</v>
      </c>
      <c r="Z232">
        <f>IF($A232="","",Allocation!CG232)</f>
        <v>39540.96</v>
      </c>
      <c r="AA232">
        <f>IF($A232="","",Allocation!CH232)</f>
        <v>558386.852255</v>
      </c>
      <c r="AB232">
        <f>IF($A232="","",Allocation!CI232)</f>
        <v>2975861.58142</v>
      </c>
      <c r="AC232">
        <f>IF($A232="","",IF(Allocation!$N$4="VOL_EFF",$G232,IF(Allocation!$N$4="VOL_CLASS",$H232,$I232)))</f>
        <v>2</v>
      </c>
      <c r="AD232">
        <f>IF($A232="","",IF(Allocation!$N$4="VOL_EFF",$L232,IF(Allocation!$N$4="VOL_CLASS",$M232,$N232)))</f>
        <v>10</v>
      </c>
      <c r="AE232">
        <f>IF($A232="","",IF(Allocation!$N$3="VOL_EFF",$L232,IF(Allocation!$N$3="VOL_CLASS",$M232,$N232)))</f>
        <v>236.947532</v>
      </c>
      <c r="AF232">
        <f>IF($A232="","",IF(Allocation!$N$3="VOL_EFF",$Q232,IF(Allocation!$N$3="VOL_CLASS",$R232,$S232)))</f>
        <v>421.664172</v>
      </c>
      <c r="AG232">
        <f>IF($A232="","",IF(Allocation!$N$1="VOL_EFF",$Q232,IF(Allocation!$N$1="VOL_CLASS",$R232,$S232)))</f>
        <v>20</v>
      </c>
      <c r="AH232">
        <f>IF($A232="","",IF(Allocation!$N$1="VOL_EFF",$T232,IF(Allocation!$N$1="VOL_CLASS",$U232,$V232)))</f>
        <v>135</v>
      </c>
      <c r="AI232">
        <f t="shared" si="12"/>
        <v>16807.5610935211</v>
      </c>
      <c r="AJ232">
        <f t="shared" si="13"/>
        <v>43476.3505690141</v>
      </c>
      <c r="AK232">
        <f t="shared" si="14"/>
        <v>13310.2215312753</v>
      </c>
      <c r="AL232">
        <f t="shared" si="15"/>
        <v>111677.370451</v>
      </c>
      <c r="AM232">
        <f t="shared" si="16"/>
        <v>49547.8070421572</v>
      </c>
      <c r="AN232">
        <f t="shared" si="17"/>
        <v>88670.643962291</v>
      </c>
      <c r="AO232">
        <f>IF($A232="","",Allocation!CJ232)</f>
        <v>743978.4</v>
      </c>
      <c r="AP232">
        <f>IF($A232="","",IF(Allocation!$N$2="VOL_EFF",$Q232,IF(Allocation!$N$2="VOL_CLASS",$R232,$S232)))</f>
        <v>2845382.668199</v>
      </c>
      <c r="AQ232">
        <f>IF($A232="","",IF(Allocation!$N$2="VOL_EFF",$T232,IF(Allocation!$N$2="VOL_CLASS",$U232,$V232)))</f>
        <v>24231703.809425</v>
      </c>
      <c r="AR232">
        <f t="shared" si="18"/>
        <v>9818.21505574138</v>
      </c>
      <c r="AS232" t="str">
        <f>IF($A232="","",$A232&amp;"|"&amp;Allocation!BG232)</f>
        <v>2027|V01</v>
      </c>
    </row>
    <row r="233" ht="14.497499999999997" customHeight="1">
      <c r="A233" t="str">
        <f>IF(Allocation!BI233="","",Allocation!BI233)</f>
        <v>2027</v>
      </c>
      <c r="B233" t="str">
        <f>IF(Allocation!BJ233="","",Allocation!BJ233)</f>
        <v>PIGIER_LYO</v>
      </c>
      <c r="C233" t="str">
        <f>IF(Allocation!BK233="","",Allocation!BK233)</f>
        <v>PIGIER</v>
      </c>
      <c r="D233" t="str">
        <f>IF(Allocation!BL233="","",Allocation!BL233)</f>
        <v>BTS_GES</v>
      </c>
      <c r="E233" t="str">
        <f>IF(Allocation!BM233="","",Allocation!BM233)</f>
        <v>BTS1</v>
      </c>
      <c r="F233" t="str">
        <f>IF(Allocation!BN233="","",Allocation!BN233)</f>
        <v>ALT</v>
      </c>
      <c r="G233">
        <f>IF(Allocation!BO233="","",Allocation!BO233)</f>
        <v>51.131266</v>
      </c>
      <c r="H233">
        <f>IF(Allocation!BP233="","",Allocation!BP233)</f>
        <v>2</v>
      </c>
      <c r="I233">
        <f>IF(Allocation!BQ233="","",Allocation!BQ233)</f>
        <v>327569.541147</v>
      </c>
      <c r="J233">
        <f>IF(Allocation!CC233="","",Allocation!CC233)</f>
        <v>51.131266</v>
      </c>
      <c r="K233">
        <f t="shared" si="0"/>
        <v>1400</v>
      </c>
      <c r="L233">
        <f t="shared" si="1"/>
        <v>236.947532</v>
      </c>
      <c r="M233">
        <f t="shared" si="2"/>
        <v>10</v>
      </c>
      <c r="N233">
        <f t="shared" si="3"/>
        <v>1653870.063711</v>
      </c>
      <c r="O233">
        <f t="shared" si="4"/>
        <v>5680</v>
      </c>
      <c r="P233">
        <f t="shared" si="5"/>
        <v>102.262532</v>
      </c>
      <c r="Q233">
        <f t="shared" si="6"/>
        <v>421.664172</v>
      </c>
      <c r="R233">
        <f t="shared" si="7"/>
        <v>20</v>
      </c>
      <c r="S233">
        <f t="shared" si="8"/>
        <v>2845382.668199</v>
      </c>
      <c r="T233">
        <f t="shared" si="9"/>
        <v>3253.616848</v>
      </c>
      <c r="U233">
        <f t="shared" si="10"/>
        <v>135</v>
      </c>
      <c r="V233">
        <f t="shared" si="11"/>
        <v>24231703.809425</v>
      </c>
      <c r="W233">
        <f>IF($A233="","",Allocation!CD233)</f>
        <v>99444.73647</v>
      </c>
      <c r="X233">
        <f>IF($A233="","",Allocation!CE233)</f>
        <v>257235.0742</v>
      </c>
      <c r="Y233">
        <f>IF($A233="","",Allocation!CF233)</f>
        <v>69728.590365</v>
      </c>
      <c r="Z233">
        <f>IF($A233="","",Allocation!CG233)</f>
        <v>39540.96</v>
      </c>
      <c r="AA233">
        <f>IF($A233="","",Allocation!CH233)</f>
        <v>558386.852255</v>
      </c>
      <c r="AB233">
        <f>IF($A233="","",Allocation!CI233)</f>
        <v>2975861.58142</v>
      </c>
      <c r="AC233">
        <f>IF($A233="","",IF(Allocation!$N$4="VOL_EFF",$G233,IF(Allocation!$N$4="VOL_CLASS",$H233,$I233)))</f>
        <v>2</v>
      </c>
      <c r="AD233">
        <f>IF($A233="","",IF(Allocation!$N$4="VOL_EFF",$L233,IF(Allocation!$N$4="VOL_CLASS",$M233,$N233)))</f>
        <v>10</v>
      </c>
      <c r="AE233">
        <f>IF($A233="","",IF(Allocation!$N$3="VOL_EFF",$L233,IF(Allocation!$N$3="VOL_CLASS",$M233,$N233)))</f>
        <v>236.947532</v>
      </c>
      <c r="AF233">
        <f>IF($A233="","",IF(Allocation!$N$3="VOL_EFF",$Q233,IF(Allocation!$N$3="VOL_CLASS",$R233,$S233)))</f>
        <v>421.664172</v>
      </c>
      <c r="AG233">
        <f>IF($A233="","",IF(Allocation!$N$1="VOL_EFF",$Q233,IF(Allocation!$N$1="VOL_CLASS",$R233,$S233)))</f>
        <v>20</v>
      </c>
      <c r="AH233">
        <f>IF($A233="","",IF(Allocation!$N$1="VOL_EFF",$T233,IF(Allocation!$N$1="VOL_CLASS",$U233,$V233)))</f>
        <v>135</v>
      </c>
      <c r="AI233">
        <f t="shared" si="12"/>
        <v>24511.0265947183</v>
      </c>
      <c r="AJ233">
        <f t="shared" si="13"/>
        <v>63403.0112464789</v>
      </c>
      <c r="AK233">
        <f t="shared" si="14"/>
        <v>34817.3178871228</v>
      </c>
      <c r="AL233">
        <f t="shared" si="15"/>
        <v>111677.370451</v>
      </c>
      <c r="AM233">
        <f t="shared" si="16"/>
        <v>49547.8070421572</v>
      </c>
      <c r="AN233">
        <f t="shared" si="17"/>
        <v>33794.7928697814</v>
      </c>
      <c r="AO233">
        <f>IF($A233="","",Allocation!CJ233)</f>
        <v>743978.4</v>
      </c>
      <c r="AP233">
        <f>IF($A233="","",IF(Allocation!$N$2="VOL_EFF",$Q233,IF(Allocation!$N$2="VOL_CLASS",$R233,$S233)))</f>
        <v>2845382.668199</v>
      </c>
      <c r="AQ233">
        <f>IF($A233="","",IF(Allocation!$N$2="VOL_EFF",$T233,IF(Allocation!$N$2="VOL_CLASS",$U233,$V233)))</f>
        <v>24231703.809425</v>
      </c>
      <c r="AR233">
        <f t="shared" si="18"/>
        <v>9818.21505574138</v>
      </c>
      <c r="AS233" t="str">
        <f>IF($A233="","",$A233&amp;"|"&amp;Allocation!BG233)</f>
        <v>2027|V01</v>
      </c>
    </row>
    <row r="234" ht="14.497499999999997" customHeight="1">
      <c r="A234" t="str">
        <f>IF(Allocation!BI234="","",Allocation!BI234)</f>
        <v>2027</v>
      </c>
      <c r="B234" t="str">
        <f>IF(Allocation!BJ234="","",Allocation!BJ234)</f>
        <v>PIGIER_LYO</v>
      </c>
      <c r="C234" t="str">
        <f>IF(Allocation!BK234="","",Allocation!BK234)</f>
        <v>PIGIER</v>
      </c>
      <c r="D234" t="str">
        <f>IF(Allocation!BL234="","",Allocation!BL234)</f>
        <v>BTS_GES</v>
      </c>
      <c r="E234" t="str">
        <f>IF(Allocation!BM234="","",Allocation!BM234)</f>
        <v>BTS2</v>
      </c>
      <c r="F234" t="str">
        <f>IF(Allocation!BN234="","",Allocation!BN234)</f>
        <v>ALT</v>
      </c>
      <c r="G234">
        <f>IF(Allocation!BO234="","",Allocation!BO234)</f>
        <v>45.23</v>
      </c>
      <c r="H234">
        <f>IF(Allocation!BP234="","",Allocation!BP234)</f>
        <v>2</v>
      </c>
      <c r="I234">
        <f>IF(Allocation!BQ234="","",Allocation!BQ234)</f>
        <v>285692.71689</v>
      </c>
      <c r="J234">
        <f>IF(Allocation!CC234="","",Allocation!CC234)</f>
        <v>0</v>
      </c>
      <c r="K234">
        <f t="shared" si="0"/>
        <v>1400</v>
      </c>
      <c r="L234">
        <f t="shared" si="1"/>
        <v>236.947532</v>
      </c>
      <c r="M234">
        <f t="shared" si="2"/>
        <v>10</v>
      </c>
      <c r="N234">
        <f t="shared" si="3"/>
        <v>1653870.063711</v>
      </c>
      <c r="O234">
        <f t="shared" si="4"/>
        <v>5680</v>
      </c>
      <c r="P234">
        <f t="shared" si="5"/>
        <v>102.262532</v>
      </c>
      <c r="Q234">
        <f t="shared" si="6"/>
        <v>421.664172</v>
      </c>
      <c r="R234">
        <f t="shared" si="7"/>
        <v>20</v>
      </c>
      <c r="S234">
        <f t="shared" si="8"/>
        <v>2845382.668199</v>
      </c>
      <c r="T234">
        <f t="shared" si="9"/>
        <v>3253.616848</v>
      </c>
      <c r="U234">
        <f t="shared" si="10"/>
        <v>135</v>
      </c>
      <c r="V234">
        <f t="shared" si="11"/>
        <v>24231703.809425</v>
      </c>
      <c r="W234">
        <f>IF($A234="","",Allocation!CD234)</f>
        <v>99444.73647</v>
      </c>
      <c r="X234">
        <f>IF($A234="","",Allocation!CE234)</f>
        <v>257235.0742</v>
      </c>
      <c r="Y234">
        <f>IF($A234="","",Allocation!CF234)</f>
        <v>69728.590365</v>
      </c>
      <c r="Z234">
        <f>IF($A234="","",Allocation!CG234)</f>
        <v>39540.96</v>
      </c>
      <c r="AA234">
        <f>IF($A234="","",Allocation!CH234)</f>
        <v>558386.852255</v>
      </c>
      <c r="AB234">
        <f>IF($A234="","",Allocation!CI234)</f>
        <v>2975861.58142</v>
      </c>
      <c r="AC234">
        <f>IF($A234="","",IF(Allocation!$N$4="VOL_EFF",$G234,IF(Allocation!$N$4="VOL_CLASS",$H234,$I234)))</f>
        <v>2</v>
      </c>
      <c r="AD234">
        <f>IF($A234="","",IF(Allocation!$N$4="VOL_EFF",$L234,IF(Allocation!$N$4="VOL_CLASS",$M234,$N234)))</f>
        <v>10</v>
      </c>
      <c r="AE234">
        <f>IF($A234="","",IF(Allocation!$N$3="VOL_EFF",$L234,IF(Allocation!$N$3="VOL_CLASS",$M234,$N234)))</f>
        <v>236.947532</v>
      </c>
      <c r="AF234">
        <f>IF($A234="","",IF(Allocation!$N$3="VOL_EFF",$Q234,IF(Allocation!$N$3="VOL_CLASS",$R234,$S234)))</f>
        <v>421.664172</v>
      </c>
      <c r="AG234">
        <f>IF($A234="","",IF(Allocation!$N$1="VOL_EFF",$Q234,IF(Allocation!$N$1="VOL_CLASS",$R234,$S234)))</f>
        <v>20</v>
      </c>
      <c r="AH234">
        <f>IF($A234="","",IF(Allocation!$N$1="VOL_EFF",$T234,IF(Allocation!$N$1="VOL_CLASS",$U234,$V234)))</f>
        <v>135</v>
      </c>
      <c r="AI234">
        <f t="shared" si="12"/>
        <v>24511.0265947183</v>
      </c>
      <c r="AJ234">
        <f t="shared" si="13"/>
        <v>63403.0112464789</v>
      </c>
      <c r="AK234">
        <f t="shared" si="14"/>
        <v>13310.2215312753</v>
      </c>
      <c r="AL234">
        <f t="shared" si="15"/>
        <v>111677.370451</v>
      </c>
      <c r="AM234">
        <f t="shared" si="16"/>
        <v>49547.8070421572</v>
      </c>
      <c r="AN234">
        <f t="shared" si="17"/>
        <v>13425.0649686289</v>
      </c>
      <c r="AO234">
        <f>IF($A234="","",Allocation!CJ234)</f>
        <v>743978.4</v>
      </c>
      <c r="AP234">
        <f>IF($A234="","",IF(Allocation!$N$2="VOL_EFF",$Q234,IF(Allocation!$N$2="VOL_CLASS",$R234,$S234)))</f>
        <v>2845382.668199</v>
      </c>
      <c r="AQ234">
        <f>IF($A234="","",IF(Allocation!$N$2="VOL_EFF",$T234,IF(Allocation!$N$2="VOL_CLASS",$U234,$V234)))</f>
        <v>24231703.809425</v>
      </c>
      <c r="AR234">
        <f t="shared" si="18"/>
        <v>9818.21505574138</v>
      </c>
      <c r="AS234" t="str">
        <f>IF($A234="","",$A234&amp;"|"&amp;Allocation!BG234)</f>
        <v>2027|V01</v>
      </c>
    </row>
    <row r="235" ht="14.497499999999997" customHeight="1">
      <c r="A235" t="str">
        <f>IF(Allocation!BI235="","",Allocation!BI235)</f>
        <v>2027</v>
      </c>
      <c r="B235" t="str">
        <f>IF(Allocation!BJ235="","",Allocation!BJ235)</f>
        <v>PIGIER_LYO</v>
      </c>
      <c r="C235" t="str">
        <f>IF(Allocation!BK235="","",Allocation!BK235)</f>
        <v>PIGIER</v>
      </c>
      <c r="D235" t="str">
        <f>IF(Allocation!BL235="","",Allocation!BL235)</f>
        <v>BAC_RH</v>
      </c>
      <c r="E235" t="str">
        <f>IF(Allocation!BM235="","",Allocation!BM235)</f>
        <v>B1</v>
      </c>
      <c r="F235" t="str">
        <f>IF(Allocation!BN235="","",Allocation!BN235)</f>
        <v>ALT</v>
      </c>
      <c r="G235">
        <f>IF(Allocation!BO235="","",Allocation!BO235)</f>
        <v>51.131266</v>
      </c>
      <c r="H235">
        <f>IF(Allocation!BP235="","",Allocation!BP235)</f>
        <v>2</v>
      </c>
      <c r="I235">
        <f>IF(Allocation!BQ235="","",Allocation!BQ235)</f>
        <v>381397.495681</v>
      </c>
      <c r="J235">
        <f>IF(Allocation!CC235="","",Allocation!CC235)</f>
        <v>51.131266</v>
      </c>
      <c r="K235">
        <f t="shared" si="0"/>
        <v>960</v>
      </c>
      <c r="L235">
        <f t="shared" si="1"/>
        <v>236.947532</v>
      </c>
      <c r="M235">
        <f t="shared" si="2"/>
        <v>10</v>
      </c>
      <c r="N235">
        <f t="shared" si="3"/>
        <v>1653870.063711</v>
      </c>
      <c r="O235">
        <f t="shared" si="4"/>
        <v>5680</v>
      </c>
      <c r="P235">
        <f t="shared" si="5"/>
        <v>102.262532</v>
      </c>
      <c r="Q235">
        <f t="shared" si="6"/>
        <v>421.664172</v>
      </c>
      <c r="R235">
        <f t="shared" si="7"/>
        <v>20</v>
      </c>
      <c r="S235">
        <f t="shared" si="8"/>
        <v>2845382.668199</v>
      </c>
      <c r="T235">
        <f t="shared" si="9"/>
        <v>3253.616848</v>
      </c>
      <c r="U235">
        <f t="shared" si="10"/>
        <v>135</v>
      </c>
      <c r="V235">
        <f t="shared" si="11"/>
        <v>24231703.809425</v>
      </c>
      <c r="W235">
        <f>IF($A235="","",Allocation!CD235)</f>
        <v>99444.73647</v>
      </c>
      <c r="X235">
        <f>IF($A235="","",Allocation!CE235)</f>
        <v>257235.0742</v>
      </c>
      <c r="Y235">
        <f>IF($A235="","",Allocation!CF235)</f>
        <v>69728.590365</v>
      </c>
      <c r="Z235">
        <f>IF($A235="","",Allocation!CG235)</f>
        <v>39540.96</v>
      </c>
      <c r="AA235">
        <f>IF($A235="","",Allocation!CH235)</f>
        <v>558386.852255</v>
      </c>
      <c r="AB235">
        <f>IF($A235="","",Allocation!CI235)</f>
        <v>2975861.58142</v>
      </c>
      <c r="AC235">
        <f>IF($A235="","",IF(Allocation!$N$4="VOL_EFF",$G235,IF(Allocation!$N$4="VOL_CLASS",$H235,$I235)))</f>
        <v>2</v>
      </c>
      <c r="AD235">
        <f>IF($A235="","",IF(Allocation!$N$4="VOL_EFF",$L235,IF(Allocation!$N$4="VOL_CLASS",$M235,$N235)))</f>
        <v>10</v>
      </c>
      <c r="AE235">
        <f>IF($A235="","",IF(Allocation!$N$3="VOL_EFF",$L235,IF(Allocation!$N$3="VOL_CLASS",$M235,$N235)))</f>
        <v>236.947532</v>
      </c>
      <c r="AF235">
        <f>IF($A235="","",IF(Allocation!$N$3="VOL_EFF",$Q235,IF(Allocation!$N$3="VOL_CLASS",$R235,$S235)))</f>
        <v>421.664172</v>
      </c>
      <c r="AG235">
        <f>IF($A235="","",IF(Allocation!$N$1="VOL_EFF",$Q235,IF(Allocation!$N$1="VOL_CLASS",$R235,$S235)))</f>
        <v>20</v>
      </c>
      <c r="AH235">
        <f>IF($A235="","",IF(Allocation!$N$1="VOL_EFF",$T235,IF(Allocation!$N$1="VOL_CLASS",$U235,$V235)))</f>
        <v>135</v>
      </c>
      <c r="AI235">
        <f t="shared" si="12"/>
        <v>16807.5610935211</v>
      </c>
      <c r="AJ235">
        <f t="shared" si="13"/>
        <v>43476.3505690141</v>
      </c>
      <c r="AK235">
        <f t="shared" si="14"/>
        <v>34817.3178871228</v>
      </c>
      <c r="AL235">
        <f t="shared" si="15"/>
        <v>111677.370451</v>
      </c>
      <c r="AM235">
        <f t="shared" si="16"/>
        <v>49547.8070421572</v>
      </c>
      <c r="AN235">
        <f t="shared" si="17"/>
        <v>115252.873582443</v>
      </c>
      <c r="AO235">
        <f>IF($A235="","",Allocation!CJ235)</f>
        <v>743978.4</v>
      </c>
      <c r="AP235">
        <f>IF($A235="","",IF(Allocation!$N$2="VOL_EFF",$Q235,IF(Allocation!$N$2="VOL_CLASS",$R235,$S235)))</f>
        <v>2845382.668199</v>
      </c>
      <c r="AQ235">
        <f>IF($A235="","",IF(Allocation!$N$2="VOL_EFF",$T235,IF(Allocation!$N$2="VOL_CLASS",$U235,$V235)))</f>
        <v>24231703.809425</v>
      </c>
      <c r="AR235">
        <f t="shared" si="18"/>
        <v>9818.21505574138</v>
      </c>
      <c r="AS235" t="str">
        <f>IF($A235="","",$A235&amp;"|"&amp;Allocation!BG235)</f>
        <v>2027|V01</v>
      </c>
    </row>
    <row r="236" ht="14.497499999999997" customHeight="1">
      <c r="A236" t="str">
        <f>IF(Allocation!BI236="","",Allocation!BI236)</f>
        <v>2027</v>
      </c>
      <c r="B236" t="str">
        <f>IF(Allocation!BJ236="","",Allocation!BJ236)</f>
        <v>TUNON_LYO</v>
      </c>
      <c r="C236" t="str">
        <f>IF(Allocation!BK236="","",Allocation!BK236)</f>
        <v>TUNON</v>
      </c>
      <c r="D236" t="str">
        <f>IF(Allocation!BL236="","",Allocation!BL236)</f>
        <v>BAC_TOU</v>
      </c>
      <c r="E236" t="str">
        <f>IF(Allocation!BM236="","",Allocation!BM236)</f>
        <v>B1</v>
      </c>
      <c r="F236" t="str">
        <f>IF(Allocation!BN236="","",Allocation!BN236)</f>
        <v>ALT</v>
      </c>
      <c r="G236">
        <f>IF(Allocation!BO236="","",Allocation!BO236)</f>
        <v>44.464881</v>
      </c>
      <c r="H236">
        <f>IF(Allocation!BP236="","",Allocation!BP236)</f>
        <v>2</v>
      </c>
      <c r="I236">
        <f>IF(Allocation!BQ236="","",Allocation!BQ236)</f>
        <v>331813.872025</v>
      </c>
      <c r="J236">
        <f>IF(Allocation!CC236="","",Allocation!CC236)</f>
        <v>44.464881</v>
      </c>
      <c r="K236">
        <f t="shared" si="0"/>
        <v>960</v>
      </c>
      <c r="L236">
        <f t="shared" si="1"/>
        <v>121.859881</v>
      </c>
      <c r="M236">
        <f t="shared" si="2"/>
        <v>6</v>
      </c>
      <c r="N236">
        <f t="shared" si="3"/>
        <v>902399.280171</v>
      </c>
      <c r="O236">
        <f t="shared" si="4"/>
        <v>2880</v>
      </c>
      <c r="P236">
        <f t="shared" si="5"/>
        <v>44.464881</v>
      </c>
      <c r="Q236">
        <f t="shared" si="6"/>
        <v>265.420186</v>
      </c>
      <c r="R236">
        <f t="shared" si="7"/>
        <v>12</v>
      </c>
      <c r="S236">
        <f t="shared" si="8"/>
        <v>2036027.83527</v>
      </c>
      <c r="T236">
        <f t="shared" si="9"/>
        <v>3253.616848</v>
      </c>
      <c r="U236">
        <f t="shared" si="10"/>
        <v>135</v>
      </c>
      <c r="V236">
        <f t="shared" si="11"/>
        <v>24231703.809425</v>
      </c>
      <c r="W236">
        <f>IF($A236="","",Allocation!CD236)</f>
        <v>74584.324575</v>
      </c>
      <c r="X236">
        <f>IF($A236="","",Allocation!CE236)</f>
        <v>198220.26952</v>
      </c>
      <c r="Y236">
        <f>IF($A236="","",Allocation!CF236)</f>
        <v>44824.934018</v>
      </c>
      <c r="Z236">
        <f>IF($A236="","",Allocation!CG236)</f>
        <v>20358</v>
      </c>
      <c r="AA236">
        <f>IF($A236="","",Allocation!CH236)</f>
        <v>389149.627243</v>
      </c>
      <c r="AB236">
        <f>IF($A236="","",Allocation!CI236)</f>
        <v>2975861.58142</v>
      </c>
      <c r="AC236">
        <f>IF($A236="","",IF(Allocation!$N$4="VOL_EFF",$G236,IF(Allocation!$N$4="VOL_CLASS",$H236,$I236)))</f>
        <v>2</v>
      </c>
      <c r="AD236">
        <f>IF($A236="","",IF(Allocation!$N$4="VOL_EFF",$L236,IF(Allocation!$N$4="VOL_CLASS",$M236,$N236)))</f>
        <v>6</v>
      </c>
      <c r="AE236">
        <f>IF($A236="","",IF(Allocation!$N$3="VOL_EFF",$L236,IF(Allocation!$N$3="VOL_CLASS",$M236,$N236)))</f>
        <v>121.859881</v>
      </c>
      <c r="AF236">
        <f>IF($A236="","",IF(Allocation!$N$3="VOL_EFF",$Q236,IF(Allocation!$N$3="VOL_CLASS",$R236,$S236)))</f>
        <v>265.420186</v>
      </c>
      <c r="AG236">
        <f>IF($A236="","",IF(Allocation!$N$1="VOL_EFF",$Q236,IF(Allocation!$N$1="VOL_CLASS",$R236,$S236)))</f>
        <v>12</v>
      </c>
      <c r="AH236">
        <f>IF($A236="","",IF(Allocation!$N$1="VOL_EFF",$T236,IF(Allocation!$N$1="VOL_CLASS",$U236,$V236)))</f>
        <v>135</v>
      </c>
      <c r="AI236">
        <f t="shared" si="12"/>
        <v>24861.441525</v>
      </c>
      <c r="AJ236">
        <f t="shared" si="13"/>
        <v>66073.4231733333</v>
      </c>
      <c r="AK236">
        <f t="shared" si="14"/>
        <v>36713.960145269</v>
      </c>
      <c r="AL236">
        <f t="shared" si="15"/>
        <v>129716.542414333</v>
      </c>
      <c r="AM236">
        <f t="shared" si="16"/>
        <v>40482.3532298318</v>
      </c>
      <c r="AN236">
        <f t="shared" si="17"/>
        <v>24399.3749537052</v>
      </c>
      <c r="AO236">
        <f>IF($A236="","",Allocation!CJ236)</f>
        <v>743978.4</v>
      </c>
      <c r="AP236">
        <f>IF($A236="","",IF(Allocation!$N$2="VOL_EFF",$Q236,IF(Allocation!$N$2="VOL_CLASS",$R236,$S236)))</f>
        <v>2036027.83527</v>
      </c>
      <c r="AQ236">
        <f>IF($A236="","",IF(Allocation!$N$2="VOL_EFF",$T236,IF(Allocation!$N$2="VOL_CLASS",$U236,$V236)))</f>
        <v>24231703.809425</v>
      </c>
      <c r="AR236">
        <f t="shared" si="18"/>
        <v>9566.77658352766</v>
      </c>
      <c r="AS236" t="str">
        <f>IF($A236="","",$A236&amp;"|"&amp;Allocation!BG236)</f>
        <v>2027|V01</v>
      </c>
    </row>
    <row r="237" ht="14.497499999999997" customHeight="1">
      <c r="A237" t="str">
        <f>IF(Allocation!BI237="","",Allocation!BI237)</f>
        <v>2027</v>
      </c>
      <c r="B237" t="str">
        <f>IF(Allocation!BJ237="","",Allocation!BJ237)</f>
        <v>TUNON_LYO</v>
      </c>
      <c r="C237" t="str">
        <f>IF(Allocation!BK237="","",Allocation!BK237)</f>
        <v>TUNON</v>
      </c>
      <c r="D237" t="str">
        <f>IF(Allocation!BL237="","",Allocation!BL237)</f>
        <v>BAC_TOU</v>
      </c>
      <c r="E237" t="str">
        <f>IF(Allocation!BM237="","",Allocation!BM237)</f>
        <v>B2</v>
      </c>
      <c r="F237" t="str">
        <f>IF(Allocation!BN237="","",Allocation!BN237)</f>
        <v>ALT</v>
      </c>
      <c r="G237">
        <f>IF(Allocation!BO237="","",Allocation!BO237)</f>
        <v>39.2</v>
      </c>
      <c r="H237">
        <f>IF(Allocation!BP237="","",Allocation!BP237)</f>
        <v>2</v>
      </c>
      <c r="I237">
        <f>IF(Allocation!BQ237="","",Allocation!BQ237)</f>
        <v>288997.3254</v>
      </c>
      <c r="J237">
        <f>IF(Allocation!CC237="","",Allocation!CC237)</f>
        <v>0</v>
      </c>
      <c r="K237">
        <f t="shared" si="0"/>
        <v>960</v>
      </c>
      <c r="L237">
        <f t="shared" si="1"/>
        <v>121.859881</v>
      </c>
      <c r="M237">
        <f t="shared" si="2"/>
        <v>6</v>
      </c>
      <c r="N237">
        <f t="shared" si="3"/>
        <v>902399.280171</v>
      </c>
      <c r="O237">
        <f t="shared" si="4"/>
        <v>2880</v>
      </c>
      <c r="P237">
        <f t="shared" si="5"/>
        <v>44.464881</v>
      </c>
      <c r="Q237">
        <f t="shared" si="6"/>
        <v>265.420186</v>
      </c>
      <c r="R237">
        <f t="shared" si="7"/>
        <v>12</v>
      </c>
      <c r="S237">
        <f t="shared" si="8"/>
        <v>2036027.83527</v>
      </c>
      <c r="T237">
        <f t="shared" si="9"/>
        <v>3253.616848</v>
      </c>
      <c r="U237">
        <f t="shared" si="10"/>
        <v>135</v>
      </c>
      <c r="V237">
        <f t="shared" si="11"/>
        <v>24231703.809425</v>
      </c>
      <c r="W237">
        <f>IF($A237="","",Allocation!CD237)</f>
        <v>74584.324575</v>
      </c>
      <c r="X237">
        <f>IF($A237="","",Allocation!CE237)</f>
        <v>198220.26952</v>
      </c>
      <c r="Y237">
        <f>IF($A237="","",Allocation!CF237)</f>
        <v>44824.934018</v>
      </c>
      <c r="Z237">
        <f>IF($A237="","",Allocation!CG237)</f>
        <v>20358</v>
      </c>
      <c r="AA237">
        <f>IF($A237="","",Allocation!CH237)</f>
        <v>389149.627243</v>
      </c>
      <c r="AB237">
        <f>IF($A237="","",Allocation!CI237)</f>
        <v>2975861.58142</v>
      </c>
      <c r="AC237">
        <f>IF($A237="","",IF(Allocation!$N$4="VOL_EFF",$G237,IF(Allocation!$N$4="VOL_CLASS",$H237,$I237)))</f>
        <v>2</v>
      </c>
      <c r="AD237">
        <f>IF($A237="","",IF(Allocation!$N$4="VOL_EFF",$L237,IF(Allocation!$N$4="VOL_CLASS",$M237,$N237)))</f>
        <v>6</v>
      </c>
      <c r="AE237">
        <f>IF($A237="","",IF(Allocation!$N$3="VOL_EFF",$L237,IF(Allocation!$N$3="VOL_CLASS",$M237,$N237)))</f>
        <v>121.859881</v>
      </c>
      <c r="AF237">
        <f>IF($A237="","",IF(Allocation!$N$3="VOL_EFF",$Q237,IF(Allocation!$N$3="VOL_CLASS",$R237,$S237)))</f>
        <v>265.420186</v>
      </c>
      <c r="AG237">
        <f>IF($A237="","",IF(Allocation!$N$1="VOL_EFF",$Q237,IF(Allocation!$N$1="VOL_CLASS",$R237,$S237)))</f>
        <v>12</v>
      </c>
      <c r="AH237">
        <f>IF($A237="","",IF(Allocation!$N$1="VOL_EFF",$T237,IF(Allocation!$N$1="VOL_CLASS",$U237,$V237)))</f>
        <v>135</v>
      </c>
      <c r="AI237">
        <f t="shared" si="12"/>
        <v>24861.441525</v>
      </c>
      <c r="AJ237">
        <f t="shared" si="13"/>
        <v>66073.4231733333</v>
      </c>
      <c r="AK237">
        <f t="shared" si="14"/>
        <v>14419.3265173597</v>
      </c>
      <c r="AL237">
        <f t="shared" si="15"/>
        <v>129716.542414333</v>
      </c>
      <c r="AM237">
        <f t="shared" si="16"/>
        <v>40482.3532298318</v>
      </c>
      <c r="AN237">
        <f t="shared" si="17"/>
        <v>3877.46195661451</v>
      </c>
      <c r="AO237">
        <f>IF($A237="","",Allocation!CJ237)</f>
        <v>743978.4</v>
      </c>
      <c r="AP237">
        <f>IF($A237="","",IF(Allocation!$N$2="VOL_EFF",$Q237,IF(Allocation!$N$2="VOL_CLASS",$R237,$S237)))</f>
        <v>2036027.83527</v>
      </c>
      <c r="AQ237">
        <f>IF($A237="","",IF(Allocation!$N$2="VOL_EFF",$T237,IF(Allocation!$N$2="VOL_CLASS",$U237,$V237)))</f>
        <v>24231703.809425</v>
      </c>
      <c r="AR237">
        <f t="shared" si="18"/>
        <v>9566.77658352766</v>
      </c>
      <c r="AS237" t="str">
        <f>IF($A237="","",$A237&amp;"|"&amp;Allocation!BG237)</f>
        <v>2027|V01</v>
      </c>
    </row>
    <row r="238" ht="14.497499999999997" customHeight="1">
      <c r="A238" t="str">
        <f>IF(Allocation!BI238="","",Allocation!BI238)</f>
        <v>2027</v>
      </c>
      <c r="B238" t="str">
        <f>IF(Allocation!BJ238="","",Allocation!BJ238)</f>
        <v>TUNON_LYO</v>
      </c>
      <c r="C238" t="str">
        <f>IF(Allocation!BK238="","",Allocation!BK238)</f>
        <v>TUNON</v>
      </c>
      <c r="D238" t="str">
        <f>IF(Allocation!BL238="","",Allocation!BL238)</f>
        <v>BAC_TOU</v>
      </c>
      <c r="E238" t="str">
        <f>IF(Allocation!BM238="","",Allocation!BM238)</f>
        <v>B3</v>
      </c>
      <c r="F238" t="str">
        <f>IF(Allocation!BN238="","",Allocation!BN238)</f>
        <v>ALT</v>
      </c>
      <c r="G238">
        <f>IF(Allocation!BO238="","",Allocation!BO238)</f>
        <v>38.195</v>
      </c>
      <c r="H238">
        <f>IF(Allocation!BP238="","",Allocation!BP238)</f>
        <v>2</v>
      </c>
      <c r="I238">
        <f>IF(Allocation!BQ238="","",Allocation!BQ238)</f>
        <v>281588.082746</v>
      </c>
      <c r="J238">
        <f>IF(Allocation!CC238="","",Allocation!CC238)</f>
        <v>0</v>
      </c>
      <c r="K238">
        <f t="shared" si="0"/>
        <v>960</v>
      </c>
      <c r="L238">
        <f t="shared" si="1"/>
        <v>121.859881</v>
      </c>
      <c r="M238">
        <f t="shared" si="2"/>
        <v>6</v>
      </c>
      <c r="N238">
        <f t="shared" si="3"/>
        <v>902399.280171</v>
      </c>
      <c r="O238">
        <f t="shared" si="4"/>
        <v>2880</v>
      </c>
      <c r="P238">
        <f t="shared" si="5"/>
        <v>44.464881</v>
      </c>
      <c r="Q238">
        <f t="shared" si="6"/>
        <v>265.420186</v>
      </c>
      <c r="R238">
        <f t="shared" si="7"/>
        <v>12</v>
      </c>
      <c r="S238">
        <f t="shared" si="8"/>
        <v>2036027.83527</v>
      </c>
      <c r="T238">
        <f t="shared" si="9"/>
        <v>3253.616848</v>
      </c>
      <c r="U238">
        <f t="shared" si="10"/>
        <v>135</v>
      </c>
      <c r="V238">
        <f t="shared" si="11"/>
        <v>24231703.809425</v>
      </c>
      <c r="W238">
        <f>IF($A238="","",Allocation!CD238)</f>
        <v>74584.324575</v>
      </c>
      <c r="X238">
        <f>IF($A238="","",Allocation!CE238)</f>
        <v>198220.26952</v>
      </c>
      <c r="Y238">
        <f>IF($A238="","",Allocation!CF238)</f>
        <v>44824.934018</v>
      </c>
      <c r="Z238">
        <f>IF($A238="","",Allocation!CG238)</f>
        <v>20358</v>
      </c>
      <c r="AA238">
        <f>IF($A238="","",Allocation!CH238)</f>
        <v>389149.627243</v>
      </c>
      <c r="AB238">
        <f>IF($A238="","",Allocation!CI238)</f>
        <v>2975861.58142</v>
      </c>
      <c r="AC238">
        <f>IF($A238="","",IF(Allocation!$N$4="VOL_EFF",$G238,IF(Allocation!$N$4="VOL_CLASS",$H238,$I238)))</f>
        <v>2</v>
      </c>
      <c r="AD238">
        <f>IF($A238="","",IF(Allocation!$N$4="VOL_EFF",$L238,IF(Allocation!$N$4="VOL_CLASS",$M238,$N238)))</f>
        <v>6</v>
      </c>
      <c r="AE238">
        <f>IF($A238="","",IF(Allocation!$N$3="VOL_EFF",$L238,IF(Allocation!$N$3="VOL_CLASS",$M238,$N238)))</f>
        <v>121.859881</v>
      </c>
      <c r="AF238">
        <f>IF($A238="","",IF(Allocation!$N$3="VOL_EFF",$Q238,IF(Allocation!$N$3="VOL_CLASS",$R238,$S238)))</f>
        <v>265.420186</v>
      </c>
      <c r="AG238">
        <f>IF($A238="","",IF(Allocation!$N$1="VOL_EFF",$Q238,IF(Allocation!$N$1="VOL_CLASS",$R238,$S238)))</f>
        <v>12</v>
      </c>
      <c r="AH238">
        <f>IF($A238="","",IF(Allocation!$N$1="VOL_EFF",$T238,IF(Allocation!$N$1="VOL_CLASS",$U238,$V238)))</f>
        <v>135</v>
      </c>
      <c r="AI238">
        <f t="shared" si="12"/>
        <v>24861.441525</v>
      </c>
      <c r="AJ238">
        <f t="shared" si="13"/>
        <v>66073.4231733333</v>
      </c>
      <c r="AK238">
        <f t="shared" si="14"/>
        <v>14049.6473553713</v>
      </c>
      <c r="AL238">
        <f t="shared" si="15"/>
        <v>129716.542414333</v>
      </c>
      <c r="AM238">
        <f t="shared" si="16"/>
        <v>40482.3532298318</v>
      </c>
      <c r="AN238">
        <f t="shared" si="17"/>
        <v>-3162.10153539712</v>
      </c>
      <c r="AO238">
        <f>IF($A238="","",Allocation!CJ238)</f>
        <v>743978.4</v>
      </c>
      <c r="AP238">
        <f>IF($A238="","",IF(Allocation!$N$2="VOL_EFF",$Q238,IF(Allocation!$N$2="VOL_CLASS",$R238,$S238)))</f>
        <v>2036027.83527</v>
      </c>
      <c r="AQ238">
        <f>IF($A238="","",IF(Allocation!$N$2="VOL_EFF",$T238,IF(Allocation!$N$2="VOL_CLASS",$U238,$V238)))</f>
        <v>24231703.809425</v>
      </c>
      <c r="AR238">
        <f t="shared" si="18"/>
        <v>9566.77658352766</v>
      </c>
      <c r="AS238" t="str">
        <f>IF($A238="","",$A238&amp;"|"&amp;Allocation!BG238)</f>
        <v>2027|V01</v>
      </c>
    </row>
    <row r="239" ht="14.497499999999997" customHeight="1">
      <c r="A239" t="str">
        <f>IF(Allocation!BI239="","",Allocation!BI239)</f>
        <v>2027</v>
      </c>
      <c r="B239" t="str">
        <f>IF(Allocation!BJ239="","",Allocation!BJ239)</f>
        <v>TUNON_PAR</v>
      </c>
      <c r="C239" t="str">
        <f>IF(Allocation!BK239="","",Allocation!BK239)</f>
        <v>TUNON</v>
      </c>
      <c r="D239" t="str">
        <f>IF(Allocation!BL239="","",Allocation!BL239)</f>
        <v>BAC_TOU</v>
      </c>
      <c r="E239" t="str">
        <f>IF(Allocation!BM239="","",Allocation!BM239)</f>
        <v>B1</v>
      </c>
      <c r="F239" t="str">
        <f>IF(Allocation!BN239="","",Allocation!BN239)</f>
        <v>ALT</v>
      </c>
      <c r="G239">
        <f>IF(Allocation!BO239="","",Allocation!BO239)</f>
        <v>52.095305</v>
      </c>
      <c r="H239">
        <f>IF(Allocation!BP239="","",Allocation!BP239)</f>
        <v>2</v>
      </c>
      <c r="I239">
        <f>IF(Allocation!BQ239="","",Allocation!BQ239)</f>
        <v>414359.429447</v>
      </c>
      <c r="J239">
        <f>IF(Allocation!CC239="","",Allocation!CC239)</f>
        <v>52.095305</v>
      </c>
      <c r="K239">
        <f t="shared" si="0"/>
        <v>960</v>
      </c>
      <c r="L239">
        <f t="shared" si="1"/>
        <v>143.560305</v>
      </c>
      <c r="M239">
        <f t="shared" si="2"/>
        <v>6</v>
      </c>
      <c r="N239">
        <f t="shared" si="3"/>
        <v>1133628.555099</v>
      </c>
      <c r="O239">
        <f t="shared" si="4"/>
        <v>2880</v>
      </c>
      <c r="P239">
        <f t="shared" si="5"/>
        <v>52.095305</v>
      </c>
      <c r="Q239">
        <f t="shared" si="6"/>
        <v>265.420186</v>
      </c>
      <c r="R239">
        <f t="shared" si="7"/>
        <v>12</v>
      </c>
      <c r="S239">
        <f t="shared" si="8"/>
        <v>2036027.83527</v>
      </c>
      <c r="T239">
        <f t="shared" si="9"/>
        <v>3253.616848</v>
      </c>
      <c r="U239">
        <f t="shared" si="10"/>
        <v>135</v>
      </c>
      <c r="V239">
        <f t="shared" si="11"/>
        <v>24231703.809425</v>
      </c>
      <c r="W239">
        <f>IF($A239="","",Allocation!CD239)</f>
        <v>74584.324575</v>
      </c>
      <c r="X239">
        <f>IF($A239="","",Allocation!CE239)</f>
        <v>238111.89766</v>
      </c>
      <c r="Y239">
        <f>IF($A239="","",Allocation!CF239)</f>
        <v>52870.461396</v>
      </c>
      <c r="Z239">
        <f>IF($A239="","",Allocation!CG239)</f>
        <v>32659.2</v>
      </c>
      <c r="AA239">
        <f>IF($A239="","",Allocation!CH239)</f>
        <v>520675.939055</v>
      </c>
      <c r="AB239">
        <f>IF($A239="","",Allocation!CI239)</f>
        <v>2975861.58142</v>
      </c>
      <c r="AC239">
        <f>IF($A239="","",IF(Allocation!$N$4="VOL_EFF",$G239,IF(Allocation!$N$4="VOL_CLASS",$H239,$I239)))</f>
        <v>2</v>
      </c>
      <c r="AD239">
        <f>IF($A239="","",IF(Allocation!$N$4="VOL_EFF",$L239,IF(Allocation!$N$4="VOL_CLASS",$M239,$N239)))</f>
        <v>6</v>
      </c>
      <c r="AE239">
        <f>IF($A239="","",IF(Allocation!$N$3="VOL_EFF",$L239,IF(Allocation!$N$3="VOL_CLASS",$M239,$N239)))</f>
        <v>143.560305</v>
      </c>
      <c r="AF239">
        <f>IF($A239="","",IF(Allocation!$N$3="VOL_EFF",$Q239,IF(Allocation!$N$3="VOL_CLASS",$R239,$S239)))</f>
        <v>265.420186</v>
      </c>
      <c r="AG239">
        <f>IF($A239="","",IF(Allocation!$N$1="VOL_EFF",$Q239,IF(Allocation!$N$1="VOL_CLASS",$R239,$S239)))</f>
        <v>12</v>
      </c>
      <c r="AH239">
        <f>IF($A239="","",IF(Allocation!$N$1="VOL_EFF",$T239,IF(Allocation!$N$1="VOL_CLASS",$U239,$V239)))</f>
        <v>135</v>
      </c>
      <c r="AI239">
        <f t="shared" si="12"/>
        <v>24861.441525</v>
      </c>
      <c r="AJ239">
        <f t="shared" si="13"/>
        <v>79370.6325533333</v>
      </c>
      <c r="AK239">
        <f t="shared" si="14"/>
        <v>51844.8851510266</v>
      </c>
      <c r="AL239">
        <f t="shared" si="15"/>
        <v>173558.646351667</v>
      </c>
      <c r="AM239">
        <f t="shared" si="16"/>
        <v>47691.3232566868</v>
      </c>
      <c r="AN239">
        <f t="shared" si="17"/>
        <v>25762.1025674723</v>
      </c>
      <c r="AO239">
        <f>IF($A239="","",Allocation!CJ239)</f>
        <v>743978.4</v>
      </c>
      <c r="AP239">
        <f>IF($A239="","",IF(Allocation!$N$2="VOL_EFF",$Q239,IF(Allocation!$N$2="VOL_CLASS",$R239,$S239)))</f>
        <v>2036027.83527</v>
      </c>
      <c r="AQ239">
        <f>IF($A239="","",IF(Allocation!$N$2="VOL_EFF",$T239,IF(Allocation!$N$2="VOL_CLASS",$U239,$V239)))</f>
        <v>24231703.809425</v>
      </c>
      <c r="AR239">
        <f t="shared" si="18"/>
        <v>11270.398041814</v>
      </c>
      <c r="AS239" t="str">
        <f>IF($A239="","",$A239&amp;"|"&amp;Allocation!BG239)</f>
        <v>2027|V01</v>
      </c>
    </row>
    <row r="240" ht="14.497499999999997" customHeight="1">
      <c r="A240" t="str">
        <f>IF(Allocation!BI240="","",Allocation!BI240)</f>
        <v>2027</v>
      </c>
      <c r="B240" t="str">
        <f>IF(Allocation!BJ240="","",Allocation!BJ240)</f>
        <v>TUNON_PAR</v>
      </c>
      <c r="C240" t="str">
        <f>IF(Allocation!BK240="","",Allocation!BK240)</f>
        <v>TUNON</v>
      </c>
      <c r="D240" t="str">
        <f>IF(Allocation!BL240="","",Allocation!BL240)</f>
        <v>BAC_TOU</v>
      </c>
      <c r="E240" t="str">
        <f>IF(Allocation!BM240="","",Allocation!BM240)</f>
        <v>B2</v>
      </c>
      <c r="F240" t="str">
        <f>IF(Allocation!BN240="","",Allocation!BN240)</f>
        <v>ALT</v>
      </c>
      <c r="G240">
        <f>IF(Allocation!BO240="","",Allocation!BO240)</f>
        <v>46.235</v>
      </c>
      <c r="H240">
        <f>IF(Allocation!BP240="","",Allocation!BP240)</f>
        <v>2</v>
      </c>
      <c r="I240">
        <f>IF(Allocation!BQ240="","",Allocation!BQ240)</f>
        <v>363586.158908</v>
      </c>
      <c r="J240">
        <f>IF(Allocation!CC240="","",Allocation!CC240)</f>
        <v>0</v>
      </c>
      <c r="K240">
        <f t="shared" si="0"/>
        <v>960</v>
      </c>
      <c r="L240">
        <f t="shared" si="1"/>
        <v>143.560305</v>
      </c>
      <c r="M240">
        <f t="shared" si="2"/>
        <v>6</v>
      </c>
      <c r="N240">
        <f t="shared" si="3"/>
        <v>1133628.555099</v>
      </c>
      <c r="O240">
        <f t="shared" si="4"/>
        <v>2880</v>
      </c>
      <c r="P240">
        <f t="shared" si="5"/>
        <v>52.095305</v>
      </c>
      <c r="Q240">
        <f t="shared" si="6"/>
        <v>265.420186</v>
      </c>
      <c r="R240">
        <f t="shared" si="7"/>
        <v>12</v>
      </c>
      <c r="S240">
        <f t="shared" si="8"/>
        <v>2036027.83527</v>
      </c>
      <c r="T240">
        <f t="shared" si="9"/>
        <v>3253.616848</v>
      </c>
      <c r="U240">
        <f t="shared" si="10"/>
        <v>135</v>
      </c>
      <c r="V240">
        <f t="shared" si="11"/>
        <v>24231703.809425</v>
      </c>
      <c r="W240">
        <f>IF($A240="","",Allocation!CD240)</f>
        <v>74584.324575</v>
      </c>
      <c r="X240">
        <f>IF($A240="","",Allocation!CE240)</f>
        <v>238111.89766</v>
      </c>
      <c r="Y240">
        <f>IF($A240="","",Allocation!CF240)</f>
        <v>52870.461396</v>
      </c>
      <c r="Z240">
        <f>IF($A240="","",Allocation!CG240)</f>
        <v>32659.2</v>
      </c>
      <c r="AA240">
        <f>IF($A240="","",Allocation!CH240)</f>
        <v>520675.939055</v>
      </c>
      <c r="AB240">
        <f>IF($A240="","",Allocation!CI240)</f>
        <v>2975861.58142</v>
      </c>
      <c r="AC240">
        <f>IF($A240="","",IF(Allocation!$N$4="VOL_EFF",$G240,IF(Allocation!$N$4="VOL_CLASS",$H240,$I240)))</f>
        <v>2</v>
      </c>
      <c r="AD240">
        <f>IF($A240="","",IF(Allocation!$N$4="VOL_EFF",$L240,IF(Allocation!$N$4="VOL_CLASS",$M240,$N240)))</f>
        <v>6</v>
      </c>
      <c r="AE240">
        <f>IF($A240="","",IF(Allocation!$N$3="VOL_EFF",$L240,IF(Allocation!$N$3="VOL_CLASS",$M240,$N240)))</f>
        <v>143.560305</v>
      </c>
      <c r="AF240">
        <f>IF($A240="","",IF(Allocation!$N$3="VOL_EFF",$Q240,IF(Allocation!$N$3="VOL_CLASS",$R240,$S240)))</f>
        <v>265.420186</v>
      </c>
      <c r="AG240">
        <f>IF($A240="","",IF(Allocation!$N$1="VOL_EFF",$Q240,IF(Allocation!$N$1="VOL_CLASS",$R240,$S240)))</f>
        <v>12</v>
      </c>
      <c r="AH240">
        <f>IF($A240="","",IF(Allocation!$N$1="VOL_EFF",$T240,IF(Allocation!$N$1="VOL_CLASS",$U240,$V240)))</f>
        <v>135</v>
      </c>
      <c r="AI240">
        <f t="shared" si="12"/>
        <v>24861.441525</v>
      </c>
      <c r="AJ240">
        <f t="shared" si="13"/>
        <v>79370.6325533333</v>
      </c>
      <c r="AK240">
        <f t="shared" si="14"/>
        <v>17027.4490754534</v>
      </c>
      <c r="AL240">
        <f t="shared" si="15"/>
        <v>173558.646351667</v>
      </c>
      <c r="AM240">
        <f t="shared" si="16"/>
        <v>47691.3232566868</v>
      </c>
      <c r="AN240">
        <f t="shared" si="17"/>
        <v>9806.26810404548</v>
      </c>
      <c r="AO240">
        <f>IF($A240="","",Allocation!CJ240)</f>
        <v>743978.4</v>
      </c>
      <c r="AP240">
        <f>IF($A240="","",IF(Allocation!$N$2="VOL_EFF",$Q240,IF(Allocation!$N$2="VOL_CLASS",$R240,$S240)))</f>
        <v>2036027.83527</v>
      </c>
      <c r="AQ240">
        <f>IF($A240="","",IF(Allocation!$N$2="VOL_EFF",$T240,IF(Allocation!$N$2="VOL_CLASS",$U240,$V240)))</f>
        <v>24231703.809425</v>
      </c>
      <c r="AR240">
        <f t="shared" si="18"/>
        <v>11270.398041814</v>
      </c>
      <c r="AS240" t="str">
        <f>IF($A240="","",$A240&amp;"|"&amp;Allocation!BG240)</f>
        <v>2027|V01</v>
      </c>
    </row>
    <row r="241" ht="14.497499999999997" customHeight="1">
      <c r="A241" t="str">
        <f>IF(Allocation!BI241="","",Allocation!BI241)</f>
        <v>2027</v>
      </c>
      <c r="B241" t="str">
        <f>IF(Allocation!BJ241="","",Allocation!BJ241)</f>
        <v>TUNON_PAR</v>
      </c>
      <c r="C241" t="str">
        <f>IF(Allocation!BK241="","",Allocation!BK241)</f>
        <v>TUNON</v>
      </c>
      <c r="D241" t="str">
        <f>IF(Allocation!BL241="","",Allocation!BL241)</f>
        <v>BAC_TOU</v>
      </c>
      <c r="E241" t="str">
        <f>IF(Allocation!BM241="","",Allocation!BM241)</f>
        <v>B3</v>
      </c>
      <c r="F241" t="str">
        <f>IF(Allocation!BN241="","",Allocation!BN241)</f>
        <v>ALT</v>
      </c>
      <c r="G241">
        <f>IF(Allocation!BO241="","",Allocation!BO241)</f>
        <v>45.23</v>
      </c>
      <c r="H241">
        <f>IF(Allocation!BP241="","",Allocation!BP241)</f>
        <v>2</v>
      </c>
      <c r="I241">
        <f>IF(Allocation!BQ241="","",Allocation!BQ241)</f>
        <v>355682.966744</v>
      </c>
      <c r="J241">
        <f>IF(Allocation!CC241="","",Allocation!CC241)</f>
        <v>0</v>
      </c>
      <c r="K241">
        <f t="shared" si="0"/>
        <v>960</v>
      </c>
      <c r="L241">
        <f t="shared" si="1"/>
        <v>143.560305</v>
      </c>
      <c r="M241">
        <f t="shared" si="2"/>
        <v>6</v>
      </c>
      <c r="N241">
        <f t="shared" si="3"/>
        <v>1133628.555099</v>
      </c>
      <c r="O241">
        <f t="shared" si="4"/>
        <v>2880</v>
      </c>
      <c r="P241">
        <f t="shared" si="5"/>
        <v>52.095305</v>
      </c>
      <c r="Q241">
        <f t="shared" si="6"/>
        <v>265.420186</v>
      </c>
      <c r="R241">
        <f t="shared" si="7"/>
        <v>12</v>
      </c>
      <c r="S241">
        <f t="shared" si="8"/>
        <v>2036027.83527</v>
      </c>
      <c r="T241">
        <f t="shared" si="9"/>
        <v>3253.616848</v>
      </c>
      <c r="U241">
        <f t="shared" si="10"/>
        <v>135</v>
      </c>
      <c r="V241">
        <f t="shared" si="11"/>
        <v>24231703.809425</v>
      </c>
      <c r="W241">
        <f>IF($A241="","",Allocation!CD241)</f>
        <v>74584.324575</v>
      </c>
      <c r="X241">
        <f>IF($A241="","",Allocation!CE241)</f>
        <v>238111.89766</v>
      </c>
      <c r="Y241">
        <f>IF($A241="","",Allocation!CF241)</f>
        <v>52870.461396</v>
      </c>
      <c r="Z241">
        <f>IF($A241="","",Allocation!CG241)</f>
        <v>32659.2</v>
      </c>
      <c r="AA241">
        <f>IF($A241="","",Allocation!CH241)</f>
        <v>520675.939055</v>
      </c>
      <c r="AB241">
        <f>IF($A241="","",Allocation!CI241)</f>
        <v>2975861.58142</v>
      </c>
      <c r="AC241">
        <f>IF($A241="","",IF(Allocation!$N$4="VOL_EFF",$G241,IF(Allocation!$N$4="VOL_CLASS",$H241,$I241)))</f>
        <v>2</v>
      </c>
      <c r="AD241">
        <f>IF($A241="","",IF(Allocation!$N$4="VOL_EFF",$L241,IF(Allocation!$N$4="VOL_CLASS",$M241,$N241)))</f>
        <v>6</v>
      </c>
      <c r="AE241">
        <f>IF($A241="","",IF(Allocation!$N$3="VOL_EFF",$L241,IF(Allocation!$N$3="VOL_CLASS",$M241,$N241)))</f>
        <v>143.560305</v>
      </c>
      <c r="AF241">
        <f>IF($A241="","",IF(Allocation!$N$3="VOL_EFF",$Q241,IF(Allocation!$N$3="VOL_CLASS",$R241,$S241)))</f>
        <v>265.420186</v>
      </c>
      <c r="AG241">
        <f>IF($A241="","",IF(Allocation!$N$1="VOL_EFF",$Q241,IF(Allocation!$N$1="VOL_CLASS",$R241,$S241)))</f>
        <v>12</v>
      </c>
      <c r="AH241">
        <f>IF($A241="","",IF(Allocation!$N$1="VOL_EFF",$T241,IF(Allocation!$N$1="VOL_CLASS",$U241,$V241)))</f>
        <v>135</v>
      </c>
      <c r="AI241">
        <f t="shared" si="12"/>
        <v>24861.441525</v>
      </c>
      <c r="AJ241">
        <f t="shared" si="13"/>
        <v>79370.6325533333</v>
      </c>
      <c r="AK241">
        <f t="shared" si="14"/>
        <v>16657.32716952</v>
      </c>
      <c r="AL241">
        <f t="shared" si="15"/>
        <v>173558.646351667</v>
      </c>
      <c r="AM241">
        <f t="shared" si="16"/>
        <v>47691.3232566868</v>
      </c>
      <c r="AN241">
        <f t="shared" si="17"/>
        <v>2273.1978459789</v>
      </c>
      <c r="AO241">
        <f>IF($A241="","",Allocation!CJ241)</f>
        <v>743978.4</v>
      </c>
      <c r="AP241">
        <f>IF($A241="","",IF(Allocation!$N$2="VOL_EFF",$Q241,IF(Allocation!$N$2="VOL_CLASS",$R241,$S241)))</f>
        <v>2036027.83527</v>
      </c>
      <c r="AQ241">
        <f>IF($A241="","",IF(Allocation!$N$2="VOL_EFF",$T241,IF(Allocation!$N$2="VOL_CLASS",$U241,$V241)))</f>
        <v>24231703.809425</v>
      </c>
      <c r="AR241">
        <f t="shared" si="18"/>
        <v>11270.398041814</v>
      </c>
      <c r="AS241" t="str">
        <f>IF($A241="","",$A241&amp;"|"&amp;Allocation!BG241)</f>
        <v>2027|V01</v>
      </c>
    </row>
    <row r="242" ht="14.497499999999997" customHeight="1">
      <c r="A242" t="str">
        <f>IF(Allocation!BI242="","",Allocation!BI242)</f>
        <v>2027</v>
      </c>
      <c r="B242" t="str">
        <f>IF(Allocation!BJ242="","",Allocation!BJ242)</f>
        <v>IPAC_MTP</v>
      </c>
      <c r="C242" t="str">
        <f>IF(Allocation!BK242="","",Allocation!BK242)</f>
        <v>IPAC</v>
      </c>
      <c r="D242" t="str">
        <f>IF(Allocation!BL242="","",Allocation!BL242)</f>
        <v>BAC_CCE</v>
      </c>
      <c r="E242" t="str">
        <f>IF(Allocation!BM242="","",Allocation!BM242)</f>
        <v>B1</v>
      </c>
      <c r="F242" t="str">
        <f>IF(Allocation!BN242="","",Allocation!BN242)</f>
        <v>ALT</v>
      </c>
      <c r="G242">
        <f>IF(Allocation!BO242="","",Allocation!BO242)</f>
        <v>52.169789</v>
      </c>
      <c r="H242">
        <f>IF(Allocation!BP242="","",Allocation!BP242)</f>
        <v>2</v>
      </c>
      <c r="I242">
        <f>IF(Allocation!BQ242="","",Allocation!BQ242)</f>
        <v>363159.77033</v>
      </c>
      <c r="J242">
        <f>IF(Allocation!CC242="","",Allocation!CC242)</f>
        <v>52.169789</v>
      </c>
      <c r="K242">
        <f t="shared" si="0"/>
        <v>960</v>
      </c>
      <c r="L242">
        <f t="shared" si="1"/>
        <v>130.354789</v>
      </c>
      <c r="M242">
        <f t="shared" si="2"/>
        <v>6</v>
      </c>
      <c r="N242">
        <f t="shared" si="3"/>
        <v>900377.701143</v>
      </c>
      <c r="O242">
        <f t="shared" si="4"/>
        <v>2880</v>
      </c>
      <c r="P242">
        <f t="shared" si="5"/>
        <v>52.169789</v>
      </c>
      <c r="Q242">
        <f t="shared" si="6"/>
        <v>422.193912</v>
      </c>
      <c r="R242">
        <f t="shared" si="7"/>
        <v>18</v>
      </c>
      <c r="S242">
        <f t="shared" si="8"/>
        <v>2974593.538667</v>
      </c>
      <c r="T242">
        <f t="shared" si="9"/>
        <v>3473.669998</v>
      </c>
      <c r="U242">
        <f t="shared" si="10"/>
        <v>135</v>
      </c>
      <c r="V242">
        <f t="shared" si="11"/>
        <v>26814168.474038</v>
      </c>
      <c r="W242">
        <f>IF($A242="","",Allocation!CD242)</f>
        <v>81566.049288</v>
      </c>
      <c r="X242">
        <f>IF($A242="","",Allocation!CE242)</f>
        <v>142973.453958</v>
      </c>
      <c r="Y242">
        <f>IF($A242="","",Allocation!CF242)</f>
        <v>49020.927631</v>
      </c>
      <c r="Z242">
        <f>IF($A242="","",Allocation!CG242)</f>
        <v>17454.7</v>
      </c>
      <c r="AA242">
        <f>IF($A242="","",Allocation!CH242)</f>
        <v>277100.161154</v>
      </c>
      <c r="AB242">
        <f>IF($A242="","",Allocation!CI242)</f>
        <v>2894009.992738</v>
      </c>
      <c r="AC242">
        <f>IF($A242="","",IF(Allocation!$N$4="VOL_EFF",$G242,IF(Allocation!$N$4="VOL_CLASS",$H242,$I242)))</f>
        <v>2</v>
      </c>
      <c r="AD242">
        <f>IF($A242="","",IF(Allocation!$N$4="VOL_EFF",$L242,IF(Allocation!$N$4="VOL_CLASS",$M242,$N242)))</f>
        <v>6</v>
      </c>
      <c r="AE242">
        <f>IF($A242="","",IF(Allocation!$N$3="VOL_EFF",$L242,IF(Allocation!$N$3="VOL_CLASS",$M242,$N242)))</f>
        <v>130.354789</v>
      </c>
      <c r="AF242">
        <f>IF($A242="","",IF(Allocation!$N$3="VOL_EFF",$Q242,IF(Allocation!$N$3="VOL_CLASS",$R242,$S242)))</f>
        <v>422.193912</v>
      </c>
      <c r="AG242">
        <f>IF($A242="","",IF(Allocation!$N$1="VOL_EFF",$Q242,IF(Allocation!$N$1="VOL_CLASS",$R242,$S242)))</f>
        <v>18</v>
      </c>
      <c r="AH242">
        <f>IF($A242="","",IF(Allocation!$N$1="VOL_EFF",$T242,IF(Allocation!$N$1="VOL_CLASS",$U242,$V242)))</f>
        <v>135</v>
      </c>
      <c r="AI242">
        <f t="shared" si="12"/>
        <v>27188.683096</v>
      </c>
      <c r="AJ242">
        <f t="shared" si="13"/>
        <v>47657.817986</v>
      </c>
      <c r="AK242">
        <f t="shared" si="14"/>
        <v>37073.5530602703</v>
      </c>
      <c r="AL242">
        <f t="shared" si="15"/>
        <v>92366.7203846667</v>
      </c>
      <c r="AM242">
        <f t="shared" si="16"/>
        <v>39712.9850888943</v>
      </c>
      <c r="AN242">
        <f t="shared" si="17"/>
        <v>110279.814779394</v>
      </c>
      <c r="AO242">
        <f>IF($A242="","",Allocation!CJ242)</f>
        <v>777795.6</v>
      </c>
      <c r="AP242">
        <f>IF($A242="","",IF(Allocation!$N$2="VOL_EFF",$Q242,IF(Allocation!$N$2="VOL_CLASS",$R242,$S242)))</f>
        <v>2974593.538667</v>
      </c>
      <c r="AQ242">
        <f>IF($A242="","",IF(Allocation!$N$2="VOL_EFF",$T242,IF(Allocation!$N$2="VOL_CLASS",$U242,$V242)))</f>
        <v>26814168.474038</v>
      </c>
      <c r="AR242">
        <f t="shared" si="18"/>
        <v>8880.1959347746</v>
      </c>
      <c r="AS242" t="str">
        <f>IF($A242="","",$A242&amp;"|"&amp;Allocation!BG242)</f>
        <v>2027|V02</v>
      </c>
    </row>
    <row r="243" ht="14.497499999999997" customHeight="1">
      <c r="A243" t="str">
        <f>IF(Allocation!BI243="","",Allocation!BI243)</f>
        <v>2027</v>
      </c>
      <c r="B243" t="str">
        <f>IF(Allocation!BJ243="","",Allocation!BJ243)</f>
        <v>IPAC_MTP</v>
      </c>
      <c r="C243" t="str">
        <f>IF(Allocation!BK243="","",Allocation!BK243)</f>
        <v>IPAC</v>
      </c>
      <c r="D243" t="str">
        <f>IF(Allocation!BL243="","",Allocation!BL243)</f>
        <v>BAC_CCE</v>
      </c>
      <c r="E243" t="str">
        <f>IF(Allocation!BM243="","",Allocation!BM243)</f>
        <v>B2</v>
      </c>
      <c r="F243" t="str">
        <f>IF(Allocation!BN243="","",Allocation!BN243)</f>
        <v>ALT</v>
      </c>
      <c r="G243">
        <f>IF(Allocation!BO243="","",Allocation!BO243)</f>
        <v>39.6</v>
      </c>
      <c r="H243">
        <f>IF(Allocation!BP243="","",Allocation!BP243)</f>
        <v>2</v>
      </c>
      <c r="I243">
        <f>IF(Allocation!BQ243="","",Allocation!BQ243)</f>
        <v>272096.055</v>
      </c>
      <c r="J243">
        <f>IF(Allocation!CC243="","",Allocation!CC243)</f>
        <v>0</v>
      </c>
      <c r="K243">
        <f t="shared" si="0"/>
        <v>960</v>
      </c>
      <c r="L243">
        <f t="shared" si="1"/>
        <v>130.354789</v>
      </c>
      <c r="M243">
        <f t="shared" si="2"/>
        <v>6</v>
      </c>
      <c r="N243">
        <f t="shared" si="3"/>
        <v>900377.701143</v>
      </c>
      <c r="O243">
        <f t="shared" si="4"/>
        <v>2880</v>
      </c>
      <c r="P243">
        <f t="shared" si="5"/>
        <v>52.169789</v>
      </c>
      <c r="Q243">
        <f t="shared" si="6"/>
        <v>422.193912</v>
      </c>
      <c r="R243">
        <f t="shared" si="7"/>
        <v>18</v>
      </c>
      <c r="S243">
        <f t="shared" si="8"/>
        <v>2974593.538667</v>
      </c>
      <c r="T243">
        <f t="shared" si="9"/>
        <v>3473.669998</v>
      </c>
      <c r="U243">
        <f t="shared" si="10"/>
        <v>135</v>
      </c>
      <c r="V243">
        <f t="shared" si="11"/>
        <v>26814168.474038</v>
      </c>
      <c r="W243">
        <f>IF($A243="","",Allocation!CD243)</f>
        <v>81566.049288</v>
      </c>
      <c r="X243">
        <f>IF($A243="","",Allocation!CE243)</f>
        <v>142973.453958</v>
      </c>
      <c r="Y243">
        <f>IF($A243="","",Allocation!CF243)</f>
        <v>49020.927631</v>
      </c>
      <c r="Z243">
        <f>IF($A243="","",Allocation!CG243)</f>
        <v>17454.7</v>
      </c>
      <c r="AA243">
        <f>IF($A243="","",Allocation!CH243)</f>
        <v>277100.161154</v>
      </c>
      <c r="AB243">
        <f>IF($A243="","",Allocation!CI243)</f>
        <v>2894009.992738</v>
      </c>
      <c r="AC243">
        <f>IF($A243="","",IF(Allocation!$N$4="VOL_EFF",$G243,IF(Allocation!$N$4="VOL_CLASS",$H243,$I243)))</f>
        <v>2</v>
      </c>
      <c r="AD243">
        <f>IF($A243="","",IF(Allocation!$N$4="VOL_EFF",$L243,IF(Allocation!$N$4="VOL_CLASS",$M243,$N243)))</f>
        <v>6</v>
      </c>
      <c r="AE243">
        <f>IF($A243="","",IF(Allocation!$N$3="VOL_EFF",$L243,IF(Allocation!$N$3="VOL_CLASS",$M243,$N243)))</f>
        <v>130.354789</v>
      </c>
      <c r="AF243">
        <f>IF($A243="","",IF(Allocation!$N$3="VOL_EFF",$Q243,IF(Allocation!$N$3="VOL_CLASS",$R243,$S243)))</f>
        <v>422.193912</v>
      </c>
      <c r="AG243">
        <f>IF($A243="","",IF(Allocation!$N$1="VOL_EFF",$Q243,IF(Allocation!$N$1="VOL_CLASS",$R243,$S243)))</f>
        <v>18</v>
      </c>
      <c r="AH243">
        <f>IF($A243="","",IF(Allocation!$N$1="VOL_EFF",$T243,IF(Allocation!$N$1="VOL_CLASS",$U243,$V243)))</f>
        <v>135</v>
      </c>
      <c r="AI243">
        <f t="shared" si="12"/>
        <v>27188.683096</v>
      </c>
      <c r="AJ243">
        <f t="shared" si="13"/>
        <v>47657.817986</v>
      </c>
      <c r="AK243">
        <f t="shared" si="14"/>
        <v>14891.8865895107</v>
      </c>
      <c r="AL243">
        <f t="shared" si="15"/>
        <v>92366.7203846667</v>
      </c>
      <c r="AM243">
        <f t="shared" si="16"/>
        <v>39712.9850888943</v>
      </c>
      <c r="AN243">
        <f t="shared" si="17"/>
        <v>41397.7659201537</v>
      </c>
      <c r="AO243">
        <f>IF($A243="","",Allocation!CJ243)</f>
        <v>777795.6</v>
      </c>
      <c r="AP243">
        <f>IF($A243="","",IF(Allocation!$N$2="VOL_EFF",$Q243,IF(Allocation!$N$2="VOL_CLASS",$R243,$S243)))</f>
        <v>2974593.538667</v>
      </c>
      <c r="AQ243">
        <f>IF($A243="","",IF(Allocation!$N$2="VOL_EFF",$T243,IF(Allocation!$N$2="VOL_CLASS",$U243,$V243)))</f>
        <v>26814168.474038</v>
      </c>
      <c r="AR243">
        <f t="shared" si="18"/>
        <v>8880.1959347746</v>
      </c>
      <c r="AS243" t="str">
        <f>IF($A243="","",$A243&amp;"|"&amp;Allocation!BG243)</f>
        <v>2027|V02</v>
      </c>
    </row>
    <row r="244" ht="14.497499999999997" customHeight="1">
      <c r="A244" t="str">
        <f>IF(Allocation!BI244="","",Allocation!BI244)</f>
        <v>2027</v>
      </c>
      <c r="B244" t="str">
        <f>IF(Allocation!BJ244="","",Allocation!BJ244)</f>
        <v>IPAC_MTP</v>
      </c>
      <c r="C244" t="str">
        <f>IF(Allocation!BK244="","",Allocation!BK244)</f>
        <v>IPAC</v>
      </c>
      <c r="D244" t="str">
        <f>IF(Allocation!BL244="","",Allocation!BL244)</f>
        <v>BAC_CCE</v>
      </c>
      <c r="E244" t="str">
        <f>IF(Allocation!BM244="","",Allocation!BM244)</f>
        <v>B3</v>
      </c>
      <c r="F244" t="str">
        <f>IF(Allocation!BN244="","",Allocation!BN244)</f>
        <v>ALT</v>
      </c>
      <c r="G244">
        <f>IF(Allocation!BO244="","",Allocation!BO244)</f>
        <v>38.585</v>
      </c>
      <c r="H244">
        <f>IF(Allocation!BP244="","",Allocation!BP244)</f>
        <v>2</v>
      </c>
      <c r="I244">
        <f>IF(Allocation!BQ244="","",Allocation!BQ244)</f>
        <v>265121.875813</v>
      </c>
      <c r="J244">
        <f>IF(Allocation!CC244="","",Allocation!CC244)</f>
        <v>0</v>
      </c>
      <c r="K244">
        <f t="shared" si="0"/>
        <v>960</v>
      </c>
      <c r="L244">
        <f t="shared" si="1"/>
        <v>130.354789</v>
      </c>
      <c r="M244">
        <f t="shared" si="2"/>
        <v>6</v>
      </c>
      <c r="N244">
        <f t="shared" si="3"/>
        <v>900377.701143</v>
      </c>
      <c r="O244">
        <f t="shared" si="4"/>
        <v>2880</v>
      </c>
      <c r="P244">
        <f t="shared" si="5"/>
        <v>52.169789</v>
      </c>
      <c r="Q244">
        <f t="shared" si="6"/>
        <v>422.193912</v>
      </c>
      <c r="R244">
        <f t="shared" si="7"/>
        <v>18</v>
      </c>
      <c r="S244">
        <f t="shared" si="8"/>
        <v>2974593.538667</v>
      </c>
      <c r="T244">
        <f t="shared" si="9"/>
        <v>3473.669998</v>
      </c>
      <c r="U244">
        <f t="shared" si="10"/>
        <v>135</v>
      </c>
      <c r="V244">
        <f t="shared" si="11"/>
        <v>26814168.474038</v>
      </c>
      <c r="W244">
        <f>IF($A244="","",Allocation!CD244)</f>
        <v>81566.049288</v>
      </c>
      <c r="X244">
        <f>IF($A244="","",Allocation!CE244)</f>
        <v>142973.453958</v>
      </c>
      <c r="Y244">
        <f>IF($A244="","",Allocation!CF244)</f>
        <v>49020.927631</v>
      </c>
      <c r="Z244">
        <f>IF($A244="","",Allocation!CG244)</f>
        <v>17454.7</v>
      </c>
      <c r="AA244">
        <f>IF($A244="","",Allocation!CH244)</f>
        <v>277100.161154</v>
      </c>
      <c r="AB244">
        <f>IF($A244="","",Allocation!CI244)</f>
        <v>2894009.992738</v>
      </c>
      <c r="AC244">
        <f>IF($A244="","",IF(Allocation!$N$4="VOL_EFF",$G244,IF(Allocation!$N$4="VOL_CLASS",$H244,$I244)))</f>
        <v>2</v>
      </c>
      <c r="AD244">
        <f>IF($A244="","",IF(Allocation!$N$4="VOL_EFF",$L244,IF(Allocation!$N$4="VOL_CLASS",$M244,$N244)))</f>
        <v>6</v>
      </c>
      <c r="AE244">
        <f>IF($A244="","",IF(Allocation!$N$3="VOL_EFF",$L244,IF(Allocation!$N$3="VOL_CLASS",$M244,$N244)))</f>
        <v>130.354789</v>
      </c>
      <c r="AF244">
        <f>IF($A244="","",IF(Allocation!$N$3="VOL_EFF",$Q244,IF(Allocation!$N$3="VOL_CLASS",$R244,$S244)))</f>
        <v>422.193912</v>
      </c>
      <c r="AG244">
        <f>IF($A244="","",IF(Allocation!$N$1="VOL_EFF",$Q244,IF(Allocation!$N$1="VOL_CLASS",$R244,$S244)))</f>
        <v>18</v>
      </c>
      <c r="AH244">
        <f>IF($A244="","",IF(Allocation!$N$1="VOL_EFF",$T244,IF(Allocation!$N$1="VOL_CLASS",$U244,$V244)))</f>
        <v>135</v>
      </c>
      <c r="AI244">
        <f t="shared" si="12"/>
        <v>27188.683096</v>
      </c>
      <c r="AJ244">
        <f t="shared" si="13"/>
        <v>47657.817986</v>
      </c>
      <c r="AK244">
        <f t="shared" si="14"/>
        <v>14510.187981219</v>
      </c>
      <c r="AL244">
        <f t="shared" si="15"/>
        <v>92366.7203846667</v>
      </c>
      <c r="AM244">
        <f t="shared" si="16"/>
        <v>39712.9850888943</v>
      </c>
      <c r="AN244">
        <f t="shared" si="17"/>
        <v>34805.2853414454</v>
      </c>
      <c r="AO244">
        <f>IF($A244="","",Allocation!CJ244)</f>
        <v>777795.6</v>
      </c>
      <c r="AP244">
        <f>IF($A244="","",IF(Allocation!$N$2="VOL_EFF",$Q244,IF(Allocation!$N$2="VOL_CLASS",$R244,$S244)))</f>
        <v>2974593.538667</v>
      </c>
      <c r="AQ244">
        <f>IF($A244="","",IF(Allocation!$N$2="VOL_EFF",$T244,IF(Allocation!$N$2="VOL_CLASS",$U244,$V244)))</f>
        <v>26814168.474038</v>
      </c>
      <c r="AR244">
        <f t="shared" si="18"/>
        <v>8880.1959347746</v>
      </c>
      <c r="AS244" t="str">
        <f>IF($A244="","",$A244&amp;"|"&amp;Allocation!BG244)</f>
        <v>2027|V02</v>
      </c>
    </row>
    <row r="245" ht="14.497499999999997" customHeight="1">
      <c r="A245" t="str">
        <f>IF(Allocation!BI245="","",Allocation!BI245)</f>
        <v>2027</v>
      </c>
      <c r="B245" t="str">
        <f>IF(Allocation!BJ245="","",Allocation!BJ245)</f>
        <v>IPAC_NAN</v>
      </c>
      <c r="C245" t="str">
        <f>IF(Allocation!BK245="","",Allocation!BK245)</f>
        <v>IPAC</v>
      </c>
      <c r="D245" t="str">
        <f>IF(Allocation!BL245="","",Allocation!BL245)</f>
        <v>BAC_CCE</v>
      </c>
      <c r="E245" t="str">
        <f>IF(Allocation!BM245="","",Allocation!BM245)</f>
        <v>B1</v>
      </c>
      <c r="F245" t="str">
        <f>IF(Allocation!BN245="","",Allocation!BN245)</f>
        <v>ALT</v>
      </c>
      <c r="G245">
        <f>IF(Allocation!BO245="","",Allocation!BO245)</f>
        <v>65.044833</v>
      </c>
      <c r="H245">
        <f>IF(Allocation!BP245="","",Allocation!BP245)</f>
        <v>2</v>
      </c>
      <c r="I245">
        <f>IF(Allocation!BQ245="","",Allocation!BQ245)</f>
        <v>476307.050851</v>
      </c>
      <c r="J245">
        <f>IF(Allocation!CC245="","",Allocation!CC245)</f>
        <v>65.044833</v>
      </c>
      <c r="K245">
        <f t="shared" si="0"/>
        <v>960</v>
      </c>
      <c r="L245">
        <f t="shared" si="1"/>
        <v>161.514833</v>
      </c>
      <c r="M245">
        <f t="shared" si="2"/>
        <v>6</v>
      </c>
      <c r="N245">
        <f t="shared" si="3"/>
        <v>1174050.443351</v>
      </c>
      <c r="O245">
        <f t="shared" si="4"/>
        <v>2880</v>
      </c>
      <c r="P245">
        <f t="shared" si="5"/>
        <v>65.044833</v>
      </c>
      <c r="Q245">
        <f t="shared" si="6"/>
        <v>422.193912</v>
      </c>
      <c r="R245">
        <f t="shared" si="7"/>
        <v>18</v>
      </c>
      <c r="S245">
        <f t="shared" si="8"/>
        <v>2974593.538667</v>
      </c>
      <c r="T245">
        <f t="shared" si="9"/>
        <v>3473.669998</v>
      </c>
      <c r="U245">
        <f t="shared" si="10"/>
        <v>135</v>
      </c>
      <c r="V245">
        <f t="shared" si="11"/>
        <v>26814168.474038</v>
      </c>
      <c r="W245">
        <f>IF($A245="","",Allocation!CD245)</f>
        <v>81566.049288</v>
      </c>
      <c r="X245">
        <f>IF($A245="","",Allocation!CE245)</f>
        <v>176692.776138</v>
      </c>
      <c r="Y245">
        <f>IF($A245="","",Allocation!CF245)</f>
        <v>60752.845513</v>
      </c>
      <c r="Z245">
        <f>IF($A245="","",Allocation!CG245)</f>
        <v>25024</v>
      </c>
      <c r="AA245">
        <f>IF($A245="","",Allocation!CH245)</f>
        <v>394943.29321</v>
      </c>
      <c r="AB245">
        <f>IF($A245="","",Allocation!CI245)</f>
        <v>2894009.992738</v>
      </c>
      <c r="AC245">
        <f>IF($A245="","",IF(Allocation!$N$4="VOL_EFF",$G245,IF(Allocation!$N$4="VOL_CLASS",$H245,$I245)))</f>
        <v>2</v>
      </c>
      <c r="AD245">
        <f>IF($A245="","",IF(Allocation!$N$4="VOL_EFF",$L245,IF(Allocation!$N$4="VOL_CLASS",$M245,$N245)))</f>
        <v>6</v>
      </c>
      <c r="AE245">
        <f>IF($A245="","",IF(Allocation!$N$3="VOL_EFF",$L245,IF(Allocation!$N$3="VOL_CLASS",$M245,$N245)))</f>
        <v>161.514833</v>
      </c>
      <c r="AF245">
        <f>IF($A245="","",IF(Allocation!$N$3="VOL_EFF",$Q245,IF(Allocation!$N$3="VOL_CLASS",$R245,$S245)))</f>
        <v>422.193912</v>
      </c>
      <c r="AG245">
        <f>IF($A245="","",IF(Allocation!$N$1="VOL_EFF",$Q245,IF(Allocation!$N$1="VOL_CLASS",$R245,$S245)))</f>
        <v>18</v>
      </c>
      <c r="AH245">
        <f>IF($A245="","",IF(Allocation!$N$1="VOL_EFF",$T245,IF(Allocation!$N$1="VOL_CLASS",$U245,$V245)))</f>
        <v>135</v>
      </c>
      <c r="AI245">
        <f t="shared" si="12"/>
        <v>27188.683096</v>
      </c>
      <c r="AJ245">
        <f t="shared" si="13"/>
        <v>58897.592046</v>
      </c>
      <c r="AK245">
        <f t="shared" si="14"/>
        <v>49490.2277592045</v>
      </c>
      <c r="AL245">
        <f t="shared" si="15"/>
        <v>131647.764403333</v>
      </c>
      <c r="AM245">
        <f t="shared" si="16"/>
        <v>49205.9877797374</v>
      </c>
      <c r="AN245">
        <f t="shared" si="17"/>
        <v>148873.875395212</v>
      </c>
      <c r="AO245">
        <f>IF($A245="","",Allocation!CJ245)</f>
        <v>777795.6</v>
      </c>
      <c r="AP245">
        <f>IF($A245="","",IF(Allocation!$N$2="VOL_EFF",$Q245,IF(Allocation!$N$2="VOL_CLASS",$R245,$S245)))</f>
        <v>2974593.538667</v>
      </c>
      <c r="AQ245">
        <f>IF($A245="","",IF(Allocation!$N$2="VOL_EFF",$T245,IF(Allocation!$N$2="VOL_CLASS",$U245,$V245)))</f>
        <v>26814168.474038</v>
      </c>
      <c r="AR245">
        <f t="shared" si="18"/>
        <v>11002.9203715131</v>
      </c>
      <c r="AS245" t="str">
        <f>IF($A245="","",$A245&amp;"|"&amp;Allocation!BG245)</f>
        <v>2027|V02</v>
      </c>
    </row>
    <row r="246" ht="14.497499999999997" customHeight="1">
      <c r="A246" t="str">
        <f>IF(Allocation!BI246="","",Allocation!BI246)</f>
        <v>2027</v>
      </c>
      <c r="B246" t="str">
        <f>IF(Allocation!BJ246="","",Allocation!BJ246)</f>
        <v>IPAC_NAN</v>
      </c>
      <c r="C246" t="str">
        <f>IF(Allocation!BK246="","",Allocation!BK246)</f>
        <v>IPAC</v>
      </c>
      <c r="D246" t="str">
        <f>IF(Allocation!BL246="","",Allocation!BL246)</f>
        <v>BAC_CCE</v>
      </c>
      <c r="E246" t="str">
        <f>IF(Allocation!BM246="","",Allocation!BM246)</f>
        <v>B2</v>
      </c>
      <c r="F246" t="str">
        <f>IF(Allocation!BN246="","",Allocation!BN246)</f>
        <v>ALT</v>
      </c>
      <c r="G246">
        <f>IF(Allocation!BO246="","",Allocation!BO246)</f>
        <v>48.75</v>
      </c>
      <c r="H246">
        <f>IF(Allocation!BP246="","",Allocation!BP246)</f>
        <v>2</v>
      </c>
      <c r="I246">
        <f>IF(Allocation!BQ246="","",Allocation!BQ246)</f>
        <v>352596.5625</v>
      </c>
      <c r="J246">
        <f>IF(Allocation!CC246="","",Allocation!CC246)</f>
        <v>0</v>
      </c>
      <c r="K246">
        <f t="shared" si="0"/>
        <v>960</v>
      </c>
      <c r="L246">
        <f t="shared" si="1"/>
        <v>161.514833</v>
      </c>
      <c r="M246">
        <f t="shared" si="2"/>
        <v>6</v>
      </c>
      <c r="N246">
        <f t="shared" si="3"/>
        <v>1174050.443351</v>
      </c>
      <c r="O246">
        <f t="shared" si="4"/>
        <v>2880</v>
      </c>
      <c r="P246">
        <f t="shared" si="5"/>
        <v>65.044833</v>
      </c>
      <c r="Q246">
        <f t="shared" si="6"/>
        <v>422.193912</v>
      </c>
      <c r="R246">
        <f t="shared" si="7"/>
        <v>18</v>
      </c>
      <c r="S246">
        <f t="shared" si="8"/>
        <v>2974593.538667</v>
      </c>
      <c r="T246">
        <f t="shared" si="9"/>
        <v>3473.669998</v>
      </c>
      <c r="U246">
        <f t="shared" si="10"/>
        <v>135</v>
      </c>
      <c r="V246">
        <f t="shared" si="11"/>
        <v>26814168.474038</v>
      </c>
      <c r="W246">
        <f>IF($A246="","",Allocation!CD246)</f>
        <v>81566.049288</v>
      </c>
      <c r="X246">
        <f>IF($A246="","",Allocation!CE246)</f>
        <v>176692.776138</v>
      </c>
      <c r="Y246">
        <f>IF($A246="","",Allocation!CF246)</f>
        <v>60752.845513</v>
      </c>
      <c r="Z246">
        <f>IF($A246="","",Allocation!CG246)</f>
        <v>25024</v>
      </c>
      <c r="AA246">
        <f>IF($A246="","",Allocation!CH246)</f>
        <v>394943.29321</v>
      </c>
      <c r="AB246">
        <f>IF($A246="","",Allocation!CI246)</f>
        <v>2894009.992738</v>
      </c>
      <c r="AC246">
        <f>IF($A246="","",IF(Allocation!$N$4="VOL_EFF",$G246,IF(Allocation!$N$4="VOL_CLASS",$H246,$I246)))</f>
        <v>2</v>
      </c>
      <c r="AD246">
        <f>IF($A246="","",IF(Allocation!$N$4="VOL_EFF",$L246,IF(Allocation!$N$4="VOL_CLASS",$M246,$N246)))</f>
        <v>6</v>
      </c>
      <c r="AE246">
        <f>IF($A246="","",IF(Allocation!$N$3="VOL_EFF",$L246,IF(Allocation!$N$3="VOL_CLASS",$M246,$N246)))</f>
        <v>161.514833</v>
      </c>
      <c r="AF246">
        <f>IF($A246="","",IF(Allocation!$N$3="VOL_EFF",$Q246,IF(Allocation!$N$3="VOL_CLASS",$R246,$S246)))</f>
        <v>422.193912</v>
      </c>
      <c r="AG246">
        <f>IF($A246="","",IF(Allocation!$N$1="VOL_EFF",$Q246,IF(Allocation!$N$1="VOL_CLASS",$R246,$S246)))</f>
        <v>18</v>
      </c>
      <c r="AH246">
        <f>IF($A246="","",IF(Allocation!$N$1="VOL_EFF",$T246,IF(Allocation!$N$1="VOL_CLASS",$U246,$V246)))</f>
        <v>135</v>
      </c>
      <c r="AI246">
        <f t="shared" si="12"/>
        <v>27188.683096</v>
      </c>
      <c r="AJ246">
        <f t="shared" si="13"/>
        <v>58897.592046</v>
      </c>
      <c r="AK246">
        <f t="shared" si="14"/>
        <v>18337.0230693224</v>
      </c>
      <c r="AL246">
        <f t="shared" si="15"/>
        <v>131647.764403333</v>
      </c>
      <c r="AM246">
        <f t="shared" si="16"/>
        <v>49205.9877797374</v>
      </c>
      <c r="AN246">
        <f t="shared" si="17"/>
        <v>56316.5917340941</v>
      </c>
      <c r="AO246">
        <f>IF($A246="","",Allocation!CJ246)</f>
        <v>777795.6</v>
      </c>
      <c r="AP246">
        <f>IF($A246="","",IF(Allocation!$N$2="VOL_EFF",$Q246,IF(Allocation!$N$2="VOL_CLASS",$R246,$S246)))</f>
        <v>2974593.538667</v>
      </c>
      <c r="AQ246">
        <f>IF($A246="","",IF(Allocation!$N$2="VOL_EFF",$T246,IF(Allocation!$N$2="VOL_CLASS",$U246,$V246)))</f>
        <v>26814168.474038</v>
      </c>
      <c r="AR246">
        <f t="shared" si="18"/>
        <v>11002.9203715131</v>
      </c>
      <c r="AS246" t="str">
        <f>IF($A246="","",$A246&amp;"|"&amp;Allocation!BG246)</f>
        <v>2027|V02</v>
      </c>
    </row>
    <row r="247" ht="14.497499999999997" customHeight="1">
      <c r="A247" t="str">
        <f>IF(Allocation!BI247="","",Allocation!BI247)</f>
        <v>2027</v>
      </c>
      <c r="B247" t="str">
        <f>IF(Allocation!BJ247="","",Allocation!BJ247)</f>
        <v>IPAC_NAN</v>
      </c>
      <c r="C247" t="str">
        <f>IF(Allocation!BK247="","",Allocation!BK247)</f>
        <v>IPAC</v>
      </c>
      <c r="D247" t="str">
        <f>IF(Allocation!BL247="","",Allocation!BL247)</f>
        <v>BAC_CCE</v>
      </c>
      <c r="E247" t="str">
        <f>IF(Allocation!BM247="","",Allocation!BM247)</f>
        <v>B3</v>
      </c>
      <c r="F247" t="str">
        <f>IF(Allocation!BN247="","",Allocation!BN247)</f>
        <v>ALT</v>
      </c>
      <c r="G247">
        <f>IF(Allocation!BO247="","",Allocation!BO247)</f>
        <v>47.72</v>
      </c>
      <c r="H247">
        <f>IF(Allocation!BP247="","",Allocation!BP247)</f>
        <v>2</v>
      </c>
      <c r="I247">
        <f>IF(Allocation!BQ247="","",Allocation!BQ247)</f>
        <v>345146.83</v>
      </c>
      <c r="J247">
        <f>IF(Allocation!CC247="","",Allocation!CC247)</f>
        <v>0</v>
      </c>
      <c r="K247">
        <f t="shared" si="0"/>
        <v>960</v>
      </c>
      <c r="L247">
        <f t="shared" si="1"/>
        <v>161.514833</v>
      </c>
      <c r="M247">
        <f t="shared" si="2"/>
        <v>6</v>
      </c>
      <c r="N247">
        <f t="shared" si="3"/>
        <v>1174050.443351</v>
      </c>
      <c r="O247">
        <f t="shared" si="4"/>
        <v>2880</v>
      </c>
      <c r="P247">
        <f t="shared" si="5"/>
        <v>65.044833</v>
      </c>
      <c r="Q247">
        <f t="shared" si="6"/>
        <v>422.193912</v>
      </c>
      <c r="R247">
        <f t="shared" si="7"/>
        <v>18</v>
      </c>
      <c r="S247">
        <f t="shared" si="8"/>
        <v>2974593.538667</v>
      </c>
      <c r="T247">
        <f t="shared" si="9"/>
        <v>3473.669998</v>
      </c>
      <c r="U247">
        <f t="shared" si="10"/>
        <v>135</v>
      </c>
      <c r="V247">
        <f t="shared" si="11"/>
        <v>26814168.474038</v>
      </c>
      <c r="W247">
        <f>IF($A247="","",Allocation!CD247)</f>
        <v>81566.049288</v>
      </c>
      <c r="X247">
        <f>IF($A247="","",Allocation!CE247)</f>
        <v>176692.776138</v>
      </c>
      <c r="Y247">
        <f>IF($A247="","",Allocation!CF247)</f>
        <v>60752.845513</v>
      </c>
      <c r="Z247">
        <f>IF($A247="","",Allocation!CG247)</f>
        <v>25024</v>
      </c>
      <c r="AA247">
        <f>IF($A247="","",Allocation!CH247)</f>
        <v>394943.29321</v>
      </c>
      <c r="AB247">
        <f>IF($A247="","",Allocation!CI247)</f>
        <v>2894009.992738</v>
      </c>
      <c r="AC247">
        <f>IF($A247="","",IF(Allocation!$N$4="VOL_EFF",$G247,IF(Allocation!$N$4="VOL_CLASS",$H247,$I247)))</f>
        <v>2</v>
      </c>
      <c r="AD247">
        <f>IF($A247="","",IF(Allocation!$N$4="VOL_EFF",$L247,IF(Allocation!$N$4="VOL_CLASS",$M247,$N247)))</f>
        <v>6</v>
      </c>
      <c r="AE247">
        <f>IF($A247="","",IF(Allocation!$N$3="VOL_EFF",$L247,IF(Allocation!$N$3="VOL_CLASS",$M247,$N247)))</f>
        <v>161.514833</v>
      </c>
      <c r="AF247">
        <f>IF($A247="","",IF(Allocation!$N$3="VOL_EFF",$Q247,IF(Allocation!$N$3="VOL_CLASS",$R247,$S247)))</f>
        <v>422.193912</v>
      </c>
      <c r="AG247">
        <f>IF($A247="","",IF(Allocation!$N$1="VOL_EFF",$Q247,IF(Allocation!$N$1="VOL_CLASS",$R247,$S247)))</f>
        <v>18</v>
      </c>
      <c r="AH247">
        <f>IF($A247="","",IF(Allocation!$N$1="VOL_EFF",$T247,IF(Allocation!$N$1="VOL_CLASS",$U247,$V247)))</f>
        <v>135</v>
      </c>
      <c r="AI247">
        <f t="shared" si="12"/>
        <v>27188.683096</v>
      </c>
      <c r="AJ247">
        <f t="shared" si="13"/>
        <v>58897.592046</v>
      </c>
      <c r="AK247">
        <f t="shared" si="14"/>
        <v>17949.5946844731</v>
      </c>
      <c r="AL247">
        <f t="shared" si="15"/>
        <v>131647.764403333</v>
      </c>
      <c r="AM247">
        <f t="shared" si="16"/>
        <v>49205.9877797374</v>
      </c>
      <c r="AN247">
        <f t="shared" si="17"/>
        <v>49254.2876189434</v>
      </c>
      <c r="AO247">
        <f>IF($A247="","",Allocation!CJ247)</f>
        <v>777795.6</v>
      </c>
      <c r="AP247">
        <f>IF($A247="","",IF(Allocation!$N$2="VOL_EFF",$Q247,IF(Allocation!$N$2="VOL_CLASS",$R247,$S247)))</f>
        <v>2974593.538667</v>
      </c>
      <c r="AQ247">
        <f>IF($A247="","",IF(Allocation!$N$2="VOL_EFF",$T247,IF(Allocation!$N$2="VOL_CLASS",$U247,$V247)))</f>
        <v>26814168.474038</v>
      </c>
      <c r="AR247">
        <f t="shared" si="18"/>
        <v>11002.9203715131</v>
      </c>
      <c r="AS247" t="str">
        <f>IF($A247="","",$A247&amp;"|"&amp;Allocation!BG247)</f>
        <v>2027|V02</v>
      </c>
    </row>
    <row r="248" ht="14.497499999999997" customHeight="1">
      <c r="A248" t="str">
        <f>IF(Allocation!BI248="","",Allocation!BI248)</f>
        <v>2027</v>
      </c>
      <c r="B248" t="str">
        <f>IF(Allocation!BJ248="","",Allocation!BJ248)</f>
        <v>IPAC_REN</v>
      </c>
      <c r="C248" t="str">
        <f>IF(Allocation!BK248="","",Allocation!BK248)</f>
        <v>IPAC</v>
      </c>
      <c r="D248" t="str">
        <f>IF(Allocation!BL248="","",Allocation!BL248)</f>
        <v>BAC_CCE</v>
      </c>
      <c r="E248" t="str">
        <f>IF(Allocation!BM248="","",Allocation!BM248)</f>
        <v>B1</v>
      </c>
      <c r="F248" t="str">
        <f>IF(Allocation!BN248="","",Allocation!BN248)</f>
        <v>ALT</v>
      </c>
      <c r="G248">
        <f>IF(Allocation!BO248="","",Allocation!BO248)</f>
        <v>52.13929</v>
      </c>
      <c r="H248">
        <f>IF(Allocation!BP248="","",Allocation!BP248)</f>
        <v>2</v>
      </c>
      <c r="I248">
        <f>IF(Allocation!BQ248="","",Allocation!BQ248)</f>
        <v>362947.46336</v>
      </c>
      <c r="J248">
        <f>IF(Allocation!CC248="","",Allocation!CC248)</f>
        <v>52.13929</v>
      </c>
      <c r="K248">
        <f t="shared" si="0"/>
        <v>960</v>
      </c>
      <c r="L248">
        <f t="shared" si="1"/>
        <v>130.32429</v>
      </c>
      <c r="M248">
        <f t="shared" si="2"/>
        <v>6</v>
      </c>
      <c r="N248">
        <f t="shared" si="3"/>
        <v>900165.394173</v>
      </c>
      <c r="O248">
        <f t="shared" si="4"/>
        <v>2880</v>
      </c>
      <c r="P248">
        <f t="shared" si="5"/>
        <v>52.13929</v>
      </c>
      <c r="Q248">
        <f t="shared" si="6"/>
        <v>422.193912</v>
      </c>
      <c r="R248">
        <f t="shared" si="7"/>
        <v>18</v>
      </c>
      <c r="S248">
        <f t="shared" si="8"/>
        <v>2974593.538667</v>
      </c>
      <c r="T248">
        <f t="shared" si="9"/>
        <v>3473.669998</v>
      </c>
      <c r="U248">
        <f t="shared" si="10"/>
        <v>135</v>
      </c>
      <c r="V248">
        <f t="shared" si="11"/>
        <v>26814168.474038</v>
      </c>
      <c r="W248">
        <f>IF($A248="","",Allocation!CD248)</f>
        <v>81566.049288</v>
      </c>
      <c r="X248">
        <f>IF($A248="","",Allocation!CE248)</f>
        <v>143058.762678</v>
      </c>
      <c r="Y248">
        <f>IF($A248="","",Allocation!CF248)</f>
        <v>49020.927631</v>
      </c>
      <c r="Z248">
        <f>IF($A248="","",Allocation!CG248)</f>
        <v>17172.95</v>
      </c>
      <c r="AA248">
        <f>IF($A248="","",Allocation!CH248)</f>
        <v>277265.50236</v>
      </c>
      <c r="AB248">
        <f>IF($A248="","",Allocation!CI248)</f>
        <v>2894009.992738</v>
      </c>
      <c r="AC248">
        <f>IF($A248="","",IF(Allocation!$N$4="VOL_EFF",$G248,IF(Allocation!$N$4="VOL_CLASS",$H248,$I248)))</f>
        <v>2</v>
      </c>
      <c r="AD248">
        <f>IF($A248="","",IF(Allocation!$N$4="VOL_EFF",$L248,IF(Allocation!$N$4="VOL_CLASS",$M248,$N248)))</f>
        <v>6</v>
      </c>
      <c r="AE248">
        <f>IF($A248="","",IF(Allocation!$N$3="VOL_EFF",$L248,IF(Allocation!$N$3="VOL_CLASS",$M248,$N248)))</f>
        <v>130.32429</v>
      </c>
      <c r="AF248">
        <f>IF($A248="","",IF(Allocation!$N$3="VOL_EFF",$Q248,IF(Allocation!$N$3="VOL_CLASS",$R248,$S248)))</f>
        <v>422.193912</v>
      </c>
      <c r="AG248">
        <f>IF($A248="","",IF(Allocation!$N$1="VOL_EFF",$Q248,IF(Allocation!$N$1="VOL_CLASS",$R248,$S248)))</f>
        <v>18</v>
      </c>
      <c r="AH248">
        <f>IF($A248="","",IF(Allocation!$N$1="VOL_EFF",$T248,IF(Allocation!$N$1="VOL_CLASS",$U248,$V248)))</f>
        <v>135</v>
      </c>
      <c r="AI248">
        <f t="shared" si="12"/>
        <v>27188.683096</v>
      </c>
      <c r="AJ248">
        <f t="shared" si="13"/>
        <v>47686.254226</v>
      </c>
      <c r="AK248">
        <f t="shared" si="14"/>
        <v>36784.9222717977</v>
      </c>
      <c r="AL248">
        <f t="shared" si="15"/>
        <v>92421.83412</v>
      </c>
      <c r="AM248">
        <f t="shared" si="16"/>
        <v>39703.6934752795</v>
      </c>
      <c r="AN248">
        <f t="shared" si="17"/>
        <v>110283.957928099</v>
      </c>
      <c r="AO248">
        <f>IF($A248="","",Allocation!CJ248)</f>
        <v>777795.6</v>
      </c>
      <c r="AP248">
        <f>IF($A248="","",IF(Allocation!$N$2="VOL_EFF",$Q248,IF(Allocation!$N$2="VOL_CLASS",$R248,$S248)))</f>
        <v>2974593.538667</v>
      </c>
      <c r="AQ248">
        <f>IF($A248="","",IF(Allocation!$N$2="VOL_EFF",$T248,IF(Allocation!$N$2="VOL_CLASS",$U248,$V248)))</f>
        <v>26814168.474038</v>
      </c>
      <c r="AR248">
        <f t="shared" si="18"/>
        <v>8878.1182428241</v>
      </c>
      <c r="AS248" t="str">
        <f>IF($A248="","",$A248&amp;"|"&amp;Allocation!BG248)</f>
        <v>2027|V02</v>
      </c>
    </row>
    <row r="249" ht="14.497499999999997" customHeight="1">
      <c r="A249" t="str">
        <f>IF(Allocation!BI249="","",Allocation!BI249)</f>
        <v>2027</v>
      </c>
      <c r="B249" t="str">
        <f>IF(Allocation!BJ249="","",Allocation!BJ249)</f>
        <v>IPAC_REN</v>
      </c>
      <c r="C249" t="str">
        <f>IF(Allocation!BK249="","",Allocation!BK249)</f>
        <v>IPAC</v>
      </c>
      <c r="D249" t="str">
        <f>IF(Allocation!BL249="","",Allocation!BL249)</f>
        <v>BAC_CCE</v>
      </c>
      <c r="E249" t="str">
        <f>IF(Allocation!BM249="","",Allocation!BM249)</f>
        <v>B2</v>
      </c>
      <c r="F249" t="str">
        <f>IF(Allocation!BN249="","",Allocation!BN249)</f>
        <v>ALT</v>
      </c>
      <c r="G249">
        <f>IF(Allocation!BO249="","",Allocation!BO249)</f>
        <v>39.6</v>
      </c>
      <c r="H249">
        <f>IF(Allocation!BP249="","",Allocation!BP249)</f>
        <v>2</v>
      </c>
      <c r="I249">
        <f>IF(Allocation!BQ249="","",Allocation!BQ249)</f>
        <v>272096.055</v>
      </c>
      <c r="J249">
        <f>IF(Allocation!CC249="","",Allocation!CC249)</f>
        <v>0</v>
      </c>
      <c r="K249">
        <f t="shared" si="0"/>
        <v>960</v>
      </c>
      <c r="L249">
        <f t="shared" si="1"/>
        <v>130.32429</v>
      </c>
      <c r="M249">
        <f t="shared" si="2"/>
        <v>6</v>
      </c>
      <c r="N249">
        <f t="shared" si="3"/>
        <v>900165.394173</v>
      </c>
      <c r="O249">
        <f t="shared" si="4"/>
        <v>2880</v>
      </c>
      <c r="P249">
        <f t="shared" si="5"/>
        <v>52.13929</v>
      </c>
      <c r="Q249">
        <f t="shared" si="6"/>
        <v>422.193912</v>
      </c>
      <c r="R249">
        <f t="shared" si="7"/>
        <v>18</v>
      </c>
      <c r="S249">
        <f t="shared" si="8"/>
        <v>2974593.538667</v>
      </c>
      <c r="T249">
        <f t="shared" si="9"/>
        <v>3473.669998</v>
      </c>
      <c r="U249">
        <f t="shared" si="10"/>
        <v>135</v>
      </c>
      <c r="V249">
        <f t="shared" si="11"/>
        <v>26814168.474038</v>
      </c>
      <c r="W249">
        <f>IF($A249="","",Allocation!CD249)</f>
        <v>81566.049288</v>
      </c>
      <c r="X249">
        <f>IF($A249="","",Allocation!CE249)</f>
        <v>143058.762678</v>
      </c>
      <c r="Y249">
        <f>IF($A249="","",Allocation!CF249)</f>
        <v>49020.927631</v>
      </c>
      <c r="Z249">
        <f>IF($A249="","",Allocation!CG249)</f>
        <v>17172.95</v>
      </c>
      <c r="AA249">
        <f>IF($A249="","",Allocation!CH249)</f>
        <v>277265.50236</v>
      </c>
      <c r="AB249">
        <f>IF($A249="","",Allocation!CI249)</f>
        <v>2894009.992738</v>
      </c>
      <c r="AC249">
        <f>IF($A249="","",IF(Allocation!$N$4="VOL_EFF",$G249,IF(Allocation!$N$4="VOL_CLASS",$H249,$I249)))</f>
        <v>2</v>
      </c>
      <c r="AD249">
        <f>IF($A249="","",IF(Allocation!$N$4="VOL_EFF",$L249,IF(Allocation!$N$4="VOL_CLASS",$M249,$N249)))</f>
        <v>6</v>
      </c>
      <c r="AE249">
        <f>IF($A249="","",IF(Allocation!$N$3="VOL_EFF",$L249,IF(Allocation!$N$3="VOL_CLASS",$M249,$N249)))</f>
        <v>130.32429</v>
      </c>
      <c r="AF249">
        <f>IF($A249="","",IF(Allocation!$N$3="VOL_EFF",$Q249,IF(Allocation!$N$3="VOL_CLASS",$R249,$S249)))</f>
        <v>422.193912</v>
      </c>
      <c r="AG249">
        <f>IF($A249="","",IF(Allocation!$N$1="VOL_EFF",$Q249,IF(Allocation!$N$1="VOL_CLASS",$R249,$S249)))</f>
        <v>18</v>
      </c>
      <c r="AH249">
        <f>IF($A249="","",IF(Allocation!$N$1="VOL_EFF",$T249,IF(Allocation!$N$1="VOL_CLASS",$U249,$V249)))</f>
        <v>135</v>
      </c>
      <c r="AI249">
        <f t="shared" si="12"/>
        <v>27188.683096</v>
      </c>
      <c r="AJ249">
        <f t="shared" si="13"/>
        <v>47686.254226</v>
      </c>
      <c r="AK249">
        <f t="shared" si="14"/>
        <v>14895.3716470475</v>
      </c>
      <c r="AL249">
        <f t="shared" si="15"/>
        <v>92421.83412</v>
      </c>
      <c r="AM249">
        <f t="shared" si="16"/>
        <v>39703.6934752795</v>
      </c>
      <c r="AN249">
        <f t="shared" si="17"/>
        <v>41322.1001928489</v>
      </c>
      <c r="AO249">
        <f>IF($A249="","",Allocation!CJ249)</f>
        <v>777795.6</v>
      </c>
      <c r="AP249">
        <f>IF($A249="","",IF(Allocation!$N$2="VOL_EFF",$Q249,IF(Allocation!$N$2="VOL_CLASS",$R249,$S249)))</f>
        <v>2974593.538667</v>
      </c>
      <c r="AQ249">
        <f>IF($A249="","",IF(Allocation!$N$2="VOL_EFF",$T249,IF(Allocation!$N$2="VOL_CLASS",$U249,$V249)))</f>
        <v>26814168.474038</v>
      </c>
      <c r="AR249">
        <f t="shared" si="18"/>
        <v>8878.1182428241</v>
      </c>
      <c r="AS249" t="str">
        <f>IF($A249="","",$A249&amp;"|"&amp;Allocation!BG249)</f>
        <v>2027|V02</v>
      </c>
    </row>
    <row r="250" ht="14.497499999999997" customHeight="1">
      <c r="A250" t="str">
        <f>IF(Allocation!BI250="","",Allocation!BI250)</f>
        <v>2027</v>
      </c>
      <c r="B250" t="str">
        <f>IF(Allocation!BJ250="","",Allocation!BJ250)</f>
        <v>IPAC_REN</v>
      </c>
      <c r="C250" t="str">
        <f>IF(Allocation!BK250="","",Allocation!BK250)</f>
        <v>IPAC</v>
      </c>
      <c r="D250" t="str">
        <f>IF(Allocation!BL250="","",Allocation!BL250)</f>
        <v>BAC_CCE</v>
      </c>
      <c r="E250" t="str">
        <f>IF(Allocation!BM250="","",Allocation!BM250)</f>
        <v>B3</v>
      </c>
      <c r="F250" t="str">
        <f>IF(Allocation!BN250="","",Allocation!BN250)</f>
        <v>ALT</v>
      </c>
      <c r="G250">
        <f>IF(Allocation!BO250="","",Allocation!BO250)</f>
        <v>38.585</v>
      </c>
      <c r="H250">
        <f>IF(Allocation!BP250="","",Allocation!BP250)</f>
        <v>2</v>
      </c>
      <c r="I250">
        <f>IF(Allocation!BQ250="","",Allocation!BQ250)</f>
        <v>265121.875813</v>
      </c>
      <c r="J250">
        <f>IF(Allocation!CC250="","",Allocation!CC250)</f>
        <v>0</v>
      </c>
      <c r="K250">
        <f t="shared" si="0"/>
        <v>960</v>
      </c>
      <c r="L250">
        <f t="shared" si="1"/>
        <v>130.32429</v>
      </c>
      <c r="M250">
        <f t="shared" si="2"/>
        <v>6</v>
      </c>
      <c r="N250">
        <f t="shared" si="3"/>
        <v>900165.394173</v>
      </c>
      <c r="O250">
        <f t="shared" si="4"/>
        <v>2880</v>
      </c>
      <c r="P250">
        <f t="shared" si="5"/>
        <v>52.13929</v>
      </c>
      <c r="Q250">
        <f t="shared" si="6"/>
        <v>422.193912</v>
      </c>
      <c r="R250">
        <f t="shared" si="7"/>
        <v>18</v>
      </c>
      <c r="S250">
        <f t="shared" si="8"/>
        <v>2974593.538667</v>
      </c>
      <c r="T250">
        <f t="shared" si="9"/>
        <v>3473.669998</v>
      </c>
      <c r="U250">
        <f t="shared" si="10"/>
        <v>135</v>
      </c>
      <c r="V250">
        <f t="shared" si="11"/>
        <v>26814168.474038</v>
      </c>
      <c r="W250">
        <f>IF($A250="","",Allocation!CD250)</f>
        <v>81566.049288</v>
      </c>
      <c r="X250">
        <f>IF($A250="","",Allocation!CE250)</f>
        <v>143058.762678</v>
      </c>
      <c r="Y250">
        <f>IF($A250="","",Allocation!CF250)</f>
        <v>49020.927631</v>
      </c>
      <c r="Z250">
        <f>IF($A250="","",Allocation!CG250)</f>
        <v>17172.95</v>
      </c>
      <c r="AA250">
        <f>IF($A250="","",Allocation!CH250)</f>
        <v>277265.50236</v>
      </c>
      <c r="AB250">
        <f>IF($A250="","",Allocation!CI250)</f>
        <v>2894009.992738</v>
      </c>
      <c r="AC250">
        <f>IF($A250="","",IF(Allocation!$N$4="VOL_EFF",$G250,IF(Allocation!$N$4="VOL_CLASS",$H250,$I250)))</f>
        <v>2</v>
      </c>
      <c r="AD250">
        <f>IF($A250="","",IF(Allocation!$N$4="VOL_EFF",$L250,IF(Allocation!$N$4="VOL_CLASS",$M250,$N250)))</f>
        <v>6</v>
      </c>
      <c r="AE250">
        <f>IF($A250="","",IF(Allocation!$N$3="VOL_EFF",$L250,IF(Allocation!$N$3="VOL_CLASS",$M250,$N250)))</f>
        <v>130.32429</v>
      </c>
      <c r="AF250">
        <f>IF($A250="","",IF(Allocation!$N$3="VOL_EFF",$Q250,IF(Allocation!$N$3="VOL_CLASS",$R250,$S250)))</f>
        <v>422.193912</v>
      </c>
      <c r="AG250">
        <f>IF($A250="","",IF(Allocation!$N$1="VOL_EFF",$Q250,IF(Allocation!$N$1="VOL_CLASS",$R250,$S250)))</f>
        <v>18</v>
      </c>
      <c r="AH250">
        <f>IF($A250="","",IF(Allocation!$N$1="VOL_EFF",$T250,IF(Allocation!$N$1="VOL_CLASS",$U250,$V250)))</f>
        <v>135</v>
      </c>
      <c r="AI250">
        <f t="shared" si="12"/>
        <v>27188.683096</v>
      </c>
      <c r="AJ250">
        <f t="shared" si="13"/>
        <v>47686.254226</v>
      </c>
      <c r="AK250">
        <f t="shared" si="14"/>
        <v>14513.5837121548</v>
      </c>
      <c r="AL250">
        <f t="shared" si="15"/>
        <v>92421.83412</v>
      </c>
      <c r="AM250">
        <f t="shared" si="16"/>
        <v>39703.6934752795</v>
      </c>
      <c r="AN250">
        <f t="shared" si="17"/>
        <v>34729.7089407416</v>
      </c>
      <c r="AO250">
        <f>IF($A250="","",Allocation!CJ250)</f>
        <v>777795.6</v>
      </c>
      <c r="AP250">
        <f>IF($A250="","",IF(Allocation!$N$2="VOL_EFF",$Q250,IF(Allocation!$N$2="VOL_CLASS",$R250,$S250)))</f>
        <v>2974593.538667</v>
      </c>
      <c r="AQ250">
        <f>IF($A250="","",IF(Allocation!$N$2="VOL_EFF",$T250,IF(Allocation!$N$2="VOL_CLASS",$U250,$V250)))</f>
        <v>26814168.474038</v>
      </c>
      <c r="AR250">
        <f t="shared" si="18"/>
        <v>8878.1182428241</v>
      </c>
      <c r="AS250" t="str">
        <f>IF($A250="","",$A250&amp;"|"&amp;Allocation!BG250)</f>
        <v>2027|V02</v>
      </c>
    </row>
    <row r="251" ht="14.497499999999997" customHeight="1">
      <c r="A251" t="str">
        <f>IF(Allocation!BI251="","",Allocation!BI251)</f>
        <v>2027</v>
      </c>
      <c r="B251" t="str">
        <f>IF(Allocation!BJ251="","",Allocation!BJ251)</f>
        <v>ISCOM_LIL</v>
      </c>
      <c r="C251" t="str">
        <f>IF(Allocation!BK251="","",Allocation!BK251)</f>
        <v>ISCOM</v>
      </c>
      <c r="D251" t="str">
        <f>IF(Allocation!BL251="","",Allocation!BL251)</f>
        <v>BAC_COM</v>
      </c>
      <c r="E251" t="str">
        <f>IF(Allocation!BM251="","",Allocation!BM251)</f>
        <v>B1</v>
      </c>
      <c r="F251" t="str">
        <f>IF(Allocation!BN251="","",Allocation!BN251)</f>
        <v>INIT</v>
      </c>
      <c r="G251">
        <f>IF(Allocation!BO251="","",Allocation!BO251)</f>
        <v>61.251994</v>
      </c>
      <c r="H251">
        <f>IF(Allocation!BP251="","",Allocation!BP251)</f>
        <v>2</v>
      </c>
      <c r="I251">
        <f>IF(Allocation!BQ251="","",Allocation!BQ251)</f>
        <v>473835.472135</v>
      </c>
      <c r="J251">
        <f>IF(Allocation!CC251="","",Allocation!CC251)</f>
        <v>61.251994</v>
      </c>
      <c r="K251">
        <f t="shared" si="0"/>
        <v>1200</v>
      </c>
      <c r="L251">
        <f t="shared" si="1"/>
        <v>272.190258</v>
      </c>
      <c r="M251">
        <f t="shared" si="2"/>
        <v>10</v>
      </c>
      <c r="N251">
        <f t="shared" si="3"/>
        <v>2043286.875396</v>
      </c>
      <c r="O251">
        <f t="shared" si="4"/>
        <v>4800</v>
      </c>
      <c r="P251">
        <f t="shared" si="5"/>
        <v>125.970258</v>
      </c>
      <c r="Q251">
        <f t="shared" si="6"/>
        <v>923.434135</v>
      </c>
      <c r="R251">
        <f t="shared" si="7"/>
        <v>35</v>
      </c>
      <c r="S251">
        <f t="shared" si="8"/>
        <v>7310915.439207</v>
      </c>
      <c r="T251">
        <f t="shared" si="9"/>
        <v>3473.669998</v>
      </c>
      <c r="U251">
        <f t="shared" si="10"/>
        <v>135</v>
      </c>
      <c r="V251">
        <f t="shared" si="11"/>
        <v>26814168.474038</v>
      </c>
      <c r="W251">
        <f>IF($A251="","",Allocation!CD251)</f>
        <v>135942.289468</v>
      </c>
      <c r="X251">
        <f>IF($A251="","",Allocation!CE251)</f>
        <v>299073.430002</v>
      </c>
      <c r="Y251">
        <f>IF($A251="","",Allocation!CF251)</f>
        <v>102231.745505</v>
      </c>
      <c r="Z251">
        <f>IF($A251="","",Allocation!CG251)</f>
        <v>29003</v>
      </c>
      <c r="AA251">
        <f>IF($A251="","",Allocation!CH251)</f>
        <v>672932.901864</v>
      </c>
      <c r="AB251">
        <f>IF($A251="","",Allocation!CI251)</f>
        <v>2894009.992738</v>
      </c>
      <c r="AC251">
        <f>IF($A251="","",IF(Allocation!$N$4="VOL_EFF",$G251,IF(Allocation!$N$4="VOL_CLASS",$H251,$I251)))</f>
        <v>2</v>
      </c>
      <c r="AD251">
        <f>IF($A251="","",IF(Allocation!$N$4="VOL_EFF",$L251,IF(Allocation!$N$4="VOL_CLASS",$M251,$N251)))</f>
        <v>10</v>
      </c>
      <c r="AE251">
        <f>IF($A251="","",IF(Allocation!$N$3="VOL_EFF",$L251,IF(Allocation!$N$3="VOL_CLASS",$M251,$N251)))</f>
        <v>272.190258</v>
      </c>
      <c r="AF251">
        <f>IF($A251="","",IF(Allocation!$N$3="VOL_EFF",$Q251,IF(Allocation!$N$3="VOL_CLASS",$R251,$S251)))</f>
        <v>923.434135</v>
      </c>
      <c r="AG251">
        <f>IF($A251="","",IF(Allocation!$N$1="VOL_EFF",$Q251,IF(Allocation!$N$1="VOL_CLASS",$R251,$S251)))</f>
        <v>35</v>
      </c>
      <c r="AH251">
        <f>IF($A251="","",IF(Allocation!$N$1="VOL_EFF",$T251,IF(Allocation!$N$1="VOL_CLASS",$U251,$V251)))</f>
        <v>135</v>
      </c>
      <c r="AI251">
        <f t="shared" si="12"/>
        <v>33985.572367</v>
      </c>
      <c r="AJ251">
        <f t="shared" si="13"/>
        <v>74768.3575005</v>
      </c>
      <c r="AK251">
        <f t="shared" si="14"/>
        <v>37108.061276682</v>
      </c>
      <c r="AL251">
        <f t="shared" si="15"/>
        <v>134586.5803728</v>
      </c>
      <c r="AM251">
        <f t="shared" si="16"/>
        <v>44231.4269942634</v>
      </c>
      <c r="AN251">
        <f t="shared" si="17"/>
        <v>136653.759675706</v>
      </c>
      <c r="AO251">
        <f>IF($A251="","",Allocation!CJ251)</f>
        <v>777795.6</v>
      </c>
      <c r="AP251">
        <f>IF($A251="","",IF(Allocation!$N$2="VOL_EFF",$Q251,IF(Allocation!$N$2="VOL_CLASS",$R251,$S251)))</f>
        <v>7310915.439207</v>
      </c>
      <c r="AQ251">
        <f>IF($A251="","",IF(Allocation!$N$2="VOL_EFF",$T251,IF(Allocation!$N$2="VOL_CLASS",$U251,$V251)))</f>
        <v>26814168.474038</v>
      </c>
      <c r="AR251">
        <f t="shared" si="18"/>
        <v>12501.7139480487</v>
      </c>
      <c r="AS251" t="str">
        <f>IF($A251="","",$A251&amp;"|"&amp;Allocation!BG251)</f>
        <v>2027|V02</v>
      </c>
    </row>
    <row r="252" ht="14.497499999999997" customHeight="1">
      <c r="A252" t="str">
        <f>IF(Allocation!BI252="","",Allocation!BI252)</f>
        <v>2027</v>
      </c>
      <c r="B252" t="str">
        <f>IF(Allocation!BJ252="","",Allocation!BJ252)</f>
        <v>ISCOM_LIL</v>
      </c>
      <c r="C252" t="str">
        <f>IF(Allocation!BK252="","",Allocation!BK252)</f>
        <v>ISCOM</v>
      </c>
      <c r="D252" t="str">
        <f>IF(Allocation!BL252="","",Allocation!BL252)</f>
        <v>BAC_COM</v>
      </c>
      <c r="E252" t="str">
        <f>IF(Allocation!BM252="","",Allocation!BM252)</f>
        <v>B2</v>
      </c>
      <c r="F252" t="str">
        <f>IF(Allocation!BN252="","",Allocation!BN252)</f>
        <v>ALT</v>
      </c>
      <c r="G252">
        <f>IF(Allocation!BO252="","",Allocation!BO252)</f>
        <v>48.75</v>
      </c>
      <c r="H252">
        <f>IF(Allocation!BP252="","",Allocation!BP252)</f>
        <v>2</v>
      </c>
      <c r="I252">
        <f>IF(Allocation!BQ252="","",Allocation!BQ252)</f>
        <v>347885.60625</v>
      </c>
      <c r="J252">
        <f>IF(Allocation!CC252="","",Allocation!CC252)</f>
        <v>0</v>
      </c>
      <c r="K252">
        <f t="shared" si="0"/>
        <v>960</v>
      </c>
      <c r="L252">
        <f t="shared" si="1"/>
        <v>272.190258</v>
      </c>
      <c r="M252">
        <f t="shared" si="2"/>
        <v>10</v>
      </c>
      <c r="N252">
        <f t="shared" si="3"/>
        <v>2043286.875396</v>
      </c>
      <c r="O252">
        <f t="shared" si="4"/>
        <v>4800</v>
      </c>
      <c r="P252">
        <f t="shared" si="5"/>
        <v>125.970258</v>
      </c>
      <c r="Q252">
        <f t="shared" si="6"/>
        <v>923.434135</v>
      </c>
      <c r="R252">
        <f t="shared" si="7"/>
        <v>35</v>
      </c>
      <c r="S252">
        <f t="shared" si="8"/>
        <v>7310915.439207</v>
      </c>
      <c r="T252">
        <f t="shared" si="9"/>
        <v>3473.669998</v>
      </c>
      <c r="U252">
        <f t="shared" si="10"/>
        <v>135</v>
      </c>
      <c r="V252">
        <f t="shared" si="11"/>
        <v>26814168.474038</v>
      </c>
      <c r="W252">
        <f>IF($A252="","",Allocation!CD252)</f>
        <v>135942.289468</v>
      </c>
      <c r="X252">
        <f>IF($A252="","",Allocation!CE252)</f>
        <v>299073.430002</v>
      </c>
      <c r="Y252">
        <f>IF($A252="","",Allocation!CF252)</f>
        <v>102231.745505</v>
      </c>
      <c r="Z252">
        <f>IF($A252="","",Allocation!CG252)</f>
        <v>29003</v>
      </c>
      <c r="AA252">
        <f>IF($A252="","",Allocation!CH252)</f>
        <v>672932.901864</v>
      </c>
      <c r="AB252">
        <f>IF($A252="","",Allocation!CI252)</f>
        <v>2894009.992738</v>
      </c>
      <c r="AC252">
        <f>IF($A252="","",IF(Allocation!$N$4="VOL_EFF",$G252,IF(Allocation!$N$4="VOL_CLASS",$H252,$I252)))</f>
        <v>2</v>
      </c>
      <c r="AD252">
        <f>IF($A252="","",IF(Allocation!$N$4="VOL_EFF",$L252,IF(Allocation!$N$4="VOL_CLASS",$M252,$N252)))</f>
        <v>10</v>
      </c>
      <c r="AE252">
        <f>IF($A252="","",IF(Allocation!$N$3="VOL_EFF",$L252,IF(Allocation!$N$3="VOL_CLASS",$M252,$N252)))</f>
        <v>272.190258</v>
      </c>
      <c r="AF252">
        <f>IF($A252="","",IF(Allocation!$N$3="VOL_EFF",$Q252,IF(Allocation!$N$3="VOL_CLASS",$R252,$S252)))</f>
        <v>923.434135</v>
      </c>
      <c r="AG252">
        <f>IF($A252="","",IF(Allocation!$N$1="VOL_EFF",$Q252,IF(Allocation!$N$1="VOL_CLASS",$R252,$S252)))</f>
        <v>35</v>
      </c>
      <c r="AH252">
        <f>IF($A252="","",IF(Allocation!$N$1="VOL_EFF",$T252,IF(Allocation!$N$1="VOL_CLASS",$U252,$V252)))</f>
        <v>135</v>
      </c>
      <c r="AI252">
        <f t="shared" si="12"/>
        <v>27188.4578936</v>
      </c>
      <c r="AJ252">
        <f t="shared" si="13"/>
        <v>59814.6860004</v>
      </c>
      <c r="AK252">
        <f t="shared" si="14"/>
        <v>18309.9778441327</v>
      </c>
      <c r="AL252">
        <f t="shared" si="15"/>
        <v>134586.5803728</v>
      </c>
      <c r="AM252">
        <f t="shared" si="16"/>
        <v>44231.4269942634</v>
      </c>
      <c r="AN252">
        <f t="shared" si="17"/>
        <v>51252.7631967552</v>
      </c>
      <c r="AO252">
        <f>IF($A252="","",Allocation!CJ252)</f>
        <v>777795.6</v>
      </c>
      <c r="AP252">
        <f>IF($A252="","",IF(Allocation!$N$2="VOL_EFF",$Q252,IF(Allocation!$N$2="VOL_CLASS",$R252,$S252)))</f>
        <v>7310915.439207</v>
      </c>
      <c r="AQ252">
        <f>IF($A252="","",IF(Allocation!$N$2="VOL_EFF",$T252,IF(Allocation!$N$2="VOL_CLASS",$U252,$V252)))</f>
        <v>26814168.474038</v>
      </c>
      <c r="AR252">
        <f t="shared" si="18"/>
        <v>12501.7139480487</v>
      </c>
      <c r="AS252" t="str">
        <f>IF($A252="","",$A252&amp;"|"&amp;Allocation!BG252)</f>
        <v>2027|V02</v>
      </c>
    </row>
    <row r="253" ht="14.497499999999997" customHeight="1">
      <c r="A253" t="str">
        <f>IF(Allocation!BI253="","",Allocation!BI253)</f>
        <v>2027</v>
      </c>
      <c r="B253" t="str">
        <f>IF(Allocation!BJ253="","",Allocation!BJ253)</f>
        <v>ISCOM_LIL</v>
      </c>
      <c r="C253" t="str">
        <f>IF(Allocation!BK253="","",Allocation!BK253)</f>
        <v>ISCOM</v>
      </c>
      <c r="D253" t="str">
        <f>IF(Allocation!BL253="","",Allocation!BL253)</f>
        <v>BAC_COM</v>
      </c>
      <c r="E253" t="str">
        <f>IF(Allocation!BM253="","",Allocation!BM253)</f>
        <v>B3</v>
      </c>
      <c r="F253" t="str">
        <f>IF(Allocation!BN253="","",Allocation!BN253)</f>
        <v>ALT</v>
      </c>
      <c r="G253">
        <f>IF(Allocation!BO253="","",Allocation!BO253)</f>
        <v>47.72</v>
      </c>
      <c r="H253">
        <f>IF(Allocation!BP253="","",Allocation!BP253)</f>
        <v>2</v>
      </c>
      <c r="I253">
        <f>IF(Allocation!BQ253="","",Allocation!BQ253)</f>
        <v>340535.4078</v>
      </c>
      <c r="J253">
        <f>IF(Allocation!CC253="","",Allocation!CC253)</f>
        <v>0</v>
      </c>
      <c r="K253">
        <f t="shared" si="0"/>
        <v>960</v>
      </c>
      <c r="L253">
        <f t="shared" si="1"/>
        <v>272.190258</v>
      </c>
      <c r="M253">
        <f t="shared" si="2"/>
        <v>10</v>
      </c>
      <c r="N253">
        <f t="shared" si="3"/>
        <v>2043286.875396</v>
      </c>
      <c r="O253">
        <f t="shared" si="4"/>
        <v>4800</v>
      </c>
      <c r="P253">
        <f t="shared" si="5"/>
        <v>125.970258</v>
      </c>
      <c r="Q253">
        <f t="shared" si="6"/>
        <v>923.434135</v>
      </c>
      <c r="R253">
        <f t="shared" si="7"/>
        <v>35</v>
      </c>
      <c r="S253">
        <f t="shared" si="8"/>
        <v>7310915.439207</v>
      </c>
      <c r="T253">
        <f t="shared" si="9"/>
        <v>3473.669998</v>
      </c>
      <c r="U253">
        <f t="shared" si="10"/>
        <v>135</v>
      </c>
      <c r="V253">
        <f t="shared" si="11"/>
        <v>26814168.474038</v>
      </c>
      <c r="W253">
        <f>IF($A253="","",Allocation!CD253)</f>
        <v>135942.289468</v>
      </c>
      <c r="X253">
        <f>IF($A253="","",Allocation!CE253)</f>
        <v>299073.430002</v>
      </c>
      <c r="Y253">
        <f>IF($A253="","",Allocation!CF253)</f>
        <v>102231.745505</v>
      </c>
      <c r="Z253">
        <f>IF($A253="","",Allocation!CG253)</f>
        <v>29003</v>
      </c>
      <c r="AA253">
        <f>IF($A253="","",Allocation!CH253)</f>
        <v>672932.901864</v>
      </c>
      <c r="AB253">
        <f>IF($A253="","",Allocation!CI253)</f>
        <v>2894009.992738</v>
      </c>
      <c r="AC253">
        <f>IF($A253="","",IF(Allocation!$N$4="VOL_EFF",$G253,IF(Allocation!$N$4="VOL_CLASS",$H253,$I253)))</f>
        <v>2</v>
      </c>
      <c r="AD253">
        <f>IF($A253="","",IF(Allocation!$N$4="VOL_EFF",$L253,IF(Allocation!$N$4="VOL_CLASS",$M253,$N253)))</f>
        <v>10</v>
      </c>
      <c r="AE253">
        <f>IF($A253="","",IF(Allocation!$N$3="VOL_EFF",$L253,IF(Allocation!$N$3="VOL_CLASS",$M253,$N253)))</f>
        <v>272.190258</v>
      </c>
      <c r="AF253">
        <f>IF($A253="","",IF(Allocation!$N$3="VOL_EFF",$Q253,IF(Allocation!$N$3="VOL_CLASS",$R253,$S253)))</f>
        <v>923.434135</v>
      </c>
      <c r="AG253">
        <f>IF($A253="","",IF(Allocation!$N$1="VOL_EFF",$Q253,IF(Allocation!$N$1="VOL_CLASS",$R253,$S253)))</f>
        <v>35</v>
      </c>
      <c r="AH253">
        <f>IF($A253="","",IF(Allocation!$N$1="VOL_EFF",$T253,IF(Allocation!$N$1="VOL_CLASS",$U253,$V253)))</f>
        <v>135</v>
      </c>
      <c r="AI253">
        <f t="shared" si="12"/>
        <v>27188.4578936</v>
      </c>
      <c r="AJ253">
        <f t="shared" si="13"/>
        <v>59814.6860004</v>
      </c>
      <c r="AK253">
        <f t="shared" si="14"/>
        <v>17923.1208763489</v>
      </c>
      <c r="AL253">
        <f t="shared" si="15"/>
        <v>134586.5803728</v>
      </c>
      <c r="AM253">
        <f t="shared" si="16"/>
        <v>44231.4269942634</v>
      </c>
      <c r="AN253">
        <f t="shared" si="17"/>
        <v>44289.4217145389</v>
      </c>
      <c r="AO253">
        <f>IF($A253="","",Allocation!CJ253)</f>
        <v>777795.6</v>
      </c>
      <c r="AP253">
        <f>IF($A253="","",IF(Allocation!$N$2="VOL_EFF",$Q253,IF(Allocation!$N$2="VOL_CLASS",$R253,$S253)))</f>
        <v>7310915.439207</v>
      </c>
      <c r="AQ253">
        <f>IF($A253="","",IF(Allocation!$N$2="VOL_EFF",$T253,IF(Allocation!$N$2="VOL_CLASS",$U253,$V253)))</f>
        <v>26814168.474038</v>
      </c>
      <c r="AR253">
        <f t="shared" si="18"/>
        <v>12501.7139480487</v>
      </c>
      <c r="AS253" t="str">
        <f>IF($A253="","",$A253&amp;"|"&amp;Allocation!BG253)</f>
        <v>2027|V02</v>
      </c>
    </row>
    <row r="254" ht="14.497499999999997" customHeight="1">
      <c r="A254" t="str">
        <f>IF(Allocation!BI254="","",Allocation!BI254)</f>
        <v>2027</v>
      </c>
      <c r="B254" t="str">
        <f>IF(Allocation!BJ254="","",Allocation!BJ254)</f>
        <v>ISCOM_LIL</v>
      </c>
      <c r="C254" t="str">
        <f>IF(Allocation!BK254="","",Allocation!BK254)</f>
        <v>ISCOM</v>
      </c>
      <c r="D254" t="str">
        <f>IF(Allocation!BL254="","",Allocation!BL254)</f>
        <v>MAS_COM</v>
      </c>
      <c r="E254" t="str">
        <f>IF(Allocation!BM254="","",Allocation!BM254)</f>
        <v>M1</v>
      </c>
      <c r="F254" t="str">
        <f>IF(Allocation!BN254="","",Allocation!BN254)</f>
        <v>ALT</v>
      </c>
      <c r="G254">
        <f>IF(Allocation!BO254="","",Allocation!BO254)</f>
        <v>64.718264</v>
      </c>
      <c r="H254">
        <f>IF(Allocation!BP254="","",Allocation!BP254)</f>
        <v>2</v>
      </c>
      <c r="I254">
        <f>IF(Allocation!BQ254="","",Allocation!BQ254)</f>
        <v>500649.973586</v>
      </c>
      <c r="J254">
        <f>IF(Allocation!CC254="","",Allocation!CC254)</f>
        <v>64.718264</v>
      </c>
      <c r="K254">
        <f t="shared" si="0"/>
        <v>840</v>
      </c>
      <c r="L254">
        <f t="shared" si="1"/>
        <v>272.190258</v>
      </c>
      <c r="M254">
        <f t="shared" si="2"/>
        <v>10</v>
      </c>
      <c r="N254">
        <f t="shared" si="3"/>
        <v>2043286.875396</v>
      </c>
      <c r="O254">
        <f t="shared" si="4"/>
        <v>4800</v>
      </c>
      <c r="P254">
        <f t="shared" si="5"/>
        <v>125.970258</v>
      </c>
      <c r="Q254">
        <f t="shared" si="6"/>
        <v>923.434135</v>
      </c>
      <c r="R254">
        <f t="shared" si="7"/>
        <v>35</v>
      </c>
      <c r="S254">
        <f t="shared" si="8"/>
        <v>7310915.439207</v>
      </c>
      <c r="T254">
        <f t="shared" si="9"/>
        <v>3473.669998</v>
      </c>
      <c r="U254">
        <f t="shared" si="10"/>
        <v>135</v>
      </c>
      <c r="V254">
        <f t="shared" si="11"/>
        <v>26814168.474038</v>
      </c>
      <c r="W254">
        <f>IF($A254="","",Allocation!CD254)</f>
        <v>135942.289468</v>
      </c>
      <c r="X254">
        <f>IF($A254="","",Allocation!CE254)</f>
        <v>299073.430002</v>
      </c>
      <c r="Y254">
        <f>IF($A254="","",Allocation!CF254)</f>
        <v>102231.745505</v>
      </c>
      <c r="Z254">
        <f>IF($A254="","",Allocation!CG254)</f>
        <v>29003</v>
      </c>
      <c r="AA254">
        <f>IF($A254="","",Allocation!CH254)</f>
        <v>672932.901864</v>
      </c>
      <c r="AB254">
        <f>IF($A254="","",Allocation!CI254)</f>
        <v>2894009.992738</v>
      </c>
      <c r="AC254">
        <f>IF($A254="","",IF(Allocation!$N$4="VOL_EFF",$G254,IF(Allocation!$N$4="VOL_CLASS",$H254,$I254)))</f>
        <v>2</v>
      </c>
      <c r="AD254">
        <f>IF($A254="","",IF(Allocation!$N$4="VOL_EFF",$L254,IF(Allocation!$N$4="VOL_CLASS",$M254,$N254)))</f>
        <v>10</v>
      </c>
      <c r="AE254">
        <f>IF($A254="","",IF(Allocation!$N$3="VOL_EFF",$L254,IF(Allocation!$N$3="VOL_CLASS",$M254,$N254)))</f>
        <v>272.190258</v>
      </c>
      <c r="AF254">
        <f>IF($A254="","",IF(Allocation!$N$3="VOL_EFF",$Q254,IF(Allocation!$N$3="VOL_CLASS",$R254,$S254)))</f>
        <v>923.434135</v>
      </c>
      <c r="AG254">
        <f>IF($A254="","",IF(Allocation!$N$1="VOL_EFF",$Q254,IF(Allocation!$N$1="VOL_CLASS",$R254,$S254)))</f>
        <v>35</v>
      </c>
      <c r="AH254">
        <f>IF($A254="","",IF(Allocation!$N$1="VOL_EFF",$T254,IF(Allocation!$N$1="VOL_CLASS",$U254,$V254)))</f>
        <v>135</v>
      </c>
      <c r="AI254">
        <f t="shared" si="12"/>
        <v>23789.9006569</v>
      </c>
      <c r="AJ254">
        <f t="shared" si="13"/>
        <v>52337.85025035</v>
      </c>
      <c r="AK254">
        <f t="shared" si="14"/>
        <v>39208.0183745934</v>
      </c>
      <c r="AL254">
        <f t="shared" si="15"/>
        <v>134586.5803728</v>
      </c>
      <c r="AM254">
        <f t="shared" si="16"/>
        <v>44231.4269942634</v>
      </c>
      <c r="AN254">
        <f t="shared" si="17"/>
        <v>193994.482989045</v>
      </c>
      <c r="AO254">
        <f>IF($A254="","",Allocation!CJ254)</f>
        <v>777795.6</v>
      </c>
      <c r="AP254">
        <f>IF($A254="","",IF(Allocation!$N$2="VOL_EFF",$Q254,IF(Allocation!$N$2="VOL_CLASS",$R254,$S254)))</f>
        <v>7310915.439207</v>
      </c>
      <c r="AQ254">
        <f>IF($A254="","",IF(Allocation!$N$2="VOL_EFF",$T254,IF(Allocation!$N$2="VOL_CLASS",$U254,$V254)))</f>
        <v>26814168.474038</v>
      </c>
      <c r="AR254">
        <f t="shared" si="18"/>
        <v>12501.7139480487</v>
      </c>
      <c r="AS254" t="str">
        <f>IF($A254="","",$A254&amp;"|"&amp;Allocation!BG254)</f>
        <v>2027|V02</v>
      </c>
    </row>
    <row r="255" ht="14.497499999999997" customHeight="1">
      <c r="A255" t="str">
        <f>IF(Allocation!BI255="","",Allocation!BI255)</f>
        <v>2027</v>
      </c>
      <c r="B255" t="str">
        <f>IF(Allocation!BJ255="","",Allocation!BJ255)</f>
        <v>ISCOM_LIL</v>
      </c>
      <c r="C255" t="str">
        <f>IF(Allocation!BK255="","",Allocation!BK255)</f>
        <v>ISCOM</v>
      </c>
      <c r="D255" t="str">
        <f>IF(Allocation!BL255="","",Allocation!BL255)</f>
        <v>MAS_COM</v>
      </c>
      <c r="E255" t="str">
        <f>IF(Allocation!BM255="","",Allocation!BM255)</f>
        <v>M2</v>
      </c>
      <c r="F255" t="str">
        <f>IF(Allocation!BN255="","",Allocation!BN255)</f>
        <v>ALT</v>
      </c>
      <c r="G255">
        <f>IF(Allocation!BO255="","",Allocation!BO255)</f>
        <v>49.75</v>
      </c>
      <c r="H255">
        <f>IF(Allocation!BP255="","",Allocation!BP255)</f>
        <v>2</v>
      </c>
      <c r="I255">
        <f>IF(Allocation!BQ255="","",Allocation!BQ255)</f>
        <v>380380.415625</v>
      </c>
      <c r="J255">
        <f>IF(Allocation!CC255="","",Allocation!CC255)</f>
        <v>0</v>
      </c>
      <c r="K255">
        <f t="shared" si="0"/>
        <v>840</v>
      </c>
      <c r="L255">
        <f t="shared" si="1"/>
        <v>272.190258</v>
      </c>
      <c r="M255">
        <f t="shared" si="2"/>
        <v>10</v>
      </c>
      <c r="N255">
        <f t="shared" si="3"/>
        <v>2043286.875396</v>
      </c>
      <c r="O255">
        <f t="shared" si="4"/>
        <v>4800</v>
      </c>
      <c r="P255">
        <f t="shared" si="5"/>
        <v>125.970258</v>
      </c>
      <c r="Q255">
        <f t="shared" si="6"/>
        <v>923.434135</v>
      </c>
      <c r="R255">
        <f t="shared" si="7"/>
        <v>35</v>
      </c>
      <c r="S255">
        <f t="shared" si="8"/>
        <v>7310915.439207</v>
      </c>
      <c r="T255">
        <f t="shared" si="9"/>
        <v>3473.669998</v>
      </c>
      <c r="U255">
        <f t="shared" si="10"/>
        <v>135</v>
      </c>
      <c r="V255">
        <f t="shared" si="11"/>
        <v>26814168.474038</v>
      </c>
      <c r="W255">
        <f>IF($A255="","",Allocation!CD255)</f>
        <v>135942.289468</v>
      </c>
      <c r="X255">
        <f>IF($A255="","",Allocation!CE255)</f>
        <v>299073.430002</v>
      </c>
      <c r="Y255">
        <f>IF($A255="","",Allocation!CF255)</f>
        <v>102231.745505</v>
      </c>
      <c r="Z255">
        <f>IF($A255="","",Allocation!CG255)</f>
        <v>29003</v>
      </c>
      <c r="AA255">
        <f>IF($A255="","",Allocation!CH255)</f>
        <v>672932.901864</v>
      </c>
      <c r="AB255">
        <f>IF($A255="","",Allocation!CI255)</f>
        <v>2894009.992738</v>
      </c>
      <c r="AC255">
        <f>IF($A255="","",IF(Allocation!$N$4="VOL_EFF",$G255,IF(Allocation!$N$4="VOL_CLASS",$H255,$I255)))</f>
        <v>2</v>
      </c>
      <c r="AD255">
        <f>IF($A255="","",IF(Allocation!$N$4="VOL_EFF",$L255,IF(Allocation!$N$4="VOL_CLASS",$M255,$N255)))</f>
        <v>10</v>
      </c>
      <c r="AE255">
        <f>IF($A255="","",IF(Allocation!$N$3="VOL_EFF",$L255,IF(Allocation!$N$3="VOL_CLASS",$M255,$N255)))</f>
        <v>272.190258</v>
      </c>
      <c r="AF255">
        <f>IF($A255="","",IF(Allocation!$N$3="VOL_EFF",$Q255,IF(Allocation!$N$3="VOL_CLASS",$R255,$S255)))</f>
        <v>923.434135</v>
      </c>
      <c r="AG255">
        <f>IF($A255="","",IF(Allocation!$N$1="VOL_EFF",$Q255,IF(Allocation!$N$1="VOL_CLASS",$R255,$S255)))</f>
        <v>35</v>
      </c>
      <c r="AH255">
        <f>IF($A255="","",IF(Allocation!$N$1="VOL_EFF",$T255,IF(Allocation!$N$1="VOL_CLASS",$U255,$V255)))</f>
        <v>135</v>
      </c>
      <c r="AI255">
        <f t="shared" si="12"/>
        <v>23789.9006569</v>
      </c>
      <c r="AJ255">
        <f t="shared" si="13"/>
        <v>52337.85025035</v>
      </c>
      <c r="AK255">
        <f t="shared" si="14"/>
        <v>18685.5671332431</v>
      </c>
      <c r="AL255">
        <f t="shared" si="15"/>
        <v>134586.5803728</v>
      </c>
      <c r="AM255">
        <f t="shared" si="16"/>
        <v>44231.4269942634</v>
      </c>
      <c r="AN255">
        <f t="shared" si="17"/>
        <v>94247.3762693948</v>
      </c>
      <c r="AO255">
        <f>IF($A255="","",Allocation!CJ255)</f>
        <v>777795.6</v>
      </c>
      <c r="AP255">
        <f>IF($A255="","",IF(Allocation!$N$2="VOL_EFF",$Q255,IF(Allocation!$N$2="VOL_CLASS",$R255,$S255)))</f>
        <v>7310915.439207</v>
      </c>
      <c r="AQ255">
        <f>IF($A255="","",IF(Allocation!$N$2="VOL_EFF",$T255,IF(Allocation!$N$2="VOL_CLASS",$U255,$V255)))</f>
        <v>26814168.474038</v>
      </c>
      <c r="AR255">
        <f t="shared" si="18"/>
        <v>12501.7139480487</v>
      </c>
      <c r="AS255" t="str">
        <f>IF($A255="","",$A255&amp;"|"&amp;Allocation!BG255)</f>
        <v>2027|V02</v>
      </c>
    </row>
    <row r="256" ht="14.497499999999997" customHeight="1">
      <c r="A256" t="str">
        <f>IF(Allocation!BI256="","",Allocation!BI256)</f>
        <v>2027</v>
      </c>
      <c r="B256" t="str">
        <f>IF(Allocation!BJ256="","",Allocation!BJ256)</f>
        <v>ISCOM_PAR</v>
      </c>
      <c r="C256" t="str">
        <f>IF(Allocation!BK256="","",Allocation!BK256)</f>
        <v>ISCOM</v>
      </c>
      <c r="D256" t="str">
        <f>IF(Allocation!BL256="","",Allocation!BL256)</f>
        <v>BAC_COM</v>
      </c>
      <c r="E256" t="str">
        <f>IF(Allocation!BM256="","",Allocation!BM256)</f>
        <v>B1</v>
      </c>
      <c r="F256" t="str">
        <f>IF(Allocation!BN256="","",Allocation!BN256)</f>
        <v>INIT</v>
      </c>
      <c r="G256">
        <f>IF(Allocation!BO256="","",Allocation!BO256)</f>
        <v>87.741234</v>
      </c>
      <c r="H256">
        <f>IF(Allocation!BP256="","",Allocation!BP256)</f>
        <v>3</v>
      </c>
      <c r="I256">
        <f>IF(Allocation!BQ256="","",Allocation!BQ256)</f>
        <v>774588.387875</v>
      </c>
      <c r="J256">
        <f>IF(Allocation!CC256="","",Allocation!CC256)</f>
        <v>87.741234</v>
      </c>
      <c r="K256">
        <f t="shared" si="0"/>
        <v>1800</v>
      </c>
      <c r="L256">
        <f t="shared" si="1"/>
        <v>393.64469</v>
      </c>
      <c r="M256">
        <f t="shared" si="2"/>
        <v>15</v>
      </c>
      <c r="N256">
        <f t="shared" si="3"/>
        <v>3373731.917589</v>
      </c>
      <c r="O256">
        <f t="shared" si="4"/>
        <v>7200</v>
      </c>
      <c r="P256">
        <f t="shared" si="5"/>
        <v>180.43469</v>
      </c>
      <c r="Q256">
        <f t="shared" si="6"/>
        <v>923.434135</v>
      </c>
      <c r="R256">
        <f t="shared" si="7"/>
        <v>35</v>
      </c>
      <c r="S256">
        <f t="shared" si="8"/>
        <v>7310915.439207</v>
      </c>
      <c r="T256">
        <f t="shared" si="9"/>
        <v>3473.669998</v>
      </c>
      <c r="U256">
        <f t="shared" si="10"/>
        <v>135</v>
      </c>
      <c r="V256">
        <f t="shared" si="11"/>
        <v>26814168.474038</v>
      </c>
      <c r="W256">
        <f>IF($A256="","",Allocation!CD256)</f>
        <v>203913.997208</v>
      </c>
      <c r="X256">
        <f>IF($A256="","",Allocation!CE256)</f>
        <v>512745.834288</v>
      </c>
      <c r="Y256">
        <f>IF($A256="","",Allocation!CF256)</f>
        <v>148320.538174</v>
      </c>
      <c r="Z256">
        <f>IF($A256="","",Allocation!CG256)</f>
        <v>69920</v>
      </c>
      <c r="AA256">
        <f>IF($A256="","",Allocation!CH256)</f>
        <v>1127595.522368</v>
      </c>
      <c r="AB256">
        <f>IF($A256="","",Allocation!CI256)</f>
        <v>2894009.992738</v>
      </c>
      <c r="AC256">
        <f>IF($A256="","",IF(Allocation!$N$4="VOL_EFF",$G256,IF(Allocation!$N$4="VOL_CLASS",$H256,$I256)))</f>
        <v>3</v>
      </c>
      <c r="AD256">
        <f>IF($A256="","",IF(Allocation!$N$4="VOL_EFF",$L256,IF(Allocation!$N$4="VOL_CLASS",$M256,$N256)))</f>
        <v>15</v>
      </c>
      <c r="AE256">
        <f>IF($A256="","",IF(Allocation!$N$3="VOL_EFF",$L256,IF(Allocation!$N$3="VOL_CLASS",$M256,$N256)))</f>
        <v>393.64469</v>
      </c>
      <c r="AF256">
        <f>IF($A256="","",IF(Allocation!$N$3="VOL_EFF",$Q256,IF(Allocation!$N$3="VOL_CLASS",$R256,$S256)))</f>
        <v>923.434135</v>
      </c>
      <c r="AG256">
        <f>IF($A256="","",IF(Allocation!$N$1="VOL_EFF",$Q256,IF(Allocation!$N$1="VOL_CLASS",$R256,$S256)))</f>
        <v>35</v>
      </c>
      <c r="AH256">
        <f>IF($A256="","",IF(Allocation!$N$1="VOL_EFF",$T256,IF(Allocation!$N$1="VOL_CLASS",$U256,$V256)))</f>
        <v>135</v>
      </c>
      <c r="AI256">
        <f t="shared" si="12"/>
        <v>50978.499302</v>
      </c>
      <c r="AJ256">
        <f t="shared" si="13"/>
        <v>128186.458572</v>
      </c>
      <c r="AK256">
        <f t="shared" si="14"/>
        <v>67060.3169207745</v>
      </c>
      <c r="AL256">
        <f t="shared" si="15"/>
        <v>225519.1044736</v>
      </c>
      <c r="AM256">
        <f t="shared" si="16"/>
        <v>63967.9997930508</v>
      </c>
      <c r="AN256">
        <f t="shared" si="17"/>
        <v>220795.885932952</v>
      </c>
      <c r="AO256">
        <f>IF($A256="","",Allocation!CJ256)</f>
        <v>777795.6</v>
      </c>
      <c r="AP256">
        <f>IF($A256="","",IF(Allocation!$N$2="VOL_EFF",$Q256,IF(Allocation!$N$2="VOL_CLASS",$R256,$S256)))</f>
        <v>7310915.439207</v>
      </c>
      <c r="AQ256">
        <f>IF($A256="","",IF(Allocation!$N$2="VOL_EFF",$T256,IF(Allocation!$N$2="VOL_CLASS",$U256,$V256)))</f>
        <v>26814168.474038</v>
      </c>
      <c r="AR256">
        <f t="shared" si="18"/>
        <v>18080.1228806223</v>
      </c>
      <c r="AS256" t="str">
        <f>IF($A256="","",$A256&amp;"|"&amp;Allocation!BG256)</f>
        <v>2027|V02</v>
      </c>
    </row>
    <row r="257" ht="14.497499999999997" customHeight="1">
      <c r="A257" t="str">
        <f>IF(Allocation!BI257="","",Allocation!BI257)</f>
        <v>2027</v>
      </c>
      <c r="B257" t="str">
        <f>IF(Allocation!BJ257="","",Allocation!BJ257)</f>
        <v>ISCOM_PAR</v>
      </c>
      <c r="C257" t="str">
        <f>IF(Allocation!BK257="","",Allocation!BK257)</f>
        <v>ISCOM</v>
      </c>
      <c r="D257" t="str">
        <f>IF(Allocation!BL257="","",Allocation!BL257)</f>
        <v>BAC_COM</v>
      </c>
      <c r="E257" t="str">
        <f>IF(Allocation!BM257="","",Allocation!BM257)</f>
        <v>B2</v>
      </c>
      <c r="F257" t="str">
        <f>IF(Allocation!BN257="","",Allocation!BN257)</f>
        <v>ALT</v>
      </c>
      <c r="G257">
        <f>IF(Allocation!BO257="","",Allocation!BO257)</f>
        <v>71.08</v>
      </c>
      <c r="H257">
        <f>IF(Allocation!BP257="","",Allocation!BP257)</f>
        <v>3</v>
      </c>
      <c r="I257">
        <f>IF(Allocation!BQ257="","",Allocation!BQ257)</f>
        <v>579697.2048</v>
      </c>
      <c r="J257">
        <f>IF(Allocation!CC257="","",Allocation!CC257)</f>
        <v>0</v>
      </c>
      <c r="K257">
        <f t="shared" si="0"/>
        <v>1440</v>
      </c>
      <c r="L257">
        <f t="shared" si="1"/>
        <v>393.64469</v>
      </c>
      <c r="M257">
        <f t="shared" si="2"/>
        <v>15</v>
      </c>
      <c r="N257">
        <f t="shared" si="3"/>
        <v>3373731.917589</v>
      </c>
      <c r="O257">
        <f t="shared" si="4"/>
        <v>7200</v>
      </c>
      <c r="P257">
        <f t="shared" si="5"/>
        <v>180.43469</v>
      </c>
      <c r="Q257">
        <f t="shared" si="6"/>
        <v>923.434135</v>
      </c>
      <c r="R257">
        <f t="shared" si="7"/>
        <v>35</v>
      </c>
      <c r="S257">
        <f t="shared" si="8"/>
        <v>7310915.439207</v>
      </c>
      <c r="T257">
        <f t="shared" si="9"/>
        <v>3473.669998</v>
      </c>
      <c r="U257">
        <f t="shared" si="10"/>
        <v>135</v>
      </c>
      <c r="V257">
        <f t="shared" si="11"/>
        <v>26814168.474038</v>
      </c>
      <c r="W257">
        <f>IF($A257="","",Allocation!CD257)</f>
        <v>203913.997208</v>
      </c>
      <c r="X257">
        <f>IF($A257="","",Allocation!CE257)</f>
        <v>512745.834288</v>
      </c>
      <c r="Y257">
        <f>IF($A257="","",Allocation!CF257)</f>
        <v>148320.538174</v>
      </c>
      <c r="Z257">
        <f>IF($A257="","",Allocation!CG257)</f>
        <v>69920</v>
      </c>
      <c r="AA257">
        <f>IF($A257="","",Allocation!CH257)</f>
        <v>1127595.522368</v>
      </c>
      <c r="AB257">
        <f>IF($A257="","",Allocation!CI257)</f>
        <v>2894009.992738</v>
      </c>
      <c r="AC257">
        <f>IF($A257="","",IF(Allocation!$N$4="VOL_EFF",$G257,IF(Allocation!$N$4="VOL_CLASS",$H257,$I257)))</f>
        <v>3</v>
      </c>
      <c r="AD257">
        <f>IF($A257="","",IF(Allocation!$N$4="VOL_EFF",$L257,IF(Allocation!$N$4="VOL_CLASS",$M257,$N257)))</f>
        <v>15</v>
      </c>
      <c r="AE257">
        <f>IF($A257="","",IF(Allocation!$N$3="VOL_EFF",$L257,IF(Allocation!$N$3="VOL_CLASS",$M257,$N257)))</f>
        <v>393.64469</v>
      </c>
      <c r="AF257">
        <f>IF($A257="","",IF(Allocation!$N$3="VOL_EFF",$Q257,IF(Allocation!$N$3="VOL_CLASS",$R257,$S257)))</f>
        <v>923.434135</v>
      </c>
      <c r="AG257">
        <f>IF($A257="","",IF(Allocation!$N$1="VOL_EFF",$Q257,IF(Allocation!$N$1="VOL_CLASS",$R257,$S257)))</f>
        <v>35</v>
      </c>
      <c r="AH257">
        <f>IF($A257="","",IF(Allocation!$N$1="VOL_EFF",$T257,IF(Allocation!$N$1="VOL_CLASS",$U257,$V257)))</f>
        <v>135</v>
      </c>
      <c r="AI257">
        <f t="shared" si="12"/>
        <v>40782.7994416</v>
      </c>
      <c r="AJ257">
        <f t="shared" si="13"/>
        <v>102549.1668576</v>
      </c>
      <c r="AK257">
        <f t="shared" si="14"/>
        <v>26782.0806967012</v>
      </c>
      <c r="AL257">
        <f t="shared" si="15"/>
        <v>225519.1044736</v>
      </c>
      <c r="AM257">
        <f t="shared" si="16"/>
        <v>63967.9997930508</v>
      </c>
      <c r="AN257">
        <f t="shared" si="17"/>
        <v>102015.930656826</v>
      </c>
      <c r="AO257">
        <f>IF($A257="","",Allocation!CJ257)</f>
        <v>777795.6</v>
      </c>
      <c r="AP257">
        <f>IF($A257="","",IF(Allocation!$N$2="VOL_EFF",$Q257,IF(Allocation!$N$2="VOL_CLASS",$R257,$S257)))</f>
        <v>7310915.439207</v>
      </c>
      <c r="AQ257">
        <f>IF($A257="","",IF(Allocation!$N$2="VOL_EFF",$T257,IF(Allocation!$N$2="VOL_CLASS",$U257,$V257)))</f>
        <v>26814168.474038</v>
      </c>
      <c r="AR257">
        <f t="shared" si="18"/>
        <v>18080.1228806223</v>
      </c>
      <c r="AS257" t="str">
        <f>IF($A257="","",$A257&amp;"|"&amp;Allocation!BG257)</f>
        <v>2027|V02</v>
      </c>
    </row>
    <row r="258" ht="14.497499999999997" customHeight="1">
      <c r="A258" t="str">
        <f>IF(Allocation!BI258="","",Allocation!BI258)</f>
        <v>2027</v>
      </c>
      <c r="B258" t="str">
        <f>IF(Allocation!BJ258="","",Allocation!BJ258)</f>
        <v>ISCOM_PAR</v>
      </c>
      <c r="C258" t="str">
        <f>IF(Allocation!BK258="","",Allocation!BK258)</f>
        <v>ISCOM</v>
      </c>
      <c r="D258" t="str">
        <f>IF(Allocation!BL258="","",Allocation!BL258)</f>
        <v>BAC_COM</v>
      </c>
      <c r="E258" t="str">
        <f>IF(Allocation!BM258="","",Allocation!BM258)</f>
        <v>B3</v>
      </c>
      <c r="F258" t="str">
        <f>IF(Allocation!BN258="","",Allocation!BN258)</f>
        <v>ALT</v>
      </c>
      <c r="G258">
        <f>IF(Allocation!BO258="","",Allocation!BO258)</f>
        <v>70.05</v>
      </c>
      <c r="H258">
        <f>IF(Allocation!BP258="","",Allocation!BP258)</f>
        <v>3</v>
      </c>
      <c r="I258">
        <f>IF(Allocation!BQ258="","",Allocation!BQ258)</f>
        <v>571296.978</v>
      </c>
      <c r="J258">
        <f>IF(Allocation!CC258="","",Allocation!CC258)</f>
        <v>0</v>
      </c>
      <c r="K258">
        <f t="shared" si="0"/>
        <v>1440</v>
      </c>
      <c r="L258">
        <f t="shared" si="1"/>
        <v>393.64469</v>
      </c>
      <c r="M258">
        <f t="shared" si="2"/>
        <v>15</v>
      </c>
      <c r="N258">
        <f t="shared" si="3"/>
        <v>3373731.917589</v>
      </c>
      <c r="O258">
        <f t="shared" si="4"/>
        <v>7200</v>
      </c>
      <c r="P258">
        <f t="shared" si="5"/>
        <v>180.43469</v>
      </c>
      <c r="Q258">
        <f t="shared" si="6"/>
        <v>923.434135</v>
      </c>
      <c r="R258">
        <f t="shared" si="7"/>
        <v>35</v>
      </c>
      <c r="S258">
        <f t="shared" si="8"/>
        <v>7310915.439207</v>
      </c>
      <c r="T258">
        <f t="shared" si="9"/>
        <v>3473.669998</v>
      </c>
      <c r="U258">
        <f t="shared" si="10"/>
        <v>135</v>
      </c>
      <c r="V258">
        <f t="shared" si="11"/>
        <v>26814168.474038</v>
      </c>
      <c r="W258">
        <f>IF($A258="","",Allocation!CD258)</f>
        <v>203913.997208</v>
      </c>
      <c r="X258">
        <f>IF($A258="","",Allocation!CE258)</f>
        <v>512745.834288</v>
      </c>
      <c r="Y258">
        <f>IF($A258="","",Allocation!CF258)</f>
        <v>148320.538174</v>
      </c>
      <c r="Z258">
        <f>IF($A258="","",Allocation!CG258)</f>
        <v>69920</v>
      </c>
      <c r="AA258">
        <f>IF($A258="","",Allocation!CH258)</f>
        <v>1127595.522368</v>
      </c>
      <c r="AB258">
        <f>IF($A258="","",Allocation!CI258)</f>
        <v>2894009.992738</v>
      </c>
      <c r="AC258">
        <f>IF($A258="","",IF(Allocation!$N$4="VOL_EFF",$G258,IF(Allocation!$N$4="VOL_CLASS",$H258,$I258)))</f>
        <v>3</v>
      </c>
      <c r="AD258">
        <f>IF($A258="","",IF(Allocation!$N$4="VOL_EFF",$L258,IF(Allocation!$N$4="VOL_CLASS",$M258,$N258)))</f>
        <v>15</v>
      </c>
      <c r="AE258">
        <f>IF($A258="","",IF(Allocation!$N$3="VOL_EFF",$L258,IF(Allocation!$N$3="VOL_CLASS",$M258,$N258)))</f>
        <v>393.64469</v>
      </c>
      <c r="AF258">
        <f>IF($A258="","",IF(Allocation!$N$3="VOL_EFF",$Q258,IF(Allocation!$N$3="VOL_CLASS",$R258,$S258)))</f>
        <v>923.434135</v>
      </c>
      <c r="AG258">
        <f>IF($A258="","",IF(Allocation!$N$1="VOL_EFF",$Q258,IF(Allocation!$N$1="VOL_CLASS",$R258,$S258)))</f>
        <v>35</v>
      </c>
      <c r="AH258">
        <f>IF($A258="","",IF(Allocation!$N$1="VOL_EFF",$T258,IF(Allocation!$N$1="VOL_CLASS",$U258,$V258)))</f>
        <v>135</v>
      </c>
      <c r="AI258">
        <f t="shared" si="12"/>
        <v>40782.7994416</v>
      </c>
      <c r="AJ258">
        <f t="shared" si="13"/>
        <v>102549.1668576</v>
      </c>
      <c r="AK258">
        <f t="shared" si="14"/>
        <v>26393.989206583</v>
      </c>
      <c r="AL258">
        <f t="shared" si="15"/>
        <v>225519.1044736</v>
      </c>
      <c r="AM258">
        <f t="shared" si="16"/>
        <v>63967.9997930508</v>
      </c>
      <c r="AN258">
        <f t="shared" si="17"/>
        <v>94003.7953469439</v>
      </c>
      <c r="AO258">
        <f>IF($A258="","",Allocation!CJ258)</f>
        <v>777795.6</v>
      </c>
      <c r="AP258">
        <f>IF($A258="","",IF(Allocation!$N$2="VOL_EFF",$Q258,IF(Allocation!$N$2="VOL_CLASS",$R258,$S258)))</f>
        <v>7310915.439207</v>
      </c>
      <c r="AQ258">
        <f>IF($A258="","",IF(Allocation!$N$2="VOL_EFF",$T258,IF(Allocation!$N$2="VOL_CLASS",$U258,$V258)))</f>
        <v>26814168.474038</v>
      </c>
      <c r="AR258">
        <f t="shared" si="18"/>
        <v>18080.1228806223</v>
      </c>
      <c r="AS258" t="str">
        <f>IF($A258="","",$A258&amp;"|"&amp;Allocation!BG258)</f>
        <v>2027|V02</v>
      </c>
    </row>
    <row r="259" ht="14.497499999999997" customHeight="1">
      <c r="A259" t="str">
        <f>IF(Allocation!BI259="","",Allocation!BI259)</f>
        <v>2027</v>
      </c>
      <c r="B259" t="str">
        <f>IF(Allocation!BJ259="","",Allocation!BJ259)</f>
        <v>ISCOM_PAR</v>
      </c>
      <c r="C259" t="str">
        <f>IF(Allocation!BK259="","",Allocation!BK259)</f>
        <v>ISCOM</v>
      </c>
      <c r="D259" t="str">
        <f>IF(Allocation!BL259="","",Allocation!BL259)</f>
        <v>MAS_COM</v>
      </c>
      <c r="E259" t="str">
        <f>IF(Allocation!BM259="","",Allocation!BM259)</f>
        <v>M1</v>
      </c>
      <c r="F259" t="str">
        <f>IF(Allocation!BN259="","",Allocation!BN259)</f>
        <v>ALT</v>
      </c>
      <c r="G259">
        <f>IF(Allocation!BO259="","",Allocation!BO259)</f>
        <v>92.693456</v>
      </c>
      <c r="H259">
        <f>IF(Allocation!BP259="","",Allocation!BP259)</f>
        <v>3</v>
      </c>
      <c r="I259">
        <f>IF(Allocation!BQ259="","",Allocation!BQ259)</f>
        <v>818307.098914</v>
      </c>
      <c r="J259">
        <f>IF(Allocation!CC259="","",Allocation!CC259)</f>
        <v>92.693456</v>
      </c>
      <c r="K259">
        <f t="shared" si="0"/>
        <v>1260</v>
      </c>
      <c r="L259">
        <f t="shared" si="1"/>
        <v>393.64469</v>
      </c>
      <c r="M259">
        <f t="shared" si="2"/>
        <v>15</v>
      </c>
      <c r="N259">
        <f t="shared" si="3"/>
        <v>3373731.917589</v>
      </c>
      <c r="O259">
        <f t="shared" si="4"/>
        <v>7200</v>
      </c>
      <c r="P259">
        <f t="shared" si="5"/>
        <v>180.43469</v>
      </c>
      <c r="Q259">
        <f t="shared" si="6"/>
        <v>923.434135</v>
      </c>
      <c r="R259">
        <f t="shared" si="7"/>
        <v>35</v>
      </c>
      <c r="S259">
        <f t="shared" si="8"/>
        <v>7310915.439207</v>
      </c>
      <c r="T259">
        <f t="shared" si="9"/>
        <v>3473.669998</v>
      </c>
      <c r="U259">
        <f t="shared" si="10"/>
        <v>135</v>
      </c>
      <c r="V259">
        <f t="shared" si="11"/>
        <v>26814168.474038</v>
      </c>
      <c r="W259">
        <f>IF($A259="","",Allocation!CD259)</f>
        <v>203913.997208</v>
      </c>
      <c r="X259">
        <f>IF($A259="","",Allocation!CE259)</f>
        <v>512745.834288</v>
      </c>
      <c r="Y259">
        <f>IF($A259="","",Allocation!CF259)</f>
        <v>148320.538174</v>
      </c>
      <c r="Z259">
        <f>IF($A259="","",Allocation!CG259)</f>
        <v>69920</v>
      </c>
      <c r="AA259">
        <f>IF($A259="","",Allocation!CH259)</f>
        <v>1127595.522368</v>
      </c>
      <c r="AB259">
        <f>IF($A259="","",Allocation!CI259)</f>
        <v>2894009.992738</v>
      </c>
      <c r="AC259">
        <f>IF($A259="","",IF(Allocation!$N$4="VOL_EFF",$G259,IF(Allocation!$N$4="VOL_CLASS",$H259,$I259)))</f>
        <v>3</v>
      </c>
      <c r="AD259">
        <f>IF($A259="","",IF(Allocation!$N$4="VOL_EFF",$L259,IF(Allocation!$N$4="VOL_CLASS",$M259,$N259)))</f>
        <v>15</v>
      </c>
      <c r="AE259">
        <f>IF($A259="","",IF(Allocation!$N$3="VOL_EFF",$L259,IF(Allocation!$N$3="VOL_CLASS",$M259,$N259)))</f>
        <v>393.64469</v>
      </c>
      <c r="AF259">
        <f>IF($A259="","",IF(Allocation!$N$3="VOL_EFF",$Q259,IF(Allocation!$N$3="VOL_CLASS",$R259,$S259)))</f>
        <v>923.434135</v>
      </c>
      <c r="AG259">
        <f>IF($A259="","",IF(Allocation!$N$1="VOL_EFF",$Q259,IF(Allocation!$N$1="VOL_CLASS",$R259,$S259)))</f>
        <v>35</v>
      </c>
      <c r="AH259">
        <f>IF($A259="","",IF(Allocation!$N$1="VOL_EFF",$T259,IF(Allocation!$N$1="VOL_CLASS",$U259,$V259)))</f>
        <v>135</v>
      </c>
      <c r="AI259">
        <f t="shared" si="12"/>
        <v>35684.9495114</v>
      </c>
      <c r="AJ259">
        <f t="shared" si="13"/>
        <v>89730.5210004</v>
      </c>
      <c r="AK259">
        <f t="shared" si="14"/>
        <v>70845.2827987565</v>
      </c>
      <c r="AL259">
        <f t="shared" si="15"/>
        <v>225519.1044736</v>
      </c>
      <c r="AM259">
        <f t="shared" si="16"/>
        <v>63967.9997930508</v>
      </c>
      <c r="AN259">
        <f t="shared" si="17"/>
        <v>314479.11845617</v>
      </c>
      <c r="AO259">
        <f>IF($A259="","",Allocation!CJ259)</f>
        <v>777795.6</v>
      </c>
      <c r="AP259">
        <f>IF($A259="","",IF(Allocation!$N$2="VOL_EFF",$Q259,IF(Allocation!$N$2="VOL_CLASS",$R259,$S259)))</f>
        <v>7310915.439207</v>
      </c>
      <c r="AQ259">
        <f>IF($A259="","",IF(Allocation!$N$2="VOL_EFF",$T259,IF(Allocation!$N$2="VOL_CLASS",$U259,$V259)))</f>
        <v>26814168.474038</v>
      </c>
      <c r="AR259">
        <f t="shared" si="18"/>
        <v>18080.1228806223</v>
      </c>
      <c r="AS259" t="str">
        <f>IF($A259="","",$A259&amp;"|"&amp;Allocation!BG259)</f>
        <v>2027|V02</v>
      </c>
    </row>
    <row r="260" ht="14.497499999999997" customHeight="1">
      <c r="A260" t="str">
        <f>IF(Allocation!BI260="","",Allocation!BI260)</f>
        <v>2027</v>
      </c>
      <c r="B260" t="str">
        <f>IF(Allocation!BJ260="","",Allocation!BJ260)</f>
        <v>ISCOM_PAR</v>
      </c>
      <c r="C260" t="str">
        <f>IF(Allocation!BK260="","",Allocation!BK260)</f>
        <v>ISCOM</v>
      </c>
      <c r="D260" t="str">
        <f>IF(Allocation!BL260="","",Allocation!BL260)</f>
        <v>MAS_COM</v>
      </c>
      <c r="E260" t="str">
        <f>IF(Allocation!BM260="","",Allocation!BM260)</f>
        <v>M2</v>
      </c>
      <c r="F260" t="str">
        <f>IF(Allocation!BN260="","",Allocation!BN260)</f>
        <v>ALT</v>
      </c>
      <c r="G260">
        <f>IF(Allocation!BO260="","",Allocation!BO260)</f>
        <v>72.08</v>
      </c>
      <c r="H260">
        <f>IF(Allocation!BP260="","",Allocation!BP260)</f>
        <v>3</v>
      </c>
      <c r="I260">
        <f>IF(Allocation!BQ260="","",Allocation!BQ260)</f>
        <v>629842.248</v>
      </c>
      <c r="J260">
        <f>IF(Allocation!CC260="","",Allocation!CC260)</f>
        <v>0</v>
      </c>
      <c r="K260">
        <f t="shared" si="0"/>
        <v>1260</v>
      </c>
      <c r="L260">
        <f t="shared" si="1"/>
        <v>393.64469</v>
      </c>
      <c r="M260">
        <f t="shared" si="2"/>
        <v>15</v>
      </c>
      <c r="N260">
        <f t="shared" si="3"/>
        <v>3373731.917589</v>
      </c>
      <c r="O260">
        <f t="shared" si="4"/>
        <v>7200</v>
      </c>
      <c r="P260">
        <f t="shared" si="5"/>
        <v>180.43469</v>
      </c>
      <c r="Q260">
        <f t="shared" si="6"/>
        <v>923.434135</v>
      </c>
      <c r="R260">
        <f t="shared" si="7"/>
        <v>35</v>
      </c>
      <c r="S260">
        <f t="shared" si="8"/>
        <v>7310915.439207</v>
      </c>
      <c r="T260">
        <f t="shared" si="9"/>
        <v>3473.669998</v>
      </c>
      <c r="U260">
        <f t="shared" si="10"/>
        <v>135</v>
      </c>
      <c r="V260">
        <f t="shared" si="11"/>
        <v>26814168.474038</v>
      </c>
      <c r="W260">
        <f>IF($A260="","",Allocation!CD260)</f>
        <v>203913.997208</v>
      </c>
      <c r="X260">
        <f>IF($A260="","",Allocation!CE260)</f>
        <v>512745.834288</v>
      </c>
      <c r="Y260">
        <f>IF($A260="","",Allocation!CF260)</f>
        <v>148320.538174</v>
      </c>
      <c r="Z260">
        <f>IF($A260="","",Allocation!CG260)</f>
        <v>69920</v>
      </c>
      <c r="AA260">
        <f>IF($A260="","",Allocation!CH260)</f>
        <v>1127595.522368</v>
      </c>
      <c r="AB260">
        <f>IF($A260="","",Allocation!CI260)</f>
        <v>2894009.992738</v>
      </c>
      <c r="AC260">
        <f>IF($A260="","",IF(Allocation!$N$4="VOL_EFF",$G260,IF(Allocation!$N$4="VOL_CLASS",$H260,$I260)))</f>
        <v>3</v>
      </c>
      <c r="AD260">
        <f>IF($A260="","",IF(Allocation!$N$4="VOL_EFF",$L260,IF(Allocation!$N$4="VOL_CLASS",$M260,$N260)))</f>
        <v>15</v>
      </c>
      <c r="AE260">
        <f>IF($A260="","",IF(Allocation!$N$3="VOL_EFF",$L260,IF(Allocation!$N$3="VOL_CLASS",$M260,$N260)))</f>
        <v>393.64469</v>
      </c>
      <c r="AF260">
        <f>IF($A260="","",IF(Allocation!$N$3="VOL_EFF",$Q260,IF(Allocation!$N$3="VOL_CLASS",$R260,$S260)))</f>
        <v>923.434135</v>
      </c>
      <c r="AG260">
        <f>IF($A260="","",IF(Allocation!$N$1="VOL_EFF",$Q260,IF(Allocation!$N$1="VOL_CLASS",$R260,$S260)))</f>
        <v>35</v>
      </c>
      <c r="AH260">
        <f>IF($A260="","",IF(Allocation!$N$1="VOL_EFF",$T260,IF(Allocation!$N$1="VOL_CLASS",$U260,$V260)))</f>
        <v>135</v>
      </c>
      <c r="AI260">
        <f t="shared" si="12"/>
        <v>35684.9495114</v>
      </c>
      <c r="AJ260">
        <f t="shared" si="13"/>
        <v>89730.5210004</v>
      </c>
      <c r="AK260">
        <f t="shared" si="14"/>
        <v>27158.8685511849</v>
      </c>
      <c r="AL260">
        <f t="shared" si="15"/>
        <v>225519.1044736</v>
      </c>
      <c r="AM260">
        <f t="shared" si="16"/>
        <v>63967.9997930508</v>
      </c>
      <c r="AN260">
        <f t="shared" si="17"/>
        <v>169700.681789742</v>
      </c>
      <c r="AO260">
        <f>IF($A260="","",Allocation!CJ260)</f>
        <v>777795.6</v>
      </c>
      <c r="AP260">
        <f>IF($A260="","",IF(Allocation!$N$2="VOL_EFF",$Q260,IF(Allocation!$N$2="VOL_CLASS",$R260,$S260)))</f>
        <v>7310915.439207</v>
      </c>
      <c r="AQ260">
        <f>IF($A260="","",IF(Allocation!$N$2="VOL_EFF",$T260,IF(Allocation!$N$2="VOL_CLASS",$U260,$V260)))</f>
        <v>26814168.474038</v>
      </c>
      <c r="AR260">
        <f t="shared" si="18"/>
        <v>18080.1228806223</v>
      </c>
      <c r="AS260" t="str">
        <f>IF($A260="","",$A260&amp;"|"&amp;Allocation!BG260)</f>
        <v>2027|V02</v>
      </c>
    </row>
    <row r="261" ht="14.497499999999997" customHeight="1">
      <c r="A261" t="str">
        <f>IF(Allocation!BI261="","",Allocation!BI261)</f>
        <v>2027</v>
      </c>
      <c r="B261" t="str">
        <f>IF(Allocation!BJ261="","",Allocation!BJ261)</f>
        <v>ISCOM_TLS</v>
      </c>
      <c r="C261" t="str">
        <f>IF(Allocation!BK261="","",Allocation!BK261)</f>
        <v>ISCOM</v>
      </c>
      <c r="D261" t="str">
        <f>IF(Allocation!BL261="","",Allocation!BL261)</f>
        <v>BAC_COM</v>
      </c>
      <c r="E261" t="str">
        <f>IF(Allocation!BM261="","",Allocation!BM261)</f>
        <v>B1</v>
      </c>
      <c r="F261" t="str">
        <f>IF(Allocation!BN261="","",Allocation!BN261)</f>
        <v>INIT</v>
      </c>
      <c r="G261">
        <f>IF(Allocation!BO261="","",Allocation!BO261)</f>
        <v>57.616994</v>
      </c>
      <c r="H261">
        <f>IF(Allocation!BP261="","",Allocation!BP261)</f>
        <v>2</v>
      </c>
      <c r="I261">
        <f>IF(Allocation!BQ261="","",Allocation!BQ261)</f>
        <v>436725.291121</v>
      </c>
      <c r="J261">
        <f>IF(Allocation!CC261="","",Allocation!CC261)</f>
        <v>57.616994</v>
      </c>
      <c r="K261">
        <f t="shared" si="0"/>
        <v>1200</v>
      </c>
      <c r="L261">
        <f t="shared" si="1"/>
        <v>257.599187</v>
      </c>
      <c r="M261">
        <f t="shared" si="2"/>
        <v>10</v>
      </c>
      <c r="N261">
        <f t="shared" si="3"/>
        <v>1893896.646222</v>
      </c>
      <c r="O261">
        <f t="shared" si="4"/>
        <v>4800</v>
      </c>
      <c r="P261">
        <f t="shared" si="5"/>
        <v>118.499187</v>
      </c>
      <c r="Q261">
        <f t="shared" si="6"/>
        <v>923.434135</v>
      </c>
      <c r="R261">
        <f t="shared" si="7"/>
        <v>35</v>
      </c>
      <c r="S261">
        <f t="shared" si="8"/>
        <v>7310915.439207</v>
      </c>
      <c r="T261">
        <f t="shared" si="9"/>
        <v>3473.669998</v>
      </c>
      <c r="U261">
        <f t="shared" si="10"/>
        <v>135</v>
      </c>
      <c r="V261">
        <f t="shared" si="11"/>
        <v>26814168.474038</v>
      </c>
      <c r="W261">
        <f>IF($A261="","",Allocation!CD261)</f>
        <v>135942.289468</v>
      </c>
      <c r="X261">
        <f>IF($A261="","",Allocation!CE261)</f>
        <v>281228.673822</v>
      </c>
      <c r="Y261">
        <f>IF($A261="","",Allocation!CF261)</f>
        <v>96785.225993</v>
      </c>
      <c r="Z261">
        <f>IF($A261="","",Allocation!CG261)</f>
        <v>25395.45</v>
      </c>
      <c r="AA261">
        <f>IF($A261="","",Allocation!CH261)</f>
        <v>609507.91025</v>
      </c>
      <c r="AB261">
        <f>IF($A261="","",Allocation!CI261)</f>
        <v>2894009.992738</v>
      </c>
      <c r="AC261">
        <f>IF($A261="","",IF(Allocation!$N$4="VOL_EFF",$G261,IF(Allocation!$N$4="VOL_CLASS",$H261,$I261)))</f>
        <v>2</v>
      </c>
      <c r="AD261">
        <f>IF($A261="","",IF(Allocation!$N$4="VOL_EFF",$L261,IF(Allocation!$N$4="VOL_CLASS",$M261,$N261)))</f>
        <v>10</v>
      </c>
      <c r="AE261">
        <f>IF($A261="","",IF(Allocation!$N$3="VOL_EFF",$L261,IF(Allocation!$N$3="VOL_CLASS",$M261,$N261)))</f>
        <v>257.599187</v>
      </c>
      <c r="AF261">
        <f>IF($A261="","",IF(Allocation!$N$3="VOL_EFF",$Q261,IF(Allocation!$N$3="VOL_CLASS",$R261,$S261)))</f>
        <v>923.434135</v>
      </c>
      <c r="AG261">
        <f>IF($A261="","",IF(Allocation!$N$1="VOL_EFF",$Q261,IF(Allocation!$N$1="VOL_CLASS",$R261,$S261)))</f>
        <v>35</v>
      </c>
      <c r="AH261">
        <f>IF($A261="","",IF(Allocation!$N$1="VOL_EFF",$T261,IF(Allocation!$N$1="VOL_CLASS",$U261,$V261)))</f>
        <v>135</v>
      </c>
      <c r="AI261">
        <f t="shared" si="12"/>
        <v>33985.572367</v>
      </c>
      <c r="AJ261">
        <f t="shared" si="13"/>
        <v>70307.1684555</v>
      </c>
      <c r="AK261">
        <f t="shared" si="14"/>
        <v>33995.7144107748</v>
      </c>
      <c r="AL261">
        <f t="shared" si="15"/>
        <v>121901.58205</v>
      </c>
      <c r="AM261">
        <f t="shared" si="16"/>
        <v>41860.3506139154</v>
      </c>
      <c r="AN261">
        <f t="shared" si="17"/>
        <v>122843.357992224</v>
      </c>
      <c r="AO261">
        <f>IF($A261="","",Allocation!CJ261)</f>
        <v>777795.6</v>
      </c>
      <c r="AP261">
        <f>IF($A261="","",IF(Allocation!$N$2="VOL_EFF",$Q261,IF(Allocation!$N$2="VOL_CLASS",$R261,$S261)))</f>
        <v>7310915.439207</v>
      </c>
      <c r="AQ261">
        <f>IF($A261="","",IF(Allocation!$N$2="VOL_EFF",$T261,IF(Allocation!$N$2="VOL_CLASS",$U261,$V261)))</f>
        <v>26814168.474038</v>
      </c>
      <c r="AR261">
        <f t="shared" si="18"/>
        <v>11831.5452315854</v>
      </c>
      <c r="AS261" t="str">
        <f>IF($A261="","",$A261&amp;"|"&amp;Allocation!BG261)</f>
        <v>2027|V02</v>
      </c>
    </row>
    <row r="262" ht="14.497499999999997" customHeight="1">
      <c r="A262" t="str">
        <f>IF(Allocation!BI262="","",Allocation!BI262)</f>
        <v>2027</v>
      </c>
      <c r="B262" t="str">
        <f>IF(Allocation!BJ262="","",Allocation!BJ262)</f>
        <v>ISCOM_TLS</v>
      </c>
      <c r="C262" t="str">
        <f>IF(Allocation!BK262="","",Allocation!BK262)</f>
        <v>ISCOM</v>
      </c>
      <c r="D262" t="str">
        <f>IF(Allocation!BL262="","",Allocation!BL262)</f>
        <v>BAC_COM</v>
      </c>
      <c r="E262" t="str">
        <f>IF(Allocation!BM262="","",Allocation!BM262)</f>
        <v>B2</v>
      </c>
      <c r="F262" t="str">
        <f>IF(Allocation!BN262="","",Allocation!BN262)</f>
        <v>ALT</v>
      </c>
      <c r="G262">
        <f>IF(Allocation!BO262="","",Allocation!BO262)</f>
        <v>46.705</v>
      </c>
      <c r="H262">
        <f>IF(Allocation!BP262="","",Allocation!BP262)</f>
        <v>2</v>
      </c>
      <c r="I262">
        <f>IF(Allocation!BQ262="","",Allocation!BQ262)</f>
        <v>326490.3684</v>
      </c>
      <c r="J262">
        <f>IF(Allocation!CC262="","",Allocation!CC262)</f>
        <v>0</v>
      </c>
      <c r="K262">
        <f t="shared" si="0"/>
        <v>960</v>
      </c>
      <c r="L262">
        <f t="shared" si="1"/>
        <v>257.599187</v>
      </c>
      <c r="M262">
        <f t="shared" si="2"/>
        <v>10</v>
      </c>
      <c r="N262">
        <f t="shared" si="3"/>
        <v>1893896.646222</v>
      </c>
      <c r="O262">
        <f t="shared" si="4"/>
        <v>4800</v>
      </c>
      <c r="P262">
        <f t="shared" si="5"/>
        <v>118.499187</v>
      </c>
      <c r="Q262">
        <f t="shared" si="6"/>
        <v>923.434135</v>
      </c>
      <c r="R262">
        <f t="shared" si="7"/>
        <v>35</v>
      </c>
      <c r="S262">
        <f t="shared" si="8"/>
        <v>7310915.439207</v>
      </c>
      <c r="T262">
        <f t="shared" si="9"/>
        <v>3473.669998</v>
      </c>
      <c r="U262">
        <f t="shared" si="10"/>
        <v>135</v>
      </c>
      <c r="V262">
        <f t="shared" si="11"/>
        <v>26814168.474038</v>
      </c>
      <c r="W262">
        <f>IF($A262="","",Allocation!CD262)</f>
        <v>135942.289468</v>
      </c>
      <c r="X262">
        <f>IF($A262="","",Allocation!CE262)</f>
        <v>281228.673822</v>
      </c>
      <c r="Y262">
        <f>IF($A262="","",Allocation!CF262)</f>
        <v>96785.225993</v>
      </c>
      <c r="Z262">
        <f>IF($A262="","",Allocation!CG262)</f>
        <v>25395.45</v>
      </c>
      <c r="AA262">
        <f>IF($A262="","",Allocation!CH262)</f>
        <v>609507.91025</v>
      </c>
      <c r="AB262">
        <f>IF($A262="","",Allocation!CI262)</f>
        <v>2894009.992738</v>
      </c>
      <c r="AC262">
        <f>IF($A262="","",IF(Allocation!$N$4="VOL_EFF",$G262,IF(Allocation!$N$4="VOL_CLASS",$H262,$I262)))</f>
        <v>2</v>
      </c>
      <c r="AD262">
        <f>IF($A262="","",IF(Allocation!$N$4="VOL_EFF",$L262,IF(Allocation!$N$4="VOL_CLASS",$M262,$N262)))</f>
        <v>10</v>
      </c>
      <c r="AE262">
        <f>IF($A262="","",IF(Allocation!$N$3="VOL_EFF",$L262,IF(Allocation!$N$3="VOL_CLASS",$M262,$N262)))</f>
        <v>257.599187</v>
      </c>
      <c r="AF262">
        <f>IF($A262="","",IF(Allocation!$N$3="VOL_EFF",$Q262,IF(Allocation!$N$3="VOL_CLASS",$R262,$S262)))</f>
        <v>923.434135</v>
      </c>
      <c r="AG262">
        <f>IF($A262="","",IF(Allocation!$N$1="VOL_EFF",$Q262,IF(Allocation!$N$1="VOL_CLASS",$R262,$S262)))</f>
        <v>35</v>
      </c>
      <c r="AH262">
        <f>IF($A262="","",IF(Allocation!$N$1="VOL_EFF",$T262,IF(Allocation!$N$1="VOL_CLASS",$U262,$V262)))</f>
        <v>135</v>
      </c>
      <c r="AI262">
        <f t="shared" si="12"/>
        <v>27188.4578936</v>
      </c>
      <c r="AJ262">
        <f t="shared" si="13"/>
        <v>56245.7347644</v>
      </c>
      <c r="AK262">
        <f t="shared" si="14"/>
        <v>17548.0133794175</v>
      </c>
      <c r="AL262">
        <f t="shared" si="15"/>
        <v>121901.58205</v>
      </c>
      <c r="AM262">
        <f t="shared" si="16"/>
        <v>41860.3506139154</v>
      </c>
      <c r="AN262">
        <f t="shared" si="17"/>
        <v>49914.6844670817</v>
      </c>
      <c r="AO262">
        <f>IF($A262="","",Allocation!CJ262)</f>
        <v>777795.6</v>
      </c>
      <c r="AP262">
        <f>IF($A262="","",IF(Allocation!$N$2="VOL_EFF",$Q262,IF(Allocation!$N$2="VOL_CLASS",$R262,$S262)))</f>
        <v>7310915.439207</v>
      </c>
      <c r="AQ262">
        <f>IF($A262="","",IF(Allocation!$N$2="VOL_EFF",$T262,IF(Allocation!$N$2="VOL_CLASS",$U262,$V262)))</f>
        <v>26814168.474038</v>
      </c>
      <c r="AR262">
        <f t="shared" si="18"/>
        <v>11831.5452315854</v>
      </c>
      <c r="AS262" t="str">
        <f>IF($A262="","",$A262&amp;"|"&amp;Allocation!BG262)</f>
        <v>2027|V02</v>
      </c>
    </row>
    <row r="263" ht="14.497499999999997" customHeight="1">
      <c r="A263" t="str">
        <f>IF(Allocation!BI263="","",Allocation!BI263)</f>
        <v>2027</v>
      </c>
      <c r="B263" t="str">
        <f>IF(Allocation!BJ263="","",Allocation!BJ263)</f>
        <v>ISCOM_TLS</v>
      </c>
      <c r="C263" t="str">
        <f>IF(Allocation!BK263="","",Allocation!BK263)</f>
        <v>ISCOM</v>
      </c>
      <c r="D263" t="str">
        <f>IF(Allocation!BL263="","",Allocation!BL263)</f>
        <v>BAC_COM</v>
      </c>
      <c r="E263" t="str">
        <f>IF(Allocation!BM263="","",Allocation!BM263)</f>
        <v>B3</v>
      </c>
      <c r="F263" t="str">
        <f>IF(Allocation!BN263="","",Allocation!BN263)</f>
        <v>ALT</v>
      </c>
      <c r="G263">
        <f>IF(Allocation!BO263="","",Allocation!BO263)</f>
        <v>45.69</v>
      </c>
      <c r="H263">
        <f>IF(Allocation!BP263="","",Allocation!BP263)</f>
        <v>2</v>
      </c>
      <c r="I263">
        <f>IF(Allocation!BQ263="","",Allocation!BQ263)</f>
        <v>319395.0312</v>
      </c>
      <c r="J263">
        <f>IF(Allocation!CC263="","",Allocation!CC263)</f>
        <v>0</v>
      </c>
      <c r="K263">
        <f t="shared" si="0"/>
        <v>960</v>
      </c>
      <c r="L263">
        <f t="shared" si="1"/>
        <v>257.599187</v>
      </c>
      <c r="M263">
        <f t="shared" si="2"/>
        <v>10</v>
      </c>
      <c r="N263">
        <f t="shared" si="3"/>
        <v>1893896.646222</v>
      </c>
      <c r="O263">
        <f t="shared" si="4"/>
        <v>4800</v>
      </c>
      <c r="P263">
        <f t="shared" si="5"/>
        <v>118.499187</v>
      </c>
      <c r="Q263">
        <f t="shared" si="6"/>
        <v>923.434135</v>
      </c>
      <c r="R263">
        <f t="shared" si="7"/>
        <v>35</v>
      </c>
      <c r="S263">
        <f t="shared" si="8"/>
        <v>7310915.439207</v>
      </c>
      <c r="T263">
        <f t="shared" si="9"/>
        <v>3473.669998</v>
      </c>
      <c r="U263">
        <f t="shared" si="10"/>
        <v>135</v>
      </c>
      <c r="V263">
        <f t="shared" si="11"/>
        <v>26814168.474038</v>
      </c>
      <c r="W263">
        <f>IF($A263="","",Allocation!CD263)</f>
        <v>135942.289468</v>
      </c>
      <c r="X263">
        <f>IF($A263="","",Allocation!CE263)</f>
        <v>281228.673822</v>
      </c>
      <c r="Y263">
        <f>IF($A263="","",Allocation!CF263)</f>
        <v>96785.225993</v>
      </c>
      <c r="Z263">
        <f>IF($A263="","",Allocation!CG263)</f>
        <v>25395.45</v>
      </c>
      <c r="AA263">
        <f>IF($A263="","",Allocation!CH263)</f>
        <v>609507.91025</v>
      </c>
      <c r="AB263">
        <f>IF($A263="","",Allocation!CI263)</f>
        <v>2894009.992738</v>
      </c>
      <c r="AC263">
        <f>IF($A263="","",IF(Allocation!$N$4="VOL_EFF",$G263,IF(Allocation!$N$4="VOL_CLASS",$H263,$I263)))</f>
        <v>2</v>
      </c>
      <c r="AD263">
        <f>IF($A263="","",IF(Allocation!$N$4="VOL_EFF",$L263,IF(Allocation!$N$4="VOL_CLASS",$M263,$N263)))</f>
        <v>10</v>
      </c>
      <c r="AE263">
        <f>IF($A263="","",IF(Allocation!$N$3="VOL_EFF",$L263,IF(Allocation!$N$3="VOL_CLASS",$M263,$N263)))</f>
        <v>257.599187</v>
      </c>
      <c r="AF263">
        <f>IF($A263="","",IF(Allocation!$N$3="VOL_EFF",$Q263,IF(Allocation!$N$3="VOL_CLASS",$R263,$S263)))</f>
        <v>923.434135</v>
      </c>
      <c r="AG263">
        <f>IF($A263="","",IF(Allocation!$N$1="VOL_EFF",$Q263,IF(Allocation!$N$1="VOL_CLASS",$R263,$S263)))</f>
        <v>35</v>
      </c>
      <c r="AH263">
        <f>IF($A263="","",IF(Allocation!$N$1="VOL_EFF",$T263,IF(Allocation!$N$1="VOL_CLASS",$U263,$V263)))</f>
        <v>135</v>
      </c>
      <c r="AI263">
        <f t="shared" si="12"/>
        <v>27188.4578936</v>
      </c>
      <c r="AJ263">
        <f t="shared" si="13"/>
        <v>56245.7347644</v>
      </c>
      <c r="AK263">
        <f t="shared" si="14"/>
        <v>17166.6573451576</v>
      </c>
      <c r="AL263">
        <f t="shared" si="15"/>
        <v>121901.58205</v>
      </c>
      <c r="AM263">
        <f t="shared" si="16"/>
        <v>41860.3506139154</v>
      </c>
      <c r="AN263">
        <f t="shared" si="17"/>
        <v>43200.7033013416</v>
      </c>
      <c r="AO263">
        <f>IF($A263="","",Allocation!CJ263)</f>
        <v>777795.6</v>
      </c>
      <c r="AP263">
        <f>IF($A263="","",IF(Allocation!$N$2="VOL_EFF",$Q263,IF(Allocation!$N$2="VOL_CLASS",$R263,$S263)))</f>
        <v>7310915.439207</v>
      </c>
      <c r="AQ263">
        <f>IF($A263="","",IF(Allocation!$N$2="VOL_EFF",$T263,IF(Allocation!$N$2="VOL_CLASS",$U263,$V263)))</f>
        <v>26814168.474038</v>
      </c>
      <c r="AR263">
        <f t="shared" si="18"/>
        <v>11831.5452315854</v>
      </c>
      <c r="AS263" t="str">
        <f>IF($A263="","",$A263&amp;"|"&amp;Allocation!BG263)</f>
        <v>2027|V02</v>
      </c>
    </row>
    <row r="264" ht="14.497499999999997" customHeight="1">
      <c r="A264" t="str">
        <f>IF(Allocation!BI264="","",Allocation!BI264)</f>
        <v>2027</v>
      </c>
      <c r="B264" t="str">
        <f>IF(Allocation!BJ264="","",Allocation!BJ264)</f>
        <v>ISCOM_TLS</v>
      </c>
      <c r="C264" t="str">
        <f>IF(Allocation!BK264="","",Allocation!BK264)</f>
        <v>ISCOM</v>
      </c>
      <c r="D264" t="str">
        <f>IF(Allocation!BL264="","",Allocation!BL264)</f>
        <v>MAS_COM</v>
      </c>
      <c r="E264" t="str">
        <f>IF(Allocation!BM264="","",Allocation!BM264)</f>
        <v>M1</v>
      </c>
      <c r="F264" t="str">
        <f>IF(Allocation!BN264="","",Allocation!BN264)</f>
        <v>ALT</v>
      </c>
      <c r="G264">
        <f>IF(Allocation!BO264="","",Allocation!BO264)</f>
        <v>60.882193</v>
      </c>
      <c r="H264">
        <f>IF(Allocation!BP264="","",Allocation!BP264)</f>
        <v>2</v>
      </c>
      <c r="I264">
        <f>IF(Allocation!BQ264="","",Allocation!BQ264)</f>
        <v>461474.846501</v>
      </c>
      <c r="J264">
        <f>IF(Allocation!CC264="","",Allocation!CC264)</f>
        <v>60.882193</v>
      </c>
      <c r="K264">
        <f t="shared" si="0"/>
        <v>840</v>
      </c>
      <c r="L264">
        <f t="shared" si="1"/>
        <v>257.599187</v>
      </c>
      <c r="M264">
        <f t="shared" si="2"/>
        <v>10</v>
      </c>
      <c r="N264">
        <f t="shared" si="3"/>
        <v>1893896.646222</v>
      </c>
      <c r="O264">
        <f t="shared" si="4"/>
        <v>4800</v>
      </c>
      <c r="P264">
        <f t="shared" si="5"/>
        <v>118.499187</v>
      </c>
      <c r="Q264">
        <f t="shared" si="6"/>
        <v>923.434135</v>
      </c>
      <c r="R264">
        <f t="shared" si="7"/>
        <v>35</v>
      </c>
      <c r="S264">
        <f t="shared" si="8"/>
        <v>7310915.439207</v>
      </c>
      <c r="T264">
        <f t="shared" si="9"/>
        <v>3473.669998</v>
      </c>
      <c r="U264">
        <f t="shared" si="10"/>
        <v>135</v>
      </c>
      <c r="V264">
        <f t="shared" si="11"/>
        <v>26814168.474038</v>
      </c>
      <c r="W264">
        <f>IF($A264="","",Allocation!CD264)</f>
        <v>135942.289468</v>
      </c>
      <c r="X264">
        <f>IF($A264="","",Allocation!CE264)</f>
        <v>281228.673822</v>
      </c>
      <c r="Y264">
        <f>IF($A264="","",Allocation!CF264)</f>
        <v>96785.225993</v>
      </c>
      <c r="Z264">
        <f>IF($A264="","",Allocation!CG264)</f>
        <v>25395.45</v>
      </c>
      <c r="AA264">
        <f>IF($A264="","",Allocation!CH264)</f>
        <v>609507.91025</v>
      </c>
      <c r="AB264">
        <f>IF($A264="","",Allocation!CI264)</f>
        <v>2894009.992738</v>
      </c>
      <c r="AC264">
        <f>IF($A264="","",IF(Allocation!$N$4="VOL_EFF",$G264,IF(Allocation!$N$4="VOL_CLASS",$H264,$I264)))</f>
        <v>2</v>
      </c>
      <c r="AD264">
        <f>IF($A264="","",IF(Allocation!$N$4="VOL_EFF",$L264,IF(Allocation!$N$4="VOL_CLASS",$M264,$N264)))</f>
        <v>10</v>
      </c>
      <c r="AE264">
        <f>IF($A264="","",IF(Allocation!$N$3="VOL_EFF",$L264,IF(Allocation!$N$3="VOL_CLASS",$M264,$N264)))</f>
        <v>257.599187</v>
      </c>
      <c r="AF264">
        <f>IF($A264="","",IF(Allocation!$N$3="VOL_EFF",$Q264,IF(Allocation!$N$3="VOL_CLASS",$R264,$S264)))</f>
        <v>923.434135</v>
      </c>
      <c r="AG264">
        <f>IF($A264="","",IF(Allocation!$N$1="VOL_EFF",$Q264,IF(Allocation!$N$1="VOL_CLASS",$R264,$S264)))</f>
        <v>35</v>
      </c>
      <c r="AH264">
        <f>IF($A264="","",IF(Allocation!$N$1="VOL_EFF",$T264,IF(Allocation!$N$1="VOL_CLASS",$U264,$V264)))</f>
        <v>135</v>
      </c>
      <c r="AI264">
        <f t="shared" si="12"/>
        <v>23789.9006569</v>
      </c>
      <c r="AJ264">
        <f t="shared" si="13"/>
        <v>49215.01791885</v>
      </c>
      <c r="AK264">
        <f t="shared" si="14"/>
        <v>35922.2774782327</v>
      </c>
      <c r="AL264">
        <f t="shared" si="15"/>
        <v>121901.58205</v>
      </c>
      <c r="AM264">
        <f t="shared" si="16"/>
        <v>41860.3506139154</v>
      </c>
      <c r="AN264">
        <f t="shared" si="17"/>
        <v>176954.172551517</v>
      </c>
      <c r="AO264">
        <f>IF($A264="","",Allocation!CJ264)</f>
        <v>777795.6</v>
      </c>
      <c r="AP264">
        <f>IF($A264="","",IF(Allocation!$N$2="VOL_EFF",$Q264,IF(Allocation!$N$2="VOL_CLASS",$R264,$S264)))</f>
        <v>7310915.439207</v>
      </c>
      <c r="AQ264">
        <f>IF($A264="","",IF(Allocation!$N$2="VOL_EFF",$T264,IF(Allocation!$N$2="VOL_CLASS",$U264,$V264)))</f>
        <v>26814168.474038</v>
      </c>
      <c r="AR264">
        <f t="shared" si="18"/>
        <v>11831.5452315854</v>
      </c>
      <c r="AS264" t="str">
        <f>IF($A264="","",$A264&amp;"|"&amp;Allocation!BG264)</f>
        <v>2027|V02</v>
      </c>
    </row>
    <row r="265" ht="14.497499999999997" customHeight="1">
      <c r="A265" t="str">
        <f>IF(Allocation!BI265="","",Allocation!BI265)</f>
        <v>2027</v>
      </c>
      <c r="B265" t="str">
        <f>IF(Allocation!BJ265="","",Allocation!BJ265)</f>
        <v>ISCOM_TLS</v>
      </c>
      <c r="C265" t="str">
        <f>IF(Allocation!BK265="","",Allocation!BK265)</f>
        <v>ISCOM</v>
      </c>
      <c r="D265" t="str">
        <f>IF(Allocation!BL265="","",Allocation!BL265)</f>
        <v>MAS_COM</v>
      </c>
      <c r="E265" t="str">
        <f>IF(Allocation!BM265="","",Allocation!BM265)</f>
        <v>M2</v>
      </c>
      <c r="F265" t="str">
        <f>IF(Allocation!BN265="","",Allocation!BN265)</f>
        <v>ALT</v>
      </c>
      <c r="G265">
        <f>IF(Allocation!BO265="","",Allocation!BO265)</f>
        <v>46.705</v>
      </c>
      <c r="H265">
        <f>IF(Allocation!BP265="","",Allocation!BP265)</f>
        <v>2</v>
      </c>
      <c r="I265">
        <f>IF(Allocation!BQ265="","",Allocation!BQ265)</f>
        <v>349811.109</v>
      </c>
      <c r="J265">
        <f>IF(Allocation!CC265="","",Allocation!CC265)</f>
        <v>0</v>
      </c>
      <c r="K265">
        <f t="shared" si="0"/>
        <v>840</v>
      </c>
      <c r="L265">
        <f t="shared" si="1"/>
        <v>257.599187</v>
      </c>
      <c r="M265">
        <f t="shared" si="2"/>
        <v>10</v>
      </c>
      <c r="N265">
        <f t="shared" si="3"/>
        <v>1893896.646222</v>
      </c>
      <c r="O265">
        <f t="shared" si="4"/>
        <v>4800</v>
      </c>
      <c r="P265">
        <f t="shared" si="5"/>
        <v>118.499187</v>
      </c>
      <c r="Q265">
        <f t="shared" si="6"/>
        <v>923.434135</v>
      </c>
      <c r="R265">
        <f t="shared" si="7"/>
        <v>35</v>
      </c>
      <c r="S265">
        <f t="shared" si="8"/>
        <v>7310915.439207</v>
      </c>
      <c r="T265">
        <f t="shared" si="9"/>
        <v>3473.669998</v>
      </c>
      <c r="U265">
        <f t="shared" si="10"/>
        <v>135</v>
      </c>
      <c r="V265">
        <f t="shared" si="11"/>
        <v>26814168.474038</v>
      </c>
      <c r="W265">
        <f>IF($A265="","",Allocation!CD265)</f>
        <v>135942.289468</v>
      </c>
      <c r="X265">
        <f>IF($A265="","",Allocation!CE265)</f>
        <v>281228.673822</v>
      </c>
      <c r="Y265">
        <f>IF($A265="","",Allocation!CF265)</f>
        <v>96785.225993</v>
      </c>
      <c r="Z265">
        <f>IF($A265="","",Allocation!CG265)</f>
        <v>25395.45</v>
      </c>
      <c r="AA265">
        <f>IF($A265="","",Allocation!CH265)</f>
        <v>609507.91025</v>
      </c>
      <c r="AB265">
        <f>IF($A265="","",Allocation!CI265)</f>
        <v>2894009.992738</v>
      </c>
      <c r="AC265">
        <f>IF($A265="","",IF(Allocation!$N$4="VOL_EFF",$G265,IF(Allocation!$N$4="VOL_CLASS",$H265,$I265)))</f>
        <v>2</v>
      </c>
      <c r="AD265">
        <f>IF($A265="","",IF(Allocation!$N$4="VOL_EFF",$L265,IF(Allocation!$N$4="VOL_CLASS",$M265,$N265)))</f>
        <v>10</v>
      </c>
      <c r="AE265">
        <f>IF($A265="","",IF(Allocation!$N$3="VOL_EFF",$L265,IF(Allocation!$N$3="VOL_CLASS",$M265,$N265)))</f>
        <v>257.599187</v>
      </c>
      <c r="AF265">
        <f>IF($A265="","",IF(Allocation!$N$3="VOL_EFF",$Q265,IF(Allocation!$N$3="VOL_CLASS",$R265,$S265)))</f>
        <v>923.434135</v>
      </c>
      <c r="AG265">
        <f>IF($A265="","",IF(Allocation!$N$1="VOL_EFF",$Q265,IF(Allocation!$N$1="VOL_CLASS",$R265,$S265)))</f>
        <v>35</v>
      </c>
      <c r="AH265">
        <f>IF($A265="","",IF(Allocation!$N$1="VOL_EFF",$T265,IF(Allocation!$N$1="VOL_CLASS",$U265,$V265)))</f>
        <v>135</v>
      </c>
      <c r="AI265">
        <f t="shared" si="12"/>
        <v>23789.9006569</v>
      </c>
      <c r="AJ265">
        <f t="shared" si="13"/>
        <v>49215.01791885</v>
      </c>
      <c r="AK265">
        <f t="shared" si="14"/>
        <v>17548.0133794175</v>
      </c>
      <c r="AL265">
        <f t="shared" si="15"/>
        <v>121901.58205</v>
      </c>
      <c r="AM265">
        <f t="shared" si="16"/>
        <v>41860.3506139154</v>
      </c>
      <c r="AN265">
        <f t="shared" si="17"/>
        <v>83664.6991493317</v>
      </c>
      <c r="AO265">
        <f>IF($A265="","",Allocation!CJ265)</f>
        <v>777795.6</v>
      </c>
      <c r="AP265">
        <f>IF($A265="","",IF(Allocation!$N$2="VOL_EFF",$Q265,IF(Allocation!$N$2="VOL_CLASS",$R265,$S265)))</f>
        <v>7310915.439207</v>
      </c>
      <c r="AQ265">
        <f>IF($A265="","",IF(Allocation!$N$2="VOL_EFF",$T265,IF(Allocation!$N$2="VOL_CLASS",$U265,$V265)))</f>
        <v>26814168.474038</v>
      </c>
      <c r="AR265">
        <f t="shared" si="18"/>
        <v>11831.5452315854</v>
      </c>
      <c r="AS265" t="str">
        <f>IF($A265="","",$A265&amp;"|"&amp;Allocation!BG265)</f>
        <v>2027|V02</v>
      </c>
    </row>
    <row r="266" ht="14.497499999999997" customHeight="1">
      <c r="A266" t="str">
        <f>IF(Allocation!BI266="","",Allocation!BI266)</f>
        <v>2027</v>
      </c>
      <c r="B266" t="str">
        <f>IF(Allocation!BJ266="","",Allocation!BJ266)</f>
        <v>MBWAY_BOR</v>
      </c>
      <c r="C266" t="str">
        <f>IF(Allocation!BK266="","",Allocation!BK266)</f>
        <v>MBWAY</v>
      </c>
      <c r="D266" t="str">
        <f>IF(Allocation!BL266="","",Allocation!BL266)</f>
        <v>BAC_MGT</v>
      </c>
      <c r="E266" t="str">
        <f>IF(Allocation!BM266="","",Allocation!BM266)</f>
        <v>B1</v>
      </c>
      <c r="F266" t="str">
        <f>IF(Allocation!BN266="","",Allocation!BN266)</f>
        <v>INIT</v>
      </c>
      <c r="G266">
        <f>IF(Allocation!BO266="","",Allocation!BO266)</f>
        <v>62.592963</v>
      </c>
      <c r="H266">
        <f>IF(Allocation!BP266="","",Allocation!BP266)</f>
        <v>2</v>
      </c>
      <c r="I266">
        <f>IF(Allocation!BQ266="","",Allocation!BQ266)</f>
        <v>480122.45234</v>
      </c>
      <c r="J266">
        <f>IF(Allocation!CC266="","",Allocation!CC266)</f>
        <v>62.592963</v>
      </c>
      <c r="K266">
        <f t="shared" si="0"/>
        <v>1200</v>
      </c>
      <c r="L266">
        <f t="shared" si="1"/>
        <v>277.981832</v>
      </c>
      <c r="M266">
        <f t="shared" si="2"/>
        <v>10</v>
      </c>
      <c r="N266">
        <f t="shared" si="3"/>
        <v>2069060.746448</v>
      </c>
      <c r="O266">
        <f t="shared" si="4"/>
        <v>4800</v>
      </c>
      <c r="P266">
        <f t="shared" si="5"/>
        <v>128.716832</v>
      </c>
      <c r="Q266">
        <f t="shared" si="6"/>
        <v>1392.39301</v>
      </c>
      <c r="R266">
        <f t="shared" si="7"/>
        <v>50</v>
      </c>
      <c r="S266">
        <f t="shared" si="8"/>
        <v>11144112.273887</v>
      </c>
      <c r="T266">
        <f t="shared" si="9"/>
        <v>3473.669998</v>
      </c>
      <c r="U266">
        <f t="shared" si="10"/>
        <v>135</v>
      </c>
      <c r="V266">
        <f t="shared" si="11"/>
        <v>26814168.474038</v>
      </c>
      <c r="W266">
        <f>IF($A266="","",Allocation!CD266)</f>
        <v>135942.289468</v>
      </c>
      <c r="X266">
        <f>IF($A266="","",Allocation!CE266)</f>
        <v>294522.146754</v>
      </c>
      <c r="Y266">
        <f>IF($A266="","",Allocation!CF266)</f>
        <v>104327.253632</v>
      </c>
      <c r="Z266">
        <f>IF($A266="","",Allocation!CG266)</f>
        <v>28661.45</v>
      </c>
      <c r="AA266">
        <f>IF($A266="","",Allocation!CH266)</f>
        <v>672067.324105</v>
      </c>
      <c r="AB266">
        <f>IF($A266="","",Allocation!CI266)</f>
        <v>2894009.992738</v>
      </c>
      <c r="AC266">
        <f>IF($A266="","",IF(Allocation!$N$4="VOL_EFF",$G266,IF(Allocation!$N$4="VOL_CLASS",$H266,$I266)))</f>
        <v>2</v>
      </c>
      <c r="AD266">
        <f>IF($A266="","",IF(Allocation!$N$4="VOL_EFF",$L266,IF(Allocation!$N$4="VOL_CLASS",$M266,$N266)))</f>
        <v>10</v>
      </c>
      <c r="AE266">
        <f>IF($A266="","",IF(Allocation!$N$3="VOL_EFF",$L266,IF(Allocation!$N$3="VOL_CLASS",$M266,$N266)))</f>
        <v>277.981832</v>
      </c>
      <c r="AF266">
        <f>IF($A266="","",IF(Allocation!$N$3="VOL_EFF",$Q266,IF(Allocation!$N$3="VOL_CLASS",$R266,$S266)))</f>
        <v>1392.39301</v>
      </c>
      <c r="AG266">
        <f>IF($A266="","",IF(Allocation!$N$1="VOL_EFF",$Q266,IF(Allocation!$N$1="VOL_CLASS",$R266,$S266)))</f>
        <v>50</v>
      </c>
      <c r="AH266">
        <f>IF($A266="","",IF(Allocation!$N$1="VOL_EFF",$T266,IF(Allocation!$N$1="VOL_CLASS",$U266,$V266)))</f>
        <v>135</v>
      </c>
      <c r="AI266">
        <f t="shared" si="12"/>
        <v>33985.572367</v>
      </c>
      <c r="AJ266">
        <f t="shared" si="13"/>
        <v>73630.5366885</v>
      </c>
      <c r="AK266">
        <f t="shared" si="14"/>
        <v>37428.9009251785</v>
      </c>
      <c r="AL266">
        <f t="shared" si="15"/>
        <v>134413.464821</v>
      </c>
      <c r="AM266">
        <f t="shared" si="16"/>
        <v>42797.7400181064</v>
      </c>
      <c r="AN266">
        <f t="shared" si="17"/>
        <v>144959.062439551</v>
      </c>
      <c r="AO266">
        <f>IF($A266="","",Allocation!CJ266)</f>
        <v>777795.6</v>
      </c>
      <c r="AP266">
        <f>IF($A266="","",IF(Allocation!$N$2="VOL_EFF",$Q266,IF(Allocation!$N$2="VOL_CLASS",$R266,$S266)))</f>
        <v>11144112.273887</v>
      </c>
      <c r="AQ266">
        <f>IF($A266="","",IF(Allocation!$N$2="VOL_EFF",$T266,IF(Allocation!$N$2="VOL_CLASS",$U266,$V266)))</f>
        <v>26814168.474038</v>
      </c>
      <c r="AR266">
        <f t="shared" si="18"/>
        <v>12907.1750806643</v>
      </c>
      <c r="AS266" t="str">
        <f>IF($A266="","",$A266&amp;"|"&amp;Allocation!BG266)</f>
        <v>2027|V02</v>
      </c>
    </row>
    <row r="267" ht="14.497499999999997" customHeight="1">
      <c r="A267" t="str">
        <f>IF(Allocation!BI267="","",Allocation!BI267)</f>
        <v>2027</v>
      </c>
      <c r="B267" t="str">
        <f>IF(Allocation!BJ267="","",Allocation!BJ267)</f>
        <v>MBWAY_BOR</v>
      </c>
      <c r="C267" t="str">
        <f>IF(Allocation!BK267="","",Allocation!BK267)</f>
        <v>MBWAY</v>
      </c>
      <c r="D267" t="str">
        <f>IF(Allocation!BL267="","",Allocation!BL267)</f>
        <v>BAC_MGT</v>
      </c>
      <c r="E267" t="str">
        <f>IF(Allocation!BM267="","",Allocation!BM267)</f>
        <v>B2</v>
      </c>
      <c r="F267" t="str">
        <f>IF(Allocation!BN267="","",Allocation!BN267)</f>
        <v>ALT</v>
      </c>
      <c r="G267">
        <f>IF(Allocation!BO267="","",Allocation!BO267)</f>
        <v>49.765</v>
      </c>
      <c r="H267">
        <f>IF(Allocation!BP267="","",Allocation!BP267)</f>
        <v>2</v>
      </c>
      <c r="I267">
        <f>IF(Allocation!BQ267="","",Allocation!BQ267)</f>
        <v>352096.3327</v>
      </c>
      <c r="J267">
        <f>IF(Allocation!CC267="","",Allocation!CC267)</f>
        <v>0</v>
      </c>
      <c r="K267">
        <f t="shared" si="0"/>
        <v>960</v>
      </c>
      <c r="L267">
        <f t="shared" si="1"/>
        <v>277.981832</v>
      </c>
      <c r="M267">
        <f t="shared" si="2"/>
        <v>10</v>
      </c>
      <c r="N267">
        <f t="shared" si="3"/>
        <v>2069060.746448</v>
      </c>
      <c r="O267">
        <f t="shared" si="4"/>
        <v>4800</v>
      </c>
      <c r="P267">
        <f t="shared" si="5"/>
        <v>128.716832</v>
      </c>
      <c r="Q267">
        <f t="shared" si="6"/>
        <v>1392.39301</v>
      </c>
      <c r="R267">
        <f t="shared" si="7"/>
        <v>50</v>
      </c>
      <c r="S267">
        <f t="shared" si="8"/>
        <v>11144112.273887</v>
      </c>
      <c r="T267">
        <f t="shared" si="9"/>
        <v>3473.669998</v>
      </c>
      <c r="U267">
        <f t="shared" si="10"/>
        <v>135</v>
      </c>
      <c r="V267">
        <f t="shared" si="11"/>
        <v>26814168.474038</v>
      </c>
      <c r="W267">
        <f>IF($A267="","",Allocation!CD267)</f>
        <v>135942.289468</v>
      </c>
      <c r="X267">
        <f>IF($A267="","",Allocation!CE267)</f>
        <v>294522.146754</v>
      </c>
      <c r="Y267">
        <f>IF($A267="","",Allocation!CF267)</f>
        <v>104327.253632</v>
      </c>
      <c r="Z267">
        <f>IF($A267="","",Allocation!CG267)</f>
        <v>28661.45</v>
      </c>
      <c r="AA267">
        <f>IF($A267="","",Allocation!CH267)</f>
        <v>672067.324105</v>
      </c>
      <c r="AB267">
        <f>IF($A267="","",Allocation!CI267)</f>
        <v>2894009.992738</v>
      </c>
      <c r="AC267">
        <f>IF($A267="","",IF(Allocation!$N$4="VOL_EFF",$G267,IF(Allocation!$N$4="VOL_CLASS",$H267,$I267)))</f>
        <v>2</v>
      </c>
      <c r="AD267">
        <f>IF($A267="","",IF(Allocation!$N$4="VOL_EFF",$L267,IF(Allocation!$N$4="VOL_CLASS",$M267,$N267)))</f>
        <v>10</v>
      </c>
      <c r="AE267">
        <f>IF($A267="","",IF(Allocation!$N$3="VOL_EFF",$L267,IF(Allocation!$N$3="VOL_CLASS",$M267,$N267)))</f>
        <v>277.981832</v>
      </c>
      <c r="AF267">
        <f>IF($A267="","",IF(Allocation!$N$3="VOL_EFF",$Q267,IF(Allocation!$N$3="VOL_CLASS",$R267,$S267)))</f>
        <v>1392.39301</v>
      </c>
      <c r="AG267">
        <f>IF($A267="","",IF(Allocation!$N$1="VOL_EFF",$Q267,IF(Allocation!$N$1="VOL_CLASS",$R267,$S267)))</f>
        <v>50</v>
      </c>
      <c r="AH267">
        <f>IF($A267="","",IF(Allocation!$N$1="VOL_EFF",$T267,IF(Allocation!$N$1="VOL_CLASS",$U267,$V267)))</f>
        <v>135</v>
      </c>
      <c r="AI267">
        <f t="shared" si="12"/>
        <v>27188.4578936</v>
      </c>
      <c r="AJ267">
        <f t="shared" si="13"/>
        <v>58904.4293508</v>
      </c>
      <c r="AK267">
        <f t="shared" si="14"/>
        <v>18676.9248178654</v>
      </c>
      <c r="AL267">
        <f t="shared" si="15"/>
        <v>134413.464821</v>
      </c>
      <c r="AM267">
        <f t="shared" si="16"/>
        <v>42797.7400181064</v>
      </c>
      <c r="AN267">
        <f t="shared" si="17"/>
        <v>57208.1407179639</v>
      </c>
      <c r="AO267">
        <f>IF($A267="","",Allocation!CJ267)</f>
        <v>777795.6</v>
      </c>
      <c r="AP267">
        <f>IF($A267="","",IF(Allocation!$N$2="VOL_EFF",$Q267,IF(Allocation!$N$2="VOL_CLASS",$R267,$S267)))</f>
        <v>11144112.273887</v>
      </c>
      <c r="AQ267">
        <f>IF($A267="","",IF(Allocation!$N$2="VOL_EFF",$T267,IF(Allocation!$N$2="VOL_CLASS",$U267,$V267)))</f>
        <v>26814168.474038</v>
      </c>
      <c r="AR267">
        <f t="shared" si="18"/>
        <v>12907.1750806643</v>
      </c>
      <c r="AS267" t="str">
        <f>IF($A267="","",$A267&amp;"|"&amp;Allocation!BG267)</f>
        <v>2027|V02</v>
      </c>
    </row>
    <row r="268" ht="14.497499999999997" customHeight="1">
      <c r="A268" t="str">
        <f>IF(Allocation!BI268="","",Allocation!BI268)</f>
        <v>2027</v>
      </c>
      <c r="B268" t="str">
        <f>IF(Allocation!BJ268="","",Allocation!BJ268)</f>
        <v>MBWAY_BOR</v>
      </c>
      <c r="C268" t="str">
        <f>IF(Allocation!BK268="","",Allocation!BK268)</f>
        <v>MBWAY</v>
      </c>
      <c r="D268" t="str">
        <f>IF(Allocation!BL268="","",Allocation!BL268)</f>
        <v>BAC_MGT</v>
      </c>
      <c r="E268" t="str">
        <f>IF(Allocation!BM268="","",Allocation!BM268)</f>
        <v>B3</v>
      </c>
      <c r="F268" t="str">
        <f>IF(Allocation!BN268="","",Allocation!BN268)</f>
        <v>ALT</v>
      </c>
      <c r="G268">
        <f>IF(Allocation!BO268="","",Allocation!BO268)</f>
        <v>48.735</v>
      </c>
      <c r="H268">
        <f>IF(Allocation!BP268="","",Allocation!BP268)</f>
        <v>2</v>
      </c>
      <c r="I268">
        <f>IF(Allocation!BQ268="","",Allocation!BQ268)</f>
        <v>344808.8973</v>
      </c>
      <c r="J268">
        <f>IF(Allocation!CC268="","",Allocation!CC268)</f>
        <v>0</v>
      </c>
      <c r="K268">
        <f t="shared" si="0"/>
        <v>960</v>
      </c>
      <c r="L268">
        <f t="shared" si="1"/>
        <v>277.981832</v>
      </c>
      <c r="M268">
        <f t="shared" si="2"/>
        <v>10</v>
      </c>
      <c r="N268">
        <f t="shared" si="3"/>
        <v>2069060.746448</v>
      </c>
      <c r="O268">
        <f t="shared" si="4"/>
        <v>4800</v>
      </c>
      <c r="P268">
        <f t="shared" si="5"/>
        <v>128.716832</v>
      </c>
      <c r="Q268">
        <f t="shared" si="6"/>
        <v>1392.39301</v>
      </c>
      <c r="R268">
        <f t="shared" si="7"/>
        <v>50</v>
      </c>
      <c r="S268">
        <f t="shared" si="8"/>
        <v>11144112.273887</v>
      </c>
      <c r="T268">
        <f t="shared" si="9"/>
        <v>3473.669998</v>
      </c>
      <c r="U268">
        <f t="shared" si="10"/>
        <v>135</v>
      </c>
      <c r="V268">
        <f t="shared" si="11"/>
        <v>26814168.474038</v>
      </c>
      <c r="W268">
        <f>IF($A268="","",Allocation!CD268)</f>
        <v>135942.289468</v>
      </c>
      <c r="X268">
        <f>IF($A268="","",Allocation!CE268)</f>
        <v>294522.146754</v>
      </c>
      <c r="Y268">
        <f>IF($A268="","",Allocation!CF268)</f>
        <v>104327.253632</v>
      </c>
      <c r="Z268">
        <f>IF($A268="","",Allocation!CG268)</f>
        <v>28661.45</v>
      </c>
      <c r="AA268">
        <f>IF($A268="","",Allocation!CH268)</f>
        <v>672067.324105</v>
      </c>
      <c r="AB268">
        <f>IF($A268="","",Allocation!CI268)</f>
        <v>2894009.992738</v>
      </c>
      <c r="AC268">
        <f>IF($A268="","",IF(Allocation!$N$4="VOL_EFF",$G268,IF(Allocation!$N$4="VOL_CLASS",$H268,$I268)))</f>
        <v>2</v>
      </c>
      <c r="AD268">
        <f>IF($A268="","",IF(Allocation!$N$4="VOL_EFF",$L268,IF(Allocation!$N$4="VOL_CLASS",$M268,$N268)))</f>
        <v>10</v>
      </c>
      <c r="AE268">
        <f>IF($A268="","",IF(Allocation!$N$3="VOL_EFF",$L268,IF(Allocation!$N$3="VOL_CLASS",$M268,$N268)))</f>
        <v>277.981832</v>
      </c>
      <c r="AF268">
        <f>IF($A268="","",IF(Allocation!$N$3="VOL_EFF",$Q268,IF(Allocation!$N$3="VOL_CLASS",$R268,$S268)))</f>
        <v>1392.39301</v>
      </c>
      <c r="AG268">
        <f>IF($A268="","",IF(Allocation!$N$1="VOL_EFF",$Q268,IF(Allocation!$N$1="VOL_CLASS",$R268,$S268)))</f>
        <v>50</v>
      </c>
      <c r="AH268">
        <f>IF($A268="","",IF(Allocation!$N$1="VOL_EFF",$T268,IF(Allocation!$N$1="VOL_CLASS",$U268,$V268)))</f>
        <v>135</v>
      </c>
      <c r="AI268">
        <f t="shared" si="12"/>
        <v>27188.4578936</v>
      </c>
      <c r="AJ268">
        <f t="shared" si="13"/>
        <v>58904.4293508</v>
      </c>
      <c r="AK268">
        <f t="shared" si="14"/>
        <v>18290.3633276132</v>
      </c>
      <c r="AL268">
        <f t="shared" si="15"/>
        <v>134413.464821</v>
      </c>
      <c r="AM268">
        <f t="shared" si="16"/>
        <v>42797.7400181064</v>
      </c>
      <c r="AN268">
        <f t="shared" si="17"/>
        <v>50307.2668082161</v>
      </c>
      <c r="AO268">
        <f>IF($A268="","",Allocation!CJ268)</f>
        <v>777795.6</v>
      </c>
      <c r="AP268">
        <f>IF($A268="","",IF(Allocation!$N$2="VOL_EFF",$Q268,IF(Allocation!$N$2="VOL_CLASS",$R268,$S268)))</f>
        <v>11144112.273887</v>
      </c>
      <c r="AQ268">
        <f>IF($A268="","",IF(Allocation!$N$2="VOL_EFF",$T268,IF(Allocation!$N$2="VOL_CLASS",$U268,$V268)))</f>
        <v>26814168.474038</v>
      </c>
      <c r="AR268">
        <f t="shared" si="18"/>
        <v>12907.1750806643</v>
      </c>
      <c r="AS268" t="str">
        <f>IF($A268="","",$A268&amp;"|"&amp;Allocation!BG268)</f>
        <v>2027|V02</v>
      </c>
    </row>
    <row r="269" ht="14.497499999999997" customHeight="1">
      <c r="A269" t="str">
        <f>IF(Allocation!BI269="","",Allocation!BI269)</f>
        <v>2027</v>
      </c>
      <c r="B269" t="str">
        <f>IF(Allocation!BJ269="","",Allocation!BJ269)</f>
        <v>MBWAY_BOR</v>
      </c>
      <c r="C269" t="str">
        <f>IF(Allocation!BK269="","",Allocation!BK269)</f>
        <v>MBWAY</v>
      </c>
      <c r="D269" t="str">
        <f>IF(Allocation!BL269="","",Allocation!BL269)</f>
        <v>MAS_MGT</v>
      </c>
      <c r="E269" t="str">
        <f>IF(Allocation!BM269="","",Allocation!BM269)</f>
        <v>M1</v>
      </c>
      <c r="F269" t="str">
        <f>IF(Allocation!BN269="","",Allocation!BN269)</f>
        <v>ALT</v>
      </c>
      <c r="G269">
        <f>IF(Allocation!BO269="","",Allocation!BO269)</f>
        <v>66.123869</v>
      </c>
      <c r="H269">
        <f>IF(Allocation!BP269="","",Allocation!BP269)</f>
        <v>2</v>
      </c>
      <c r="I269">
        <f>IF(Allocation!BQ269="","",Allocation!BQ269)</f>
        <v>507206.443358</v>
      </c>
      <c r="J269">
        <f>IF(Allocation!CC269="","",Allocation!CC269)</f>
        <v>66.123869</v>
      </c>
      <c r="K269">
        <f t="shared" si="0"/>
        <v>840</v>
      </c>
      <c r="L269">
        <f t="shared" si="1"/>
        <v>277.981832</v>
      </c>
      <c r="M269">
        <f t="shared" si="2"/>
        <v>10</v>
      </c>
      <c r="N269">
        <f t="shared" si="3"/>
        <v>2069060.746448</v>
      </c>
      <c r="O269">
        <f t="shared" si="4"/>
        <v>4800</v>
      </c>
      <c r="P269">
        <f t="shared" si="5"/>
        <v>128.716832</v>
      </c>
      <c r="Q269">
        <f t="shared" si="6"/>
        <v>1392.39301</v>
      </c>
      <c r="R269">
        <f t="shared" si="7"/>
        <v>50</v>
      </c>
      <c r="S269">
        <f t="shared" si="8"/>
        <v>11144112.273887</v>
      </c>
      <c r="T269">
        <f t="shared" si="9"/>
        <v>3473.669998</v>
      </c>
      <c r="U269">
        <f t="shared" si="10"/>
        <v>135</v>
      </c>
      <c r="V269">
        <f t="shared" si="11"/>
        <v>26814168.474038</v>
      </c>
      <c r="W269">
        <f>IF($A269="","",Allocation!CD269)</f>
        <v>135942.289468</v>
      </c>
      <c r="X269">
        <f>IF($A269="","",Allocation!CE269)</f>
        <v>294522.146754</v>
      </c>
      <c r="Y269">
        <f>IF($A269="","",Allocation!CF269)</f>
        <v>104327.253632</v>
      </c>
      <c r="Z269">
        <f>IF($A269="","",Allocation!CG269)</f>
        <v>28661.45</v>
      </c>
      <c r="AA269">
        <f>IF($A269="","",Allocation!CH269)</f>
        <v>672067.324105</v>
      </c>
      <c r="AB269">
        <f>IF($A269="","",Allocation!CI269)</f>
        <v>2894009.992738</v>
      </c>
      <c r="AC269">
        <f>IF($A269="","",IF(Allocation!$N$4="VOL_EFF",$G269,IF(Allocation!$N$4="VOL_CLASS",$H269,$I269)))</f>
        <v>2</v>
      </c>
      <c r="AD269">
        <f>IF($A269="","",IF(Allocation!$N$4="VOL_EFF",$L269,IF(Allocation!$N$4="VOL_CLASS",$M269,$N269)))</f>
        <v>10</v>
      </c>
      <c r="AE269">
        <f>IF($A269="","",IF(Allocation!$N$3="VOL_EFF",$L269,IF(Allocation!$N$3="VOL_CLASS",$M269,$N269)))</f>
        <v>277.981832</v>
      </c>
      <c r="AF269">
        <f>IF($A269="","",IF(Allocation!$N$3="VOL_EFF",$Q269,IF(Allocation!$N$3="VOL_CLASS",$R269,$S269)))</f>
        <v>1392.39301</v>
      </c>
      <c r="AG269">
        <f>IF($A269="","",IF(Allocation!$N$1="VOL_EFF",$Q269,IF(Allocation!$N$1="VOL_CLASS",$R269,$S269)))</f>
        <v>50</v>
      </c>
      <c r="AH269">
        <f>IF($A269="","",IF(Allocation!$N$1="VOL_EFF",$T269,IF(Allocation!$N$1="VOL_CLASS",$U269,$V269)))</f>
        <v>135</v>
      </c>
      <c r="AI269">
        <f t="shared" si="12"/>
        <v>23789.9006569</v>
      </c>
      <c r="AJ269">
        <f t="shared" si="13"/>
        <v>51541.37568195</v>
      </c>
      <c r="AK269">
        <f t="shared" si="14"/>
        <v>39540.2873257571</v>
      </c>
      <c r="AL269">
        <f t="shared" si="15"/>
        <v>134413.464821</v>
      </c>
      <c r="AM269">
        <f t="shared" si="16"/>
        <v>42797.7400181064</v>
      </c>
      <c r="AN269">
        <f t="shared" si="17"/>
        <v>202216.499773622</v>
      </c>
      <c r="AO269">
        <f>IF($A269="","",Allocation!CJ269)</f>
        <v>777795.6</v>
      </c>
      <c r="AP269">
        <f>IF($A269="","",IF(Allocation!$N$2="VOL_EFF",$Q269,IF(Allocation!$N$2="VOL_CLASS",$R269,$S269)))</f>
        <v>11144112.273887</v>
      </c>
      <c r="AQ269">
        <f>IF($A269="","",IF(Allocation!$N$2="VOL_EFF",$T269,IF(Allocation!$N$2="VOL_CLASS",$U269,$V269)))</f>
        <v>26814168.474038</v>
      </c>
      <c r="AR269">
        <f t="shared" si="18"/>
        <v>12907.1750806643</v>
      </c>
      <c r="AS269" t="str">
        <f>IF($A269="","",$A269&amp;"|"&amp;Allocation!BG269)</f>
        <v>2027|V02</v>
      </c>
    </row>
    <row r="270" ht="14.497499999999997" customHeight="1">
      <c r="A270" t="str">
        <f>IF(Allocation!BI270="","",Allocation!BI270)</f>
        <v>2027</v>
      </c>
      <c r="B270" t="str">
        <f>IF(Allocation!BJ270="","",Allocation!BJ270)</f>
        <v>MBWAY_BOR</v>
      </c>
      <c r="C270" t="str">
        <f>IF(Allocation!BK270="","",Allocation!BK270)</f>
        <v>MBWAY</v>
      </c>
      <c r="D270" t="str">
        <f>IF(Allocation!BL270="","",Allocation!BL270)</f>
        <v>MAS_MGT</v>
      </c>
      <c r="E270" t="str">
        <f>IF(Allocation!BM270="","",Allocation!BM270)</f>
        <v>M2</v>
      </c>
      <c r="F270" t="str">
        <f>IF(Allocation!BN270="","",Allocation!BN270)</f>
        <v>ALT</v>
      </c>
      <c r="G270">
        <f>IF(Allocation!BO270="","",Allocation!BO270)</f>
        <v>50.765</v>
      </c>
      <c r="H270">
        <f>IF(Allocation!BP270="","",Allocation!BP270)</f>
        <v>2</v>
      </c>
      <c r="I270">
        <f>IF(Allocation!BQ270="","",Allocation!BQ270)</f>
        <v>384826.62075</v>
      </c>
      <c r="J270">
        <f>IF(Allocation!CC270="","",Allocation!CC270)</f>
        <v>0</v>
      </c>
      <c r="K270">
        <f t="shared" si="0"/>
        <v>840</v>
      </c>
      <c r="L270">
        <f t="shared" si="1"/>
        <v>277.981832</v>
      </c>
      <c r="M270">
        <f t="shared" si="2"/>
        <v>10</v>
      </c>
      <c r="N270">
        <f t="shared" si="3"/>
        <v>2069060.746448</v>
      </c>
      <c r="O270">
        <f t="shared" si="4"/>
        <v>4800</v>
      </c>
      <c r="P270">
        <f t="shared" si="5"/>
        <v>128.716832</v>
      </c>
      <c r="Q270">
        <f t="shared" si="6"/>
        <v>1392.39301</v>
      </c>
      <c r="R270">
        <f t="shared" si="7"/>
        <v>50</v>
      </c>
      <c r="S270">
        <f t="shared" si="8"/>
        <v>11144112.273887</v>
      </c>
      <c r="T270">
        <f t="shared" si="9"/>
        <v>3473.669998</v>
      </c>
      <c r="U270">
        <f t="shared" si="10"/>
        <v>135</v>
      </c>
      <c r="V270">
        <f t="shared" si="11"/>
        <v>26814168.474038</v>
      </c>
      <c r="W270">
        <f>IF($A270="","",Allocation!CD270)</f>
        <v>135942.289468</v>
      </c>
      <c r="X270">
        <f>IF($A270="","",Allocation!CE270)</f>
        <v>294522.146754</v>
      </c>
      <c r="Y270">
        <f>IF($A270="","",Allocation!CF270)</f>
        <v>104327.253632</v>
      </c>
      <c r="Z270">
        <f>IF($A270="","",Allocation!CG270)</f>
        <v>28661.45</v>
      </c>
      <c r="AA270">
        <f>IF($A270="","",Allocation!CH270)</f>
        <v>672067.324105</v>
      </c>
      <c r="AB270">
        <f>IF($A270="","",Allocation!CI270)</f>
        <v>2894009.992738</v>
      </c>
      <c r="AC270">
        <f>IF($A270="","",IF(Allocation!$N$4="VOL_EFF",$G270,IF(Allocation!$N$4="VOL_CLASS",$H270,$I270)))</f>
        <v>2</v>
      </c>
      <c r="AD270">
        <f>IF($A270="","",IF(Allocation!$N$4="VOL_EFF",$L270,IF(Allocation!$N$4="VOL_CLASS",$M270,$N270)))</f>
        <v>10</v>
      </c>
      <c r="AE270">
        <f>IF($A270="","",IF(Allocation!$N$3="VOL_EFF",$L270,IF(Allocation!$N$3="VOL_CLASS",$M270,$N270)))</f>
        <v>277.981832</v>
      </c>
      <c r="AF270">
        <f>IF($A270="","",IF(Allocation!$N$3="VOL_EFF",$Q270,IF(Allocation!$N$3="VOL_CLASS",$R270,$S270)))</f>
        <v>1392.39301</v>
      </c>
      <c r="AG270">
        <f>IF($A270="","",IF(Allocation!$N$1="VOL_EFF",$Q270,IF(Allocation!$N$1="VOL_CLASS",$R270,$S270)))</f>
        <v>50</v>
      </c>
      <c r="AH270">
        <f>IF($A270="","",IF(Allocation!$N$1="VOL_EFF",$T270,IF(Allocation!$N$1="VOL_CLASS",$U270,$V270)))</f>
        <v>135</v>
      </c>
      <c r="AI270">
        <f t="shared" si="12"/>
        <v>23789.9006569</v>
      </c>
      <c r="AJ270">
        <f t="shared" si="13"/>
        <v>51541.37568195</v>
      </c>
      <c r="AK270">
        <f t="shared" si="14"/>
        <v>19052.227235586</v>
      </c>
      <c r="AL270">
        <f t="shared" si="15"/>
        <v>134413.464821</v>
      </c>
      <c r="AM270">
        <f t="shared" si="16"/>
        <v>42797.7400181064</v>
      </c>
      <c r="AN270">
        <f t="shared" si="17"/>
        <v>100324.737255793</v>
      </c>
      <c r="AO270">
        <f>IF($A270="","",Allocation!CJ270)</f>
        <v>777795.6</v>
      </c>
      <c r="AP270">
        <f>IF($A270="","",IF(Allocation!$N$2="VOL_EFF",$Q270,IF(Allocation!$N$2="VOL_CLASS",$R270,$S270)))</f>
        <v>11144112.273887</v>
      </c>
      <c r="AQ270">
        <f>IF($A270="","",IF(Allocation!$N$2="VOL_EFF",$T270,IF(Allocation!$N$2="VOL_CLASS",$U270,$V270)))</f>
        <v>26814168.474038</v>
      </c>
      <c r="AR270">
        <f t="shared" si="18"/>
        <v>12907.1750806643</v>
      </c>
      <c r="AS270" t="str">
        <f>IF($A270="","",$A270&amp;"|"&amp;Allocation!BG270)</f>
        <v>2027|V02</v>
      </c>
    </row>
    <row r="271" ht="14.497499999999997" customHeight="1">
      <c r="A271" t="str">
        <f>IF(Allocation!BI271="","",Allocation!BI271)</f>
        <v>2027</v>
      </c>
      <c r="B271" t="str">
        <f>IF(Allocation!BJ271="","",Allocation!BJ271)</f>
        <v>MBWAY_LYO</v>
      </c>
      <c r="C271" t="str">
        <f>IF(Allocation!BK271="","",Allocation!BK271)</f>
        <v>MBWAY</v>
      </c>
      <c r="D271" t="str">
        <f>IF(Allocation!BL271="","",Allocation!BL271)</f>
        <v>BAC_MGT</v>
      </c>
      <c r="E271" t="str">
        <f>IF(Allocation!BM271="","",Allocation!BM271)</f>
        <v>B1</v>
      </c>
      <c r="F271" t="str">
        <f>IF(Allocation!BN271="","",Allocation!BN271)</f>
        <v>INIT</v>
      </c>
      <c r="G271">
        <f>IF(Allocation!BO271="","",Allocation!BO271)</f>
        <v>80.804742</v>
      </c>
      <c r="H271">
        <f>IF(Allocation!BP271="","",Allocation!BP271)</f>
        <v>3</v>
      </c>
      <c r="I271">
        <f>IF(Allocation!BQ271="","",Allocation!BQ271)</f>
        <v>670335.938447</v>
      </c>
      <c r="J271">
        <f>IF(Allocation!CC271="","",Allocation!CC271)</f>
        <v>80.804742</v>
      </c>
      <c r="K271">
        <f t="shared" si="0"/>
        <v>1800</v>
      </c>
      <c r="L271">
        <f t="shared" si="1"/>
        <v>361.118375</v>
      </c>
      <c r="M271">
        <f t="shared" si="2"/>
        <v>13</v>
      </c>
      <c r="N271">
        <f t="shared" si="3"/>
        <v>2907661.061907</v>
      </c>
      <c r="O271">
        <f t="shared" si="4"/>
        <v>6240</v>
      </c>
      <c r="P271">
        <f t="shared" si="5"/>
        <v>166.178375</v>
      </c>
      <c r="Q271">
        <f t="shared" si="6"/>
        <v>1392.39301</v>
      </c>
      <c r="R271">
        <f t="shared" si="7"/>
        <v>50</v>
      </c>
      <c r="S271">
        <f t="shared" si="8"/>
        <v>11144112.273887</v>
      </c>
      <c r="T271">
        <f t="shared" si="9"/>
        <v>3473.669998</v>
      </c>
      <c r="U271">
        <f t="shared" si="10"/>
        <v>135</v>
      </c>
      <c r="V271">
        <f t="shared" si="11"/>
        <v>26814168.474038</v>
      </c>
      <c r="W271">
        <f>IF($A271="","",Allocation!CD271)</f>
        <v>176725.314112</v>
      </c>
      <c r="X271">
        <f>IF($A271="","",Allocation!CE271)</f>
        <v>420442.55568</v>
      </c>
      <c r="Y271">
        <f>IF($A271="","",Allocation!CF271)</f>
        <v>135750.867446</v>
      </c>
      <c r="Z271">
        <f>IF($A271="","",Allocation!CG271)</f>
        <v>48050.45</v>
      </c>
      <c r="AA271">
        <f>IF($A271="","",Allocation!CH271)</f>
        <v>960020.907396</v>
      </c>
      <c r="AB271">
        <f>IF($A271="","",Allocation!CI271)</f>
        <v>2894009.992738</v>
      </c>
      <c r="AC271">
        <f>IF($A271="","",IF(Allocation!$N$4="VOL_EFF",$G271,IF(Allocation!$N$4="VOL_CLASS",$H271,$I271)))</f>
        <v>3</v>
      </c>
      <c r="AD271">
        <f>IF($A271="","",IF(Allocation!$N$4="VOL_EFF",$L271,IF(Allocation!$N$4="VOL_CLASS",$M271,$N271)))</f>
        <v>13</v>
      </c>
      <c r="AE271">
        <f>IF($A271="","",IF(Allocation!$N$3="VOL_EFF",$L271,IF(Allocation!$N$3="VOL_CLASS",$M271,$N271)))</f>
        <v>361.118375</v>
      </c>
      <c r="AF271">
        <f>IF($A271="","",IF(Allocation!$N$3="VOL_EFF",$Q271,IF(Allocation!$N$3="VOL_CLASS",$R271,$S271)))</f>
        <v>1392.39301</v>
      </c>
      <c r="AG271">
        <f>IF($A271="","",IF(Allocation!$N$1="VOL_EFF",$Q271,IF(Allocation!$N$1="VOL_CLASS",$R271,$S271)))</f>
        <v>50</v>
      </c>
      <c r="AH271">
        <f>IF($A271="","",IF(Allocation!$N$1="VOL_EFF",$T271,IF(Allocation!$N$1="VOL_CLASS",$U271,$V271)))</f>
        <v>135</v>
      </c>
      <c r="AI271">
        <f t="shared" si="12"/>
        <v>50978.4559938461</v>
      </c>
      <c r="AJ271">
        <f t="shared" si="13"/>
        <v>121281.506446154</v>
      </c>
      <c r="AK271">
        <f t="shared" si="14"/>
        <v>53740.6282811083</v>
      </c>
      <c r="AL271">
        <f t="shared" si="15"/>
        <v>221543.286322154</v>
      </c>
      <c r="AM271">
        <f t="shared" si="16"/>
        <v>64150.7765141577</v>
      </c>
      <c r="AN271">
        <f t="shared" si="17"/>
        <v>139294.344988583</v>
      </c>
      <c r="AO271">
        <f>IF($A271="","",Allocation!CJ271)</f>
        <v>777795.6</v>
      </c>
      <c r="AP271">
        <f>IF($A271="","",IF(Allocation!$N$2="VOL_EFF",$Q271,IF(Allocation!$N$2="VOL_CLASS",$R271,$S271)))</f>
        <v>11144112.273887</v>
      </c>
      <c r="AQ271">
        <f>IF($A271="","",IF(Allocation!$N$2="VOL_EFF",$T271,IF(Allocation!$N$2="VOL_CLASS",$U271,$V271)))</f>
        <v>26814168.474038</v>
      </c>
      <c r="AR271">
        <f t="shared" si="18"/>
        <v>19346.9399009971</v>
      </c>
      <c r="AS271" t="str">
        <f>IF($A271="","",$A271&amp;"|"&amp;Allocation!BG271)</f>
        <v>2027|V02</v>
      </c>
    </row>
    <row r="272" ht="14.497499999999997" customHeight="1">
      <c r="A272" t="str">
        <f>IF(Allocation!BI272="","",Allocation!BI272)</f>
        <v>2027</v>
      </c>
      <c r="B272" t="str">
        <f>IF(Allocation!BJ272="","",Allocation!BJ272)</f>
        <v>MBWAY_LYO</v>
      </c>
      <c r="C272" t="str">
        <f>IF(Allocation!BK272="","",Allocation!BK272)</f>
        <v>MBWAY</v>
      </c>
      <c r="D272" t="str">
        <f>IF(Allocation!BL272="","",Allocation!BL272)</f>
        <v>BAC_MGT</v>
      </c>
      <c r="E272" t="str">
        <f>IF(Allocation!BM272="","",Allocation!BM272)</f>
        <v>B2</v>
      </c>
      <c r="F272" t="str">
        <f>IF(Allocation!BN272="","",Allocation!BN272)</f>
        <v>ALT</v>
      </c>
      <c r="G272">
        <f>IF(Allocation!BO272="","",Allocation!BO272)</f>
        <v>64.99</v>
      </c>
      <c r="H272">
        <f>IF(Allocation!BP272="","",Allocation!BP272)</f>
        <v>2</v>
      </c>
      <c r="I272">
        <f>IF(Allocation!BQ272="","",Allocation!BQ272)</f>
        <v>497738.913</v>
      </c>
      <c r="J272">
        <f>IF(Allocation!CC272="","",Allocation!CC272)</f>
        <v>0</v>
      </c>
      <c r="K272">
        <f t="shared" si="0"/>
        <v>960</v>
      </c>
      <c r="L272">
        <f t="shared" si="1"/>
        <v>361.118375</v>
      </c>
      <c r="M272">
        <f t="shared" si="2"/>
        <v>13</v>
      </c>
      <c r="N272">
        <f t="shared" si="3"/>
        <v>2907661.061907</v>
      </c>
      <c r="O272">
        <f t="shared" si="4"/>
        <v>6240</v>
      </c>
      <c r="P272">
        <f t="shared" si="5"/>
        <v>166.178375</v>
      </c>
      <c r="Q272">
        <f t="shared" si="6"/>
        <v>1392.39301</v>
      </c>
      <c r="R272">
        <f t="shared" si="7"/>
        <v>50</v>
      </c>
      <c r="S272">
        <f t="shared" si="8"/>
        <v>11144112.273887</v>
      </c>
      <c r="T272">
        <f t="shared" si="9"/>
        <v>3473.669998</v>
      </c>
      <c r="U272">
        <f t="shared" si="10"/>
        <v>135</v>
      </c>
      <c r="V272">
        <f t="shared" si="11"/>
        <v>26814168.474038</v>
      </c>
      <c r="W272">
        <f>IF($A272="","",Allocation!CD272)</f>
        <v>176725.314112</v>
      </c>
      <c r="X272">
        <f>IF($A272="","",Allocation!CE272)</f>
        <v>420442.55568</v>
      </c>
      <c r="Y272">
        <f>IF($A272="","",Allocation!CF272)</f>
        <v>135750.867446</v>
      </c>
      <c r="Z272">
        <f>IF($A272="","",Allocation!CG272)</f>
        <v>48050.45</v>
      </c>
      <c r="AA272">
        <f>IF($A272="","",Allocation!CH272)</f>
        <v>960020.907396</v>
      </c>
      <c r="AB272">
        <f>IF($A272="","",Allocation!CI272)</f>
        <v>2894009.992738</v>
      </c>
      <c r="AC272">
        <f>IF($A272="","",IF(Allocation!$N$4="VOL_EFF",$G272,IF(Allocation!$N$4="VOL_CLASS",$H272,$I272)))</f>
        <v>2</v>
      </c>
      <c r="AD272">
        <f>IF($A272="","",IF(Allocation!$N$4="VOL_EFF",$L272,IF(Allocation!$N$4="VOL_CLASS",$M272,$N272)))</f>
        <v>13</v>
      </c>
      <c r="AE272">
        <f>IF($A272="","",IF(Allocation!$N$3="VOL_EFF",$L272,IF(Allocation!$N$3="VOL_CLASS",$M272,$N272)))</f>
        <v>361.118375</v>
      </c>
      <c r="AF272">
        <f>IF($A272="","",IF(Allocation!$N$3="VOL_EFF",$Q272,IF(Allocation!$N$3="VOL_CLASS",$R272,$S272)))</f>
        <v>1392.39301</v>
      </c>
      <c r="AG272">
        <f>IF($A272="","",IF(Allocation!$N$1="VOL_EFF",$Q272,IF(Allocation!$N$1="VOL_CLASS",$R272,$S272)))</f>
        <v>50</v>
      </c>
      <c r="AH272">
        <f>IF($A272="","",IF(Allocation!$N$1="VOL_EFF",$T272,IF(Allocation!$N$1="VOL_CLASS",$U272,$V272)))</f>
        <v>135</v>
      </c>
      <c r="AI272">
        <f t="shared" si="12"/>
        <v>27188.5098633846</v>
      </c>
      <c r="AJ272">
        <f t="shared" si="13"/>
        <v>64683.4701046154</v>
      </c>
      <c r="AK272">
        <f t="shared" si="14"/>
        <v>24430.9054484296</v>
      </c>
      <c r="AL272">
        <f t="shared" si="15"/>
        <v>147695.524214769</v>
      </c>
      <c r="AM272">
        <f t="shared" si="16"/>
        <v>42767.1843427718</v>
      </c>
      <c r="AN272">
        <f t="shared" si="17"/>
        <v>178075.359092031</v>
      </c>
      <c r="AO272">
        <f>IF($A272="","",Allocation!CJ272)</f>
        <v>777795.6</v>
      </c>
      <c r="AP272">
        <f>IF($A272="","",IF(Allocation!$N$2="VOL_EFF",$Q272,IF(Allocation!$N$2="VOL_CLASS",$R272,$S272)))</f>
        <v>11144112.273887</v>
      </c>
      <c r="AQ272">
        <f>IF($A272="","",IF(Allocation!$N$2="VOL_EFF",$T272,IF(Allocation!$N$2="VOL_CLASS",$U272,$V272)))</f>
        <v>26814168.474038</v>
      </c>
      <c r="AR272">
        <f t="shared" si="18"/>
        <v>12897.9599339981</v>
      </c>
      <c r="AS272" t="str">
        <f>IF($A272="","",$A272&amp;"|"&amp;Allocation!BG272)</f>
        <v>2027|V02</v>
      </c>
    </row>
    <row r="273" ht="14.497499999999997" customHeight="1">
      <c r="A273" t="str">
        <f>IF(Allocation!BI273="","",Allocation!BI273)</f>
        <v>2027</v>
      </c>
      <c r="B273" t="str">
        <f>IF(Allocation!BJ273="","",Allocation!BJ273)</f>
        <v>MBWAY_LYO</v>
      </c>
      <c r="C273" t="str">
        <f>IF(Allocation!BK273="","",Allocation!BK273)</f>
        <v>MBWAY</v>
      </c>
      <c r="D273" t="str">
        <f>IF(Allocation!BL273="","",Allocation!BL273)</f>
        <v>BAC_MGT</v>
      </c>
      <c r="E273" t="str">
        <f>IF(Allocation!BM273="","",Allocation!BM273)</f>
        <v>B3</v>
      </c>
      <c r="F273" t="str">
        <f>IF(Allocation!BN273="","",Allocation!BN273)</f>
        <v>ALT</v>
      </c>
      <c r="G273">
        <f>IF(Allocation!BO273="","",Allocation!BO273)</f>
        <v>63.96</v>
      </c>
      <c r="H273">
        <f>IF(Allocation!BP273="","",Allocation!BP273)</f>
        <v>2</v>
      </c>
      <c r="I273">
        <f>IF(Allocation!BQ273="","",Allocation!BQ273)</f>
        <v>489850.452</v>
      </c>
      <c r="J273">
        <f>IF(Allocation!CC273="","",Allocation!CC273)</f>
        <v>0</v>
      </c>
      <c r="K273">
        <f t="shared" si="0"/>
        <v>960</v>
      </c>
      <c r="L273">
        <f t="shared" si="1"/>
        <v>361.118375</v>
      </c>
      <c r="M273">
        <f t="shared" si="2"/>
        <v>13</v>
      </c>
      <c r="N273">
        <f t="shared" si="3"/>
        <v>2907661.061907</v>
      </c>
      <c r="O273">
        <f t="shared" si="4"/>
        <v>6240</v>
      </c>
      <c r="P273">
        <f t="shared" si="5"/>
        <v>166.178375</v>
      </c>
      <c r="Q273">
        <f t="shared" si="6"/>
        <v>1392.39301</v>
      </c>
      <c r="R273">
        <f t="shared" si="7"/>
        <v>50</v>
      </c>
      <c r="S273">
        <f t="shared" si="8"/>
        <v>11144112.273887</v>
      </c>
      <c r="T273">
        <f t="shared" si="9"/>
        <v>3473.669998</v>
      </c>
      <c r="U273">
        <f t="shared" si="10"/>
        <v>135</v>
      </c>
      <c r="V273">
        <f t="shared" si="11"/>
        <v>26814168.474038</v>
      </c>
      <c r="W273">
        <f>IF($A273="","",Allocation!CD273)</f>
        <v>176725.314112</v>
      </c>
      <c r="X273">
        <f>IF($A273="","",Allocation!CE273)</f>
        <v>420442.55568</v>
      </c>
      <c r="Y273">
        <f>IF($A273="","",Allocation!CF273)</f>
        <v>135750.867446</v>
      </c>
      <c r="Z273">
        <f>IF($A273="","",Allocation!CG273)</f>
        <v>48050.45</v>
      </c>
      <c r="AA273">
        <f>IF($A273="","",Allocation!CH273)</f>
        <v>960020.907396</v>
      </c>
      <c r="AB273">
        <f>IF($A273="","",Allocation!CI273)</f>
        <v>2894009.992738</v>
      </c>
      <c r="AC273">
        <f>IF($A273="","",IF(Allocation!$N$4="VOL_EFF",$G273,IF(Allocation!$N$4="VOL_CLASS",$H273,$I273)))</f>
        <v>2</v>
      </c>
      <c r="AD273">
        <f>IF($A273="","",IF(Allocation!$N$4="VOL_EFF",$L273,IF(Allocation!$N$4="VOL_CLASS",$M273,$N273)))</f>
        <v>13</v>
      </c>
      <c r="AE273">
        <f>IF($A273="","",IF(Allocation!$N$3="VOL_EFF",$L273,IF(Allocation!$N$3="VOL_CLASS",$M273,$N273)))</f>
        <v>361.118375</v>
      </c>
      <c r="AF273">
        <f>IF($A273="","",IF(Allocation!$N$3="VOL_EFF",$Q273,IF(Allocation!$N$3="VOL_CLASS",$R273,$S273)))</f>
        <v>1392.39301</v>
      </c>
      <c r="AG273">
        <f>IF($A273="","",IF(Allocation!$N$1="VOL_EFF",$Q273,IF(Allocation!$N$1="VOL_CLASS",$R273,$S273)))</f>
        <v>50</v>
      </c>
      <c r="AH273">
        <f>IF($A273="","",IF(Allocation!$N$1="VOL_EFF",$T273,IF(Allocation!$N$1="VOL_CLASS",$U273,$V273)))</f>
        <v>135</v>
      </c>
      <c r="AI273">
        <f t="shared" si="12"/>
        <v>27188.5098633846</v>
      </c>
      <c r="AJ273">
        <f t="shared" si="13"/>
        <v>64683.4701046154</v>
      </c>
      <c r="AK273">
        <f t="shared" si="14"/>
        <v>24043.7099935614</v>
      </c>
      <c r="AL273">
        <f t="shared" si="15"/>
        <v>147695.524214769</v>
      </c>
      <c r="AM273">
        <f t="shared" si="16"/>
        <v>42767.1843427718</v>
      </c>
      <c r="AN273">
        <f t="shared" si="17"/>
        <v>170574.0935469</v>
      </c>
      <c r="AO273">
        <f>IF($A273="","",Allocation!CJ273)</f>
        <v>777795.6</v>
      </c>
      <c r="AP273">
        <f>IF($A273="","",IF(Allocation!$N$2="VOL_EFF",$Q273,IF(Allocation!$N$2="VOL_CLASS",$R273,$S273)))</f>
        <v>11144112.273887</v>
      </c>
      <c r="AQ273">
        <f>IF($A273="","",IF(Allocation!$N$2="VOL_EFF",$T273,IF(Allocation!$N$2="VOL_CLASS",$U273,$V273)))</f>
        <v>26814168.474038</v>
      </c>
      <c r="AR273">
        <f t="shared" si="18"/>
        <v>12897.9599339981</v>
      </c>
      <c r="AS273" t="str">
        <f>IF($A273="","",$A273&amp;"|"&amp;Allocation!BG273)</f>
        <v>2027|V02</v>
      </c>
    </row>
    <row r="274" ht="14.497499999999997" customHeight="1">
      <c r="A274" t="str">
        <f>IF(Allocation!BI274="","",Allocation!BI274)</f>
        <v>2027</v>
      </c>
      <c r="B274" t="str">
        <f>IF(Allocation!BJ274="","",Allocation!BJ274)</f>
        <v>MBWAY_LYO</v>
      </c>
      <c r="C274" t="str">
        <f>IF(Allocation!BK274="","",Allocation!BK274)</f>
        <v>MBWAY</v>
      </c>
      <c r="D274" t="str">
        <f>IF(Allocation!BL274="","",Allocation!BL274)</f>
        <v>MAS_MGT</v>
      </c>
      <c r="E274" t="str">
        <f>IF(Allocation!BM274="","",Allocation!BM274)</f>
        <v>M1</v>
      </c>
      <c r="F274" t="str">
        <f>IF(Allocation!BN274="","",Allocation!BN274)</f>
        <v>ALT</v>
      </c>
      <c r="G274">
        <f>IF(Allocation!BO274="","",Allocation!BO274)</f>
        <v>85.373633</v>
      </c>
      <c r="H274">
        <f>IF(Allocation!BP274="","",Allocation!BP274)</f>
        <v>3</v>
      </c>
      <c r="I274">
        <f>IF(Allocation!BQ274="","",Allocation!BQ274)</f>
        <v>708238.31596</v>
      </c>
      <c r="J274">
        <f>IF(Allocation!CC274="","",Allocation!CC274)</f>
        <v>85.373633</v>
      </c>
      <c r="K274">
        <f t="shared" si="0"/>
        <v>1260</v>
      </c>
      <c r="L274">
        <f t="shared" si="1"/>
        <v>361.118375</v>
      </c>
      <c r="M274">
        <f t="shared" si="2"/>
        <v>13</v>
      </c>
      <c r="N274">
        <f t="shared" si="3"/>
        <v>2907661.061907</v>
      </c>
      <c r="O274">
        <f t="shared" si="4"/>
        <v>6240</v>
      </c>
      <c r="P274">
        <f t="shared" si="5"/>
        <v>166.178375</v>
      </c>
      <c r="Q274">
        <f t="shared" si="6"/>
        <v>1392.39301</v>
      </c>
      <c r="R274">
        <f t="shared" si="7"/>
        <v>50</v>
      </c>
      <c r="S274">
        <f t="shared" si="8"/>
        <v>11144112.273887</v>
      </c>
      <c r="T274">
        <f t="shared" si="9"/>
        <v>3473.669998</v>
      </c>
      <c r="U274">
        <f t="shared" si="10"/>
        <v>135</v>
      </c>
      <c r="V274">
        <f t="shared" si="11"/>
        <v>26814168.474038</v>
      </c>
      <c r="W274">
        <f>IF($A274="","",Allocation!CD274)</f>
        <v>176725.314112</v>
      </c>
      <c r="X274">
        <f>IF($A274="","",Allocation!CE274)</f>
        <v>420442.55568</v>
      </c>
      <c r="Y274">
        <f>IF($A274="","",Allocation!CF274)</f>
        <v>135750.867446</v>
      </c>
      <c r="Z274">
        <f>IF($A274="","",Allocation!CG274)</f>
        <v>48050.45</v>
      </c>
      <c r="AA274">
        <f>IF($A274="","",Allocation!CH274)</f>
        <v>960020.907396</v>
      </c>
      <c r="AB274">
        <f>IF($A274="","",Allocation!CI274)</f>
        <v>2894009.992738</v>
      </c>
      <c r="AC274">
        <f>IF($A274="","",IF(Allocation!$N$4="VOL_EFF",$G274,IF(Allocation!$N$4="VOL_CLASS",$H274,$I274)))</f>
        <v>3</v>
      </c>
      <c r="AD274">
        <f>IF($A274="","",IF(Allocation!$N$4="VOL_EFF",$L274,IF(Allocation!$N$4="VOL_CLASS",$M274,$N274)))</f>
        <v>13</v>
      </c>
      <c r="AE274">
        <f>IF($A274="","",IF(Allocation!$N$3="VOL_EFF",$L274,IF(Allocation!$N$3="VOL_CLASS",$M274,$N274)))</f>
        <v>361.118375</v>
      </c>
      <c r="AF274">
        <f>IF($A274="","",IF(Allocation!$N$3="VOL_EFF",$Q274,IF(Allocation!$N$3="VOL_CLASS",$R274,$S274)))</f>
        <v>1392.39301</v>
      </c>
      <c r="AG274">
        <f>IF($A274="","",IF(Allocation!$N$1="VOL_EFF",$Q274,IF(Allocation!$N$1="VOL_CLASS",$R274,$S274)))</f>
        <v>50</v>
      </c>
      <c r="AH274">
        <f>IF($A274="","",IF(Allocation!$N$1="VOL_EFF",$T274,IF(Allocation!$N$1="VOL_CLASS",$U274,$V274)))</f>
        <v>135</v>
      </c>
      <c r="AI274">
        <f t="shared" si="12"/>
        <v>35684.9191956923</v>
      </c>
      <c r="AJ274">
        <f t="shared" si="13"/>
        <v>84897.0545123077</v>
      </c>
      <c r="AK274">
        <f t="shared" si="14"/>
        <v>56779.2503571234</v>
      </c>
      <c r="AL274">
        <f t="shared" si="15"/>
        <v>221543.286322154</v>
      </c>
      <c r="AM274">
        <f t="shared" si="16"/>
        <v>64150.7765141577</v>
      </c>
      <c r="AN274">
        <f t="shared" si="17"/>
        <v>225836.089157568</v>
      </c>
      <c r="AO274">
        <f>IF($A274="","",Allocation!CJ274)</f>
        <v>777795.6</v>
      </c>
      <c r="AP274">
        <f>IF($A274="","",IF(Allocation!$N$2="VOL_EFF",$Q274,IF(Allocation!$N$2="VOL_CLASS",$R274,$S274)))</f>
        <v>11144112.273887</v>
      </c>
      <c r="AQ274">
        <f>IF($A274="","",IF(Allocation!$N$2="VOL_EFF",$T274,IF(Allocation!$N$2="VOL_CLASS",$U274,$V274)))</f>
        <v>26814168.474038</v>
      </c>
      <c r="AR274">
        <f t="shared" si="18"/>
        <v>19346.9399009971</v>
      </c>
      <c r="AS274" t="str">
        <f>IF($A274="","",$A274&amp;"|"&amp;Allocation!BG274)</f>
        <v>2027|V02</v>
      </c>
    </row>
    <row r="275" ht="14.497499999999997" customHeight="1">
      <c r="A275" t="str">
        <f>IF(Allocation!BI275="","",Allocation!BI275)</f>
        <v>2027</v>
      </c>
      <c r="B275" t="str">
        <f>IF(Allocation!BJ275="","",Allocation!BJ275)</f>
        <v>MBWAY_LYO</v>
      </c>
      <c r="C275" t="str">
        <f>IF(Allocation!BK275="","",Allocation!BK275)</f>
        <v>MBWAY</v>
      </c>
      <c r="D275" t="str">
        <f>IF(Allocation!BL275="","",Allocation!BL275)</f>
        <v>MAS_MGT</v>
      </c>
      <c r="E275" t="str">
        <f>IF(Allocation!BM275="","",Allocation!BM275)</f>
        <v>M2</v>
      </c>
      <c r="F275" t="str">
        <f>IF(Allocation!BN275="","",Allocation!BN275)</f>
        <v>ALT</v>
      </c>
      <c r="G275">
        <f>IF(Allocation!BO275="","",Allocation!BO275)</f>
        <v>65.99</v>
      </c>
      <c r="H275">
        <f>IF(Allocation!BP275="","",Allocation!BP275)</f>
        <v>3</v>
      </c>
      <c r="I275">
        <f>IF(Allocation!BQ275="","",Allocation!BQ275)</f>
        <v>541497.4425</v>
      </c>
      <c r="J275">
        <f>IF(Allocation!CC275="","",Allocation!CC275)</f>
        <v>0</v>
      </c>
      <c r="K275">
        <f t="shared" si="0"/>
        <v>1260</v>
      </c>
      <c r="L275">
        <f t="shared" si="1"/>
        <v>361.118375</v>
      </c>
      <c r="M275">
        <f t="shared" si="2"/>
        <v>13</v>
      </c>
      <c r="N275">
        <f t="shared" si="3"/>
        <v>2907661.061907</v>
      </c>
      <c r="O275">
        <f t="shared" si="4"/>
        <v>6240</v>
      </c>
      <c r="P275">
        <f t="shared" si="5"/>
        <v>166.178375</v>
      </c>
      <c r="Q275">
        <f t="shared" si="6"/>
        <v>1392.39301</v>
      </c>
      <c r="R275">
        <f t="shared" si="7"/>
        <v>50</v>
      </c>
      <c r="S275">
        <f t="shared" si="8"/>
        <v>11144112.273887</v>
      </c>
      <c r="T275">
        <f t="shared" si="9"/>
        <v>3473.669998</v>
      </c>
      <c r="U275">
        <f t="shared" si="10"/>
        <v>135</v>
      </c>
      <c r="V275">
        <f t="shared" si="11"/>
        <v>26814168.474038</v>
      </c>
      <c r="W275">
        <f>IF($A275="","",Allocation!CD275)</f>
        <v>176725.314112</v>
      </c>
      <c r="X275">
        <f>IF($A275="","",Allocation!CE275)</f>
        <v>420442.55568</v>
      </c>
      <c r="Y275">
        <f>IF($A275="","",Allocation!CF275)</f>
        <v>135750.867446</v>
      </c>
      <c r="Z275">
        <f>IF($A275="","",Allocation!CG275)</f>
        <v>48050.45</v>
      </c>
      <c r="AA275">
        <f>IF($A275="","",Allocation!CH275)</f>
        <v>960020.907396</v>
      </c>
      <c r="AB275">
        <f>IF($A275="","",Allocation!CI275)</f>
        <v>2894009.992738</v>
      </c>
      <c r="AC275">
        <f>IF($A275="","",IF(Allocation!$N$4="VOL_EFF",$G275,IF(Allocation!$N$4="VOL_CLASS",$H275,$I275)))</f>
        <v>3</v>
      </c>
      <c r="AD275">
        <f>IF($A275="","",IF(Allocation!$N$4="VOL_EFF",$L275,IF(Allocation!$N$4="VOL_CLASS",$M275,$N275)))</f>
        <v>13</v>
      </c>
      <c r="AE275">
        <f>IF($A275="","",IF(Allocation!$N$3="VOL_EFF",$L275,IF(Allocation!$N$3="VOL_CLASS",$M275,$N275)))</f>
        <v>361.118375</v>
      </c>
      <c r="AF275">
        <f>IF($A275="","",IF(Allocation!$N$3="VOL_EFF",$Q275,IF(Allocation!$N$3="VOL_CLASS",$R275,$S275)))</f>
        <v>1392.39301</v>
      </c>
      <c r="AG275">
        <f>IF($A275="","",IF(Allocation!$N$1="VOL_EFF",$Q275,IF(Allocation!$N$1="VOL_CLASS",$R275,$S275)))</f>
        <v>50</v>
      </c>
      <c r="AH275">
        <f>IF($A275="","",IF(Allocation!$N$1="VOL_EFF",$T275,IF(Allocation!$N$1="VOL_CLASS",$U275,$V275)))</f>
        <v>135</v>
      </c>
      <c r="AI275">
        <f t="shared" si="12"/>
        <v>35684.9191956923</v>
      </c>
      <c r="AJ275">
        <f t="shared" si="13"/>
        <v>84897.0545123077</v>
      </c>
      <c r="AK275">
        <f t="shared" si="14"/>
        <v>24806.8233657773</v>
      </c>
      <c r="AL275">
        <f t="shared" si="15"/>
        <v>221543.286322154</v>
      </c>
      <c r="AM275">
        <f t="shared" si="16"/>
        <v>64150.7765141577</v>
      </c>
      <c r="AN275">
        <f t="shared" si="17"/>
        <v>91067.6426889139</v>
      </c>
      <c r="AO275">
        <f>IF($A275="","",Allocation!CJ275)</f>
        <v>777795.6</v>
      </c>
      <c r="AP275">
        <f>IF($A275="","",IF(Allocation!$N$2="VOL_EFF",$Q275,IF(Allocation!$N$2="VOL_CLASS",$R275,$S275)))</f>
        <v>11144112.273887</v>
      </c>
      <c r="AQ275">
        <f>IF($A275="","",IF(Allocation!$N$2="VOL_EFF",$T275,IF(Allocation!$N$2="VOL_CLASS",$U275,$V275)))</f>
        <v>26814168.474038</v>
      </c>
      <c r="AR275">
        <f t="shared" si="18"/>
        <v>19346.9399009971</v>
      </c>
      <c r="AS275" t="str">
        <f>IF($A275="","",$A275&amp;"|"&amp;Allocation!BG275)</f>
        <v>2027|V02</v>
      </c>
    </row>
    <row r="276" ht="14.497499999999997" customHeight="1">
      <c r="A276" t="str">
        <f>IF(Allocation!BI276="","",Allocation!BI276)</f>
        <v>2027</v>
      </c>
      <c r="B276" t="str">
        <f>IF(Allocation!BJ276="","",Allocation!BJ276)</f>
        <v>MBWAY_NAN</v>
      </c>
      <c r="C276" t="str">
        <f>IF(Allocation!BK276="","",Allocation!BK276)</f>
        <v>MBWAY</v>
      </c>
      <c r="D276" t="str">
        <f>IF(Allocation!BL276="","",Allocation!BL276)</f>
        <v>BAC_MGT</v>
      </c>
      <c r="E276" t="str">
        <f>IF(Allocation!BM276="","",Allocation!BM276)</f>
        <v>B1</v>
      </c>
      <c r="F276" t="str">
        <f>IF(Allocation!BN276="","",Allocation!BN276)</f>
        <v>INIT</v>
      </c>
      <c r="G276">
        <f>IF(Allocation!BO276="","",Allocation!BO276)</f>
        <v>73.560697</v>
      </c>
      <c r="H276">
        <f>IF(Allocation!BP276="","",Allocation!BP276)</f>
        <v>2</v>
      </c>
      <c r="I276">
        <f>IF(Allocation!BQ276="","",Allocation!BQ276)</f>
        <v>581497.309785</v>
      </c>
      <c r="J276">
        <f>IF(Allocation!CC276="","",Allocation!CC276)</f>
        <v>73.560697</v>
      </c>
      <c r="K276">
        <f t="shared" si="0"/>
        <v>1200</v>
      </c>
      <c r="L276">
        <f t="shared" si="1"/>
        <v>327.95962</v>
      </c>
      <c r="M276">
        <f t="shared" si="2"/>
        <v>12</v>
      </c>
      <c r="N276">
        <f t="shared" si="3"/>
        <v>2515783.3261</v>
      </c>
      <c r="O276">
        <f t="shared" si="4"/>
        <v>5640</v>
      </c>
      <c r="P276">
        <f t="shared" si="5"/>
        <v>151.28962</v>
      </c>
      <c r="Q276">
        <f t="shared" si="6"/>
        <v>1392.39301</v>
      </c>
      <c r="R276">
        <f t="shared" si="7"/>
        <v>50</v>
      </c>
      <c r="S276">
        <f t="shared" si="8"/>
        <v>11144112.273887</v>
      </c>
      <c r="T276">
        <f t="shared" si="9"/>
        <v>3473.669998</v>
      </c>
      <c r="U276">
        <f t="shared" si="10"/>
        <v>135</v>
      </c>
      <c r="V276">
        <f t="shared" si="11"/>
        <v>26814168.474038</v>
      </c>
      <c r="W276">
        <f>IF($A276="","",Allocation!CD276)</f>
        <v>163130.972564</v>
      </c>
      <c r="X276">
        <f>IF($A276="","",Allocation!CE276)</f>
        <v>361671.57144</v>
      </c>
      <c r="Y276">
        <f>IF($A276="","",Allocation!CF276)</f>
        <v>123181.196719</v>
      </c>
      <c r="Z276">
        <f>IF($A276="","",Allocation!CG276)</f>
        <v>36262.95</v>
      </c>
      <c r="AA276">
        <f>IF($A276="","",Allocation!CH276)</f>
        <v>816084.870106</v>
      </c>
      <c r="AB276">
        <f>IF($A276="","",Allocation!CI276)</f>
        <v>2894009.992738</v>
      </c>
      <c r="AC276">
        <f>IF($A276="","",IF(Allocation!$N$4="VOL_EFF",$G276,IF(Allocation!$N$4="VOL_CLASS",$H276,$I276)))</f>
        <v>2</v>
      </c>
      <c r="AD276">
        <f>IF($A276="","",IF(Allocation!$N$4="VOL_EFF",$L276,IF(Allocation!$N$4="VOL_CLASS",$M276,$N276)))</f>
        <v>12</v>
      </c>
      <c r="AE276">
        <f>IF($A276="","",IF(Allocation!$N$3="VOL_EFF",$L276,IF(Allocation!$N$3="VOL_CLASS",$M276,$N276)))</f>
        <v>327.95962</v>
      </c>
      <c r="AF276">
        <f>IF($A276="","",IF(Allocation!$N$3="VOL_EFF",$Q276,IF(Allocation!$N$3="VOL_CLASS",$R276,$S276)))</f>
        <v>1392.39301</v>
      </c>
      <c r="AG276">
        <f>IF($A276="","",IF(Allocation!$N$1="VOL_EFF",$Q276,IF(Allocation!$N$1="VOL_CLASS",$R276,$S276)))</f>
        <v>50</v>
      </c>
      <c r="AH276">
        <f>IF($A276="","",IF(Allocation!$N$1="VOL_EFF",$T276,IF(Allocation!$N$1="VOL_CLASS",$U276,$V276)))</f>
        <v>135</v>
      </c>
      <c r="AI276">
        <f t="shared" si="12"/>
        <v>34708.7175668085</v>
      </c>
      <c r="AJ276">
        <f t="shared" si="13"/>
        <v>76951.3981787234</v>
      </c>
      <c r="AK276">
        <f t="shared" si="14"/>
        <v>45261.2291329999</v>
      </c>
      <c r="AL276">
        <f t="shared" si="15"/>
        <v>136014.145017667</v>
      </c>
      <c r="AM276">
        <f t="shared" si="16"/>
        <v>42076.8821839076</v>
      </c>
      <c r="AN276">
        <f t="shared" si="17"/>
        <v>233795.162848408</v>
      </c>
      <c r="AO276">
        <f>IF($A276="","",Allocation!CJ276)</f>
        <v>777795.6</v>
      </c>
      <c r="AP276">
        <f>IF($A276="","",IF(Allocation!$N$2="VOL_EFF",$Q276,IF(Allocation!$N$2="VOL_CLASS",$R276,$S276)))</f>
        <v>11144112.273887</v>
      </c>
      <c r="AQ276">
        <f>IF($A276="","",IF(Allocation!$N$2="VOL_EFF",$T276,IF(Allocation!$N$2="VOL_CLASS",$U276,$V276)))</f>
        <v>26814168.474038</v>
      </c>
      <c r="AR276">
        <f t="shared" si="18"/>
        <v>12689.7748564858</v>
      </c>
      <c r="AS276" t="str">
        <f>IF($A276="","",$A276&amp;"|"&amp;Allocation!BG276)</f>
        <v>2027|V02</v>
      </c>
    </row>
    <row r="277" ht="14.497499999999997" customHeight="1">
      <c r="A277" t="str">
        <f>IF(Allocation!BI277="","",Allocation!BI277)</f>
        <v>2027</v>
      </c>
      <c r="B277" t="str">
        <f>IF(Allocation!BJ277="","",Allocation!BJ277)</f>
        <v>MBWAY_NAN</v>
      </c>
      <c r="C277" t="str">
        <f>IF(Allocation!BK277="","",Allocation!BK277)</f>
        <v>MBWAY</v>
      </c>
      <c r="D277" t="str">
        <f>IF(Allocation!BL277="","",Allocation!BL277)</f>
        <v>BAC_MGT</v>
      </c>
      <c r="E277" t="str">
        <f>IF(Allocation!BM277="","",Allocation!BM277)</f>
        <v>B2</v>
      </c>
      <c r="F277" t="str">
        <f>IF(Allocation!BN277="","",Allocation!BN277)</f>
        <v>ALT</v>
      </c>
      <c r="G277">
        <f>IF(Allocation!BO277="","",Allocation!BO277)</f>
        <v>58.9</v>
      </c>
      <c r="H277">
        <f>IF(Allocation!BP277="","",Allocation!BP277)</f>
        <v>2</v>
      </c>
      <c r="I277">
        <f>IF(Allocation!BQ277="","",Allocation!BQ277)</f>
        <v>429616.6</v>
      </c>
      <c r="J277">
        <f>IF(Allocation!CC277="","",Allocation!CC277)</f>
        <v>0</v>
      </c>
      <c r="K277">
        <f t="shared" si="0"/>
        <v>960</v>
      </c>
      <c r="L277">
        <f t="shared" si="1"/>
        <v>327.95962</v>
      </c>
      <c r="M277">
        <f t="shared" si="2"/>
        <v>12</v>
      </c>
      <c r="N277">
        <f t="shared" si="3"/>
        <v>2515783.3261</v>
      </c>
      <c r="O277">
        <f t="shared" si="4"/>
        <v>5640</v>
      </c>
      <c r="P277">
        <f t="shared" si="5"/>
        <v>151.28962</v>
      </c>
      <c r="Q277">
        <f t="shared" si="6"/>
        <v>1392.39301</v>
      </c>
      <c r="R277">
        <f t="shared" si="7"/>
        <v>50</v>
      </c>
      <c r="S277">
        <f t="shared" si="8"/>
        <v>11144112.273887</v>
      </c>
      <c r="T277">
        <f t="shared" si="9"/>
        <v>3473.669998</v>
      </c>
      <c r="U277">
        <f t="shared" si="10"/>
        <v>135</v>
      </c>
      <c r="V277">
        <f t="shared" si="11"/>
        <v>26814168.474038</v>
      </c>
      <c r="W277">
        <f>IF($A277="","",Allocation!CD277)</f>
        <v>163130.972564</v>
      </c>
      <c r="X277">
        <f>IF($A277="","",Allocation!CE277)</f>
        <v>361671.57144</v>
      </c>
      <c r="Y277">
        <f>IF($A277="","",Allocation!CF277)</f>
        <v>123181.196719</v>
      </c>
      <c r="Z277">
        <f>IF($A277="","",Allocation!CG277)</f>
        <v>36262.95</v>
      </c>
      <c r="AA277">
        <f>IF($A277="","",Allocation!CH277)</f>
        <v>816084.870106</v>
      </c>
      <c r="AB277">
        <f>IF($A277="","",Allocation!CI277)</f>
        <v>2894009.992738</v>
      </c>
      <c r="AC277">
        <f>IF($A277="","",IF(Allocation!$N$4="VOL_EFF",$G277,IF(Allocation!$N$4="VOL_CLASS",$H277,$I277)))</f>
        <v>2</v>
      </c>
      <c r="AD277">
        <f>IF($A277="","",IF(Allocation!$N$4="VOL_EFF",$L277,IF(Allocation!$N$4="VOL_CLASS",$M277,$N277)))</f>
        <v>12</v>
      </c>
      <c r="AE277">
        <f>IF($A277="","",IF(Allocation!$N$3="VOL_EFF",$L277,IF(Allocation!$N$3="VOL_CLASS",$M277,$N277)))</f>
        <v>327.95962</v>
      </c>
      <c r="AF277">
        <f>IF($A277="","",IF(Allocation!$N$3="VOL_EFF",$Q277,IF(Allocation!$N$3="VOL_CLASS",$R277,$S277)))</f>
        <v>1392.39301</v>
      </c>
      <c r="AG277">
        <f>IF($A277="","",IF(Allocation!$N$1="VOL_EFF",$Q277,IF(Allocation!$N$1="VOL_CLASS",$R277,$S277)))</f>
        <v>50</v>
      </c>
      <c r="AH277">
        <f>IF($A277="","",IF(Allocation!$N$1="VOL_EFF",$T277,IF(Allocation!$N$1="VOL_CLASS",$U277,$V277)))</f>
        <v>135</v>
      </c>
      <c r="AI277">
        <f t="shared" si="12"/>
        <v>27766.9740534468</v>
      </c>
      <c r="AJ277">
        <f t="shared" si="13"/>
        <v>61561.1185429787</v>
      </c>
      <c r="AK277">
        <f t="shared" si="14"/>
        <v>22122.7615971414</v>
      </c>
      <c r="AL277">
        <f t="shared" si="15"/>
        <v>136014.145017667</v>
      </c>
      <c r="AM277">
        <f t="shared" si="16"/>
        <v>42076.8821839076</v>
      </c>
      <c r="AN277">
        <f t="shared" si="17"/>
        <v>127384.943748373</v>
      </c>
      <c r="AO277">
        <f>IF($A277="","",Allocation!CJ277)</f>
        <v>777795.6</v>
      </c>
      <c r="AP277">
        <f>IF($A277="","",IF(Allocation!$N$2="VOL_EFF",$Q277,IF(Allocation!$N$2="VOL_CLASS",$R277,$S277)))</f>
        <v>11144112.273887</v>
      </c>
      <c r="AQ277">
        <f>IF($A277="","",IF(Allocation!$N$2="VOL_EFF",$T277,IF(Allocation!$N$2="VOL_CLASS",$U277,$V277)))</f>
        <v>26814168.474038</v>
      </c>
      <c r="AR277">
        <f t="shared" si="18"/>
        <v>12689.7748564858</v>
      </c>
      <c r="AS277" t="str">
        <f>IF($A277="","",$A277&amp;"|"&amp;Allocation!BG277)</f>
        <v>2027|V02</v>
      </c>
    </row>
    <row r="278" ht="14.497499999999997" customHeight="1">
      <c r="A278" t="str">
        <f>IF(Allocation!BI278="","",Allocation!BI278)</f>
        <v>2027</v>
      </c>
      <c r="B278" t="str">
        <f>IF(Allocation!BJ278="","",Allocation!BJ278)</f>
        <v>MBWAY_NAN</v>
      </c>
      <c r="C278" t="str">
        <f>IF(Allocation!BK278="","",Allocation!BK278)</f>
        <v>MBWAY</v>
      </c>
      <c r="D278" t="str">
        <f>IF(Allocation!BL278="","",Allocation!BL278)</f>
        <v>BAC_MGT</v>
      </c>
      <c r="E278" t="str">
        <f>IF(Allocation!BM278="","",Allocation!BM278)</f>
        <v>B3</v>
      </c>
      <c r="F278" t="str">
        <f>IF(Allocation!BN278="","",Allocation!BN278)</f>
        <v>ALT</v>
      </c>
      <c r="G278">
        <f>IF(Allocation!BO278="","",Allocation!BO278)</f>
        <v>57.87</v>
      </c>
      <c r="H278">
        <f>IF(Allocation!BP278="","",Allocation!BP278)</f>
        <v>2</v>
      </c>
      <c r="I278">
        <f>IF(Allocation!BQ278="","",Allocation!BQ278)</f>
        <v>422103.78</v>
      </c>
      <c r="J278">
        <f>IF(Allocation!CC278="","",Allocation!CC278)</f>
        <v>0</v>
      </c>
      <c r="K278">
        <f t="shared" si="0"/>
        <v>960</v>
      </c>
      <c r="L278">
        <f t="shared" si="1"/>
        <v>327.95962</v>
      </c>
      <c r="M278">
        <f t="shared" si="2"/>
        <v>12</v>
      </c>
      <c r="N278">
        <f t="shared" si="3"/>
        <v>2515783.3261</v>
      </c>
      <c r="O278">
        <f t="shared" si="4"/>
        <v>5640</v>
      </c>
      <c r="P278">
        <f t="shared" si="5"/>
        <v>151.28962</v>
      </c>
      <c r="Q278">
        <f t="shared" si="6"/>
        <v>1392.39301</v>
      </c>
      <c r="R278">
        <f t="shared" si="7"/>
        <v>50</v>
      </c>
      <c r="S278">
        <f t="shared" si="8"/>
        <v>11144112.273887</v>
      </c>
      <c r="T278">
        <f t="shared" si="9"/>
        <v>3473.669998</v>
      </c>
      <c r="U278">
        <f t="shared" si="10"/>
        <v>135</v>
      </c>
      <c r="V278">
        <f t="shared" si="11"/>
        <v>26814168.474038</v>
      </c>
      <c r="W278">
        <f>IF($A278="","",Allocation!CD278)</f>
        <v>163130.972564</v>
      </c>
      <c r="X278">
        <f>IF($A278="","",Allocation!CE278)</f>
        <v>361671.57144</v>
      </c>
      <c r="Y278">
        <f>IF($A278="","",Allocation!CF278)</f>
        <v>123181.196719</v>
      </c>
      <c r="Z278">
        <f>IF($A278="","",Allocation!CG278)</f>
        <v>36262.95</v>
      </c>
      <c r="AA278">
        <f>IF($A278="","",Allocation!CH278)</f>
        <v>816084.870106</v>
      </c>
      <c r="AB278">
        <f>IF($A278="","",Allocation!CI278)</f>
        <v>2894009.992738</v>
      </c>
      <c r="AC278">
        <f>IF($A278="","",IF(Allocation!$N$4="VOL_EFF",$G278,IF(Allocation!$N$4="VOL_CLASS",$H278,$I278)))</f>
        <v>2</v>
      </c>
      <c r="AD278">
        <f>IF($A278="","",IF(Allocation!$N$4="VOL_EFF",$L278,IF(Allocation!$N$4="VOL_CLASS",$M278,$N278)))</f>
        <v>12</v>
      </c>
      <c r="AE278">
        <f>IF($A278="","",IF(Allocation!$N$3="VOL_EFF",$L278,IF(Allocation!$N$3="VOL_CLASS",$M278,$N278)))</f>
        <v>327.95962</v>
      </c>
      <c r="AF278">
        <f>IF($A278="","",IF(Allocation!$N$3="VOL_EFF",$Q278,IF(Allocation!$N$3="VOL_CLASS",$R278,$S278)))</f>
        <v>1392.39301</v>
      </c>
      <c r="AG278">
        <f>IF($A278="","",IF(Allocation!$N$1="VOL_EFF",$Q278,IF(Allocation!$N$1="VOL_CLASS",$R278,$S278)))</f>
        <v>50</v>
      </c>
      <c r="AH278">
        <f>IF($A278="","",IF(Allocation!$N$1="VOL_EFF",$T278,IF(Allocation!$N$1="VOL_CLASS",$U278,$V278)))</f>
        <v>135</v>
      </c>
      <c r="AI278">
        <f t="shared" si="12"/>
        <v>27766.9740534468</v>
      </c>
      <c r="AJ278">
        <f t="shared" si="13"/>
        <v>61561.1185429787</v>
      </c>
      <c r="AK278">
        <f t="shared" si="14"/>
        <v>21735.8949681931</v>
      </c>
      <c r="AL278">
        <f t="shared" si="15"/>
        <v>136014.145017667</v>
      </c>
      <c r="AM278">
        <f t="shared" si="16"/>
        <v>42076.8821839076</v>
      </c>
      <c r="AN278">
        <f t="shared" si="17"/>
        <v>120258.990377321</v>
      </c>
      <c r="AO278">
        <f>IF($A278="","",Allocation!CJ278)</f>
        <v>777795.6</v>
      </c>
      <c r="AP278">
        <f>IF($A278="","",IF(Allocation!$N$2="VOL_EFF",$Q278,IF(Allocation!$N$2="VOL_CLASS",$R278,$S278)))</f>
        <v>11144112.273887</v>
      </c>
      <c r="AQ278">
        <f>IF($A278="","",IF(Allocation!$N$2="VOL_EFF",$T278,IF(Allocation!$N$2="VOL_CLASS",$U278,$V278)))</f>
        <v>26814168.474038</v>
      </c>
      <c r="AR278">
        <f t="shared" si="18"/>
        <v>12689.7748564858</v>
      </c>
      <c r="AS278" t="str">
        <f>IF($A278="","",$A278&amp;"|"&amp;Allocation!BG278)</f>
        <v>2027|V02</v>
      </c>
    </row>
    <row r="279" ht="14.497499999999997" customHeight="1">
      <c r="A279" t="str">
        <f>IF(Allocation!BI279="","",Allocation!BI279)</f>
        <v>2027</v>
      </c>
      <c r="B279" t="str">
        <f>IF(Allocation!BJ279="","",Allocation!BJ279)</f>
        <v>MBWAY_NAN</v>
      </c>
      <c r="C279" t="str">
        <f>IF(Allocation!BK279="","",Allocation!BK279)</f>
        <v>MBWAY</v>
      </c>
      <c r="D279" t="str">
        <f>IF(Allocation!BL279="","",Allocation!BL279)</f>
        <v>MAS_MGT</v>
      </c>
      <c r="E279" t="str">
        <f>IF(Allocation!BM279="","",Allocation!BM279)</f>
        <v>M1</v>
      </c>
      <c r="F279" t="str">
        <f>IF(Allocation!BN279="","",Allocation!BN279)</f>
        <v>ALT</v>
      </c>
      <c r="G279">
        <f>IF(Allocation!BO279="","",Allocation!BO279)</f>
        <v>77.728923</v>
      </c>
      <c r="H279">
        <f>IF(Allocation!BP279="","",Allocation!BP279)</f>
        <v>3</v>
      </c>
      <c r="I279">
        <f>IF(Allocation!BQ279="","",Allocation!BQ279)</f>
        <v>614447.136315</v>
      </c>
      <c r="J279">
        <f>IF(Allocation!CC279="","",Allocation!CC279)</f>
        <v>77.728923</v>
      </c>
      <c r="K279">
        <f t="shared" si="0"/>
        <v>1260</v>
      </c>
      <c r="L279">
        <f t="shared" si="1"/>
        <v>327.95962</v>
      </c>
      <c r="M279">
        <f t="shared" si="2"/>
        <v>12</v>
      </c>
      <c r="N279">
        <f t="shared" si="3"/>
        <v>2515783.3261</v>
      </c>
      <c r="O279">
        <f t="shared" si="4"/>
        <v>5640</v>
      </c>
      <c r="P279">
        <f t="shared" si="5"/>
        <v>151.28962</v>
      </c>
      <c r="Q279">
        <f t="shared" si="6"/>
        <v>1392.39301</v>
      </c>
      <c r="R279">
        <f t="shared" si="7"/>
        <v>50</v>
      </c>
      <c r="S279">
        <f t="shared" si="8"/>
        <v>11144112.273887</v>
      </c>
      <c r="T279">
        <f t="shared" si="9"/>
        <v>3473.669998</v>
      </c>
      <c r="U279">
        <f t="shared" si="10"/>
        <v>135</v>
      </c>
      <c r="V279">
        <f t="shared" si="11"/>
        <v>26814168.474038</v>
      </c>
      <c r="W279">
        <f>IF($A279="","",Allocation!CD279)</f>
        <v>163130.972564</v>
      </c>
      <c r="X279">
        <f>IF($A279="","",Allocation!CE279)</f>
        <v>361671.57144</v>
      </c>
      <c r="Y279">
        <f>IF($A279="","",Allocation!CF279)</f>
        <v>123181.196719</v>
      </c>
      <c r="Z279">
        <f>IF($A279="","",Allocation!CG279)</f>
        <v>36262.95</v>
      </c>
      <c r="AA279">
        <f>IF($A279="","",Allocation!CH279)</f>
        <v>816084.870106</v>
      </c>
      <c r="AB279">
        <f>IF($A279="","",Allocation!CI279)</f>
        <v>2894009.992738</v>
      </c>
      <c r="AC279">
        <f>IF($A279="","",IF(Allocation!$N$4="VOL_EFF",$G279,IF(Allocation!$N$4="VOL_CLASS",$H279,$I279)))</f>
        <v>3</v>
      </c>
      <c r="AD279">
        <f>IF($A279="","",IF(Allocation!$N$4="VOL_EFF",$L279,IF(Allocation!$N$4="VOL_CLASS",$M279,$N279)))</f>
        <v>12</v>
      </c>
      <c r="AE279">
        <f>IF($A279="","",IF(Allocation!$N$3="VOL_EFF",$L279,IF(Allocation!$N$3="VOL_CLASS",$M279,$N279)))</f>
        <v>327.95962</v>
      </c>
      <c r="AF279">
        <f>IF($A279="","",IF(Allocation!$N$3="VOL_EFF",$Q279,IF(Allocation!$N$3="VOL_CLASS",$R279,$S279)))</f>
        <v>1392.39301</v>
      </c>
      <c r="AG279">
        <f>IF($A279="","",IF(Allocation!$N$1="VOL_EFF",$Q279,IF(Allocation!$N$1="VOL_CLASS",$R279,$S279)))</f>
        <v>50</v>
      </c>
      <c r="AH279">
        <f>IF($A279="","",IF(Allocation!$N$1="VOL_EFF",$T279,IF(Allocation!$N$1="VOL_CLASS",$U279,$V279)))</f>
        <v>135</v>
      </c>
      <c r="AI279">
        <f t="shared" si="12"/>
        <v>36444.1534451489</v>
      </c>
      <c r="AJ279">
        <f t="shared" si="13"/>
        <v>80798.9680876596</v>
      </c>
      <c r="AK279">
        <f t="shared" si="14"/>
        <v>47825.9007546422</v>
      </c>
      <c r="AL279">
        <f t="shared" si="15"/>
        <v>204021.2175265</v>
      </c>
      <c r="AM279">
        <f t="shared" si="16"/>
        <v>63115.3232758614</v>
      </c>
      <c r="AN279">
        <f t="shared" si="17"/>
        <v>163206.910940459</v>
      </c>
      <c r="AO279">
        <f>IF($A279="","",Allocation!CJ279)</f>
        <v>777795.6</v>
      </c>
      <c r="AP279">
        <f>IF($A279="","",IF(Allocation!$N$2="VOL_EFF",$Q279,IF(Allocation!$N$2="VOL_CLASS",$R279,$S279)))</f>
        <v>11144112.273887</v>
      </c>
      <c r="AQ279">
        <f>IF($A279="","",IF(Allocation!$N$2="VOL_EFF",$T279,IF(Allocation!$N$2="VOL_CLASS",$U279,$V279)))</f>
        <v>26814168.474038</v>
      </c>
      <c r="AR279">
        <f t="shared" si="18"/>
        <v>19034.6622847287</v>
      </c>
      <c r="AS279" t="str">
        <f>IF($A279="","",$A279&amp;"|"&amp;Allocation!BG279)</f>
        <v>2027|V02</v>
      </c>
    </row>
    <row r="280" ht="14.497499999999997" customHeight="1">
      <c r="A280" t="str">
        <f>IF(Allocation!BI280="","",Allocation!BI280)</f>
        <v>2027</v>
      </c>
      <c r="B280" t="str">
        <f>IF(Allocation!BJ280="","",Allocation!BJ280)</f>
        <v>MBWAY_NAN</v>
      </c>
      <c r="C280" t="str">
        <f>IF(Allocation!BK280="","",Allocation!BK280)</f>
        <v>MBWAY</v>
      </c>
      <c r="D280" t="str">
        <f>IF(Allocation!BL280="","",Allocation!BL280)</f>
        <v>MAS_MGT</v>
      </c>
      <c r="E280" t="str">
        <f>IF(Allocation!BM280="","",Allocation!BM280)</f>
        <v>M2</v>
      </c>
      <c r="F280" t="str">
        <f>IF(Allocation!BN280="","",Allocation!BN280)</f>
        <v>ALT</v>
      </c>
      <c r="G280">
        <f>IF(Allocation!BO280="","",Allocation!BO280)</f>
        <v>59.9</v>
      </c>
      <c r="H280">
        <f>IF(Allocation!BP280="","",Allocation!BP280)</f>
        <v>3</v>
      </c>
      <c r="I280">
        <f>IF(Allocation!BQ280="","",Allocation!BQ280)</f>
        <v>468118.5</v>
      </c>
      <c r="J280">
        <f>IF(Allocation!CC280="","",Allocation!CC280)</f>
        <v>0</v>
      </c>
      <c r="K280">
        <f t="shared" si="0"/>
        <v>1260</v>
      </c>
      <c r="L280">
        <f t="shared" si="1"/>
        <v>327.95962</v>
      </c>
      <c r="M280">
        <f t="shared" si="2"/>
        <v>12</v>
      </c>
      <c r="N280">
        <f t="shared" si="3"/>
        <v>2515783.3261</v>
      </c>
      <c r="O280">
        <f t="shared" si="4"/>
        <v>5640</v>
      </c>
      <c r="P280">
        <f t="shared" si="5"/>
        <v>151.28962</v>
      </c>
      <c r="Q280">
        <f t="shared" si="6"/>
        <v>1392.39301</v>
      </c>
      <c r="R280">
        <f t="shared" si="7"/>
        <v>50</v>
      </c>
      <c r="S280">
        <f t="shared" si="8"/>
        <v>11144112.273887</v>
      </c>
      <c r="T280">
        <f t="shared" si="9"/>
        <v>3473.669998</v>
      </c>
      <c r="U280">
        <f t="shared" si="10"/>
        <v>135</v>
      </c>
      <c r="V280">
        <f t="shared" si="11"/>
        <v>26814168.474038</v>
      </c>
      <c r="W280">
        <f>IF($A280="","",Allocation!CD280)</f>
        <v>163130.972564</v>
      </c>
      <c r="X280">
        <f>IF($A280="","",Allocation!CE280)</f>
        <v>361671.57144</v>
      </c>
      <c r="Y280">
        <f>IF($A280="","",Allocation!CF280)</f>
        <v>123181.196719</v>
      </c>
      <c r="Z280">
        <f>IF($A280="","",Allocation!CG280)</f>
        <v>36262.95</v>
      </c>
      <c r="AA280">
        <f>IF($A280="","",Allocation!CH280)</f>
        <v>816084.870106</v>
      </c>
      <c r="AB280">
        <f>IF($A280="","",Allocation!CI280)</f>
        <v>2894009.992738</v>
      </c>
      <c r="AC280">
        <f>IF($A280="","",IF(Allocation!$N$4="VOL_EFF",$G280,IF(Allocation!$N$4="VOL_CLASS",$H280,$I280)))</f>
        <v>3</v>
      </c>
      <c r="AD280">
        <f>IF($A280="","",IF(Allocation!$N$4="VOL_EFF",$L280,IF(Allocation!$N$4="VOL_CLASS",$M280,$N280)))</f>
        <v>12</v>
      </c>
      <c r="AE280">
        <f>IF($A280="","",IF(Allocation!$N$3="VOL_EFF",$L280,IF(Allocation!$N$3="VOL_CLASS",$M280,$N280)))</f>
        <v>327.95962</v>
      </c>
      <c r="AF280">
        <f>IF($A280="","",IF(Allocation!$N$3="VOL_EFF",$Q280,IF(Allocation!$N$3="VOL_CLASS",$R280,$S280)))</f>
        <v>1392.39301</v>
      </c>
      <c r="AG280">
        <f>IF($A280="","",IF(Allocation!$N$1="VOL_EFF",$Q280,IF(Allocation!$N$1="VOL_CLASS",$R280,$S280)))</f>
        <v>50</v>
      </c>
      <c r="AH280">
        <f>IF($A280="","",IF(Allocation!$N$1="VOL_EFF",$T280,IF(Allocation!$N$1="VOL_CLASS",$U280,$V280)))</f>
        <v>135</v>
      </c>
      <c r="AI280">
        <f t="shared" si="12"/>
        <v>36444.1534451489</v>
      </c>
      <c r="AJ280">
        <f t="shared" si="13"/>
        <v>80798.9680876596</v>
      </c>
      <c r="AK280">
        <f t="shared" si="14"/>
        <v>22498.3602660233</v>
      </c>
      <c r="AL280">
        <f t="shared" si="15"/>
        <v>204021.2175265</v>
      </c>
      <c r="AM280">
        <f t="shared" si="16"/>
        <v>63115.3232758614</v>
      </c>
      <c r="AN280">
        <f t="shared" si="17"/>
        <v>42205.8151140781</v>
      </c>
      <c r="AO280">
        <f>IF($A280="","",Allocation!CJ280)</f>
        <v>777795.6</v>
      </c>
      <c r="AP280">
        <f>IF($A280="","",IF(Allocation!$N$2="VOL_EFF",$Q280,IF(Allocation!$N$2="VOL_CLASS",$R280,$S280)))</f>
        <v>11144112.273887</v>
      </c>
      <c r="AQ280">
        <f>IF($A280="","",IF(Allocation!$N$2="VOL_EFF",$T280,IF(Allocation!$N$2="VOL_CLASS",$U280,$V280)))</f>
        <v>26814168.474038</v>
      </c>
      <c r="AR280">
        <f t="shared" si="18"/>
        <v>19034.6622847287</v>
      </c>
      <c r="AS280" t="str">
        <f>IF($A280="","",$A280&amp;"|"&amp;Allocation!BG280)</f>
        <v>2027|V02</v>
      </c>
    </row>
    <row r="281" ht="14.497499999999997" customHeight="1">
      <c r="A281" t="str">
        <f>IF(Allocation!BI281="","",Allocation!BI281)</f>
        <v>2027</v>
      </c>
      <c r="B281" t="str">
        <f>IF(Allocation!BJ281="","",Allocation!BJ281)</f>
        <v>MBWAY_PAR</v>
      </c>
      <c r="C281" t="str">
        <f>IF(Allocation!BK281="","",Allocation!BK281)</f>
        <v>MBWAY</v>
      </c>
      <c r="D281" t="str">
        <f>IF(Allocation!BL281="","",Allocation!BL281)</f>
        <v>BAC_MGT</v>
      </c>
      <c r="E281" t="str">
        <f>IF(Allocation!BM281="","",Allocation!BM281)</f>
        <v>B1</v>
      </c>
      <c r="F281" t="str">
        <f>IF(Allocation!BN281="","",Allocation!BN281)</f>
        <v>INIT</v>
      </c>
      <c r="G281">
        <f>IF(Allocation!BO281="","",Allocation!BO281)</f>
        <v>95.228055</v>
      </c>
      <c r="H281">
        <f>IF(Allocation!BP281="","",Allocation!BP281)</f>
        <v>3</v>
      </c>
      <c r="I281">
        <f>IF(Allocation!BQ281="","",Allocation!BQ281)</f>
        <v>842082.644754</v>
      </c>
      <c r="J281">
        <f>IF(Allocation!CC281="","",Allocation!CC281)</f>
        <v>95.228055</v>
      </c>
      <c r="K281">
        <f t="shared" si="0"/>
        <v>1800</v>
      </c>
      <c r="L281">
        <f t="shared" si="1"/>
        <v>425.333183</v>
      </c>
      <c r="M281">
        <f t="shared" si="2"/>
        <v>15</v>
      </c>
      <c r="N281">
        <f t="shared" si="3"/>
        <v>3651607.139432</v>
      </c>
      <c r="O281">
        <f t="shared" si="4"/>
        <v>7200</v>
      </c>
      <c r="P281">
        <f t="shared" si="5"/>
        <v>195.853183</v>
      </c>
      <c r="Q281">
        <f t="shared" si="6"/>
        <v>1392.39301</v>
      </c>
      <c r="R281">
        <f t="shared" si="7"/>
        <v>50</v>
      </c>
      <c r="S281">
        <f t="shared" si="8"/>
        <v>11144112.273887</v>
      </c>
      <c r="T281">
        <f t="shared" si="9"/>
        <v>3473.669998</v>
      </c>
      <c r="U281">
        <f t="shared" si="10"/>
        <v>135</v>
      </c>
      <c r="V281">
        <f t="shared" si="11"/>
        <v>26814168.474038</v>
      </c>
      <c r="W281">
        <f>IF($A281="","",Allocation!CD281)</f>
        <v>203913.997208</v>
      </c>
      <c r="X281">
        <f>IF($A281="","",Allocation!CE281)</f>
        <v>527467.345776</v>
      </c>
      <c r="Y281">
        <f>IF($A281="","",Allocation!CF281)</f>
        <v>160051.330045</v>
      </c>
      <c r="Z281">
        <f>IF($A281="","",Allocation!CG281)</f>
        <v>78534.65</v>
      </c>
      <c r="AA281">
        <f>IF($A281="","",Allocation!CH281)</f>
        <v>1222648.632762</v>
      </c>
      <c r="AB281">
        <f>IF($A281="","",Allocation!CI281)</f>
        <v>2894009.992738</v>
      </c>
      <c r="AC281">
        <f>IF($A281="","",IF(Allocation!$N$4="VOL_EFF",$G281,IF(Allocation!$N$4="VOL_CLASS",$H281,$I281)))</f>
        <v>3</v>
      </c>
      <c r="AD281">
        <f>IF($A281="","",IF(Allocation!$N$4="VOL_EFF",$L281,IF(Allocation!$N$4="VOL_CLASS",$M281,$N281)))</f>
        <v>15</v>
      </c>
      <c r="AE281">
        <f>IF($A281="","",IF(Allocation!$N$3="VOL_EFF",$L281,IF(Allocation!$N$3="VOL_CLASS",$M281,$N281)))</f>
        <v>425.333183</v>
      </c>
      <c r="AF281">
        <f>IF($A281="","",IF(Allocation!$N$3="VOL_EFF",$Q281,IF(Allocation!$N$3="VOL_CLASS",$R281,$S281)))</f>
        <v>1392.39301</v>
      </c>
      <c r="AG281">
        <f>IF($A281="","",IF(Allocation!$N$1="VOL_EFF",$Q281,IF(Allocation!$N$1="VOL_CLASS",$R281,$S281)))</f>
        <v>50</v>
      </c>
      <c r="AH281">
        <f>IF($A281="","",IF(Allocation!$N$1="VOL_EFF",$T281,IF(Allocation!$N$1="VOL_CLASS",$U281,$V281)))</f>
        <v>135</v>
      </c>
      <c r="AI281">
        <f t="shared" si="12"/>
        <v>50978.499302</v>
      </c>
      <c r="AJ281">
        <f t="shared" si="13"/>
        <v>131866.836444</v>
      </c>
      <c r="AK281">
        <f t="shared" si="14"/>
        <v>74019.2167850776</v>
      </c>
      <c r="AL281">
        <f t="shared" si="15"/>
        <v>244529.7265524</v>
      </c>
      <c r="AM281">
        <f t="shared" si="16"/>
        <v>65483.7722887864</v>
      </c>
      <c r="AN281">
        <f t="shared" si="17"/>
        <v>255455.64136894</v>
      </c>
      <c r="AO281">
        <f>IF($A281="","",Allocation!CJ281)</f>
        <v>777795.6</v>
      </c>
      <c r="AP281">
        <f>IF($A281="","",IF(Allocation!$N$2="VOL_EFF",$Q281,IF(Allocation!$N$2="VOL_CLASS",$R281,$S281)))</f>
        <v>11144112.273887</v>
      </c>
      <c r="AQ281">
        <f>IF($A281="","",IF(Allocation!$N$2="VOL_EFF",$T281,IF(Allocation!$N$2="VOL_CLASS",$U281,$V281)))</f>
        <v>26814168.474038</v>
      </c>
      <c r="AR281">
        <f t="shared" si="18"/>
        <v>19748.9520127964</v>
      </c>
      <c r="AS281" t="str">
        <f>IF($A281="","",$A281&amp;"|"&amp;Allocation!BG281)</f>
        <v>2027|V02</v>
      </c>
    </row>
    <row r="282" ht="14.497499999999997" customHeight="1">
      <c r="A282" t="str">
        <f>IF(Allocation!BI282="","",Allocation!BI282)</f>
        <v>2027</v>
      </c>
      <c r="B282" t="str">
        <f>IF(Allocation!BJ282="","",Allocation!BJ282)</f>
        <v>MBWAY_PAR</v>
      </c>
      <c r="C282" t="str">
        <f>IF(Allocation!BK282="","",Allocation!BK282)</f>
        <v>MBWAY</v>
      </c>
      <c r="D282" t="str">
        <f>IF(Allocation!BL282="","",Allocation!BL282)</f>
        <v>BAC_MGT</v>
      </c>
      <c r="E282" t="str">
        <f>IF(Allocation!BM282="","",Allocation!BM282)</f>
        <v>B2</v>
      </c>
      <c r="F282" t="str">
        <f>IF(Allocation!BN282="","",Allocation!BN282)</f>
        <v>ALT</v>
      </c>
      <c r="G282">
        <f>IF(Allocation!BO282="","",Allocation!BO282)</f>
        <v>77.17</v>
      </c>
      <c r="H282">
        <f>IF(Allocation!BP282="","",Allocation!BP282)</f>
        <v>3</v>
      </c>
      <c r="I282">
        <f>IF(Allocation!BQ282="","",Allocation!BQ282)</f>
        <v>630423.3376</v>
      </c>
      <c r="J282">
        <f>IF(Allocation!CC282="","",Allocation!CC282)</f>
        <v>0</v>
      </c>
      <c r="K282">
        <f t="shared" si="0"/>
        <v>1440</v>
      </c>
      <c r="L282">
        <f t="shared" si="1"/>
        <v>425.333183</v>
      </c>
      <c r="M282">
        <f t="shared" si="2"/>
        <v>15</v>
      </c>
      <c r="N282">
        <f t="shared" si="3"/>
        <v>3651607.139432</v>
      </c>
      <c r="O282">
        <f t="shared" si="4"/>
        <v>7200</v>
      </c>
      <c r="P282">
        <f t="shared" si="5"/>
        <v>195.853183</v>
      </c>
      <c r="Q282">
        <f t="shared" si="6"/>
        <v>1392.39301</v>
      </c>
      <c r="R282">
        <f t="shared" si="7"/>
        <v>50</v>
      </c>
      <c r="S282">
        <f t="shared" si="8"/>
        <v>11144112.273887</v>
      </c>
      <c r="T282">
        <f t="shared" si="9"/>
        <v>3473.669998</v>
      </c>
      <c r="U282">
        <f t="shared" si="10"/>
        <v>135</v>
      </c>
      <c r="V282">
        <f t="shared" si="11"/>
        <v>26814168.474038</v>
      </c>
      <c r="W282">
        <f>IF($A282="","",Allocation!CD282)</f>
        <v>203913.997208</v>
      </c>
      <c r="X282">
        <f>IF($A282="","",Allocation!CE282)</f>
        <v>527467.345776</v>
      </c>
      <c r="Y282">
        <f>IF($A282="","",Allocation!CF282)</f>
        <v>160051.330045</v>
      </c>
      <c r="Z282">
        <f>IF($A282="","",Allocation!CG282)</f>
        <v>78534.65</v>
      </c>
      <c r="AA282">
        <f>IF($A282="","",Allocation!CH282)</f>
        <v>1222648.632762</v>
      </c>
      <c r="AB282">
        <f>IF($A282="","",Allocation!CI282)</f>
        <v>2894009.992738</v>
      </c>
      <c r="AC282">
        <f>IF($A282="","",IF(Allocation!$N$4="VOL_EFF",$G282,IF(Allocation!$N$4="VOL_CLASS",$H282,$I282)))</f>
        <v>3</v>
      </c>
      <c r="AD282">
        <f>IF($A282="","",IF(Allocation!$N$4="VOL_EFF",$L282,IF(Allocation!$N$4="VOL_CLASS",$M282,$N282)))</f>
        <v>15</v>
      </c>
      <c r="AE282">
        <f>IF($A282="","",IF(Allocation!$N$3="VOL_EFF",$L282,IF(Allocation!$N$3="VOL_CLASS",$M282,$N282)))</f>
        <v>425.333183</v>
      </c>
      <c r="AF282">
        <f>IF($A282="","",IF(Allocation!$N$3="VOL_EFF",$Q282,IF(Allocation!$N$3="VOL_CLASS",$R282,$S282)))</f>
        <v>1392.39301</v>
      </c>
      <c r="AG282">
        <f>IF($A282="","",IF(Allocation!$N$1="VOL_EFF",$Q282,IF(Allocation!$N$1="VOL_CLASS",$R282,$S282)))</f>
        <v>50</v>
      </c>
      <c r="AH282">
        <f>IF($A282="","",IF(Allocation!$N$1="VOL_EFF",$T282,IF(Allocation!$N$1="VOL_CLASS",$U282,$V282)))</f>
        <v>135</v>
      </c>
      <c r="AI282">
        <f t="shared" si="12"/>
        <v>40782.7994416</v>
      </c>
      <c r="AJ282">
        <f t="shared" si="13"/>
        <v>105493.4691552</v>
      </c>
      <c r="AK282">
        <f t="shared" si="14"/>
        <v>29038.7903724235</v>
      </c>
      <c r="AL282">
        <f t="shared" si="15"/>
        <v>244529.7265524</v>
      </c>
      <c r="AM282">
        <f t="shared" si="16"/>
        <v>65483.7722887864</v>
      </c>
      <c r="AN282">
        <f t="shared" si="17"/>
        <v>125345.827776794</v>
      </c>
      <c r="AO282">
        <f>IF($A282="","",Allocation!CJ282)</f>
        <v>777795.6</v>
      </c>
      <c r="AP282">
        <f>IF($A282="","",IF(Allocation!$N$2="VOL_EFF",$Q282,IF(Allocation!$N$2="VOL_CLASS",$R282,$S282)))</f>
        <v>11144112.273887</v>
      </c>
      <c r="AQ282">
        <f>IF($A282="","",IF(Allocation!$N$2="VOL_EFF",$T282,IF(Allocation!$N$2="VOL_CLASS",$U282,$V282)))</f>
        <v>26814168.474038</v>
      </c>
      <c r="AR282">
        <f t="shared" si="18"/>
        <v>19748.9520127964</v>
      </c>
      <c r="AS282" t="str">
        <f>IF($A282="","",$A282&amp;"|"&amp;Allocation!BG282)</f>
        <v>2027|V02</v>
      </c>
    </row>
    <row r="283" ht="14.497499999999997" customHeight="1">
      <c r="A283" t="str">
        <f>IF(Allocation!BI283="","",Allocation!BI283)</f>
        <v>2027</v>
      </c>
      <c r="B283" t="str">
        <f>IF(Allocation!BJ283="","",Allocation!BJ283)</f>
        <v>MBWAY_PAR</v>
      </c>
      <c r="C283" t="str">
        <f>IF(Allocation!BK283="","",Allocation!BK283)</f>
        <v>MBWAY</v>
      </c>
      <c r="D283" t="str">
        <f>IF(Allocation!BL283="","",Allocation!BL283)</f>
        <v>BAC_MGT</v>
      </c>
      <c r="E283" t="str">
        <f>IF(Allocation!BM283="","",Allocation!BM283)</f>
        <v>B3</v>
      </c>
      <c r="F283" t="str">
        <f>IF(Allocation!BN283="","",Allocation!BN283)</f>
        <v>ALT</v>
      </c>
      <c r="G283">
        <f>IF(Allocation!BO283="","",Allocation!BO283)</f>
        <v>75.14</v>
      </c>
      <c r="H283">
        <f>IF(Allocation!BP283="","",Allocation!BP283)</f>
        <v>3</v>
      </c>
      <c r="I283">
        <f>IF(Allocation!BQ283="","",Allocation!BQ283)</f>
        <v>613839.6992</v>
      </c>
      <c r="J283">
        <f>IF(Allocation!CC283="","",Allocation!CC283)</f>
        <v>0</v>
      </c>
      <c r="K283">
        <f t="shared" si="0"/>
        <v>1440</v>
      </c>
      <c r="L283">
        <f t="shared" si="1"/>
        <v>425.333183</v>
      </c>
      <c r="M283">
        <f t="shared" si="2"/>
        <v>15</v>
      </c>
      <c r="N283">
        <f t="shared" si="3"/>
        <v>3651607.139432</v>
      </c>
      <c r="O283">
        <f t="shared" si="4"/>
        <v>7200</v>
      </c>
      <c r="P283">
        <f t="shared" si="5"/>
        <v>195.853183</v>
      </c>
      <c r="Q283">
        <f t="shared" si="6"/>
        <v>1392.39301</v>
      </c>
      <c r="R283">
        <f t="shared" si="7"/>
        <v>50</v>
      </c>
      <c r="S283">
        <f t="shared" si="8"/>
        <v>11144112.273887</v>
      </c>
      <c r="T283">
        <f t="shared" si="9"/>
        <v>3473.669998</v>
      </c>
      <c r="U283">
        <f t="shared" si="10"/>
        <v>135</v>
      </c>
      <c r="V283">
        <f t="shared" si="11"/>
        <v>26814168.474038</v>
      </c>
      <c r="W283">
        <f>IF($A283="","",Allocation!CD283)</f>
        <v>203913.997208</v>
      </c>
      <c r="X283">
        <f>IF($A283="","",Allocation!CE283)</f>
        <v>527467.345776</v>
      </c>
      <c r="Y283">
        <f>IF($A283="","",Allocation!CF283)</f>
        <v>160051.330045</v>
      </c>
      <c r="Z283">
        <f>IF($A283="","",Allocation!CG283)</f>
        <v>78534.65</v>
      </c>
      <c r="AA283">
        <f>IF($A283="","",Allocation!CH283)</f>
        <v>1222648.632762</v>
      </c>
      <c r="AB283">
        <f>IF($A283="","",Allocation!CI283)</f>
        <v>2894009.992738</v>
      </c>
      <c r="AC283">
        <f>IF($A283="","",IF(Allocation!$N$4="VOL_EFF",$G283,IF(Allocation!$N$4="VOL_CLASS",$H283,$I283)))</f>
        <v>3</v>
      </c>
      <c r="AD283">
        <f>IF($A283="","",IF(Allocation!$N$4="VOL_EFF",$L283,IF(Allocation!$N$4="VOL_CLASS",$M283,$N283)))</f>
        <v>15</v>
      </c>
      <c r="AE283">
        <f>IF($A283="","",IF(Allocation!$N$3="VOL_EFF",$L283,IF(Allocation!$N$3="VOL_CLASS",$M283,$N283)))</f>
        <v>425.333183</v>
      </c>
      <c r="AF283">
        <f>IF($A283="","",IF(Allocation!$N$3="VOL_EFF",$Q283,IF(Allocation!$N$3="VOL_CLASS",$R283,$S283)))</f>
        <v>1392.39301</v>
      </c>
      <c r="AG283">
        <f>IF($A283="","",IF(Allocation!$N$1="VOL_EFF",$Q283,IF(Allocation!$N$1="VOL_CLASS",$R283,$S283)))</f>
        <v>50</v>
      </c>
      <c r="AH283">
        <f>IF($A283="","",IF(Allocation!$N$1="VOL_EFF",$T283,IF(Allocation!$N$1="VOL_CLASS",$U283,$V283)))</f>
        <v>135</v>
      </c>
      <c r="AI283">
        <f t="shared" si="12"/>
        <v>40782.7994416</v>
      </c>
      <c r="AJ283">
        <f t="shared" si="13"/>
        <v>105493.4691552</v>
      </c>
      <c r="AK283">
        <f t="shared" si="14"/>
        <v>28274.9087544888</v>
      </c>
      <c r="AL283">
        <f t="shared" si="15"/>
        <v>244529.7265524</v>
      </c>
      <c r="AM283">
        <f t="shared" si="16"/>
        <v>65483.7722887864</v>
      </c>
      <c r="AN283">
        <f t="shared" si="17"/>
        <v>109526.070994728</v>
      </c>
      <c r="AO283">
        <f>IF($A283="","",Allocation!CJ283)</f>
        <v>777795.6</v>
      </c>
      <c r="AP283">
        <f>IF($A283="","",IF(Allocation!$N$2="VOL_EFF",$Q283,IF(Allocation!$N$2="VOL_CLASS",$R283,$S283)))</f>
        <v>11144112.273887</v>
      </c>
      <c r="AQ283">
        <f>IF($A283="","",IF(Allocation!$N$2="VOL_EFF",$T283,IF(Allocation!$N$2="VOL_CLASS",$U283,$V283)))</f>
        <v>26814168.474038</v>
      </c>
      <c r="AR283">
        <f t="shared" si="18"/>
        <v>19748.9520127964</v>
      </c>
      <c r="AS283" t="str">
        <f>IF($A283="","",$A283&amp;"|"&amp;Allocation!BG283)</f>
        <v>2027|V02</v>
      </c>
    </row>
    <row r="284" ht="14.497499999999997" customHeight="1">
      <c r="A284" t="str">
        <f>IF(Allocation!BI284="","",Allocation!BI284)</f>
        <v>2027</v>
      </c>
      <c r="B284" t="str">
        <f>IF(Allocation!BJ284="","",Allocation!BJ284)</f>
        <v>MBWAY_PAR</v>
      </c>
      <c r="C284" t="str">
        <f>IF(Allocation!BK284="","",Allocation!BK284)</f>
        <v>MBWAY</v>
      </c>
      <c r="D284" t="str">
        <f>IF(Allocation!BL284="","",Allocation!BL284)</f>
        <v>MAS_MGT</v>
      </c>
      <c r="E284" t="str">
        <f>IF(Allocation!BM284="","",Allocation!BM284)</f>
        <v>M1</v>
      </c>
      <c r="F284" t="str">
        <f>IF(Allocation!BN284="","",Allocation!BN284)</f>
        <v>ALT</v>
      </c>
      <c r="G284">
        <f>IF(Allocation!BO284="","",Allocation!BO284)</f>
        <v>100.625128</v>
      </c>
      <c r="H284">
        <f>IF(Allocation!BP284="","",Allocation!BP284)</f>
        <v>3</v>
      </c>
      <c r="I284">
        <f>IF(Allocation!BQ284="","",Allocation!BQ284)</f>
        <v>889807.881878</v>
      </c>
      <c r="J284">
        <f>IF(Allocation!CC284="","",Allocation!CC284)</f>
        <v>100.625128</v>
      </c>
      <c r="K284">
        <f t="shared" si="0"/>
        <v>1260</v>
      </c>
      <c r="L284">
        <f t="shared" si="1"/>
        <v>425.333183</v>
      </c>
      <c r="M284">
        <f t="shared" si="2"/>
        <v>15</v>
      </c>
      <c r="N284">
        <f t="shared" si="3"/>
        <v>3651607.139432</v>
      </c>
      <c r="O284">
        <f t="shared" si="4"/>
        <v>7200</v>
      </c>
      <c r="P284">
        <f t="shared" si="5"/>
        <v>195.853183</v>
      </c>
      <c r="Q284">
        <f t="shared" si="6"/>
        <v>1392.39301</v>
      </c>
      <c r="R284">
        <f t="shared" si="7"/>
        <v>50</v>
      </c>
      <c r="S284">
        <f t="shared" si="8"/>
        <v>11144112.273887</v>
      </c>
      <c r="T284">
        <f t="shared" si="9"/>
        <v>3473.669998</v>
      </c>
      <c r="U284">
        <f t="shared" si="10"/>
        <v>135</v>
      </c>
      <c r="V284">
        <f t="shared" si="11"/>
        <v>26814168.474038</v>
      </c>
      <c r="W284">
        <f>IF($A284="","",Allocation!CD284)</f>
        <v>203913.997208</v>
      </c>
      <c r="X284">
        <f>IF($A284="","",Allocation!CE284)</f>
        <v>527467.345776</v>
      </c>
      <c r="Y284">
        <f>IF($A284="","",Allocation!CF284)</f>
        <v>160051.330045</v>
      </c>
      <c r="Z284">
        <f>IF($A284="","",Allocation!CG284)</f>
        <v>78534.65</v>
      </c>
      <c r="AA284">
        <f>IF($A284="","",Allocation!CH284)</f>
        <v>1222648.632762</v>
      </c>
      <c r="AB284">
        <f>IF($A284="","",Allocation!CI284)</f>
        <v>2894009.992738</v>
      </c>
      <c r="AC284">
        <f>IF($A284="","",IF(Allocation!$N$4="VOL_EFF",$G284,IF(Allocation!$N$4="VOL_CLASS",$H284,$I284)))</f>
        <v>3</v>
      </c>
      <c r="AD284">
        <f>IF($A284="","",IF(Allocation!$N$4="VOL_EFF",$L284,IF(Allocation!$N$4="VOL_CLASS",$M284,$N284)))</f>
        <v>15</v>
      </c>
      <c r="AE284">
        <f>IF($A284="","",IF(Allocation!$N$3="VOL_EFF",$L284,IF(Allocation!$N$3="VOL_CLASS",$M284,$N284)))</f>
        <v>425.333183</v>
      </c>
      <c r="AF284">
        <f>IF($A284="","",IF(Allocation!$N$3="VOL_EFF",$Q284,IF(Allocation!$N$3="VOL_CLASS",$R284,$S284)))</f>
        <v>1392.39301</v>
      </c>
      <c r="AG284">
        <f>IF($A284="","",IF(Allocation!$N$1="VOL_EFF",$Q284,IF(Allocation!$N$1="VOL_CLASS",$R284,$S284)))</f>
        <v>50</v>
      </c>
      <c r="AH284">
        <f>IF($A284="","",IF(Allocation!$N$1="VOL_EFF",$T284,IF(Allocation!$N$1="VOL_CLASS",$U284,$V284)))</f>
        <v>135</v>
      </c>
      <c r="AI284">
        <f t="shared" si="12"/>
        <v>35684.9495114</v>
      </c>
      <c r="AJ284">
        <f t="shared" si="13"/>
        <v>92306.7855108</v>
      </c>
      <c r="AK284">
        <f t="shared" si="14"/>
        <v>78214.2737605865</v>
      </c>
      <c r="AL284">
        <f t="shared" si="15"/>
        <v>244529.7265524</v>
      </c>
      <c r="AM284">
        <f t="shared" si="16"/>
        <v>65483.7722887864</v>
      </c>
      <c r="AN284">
        <f t="shared" si="17"/>
        <v>353839.422241231</v>
      </c>
      <c r="AO284">
        <f>IF($A284="","",Allocation!CJ284)</f>
        <v>777795.6</v>
      </c>
      <c r="AP284">
        <f>IF($A284="","",IF(Allocation!$N$2="VOL_EFF",$Q284,IF(Allocation!$N$2="VOL_CLASS",$R284,$S284)))</f>
        <v>11144112.273887</v>
      </c>
      <c r="AQ284">
        <f>IF($A284="","",IF(Allocation!$N$2="VOL_EFF",$T284,IF(Allocation!$N$2="VOL_CLASS",$U284,$V284)))</f>
        <v>26814168.474038</v>
      </c>
      <c r="AR284">
        <f t="shared" si="18"/>
        <v>19748.9520127964</v>
      </c>
      <c r="AS284" t="str">
        <f>IF($A284="","",$A284&amp;"|"&amp;Allocation!BG284)</f>
        <v>2027|V02</v>
      </c>
    </row>
    <row r="285" ht="14.497499999999997" customHeight="1">
      <c r="A285" t="str">
        <f>IF(Allocation!BI285="","",Allocation!BI285)</f>
        <v>2027</v>
      </c>
      <c r="B285" t="str">
        <f>IF(Allocation!BJ285="","",Allocation!BJ285)</f>
        <v>MBWAY_PAR</v>
      </c>
      <c r="C285" t="str">
        <f>IF(Allocation!BK285="","",Allocation!BK285)</f>
        <v>MBWAY</v>
      </c>
      <c r="D285" t="str">
        <f>IF(Allocation!BL285="","",Allocation!BL285)</f>
        <v>MAS_MGT</v>
      </c>
      <c r="E285" t="str">
        <f>IF(Allocation!BM285="","",Allocation!BM285)</f>
        <v>M2</v>
      </c>
      <c r="F285" t="str">
        <f>IF(Allocation!BN285="","",Allocation!BN285)</f>
        <v>ALT</v>
      </c>
      <c r="G285">
        <f>IF(Allocation!BO285="","",Allocation!BO285)</f>
        <v>77.17</v>
      </c>
      <c r="H285">
        <f>IF(Allocation!BP285="","",Allocation!BP285)</f>
        <v>3</v>
      </c>
      <c r="I285">
        <f>IF(Allocation!BQ285="","",Allocation!BQ285)</f>
        <v>675453.576</v>
      </c>
      <c r="J285">
        <f>IF(Allocation!CC285="","",Allocation!CC285)</f>
        <v>0</v>
      </c>
      <c r="K285">
        <f t="shared" si="0"/>
        <v>1260</v>
      </c>
      <c r="L285">
        <f t="shared" si="1"/>
        <v>425.333183</v>
      </c>
      <c r="M285">
        <f t="shared" si="2"/>
        <v>15</v>
      </c>
      <c r="N285">
        <f t="shared" si="3"/>
        <v>3651607.139432</v>
      </c>
      <c r="O285">
        <f t="shared" si="4"/>
        <v>7200</v>
      </c>
      <c r="P285">
        <f t="shared" si="5"/>
        <v>195.853183</v>
      </c>
      <c r="Q285">
        <f t="shared" si="6"/>
        <v>1392.39301</v>
      </c>
      <c r="R285">
        <f t="shared" si="7"/>
        <v>50</v>
      </c>
      <c r="S285">
        <f t="shared" si="8"/>
        <v>11144112.273887</v>
      </c>
      <c r="T285">
        <f t="shared" si="9"/>
        <v>3473.669998</v>
      </c>
      <c r="U285">
        <f t="shared" si="10"/>
        <v>135</v>
      </c>
      <c r="V285">
        <f t="shared" si="11"/>
        <v>26814168.474038</v>
      </c>
      <c r="W285">
        <f>IF($A285="","",Allocation!CD285)</f>
        <v>203913.997208</v>
      </c>
      <c r="X285">
        <f>IF($A285="","",Allocation!CE285)</f>
        <v>527467.345776</v>
      </c>
      <c r="Y285">
        <f>IF($A285="","",Allocation!CF285)</f>
        <v>160051.330045</v>
      </c>
      <c r="Z285">
        <f>IF($A285="","",Allocation!CG285)</f>
        <v>78534.65</v>
      </c>
      <c r="AA285">
        <f>IF($A285="","",Allocation!CH285)</f>
        <v>1222648.632762</v>
      </c>
      <c r="AB285">
        <f>IF($A285="","",Allocation!CI285)</f>
        <v>2894009.992738</v>
      </c>
      <c r="AC285">
        <f>IF($A285="","",IF(Allocation!$N$4="VOL_EFF",$G285,IF(Allocation!$N$4="VOL_CLASS",$H285,$I285)))</f>
        <v>3</v>
      </c>
      <c r="AD285">
        <f>IF($A285="","",IF(Allocation!$N$4="VOL_EFF",$L285,IF(Allocation!$N$4="VOL_CLASS",$M285,$N285)))</f>
        <v>15</v>
      </c>
      <c r="AE285">
        <f>IF($A285="","",IF(Allocation!$N$3="VOL_EFF",$L285,IF(Allocation!$N$3="VOL_CLASS",$M285,$N285)))</f>
        <v>425.333183</v>
      </c>
      <c r="AF285">
        <f>IF($A285="","",IF(Allocation!$N$3="VOL_EFF",$Q285,IF(Allocation!$N$3="VOL_CLASS",$R285,$S285)))</f>
        <v>1392.39301</v>
      </c>
      <c r="AG285">
        <f>IF($A285="","",IF(Allocation!$N$1="VOL_EFF",$Q285,IF(Allocation!$N$1="VOL_CLASS",$R285,$S285)))</f>
        <v>50</v>
      </c>
      <c r="AH285">
        <f>IF($A285="","",IF(Allocation!$N$1="VOL_EFF",$T285,IF(Allocation!$N$1="VOL_CLASS",$U285,$V285)))</f>
        <v>135</v>
      </c>
      <c r="AI285">
        <f t="shared" si="12"/>
        <v>35684.9495114</v>
      </c>
      <c r="AJ285">
        <f t="shared" si="13"/>
        <v>92306.7855108</v>
      </c>
      <c r="AK285">
        <f t="shared" si="14"/>
        <v>29038.7903724235</v>
      </c>
      <c r="AL285">
        <f t="shared" si="15"/>
        <v>244529.7265524</v>
      </c>
      <c r="AM285">
        <f t="shared" si="16"/>
        <v>65483.7722887864</v>
      </c>
      <c r="AN285">
        <f t="shared" si="17"/>
        <v>188660.599751394</v>
      </c>
      <c r="AO285">
        <f>IF($A285="","",Allocation!CJ285)</f>
        <v>777795.6</v>
      </c>
      <c r="AP285">
        <f>IF($A285="","",IF(Allocation!$N$2="VOL_EFF",$Q285,IF(Allocation!$N$2="VOL_CLASS",$R285,$S285)))</f>
        <v>11144112.273887</v>
      </c>
      <c r="AQ285">
        <f>IF($A285="","",IF(Allocation!$N$2="VOL_EFF",$T285,IF(Allocation!$N$2="VOL_CLASS",$U285,$V285)))</f>
        <v>26814168.474038</v>
      </c>
      <c r="AR285">
        <f t="shared" si="18"/>
        <v>19748.9520127964</v>
      </c>
      <c r="AS285" t="str">
        <f>IF($A285="","",$A285&amp;"|"&amp;Allocation!BG285)</f>
        <v>2027|V02</v>
      </c>
    </row>
    <row r="286" ht="14.497499999999997" customHeight="1">
      <c r="A286" t="str">
        <f>IF(Allocation!BI286="","",Allocation!BI286)</f>
        <v>2027</v>
      </c>
      <c r="B286" t="str">
        <f>IF(Allocation!BJ286="","",Allocation!BJ286)</f>
        <v>PIGIER_BOR</v>
      </c>
      <c r="C286" t="str">
        <f>IF(Allocation!BK286="","",Allocation!BK286)</f>
        <v>PIGIER</v>
      </c>
      <c r="D286" t="str">
        <f>IF(Allocation!BL286="","",Allocation!BL286)</f>
        <v>BTS_GES</v>
      </c>
      <c r="E286" t="str">
        <f>IF(Allocation!BM286="","",Allocation!BM286)</f>
        <v>BTS1</v>
      </c>
      <c r="F286" t="str">
        <f>IF(Allocation!BN286="","",Allocation!BN286)</f>
        <v>ALT</v>
      </c>
      <c r="G286">
        <f>IF(Allocation!BO286="","",Allocation!BO286)</f>
        <v>46.478135</v>
      </c>
      <c r="H286">
        <f>IF(Allocation!BP286="","",Allocation!BP286)</f>
        <v>2</v>
      </c>
      <c r="I286">
        <f>IF(Allocation!BQ286="","",Allocation!BQ286)</f>
        <v>283206.61434</v>
      </c>
      <c r="J286">
        <f>IF(Allocation!CC286="","",Allocation!CC286)</f>
        <v>46.478135</v>
      </c>
      <c r="K286">
        <f t="shared" si="0"/>
        <v>1400</v>
      </c>
      <c r="L286">
        <f t="shared" si="1"/>
        <v>198.56127</v>
      </c>
      <c r="M286">
        <f t="shared" si="2"/>
        <v>10</v>
      </c>
      <c r="N286">
        <f t="shared" si="3"/>
        <v>1317002.709769</v>
      </c>
      <c r="O286">
        <f t="shared" si="4"/>
        <v>5680</v>
      </c>
      <c r="P286">
        <f t="shared" si="5"/>
        <v>92.95627</v>
      </c>
      <c r="Q286">
        <f t="shared" si="6"/>
        <v>453.102436</v>
      </c>
      <c r="R286">
        <f t="shared" si="7"/>
        <v>20</v>
      </c>
      <c r="S286">
        <f t="shared" si="8"/>
        <v>3143826.279397</v>
      </c>
      <c r="T286">
        <f t="shared" si="9"/>
        <v>3473.669998</v>
      </c>
      <c r="U286">
        <f t="shared" si="10"/>
        <v>135</v>
      </c>
      <c r="V286">
        <f t="shared" si="11"/>
        <v>26814168.474038</v>
      </c>
      <c r="W286">
        <f>IF($A286="","",Allocation!CD286)</f>
        <v>108753.606372</v>
      </c>
      <c r="X286">
        <f>IF($A286="","",Allocation!CE286)</f>
        <v>192003.82131</v>
      </c>
      <c r="Y286">
        <f>IF($A286="","",Allocation!CF286)</f>
        <v>59496.216244</v>
      </c>
      <c r="Z286">
        <f>IF($A286="","",Allocation!CG286)</f>
        <v>25263.2</v>
      </c>
      <c r="AA286">
        <f>IF($A286="","",Allocation!CH286)</f>
        <v>350737.430926</v>
      </c>
      <c r="AB286">
        <f>IF($A286="","",Allocation!CI286)</f>
        <v>2894009.992738</v>
      </c>
      <c r="AC286">
        <f>IF($A286="","",IF(Allocation!$N$4="VOL_EFF",$G286,IF(Allocation!$N$4="VOL_CLASS",$H286,$I286)))</f>
        <v>2</v>
      </c>
      <c r="AD286">
        <f>IF($A286="","",IF(Allocation!$N$4="VOL_EFF",$L286,IF(Allocation!$N$4="VOL_CLASS",$M286,$N286)))</f>
        <v>10</v>
      </c>
      <c r="AE286">
        <f>IF($A286="","",IF(Allocation!$N$3="VOL_EFF",$L286,IF(Allocation!$N$3="VOL_CLASS",$M286,$N286)))</f>
        <v>198.56127</v>
      </c>
      <c r="AF286">
        <f>IF($A286="","",IF(Allocation!$N$3="VOL_EFF",$Q286,IF(Allocation!$N$3="VOL_CLASS",$R286,$S286)))</f>
        <v>453.102436</v>
      </c>
      <c r="AG286">
        <f>IF($A286="","",IF(Allocation!$N$1="VOL_EFF",$Q286,IF(Allocation!$N$1="VOL_CLASS",$R286,$S286)))</f>
        <v>20</v>
      </c>
      <c r="AH286">
        <f>IF($A286="","",IF(Allocation!$N$1="VOL_EFF",$T286,IF(Allocation!$N$1="VOL_CLASS",$U286,$V286)))</f>
        <v>135</v>
      </c>
      <c r="AI286">
        <f t="shared" si="12"/>
        <v>26805.4663592958</v>
      </c>
      <c r="AJ286">
        <f t="shared" si="13"/>
        <v>47324.8855341549</v>
      </c>
      <c r="AK286">
        <f t="shared" si="14"/>
        <v>26558.1485690025</v>
      </c>
      <c r="AL286">
        <f t="shared" si="15"/>
        <v>70147.4861852</v>
      </c>
      <c r="AM286">
        <f t="shared" si="16"/>
        <v>37577.19807688</v>
      </c>
      <c r="AN286">
        <f t="shared" si="17"/>
        <v>66800.8342160648</v>
      </c>
      <c r="AO286">
        <f>IF($A286="","",Allocation!CJ286)</f>
        <v>777795.6</v>
      </c>
      <c r="AP286">
        <f>IF($A286="","",IF(Allocation!$N$2="VOL_EFF",$Q286,IF(Allocation!$N$2="VOL_CLASS",$R286,$S286)))</f>
        <v>3143826.279397</v>
      </c>
      <c r="AQ286">
        <f>IF($A286="","",IF(Allocation!$N$2="VOL_EFF",$T286,IF(Allocation!$N$2="VOL_CLASS",$U286,$V286)))</f>
        <v>26814168.474038</v>
      </c>
      <c r="AR286">
        <f t="shared" si="18"/>
        <v>7992.59539940196</v>
      </c>
      <c r="AS286" t="str">
        <f>IF($A286="","",$A286&amp;"|"&amp;Allocation!BG286)</f>
        <v>2027|V02</v>
      </c>
    </row>
    <row r="287" ht="14.497499999999997" customHeight="1">
      <c r="A287" t="str">
        <f>IF(Allocation!BI287="","",Allocation!BI287)</f>
        <v>2027</v>
      </c>
      <c r="B287" t="str">
        <f>IF(Allocation!BJ287="","",Allocation!BJ287)</f>
        <v>PIGIER_BOR</v>
      </c>
      <c r="C287" t="str">
        <f>IF(Allocation!BK287="","",Allocation!BK287)</f>
        <v>PIGIER</v>
      </c>
      <c r="D287" t="str">
        <f>IF(Allocation!BL287="","",Allocation!BL287)</f>
        <v>BTS_GES</v>
      </c>
      <c r="E287" t="str">
        <f>IF(Allocation!BM287="","",Allocation!BM287)</f>
        <v>BTS2</v>
      </c>
      <c r="F287" t="str">
        <f>IF(Allocation!BN287="","",Allocation!BN287)</f>
        <v>ALT</v>
      </c>
      <c r="G287">
        <f>IF(Allocation!BO287="","",Allocation!BO287)</f>
        <v>35.54</v>
      </c>
      <c r="H287">
        <f>IF(Allocation!BP287="","",Allocation!BP287)</f>
        <v>2</v>
      </c>
      <c r="I287">
        <f>IF(Allocation!BQ287="","",Allocation!BQ287)</f>
        <v>213358.3482</v>
      </c>
      <c r="J287">
        <f>IF(Allocation!CC287="","",Allocation!CC287)</f>
        <v>0</v>
      </c>
      <c r="K287">
        <f t="shared" si="0"/>
        <v>1400</v>
      </c>
      <c r="L287">
        <f t="shared" si="1"/>
        <v>198.56127</v>
      </c>
      <c r="M287">
        <f t="shared" si="2"/>
        <v>10</v>
      </c>
      <c r="N287">
        <f t="shared" si="3"/>
        <v>1317002.709769</v>
      </c>
      <c r="O287">
        <f t="shared" si="4"/>
        <v>5680</v>
      </c>
      <c r="P287">
        <f t="shared" si="5"/>
        <v>92.95627</v>
      </c>
      <c r="Q287">
        <f t="shared" si="6"/>
        <v>453.102436</v>
      </c>
      <c r="R287">
        <f t="shared" si="7"/>
        <v>20</v>
      </c>
      <c r="S287">
        <f t="shared" si="8"/>
        <v>3143826.279397</v>
      </c>
      <c r="T287">
        <f t="shared" si="9"/>
        <v>3473.669998</v>
      </c>
      <c r="U287">
        <f t="shared" si="10"/>
        <v>135</v>
      </c>
      <c r="V287">
        <f t="shared" si="11"/>
        <v>26814168.474038</v>
      </c>
      <c r="W287">
        <f>IF($A287="","",Allocation!CD287)</f>
        <v>108753.606372</v>
      </c>
      <c r="X287">
        <f>IF($A287="","",Allocation!CE287)</f>
        <v>192003.82131</v>
      </c>
      <c r="Y287">
        <f>IF($A287="","",Allocation!CF287)</f>
        <v>59496.216244</v>
      </c>
      <c r="Z287">
        <f>IF($A287="","",Allocation!CG287)</f>
        <v>25263.2</v>
      </c>
      <c r="AA287">
        <f>IF($A287="","",Allocation!CH287)</f>
        <v>350737.430926</v>
      </c>
      <c r="AB287">
        <f>IF($A287="","",Allocation!CI287)</f>
        <v>2894009.992738</v>
      </c>
      <c r="AC287">
        <f>IF($A287="","",IF(Allocation!$N$4="VOL_EFF",$G287,IF(Allocation!$N$4="VOL_CLASS",$H287,$I287)))</f>
        <v>2</v>
      </c>
      <c r="AD287">
        <f>IF($A287="","",IF(Allocation!$N$4="VOL_EFF",$L287,IF(Allocation!$N$4="VOL_CLASS",$M287,$N287)))</f>
        <v>10</v>
      </c>
      <c r="AE287">
        <f>IF($A287="","",IF(Allocation!$N$3="VOL_EFF",$L287,IF(Allocation!$N$3="VOL_CLASS",$M287,$N287)))</f>
        <v>198.56127</v>
      </c>
      <c r="AF287">
        <f>IF($A287="","",IF(Allocation!$N$3="VOL_EFF",$Q287,IF(Allocation!$N$3="VOL_CLASS",$R287,$S287)))</f>
        <v>453.102436</v>
      </c>
      <c r="AG287">
        <f>IF($A287="","",IF(Allocation!$N$1="VOL_EFF",$Q287,IF(Allocation!$N$1="VOL_CLASS",$R287,$S287)))</f>
        <v>20</v>
      </c>
      <c r="AH287">
        <f>IF($A287="","",IF(Allocation!$N$1="VOL_EFF",$T287,IF(Allocation!$N$1="VOL_CLASS",$U287,$V287)))</f>
        <v>135</v>
      </c>
      <c r="AI287">
        <f t="shared" si="12"/>
        <v>26805.4663592958</v>
      </c>
      <c r="AJ287">
        <f t="shared" si="13"/>
        <v>47324.8855341549</v>
      </c>
      <c r="AK287">
        <f t="shared" si="14"/>
        <v>10649.083405398</v>
      </c>
      <c r="AL287">
        <f t="shared" si="15"/>
        <v>70147.4861852</v>
      </c>
      <c r="AM287">
        <f t="shared" si="16"/>
        <v>37577.19807688</v>
      </c>
      <c r="AN287">
        <f t="shared" si="17"/>
        <v>12861.6332396693</v>
      </c>
      <c r="AO287">
        <f>IF($A287="","",Allocation!CJ287)</f>
        <v>777795.6</v>
      </c>
      <c r="AP287">
        <f>IF($A287="","",IF(Allocation!$N$2="VOL_EFF",$Q287,IF(Allocation!$N$2="VOL_CLASS",$R287,$S287)))</f>
        <v>3143826.279397</v>
      </c>
      <c r="AQ287">
        <f>IF($A287="","",IF(Allocation!$N$2="VOL_EFF",$T287,IF(Allocation!$N$2="VOL_CLASS",$U287,$V287)))</f>
        <v>26814168.474038</v>
      </c>
      <c r="AR287">
        <f t="shared" si="18"/>
        <v>7992.59539940196</v>
      </c>
      <c r="AS287" t="str">
        <f>IF($A287="","",$A287&amp;"|"&amp;Allocation!BG287)</f>
        <v>2027|V02</v>
      </c>
    </row>
    <row r="288" ht="14.497499999999997" customHeight="1">
      <c r="A288" t="str">
        <f>IF(Allocation!BI288="","",Allocation!BI288)</f>
        <v>2027</v>
      </c>
      <c r="B288" t="str">
        <f>IF(Allocation!BJ288="","",Allocation!BJ288)</f>
        <v>PIGIER_BOR</v>
      </c>
      <c r="C288" t="str">
        <f>IF(Allocation!BK288="","",Allocation!BK288)</f>
        <v>PIGIER</v>
      </c>
      <c r="D288" t="str">
        <f>IF(Allocation!BL288="","",Allocation!BL288)</f>
        <v>BAC_RH</v>
      </c>
      <c r="E288" t="str">
        <f>IF(Allocation!BM288="","",Allocation!BM288)</f>
        <v>B1</v>
      </c>
      <c r="F288" t="str">
        <f>IF(Allocation!BN288="","",Allocation!BN288)</f>
        <v>ALT</v>
      </c>
      <c r="G288">
        <f>IF(Allocation!BO288="","",Allocation!BO288)</f>
        <v>46.478135</v>
      </c>
      <c r="H288">
        <f>IF(Allocation!BP288="","",Allocation!BP288)</f>
        <v>2</v>
      </c>
      <c r="I288">
        <f>IF(Allocation!BQ288="","",Allocation!BQ288)</f>
        <v>329710.544704</v>
      </c>
      <c r="J288">
        <f>IF(Allocation!CC288="","",Allocation!CC288)</f>
        <v>46.478135</v>
      </c>
      <c r="K288">
        <f t="shared" si="0"/>
        <v>960</v>
      </c>
      <c r="L288">
        <f t="shared" si="1"/>
        <v>198.56127</v>
      </c>
      <c r="M288">
        <f t="shared" si="2"/>
        <v>10</v>
      </c>
      <c r="N288">
        <f t="shared" si="3"/>
        <v>1317002.709769</v>
      </c>
      <c r="O288">
        <f t="shared" si="4"/>
        <v>5680</v>
      </c>
      <c r="P288">
        <f t="shared" si="5"/>
        <v>92.95627</v>
      </c>
      <c r="Q288">
        <f t="shared" si="6"/>
        <v>453.102436</v>
      </c>
      <c r="R288">
        <f t="shared" si="7"/>
        <v>20</v>
      </c>
      <c r="S288">
        <f t="shared" si="8"/>
        <v>3143826.279397</v>
      </c>
      <c r="T288">
        <f t="shared" si="9"/>
        <v>3473.669998</v>
      </c>
      <c r="U288">
        <f t="shared" si="10"/>
        <v>135</v>
      </c>
      <c r="V288">
        <f t="shared" si="11"/>
        <v>26814168.474038</v>
      </c>
      <c r="W288">
        <f>IF($A288="","",Allocation!CD288)</f>
        <v>108753.606372</v>
      </c>
      <c r="X288">
        <f>IF($A288="","",Allocation!CE288)</f>
        <v>192003.82131</v>
      </c>
      <c r="Y288">
        <f>IF($A288="","",Allocation!CF288)</f>
        <v>59496.216244</v>
      </c>
      <c r="Z288">
        <f>IF($A288="","",Allocation!CG288)</f>
        <v>25263.2</v>
      </c>
      <c r="AA288">
        <f>IF($A288="","",Allocation!CH288)</f>
        <v>350737.430926</v>
      </c>
      <c r="AB288">
        <f>IF($A288="","",Allocation!CI288)</f>
        <v>2894009.992738</v>
      </c>
      <c r="AC288">
        <f>IF($A288="","",IF(Allocation!$N$4="VOL_EFF",$G288,IF(Allocation!$N$4="VOL_CLASS",$H288,$I288)))</f>
        <v>2</v>
      </c>
      <c r="AD288">
        <f>IF($A288="","",IF(Allocation!$N$4="VOL_EFF",$L288,IF(Allocation!$N$4="VOL_CLASS",$M288,$N288)))</f>
        <v>10</v>
      </c>
      <c r="AE288">
        <f>IF($A288="","",IF(Allocation!$N$3="VOL_EFF",$L288,IF(Allocation!$N$3="VOL_CLASS",$M288,$N288)))</f>
        <v>198.56127</v>
      </c>
      <c r="AF288">
        <f>IF($A288="","",IF(Allocation!$N$3="VOL_EFF",$Q288,IF(Allocation!$N$3="VOL_CLASS",$R288,$S288)))</f>
        <v>453.102436</v>
      </c>
      <c r="AG288">
        <f>IF($A288="","",IF(Allocation!$N$1="VOL_EFF",$Q288,IF(Allocation!$N$1="VOL_CLASS",$R288,$S288)))</f>
        <v>20</v>
      </c>
      <c r="AH288">
        <f>IF($A288="","",IF(Allocation!$N$1="VOL_EFF",$T288,IF(Allocation!$N$1="VOL_CLASS",$U288,$V288)))</f>
        <v>135</v>
      </c>
      <c r="AI288">
        <f t="shared" si="12"/>
        <v>18380.8912178028</v>
      </c>
      <c r="AJ288">
        <f t="shared" si="13"/>
        <v>32451.3500805634</v>
      </c>
      <c r="AK288">
        <f t="shared" si="14"/>
        <v>26558.1485690025</v>
      </c>
      <c r="AL288">
        <f t="shared" si="15"/>
        <v>70147.4861852</v>
      </c>
      <c r="AM288">
        <f t="shared" si="16"/>
        <v>37577.19807688</v>
      </c>
      <c r="AN288">
        <f t="shared" si="17"/>
        <v>136602.875175149</v>
      </c>
      <c r="AO288">
        <f>IF($A288="","",Allocation!CJ288)</f>
        <v>777795.6</v>
      </c>
      <c r="AP288">
        <f>IF($A288="","",IF(Allocation!$N$2="VOL_EFF",$Q288,IF(Allocation!$N$2="VOL_CLASS",$R288,$S288)))</f>
        <v>3143826.279397</v>
      </c>
      <c r="AQ288">
        <f>IF($A288="","",IF(Allocation!$N$2="VOL_EFF",$T288,IF(Allocation!$N$2="VOL_CLASS",$U288,$V288)))</f>
        <v>26814168.474038</v>
      </c>
      <c r="AR288">
        <f t="shared" si="18"/>
        <v>7992.59539940196</v>
      </c>
      <c r="AS288" t="str">
        <f>IF($A288="","",$A288&amp;"|"&amp;Allocation!BG288)</f>
        <v>2027|V02</v>
      </c>
    </row>
    <row r="289" ht="14.497499999999997" customHeight="1">
      <c r="A289" t="str">
        <f>IF(Allocation!BI289="","",Allocation!BI289)</f>
        <v>2027</v>
      </c>
      <c r="B289" t="str">
        <f>IF(Allocation!BJ289="","",Allocation!BJ289)</f>
        <v>PIGIER_BOR</v>
      </c>
      <c r="C289" t="str">
        <f>IF(Allocation!BK289="","",Allocation!BK289)</f>
        <v>PIGIER</v>
      </c>
      <c r="D289" t="str">
        <f>IF(Allocation!BL289="","",Allocation!BL289)</f>
        <v>BAC_RH</v>
      </c>
      <c r="E289" t="str">
        <f>IF(Allocation!BM289="","",Allocation!BM289)</f>
        <v>B2</v>
      </c>
      <c r="F289" t="str">
        <f>IF(Allocation!BN289="","",Allocation!BN289)</f>
        <v>ALT</v>
      </c>
      <c r="G289">
        <f>IF(Allocation!BO289="","",Allocation!BO289)</f>
        <v>35.54</v>
      </c>
      <c r="H289">
        <f>IF(Allocation!BP289="","",Allocation!BP289)</f>
        <v>2</v>
      </c>
      <c r="I289">
        <f>IF(Allocation!BQ289="","",Allocation!BQ289)</f>
        <v>248918.0729</v>
      </c>
      <c r="J289">
        <f>IF(Allocation!CC289="","",Allocation!CC289)</f>
        <v>0</v>
      </c>
      <c r="K289">
        <f t="shared" si="0"/>
        <v>960</v>
      </c>
      <c r="L289">
        <f t="shared" si="1"/>
        <v>198.56127</v>
      </c>
      <c r="M289">
        <f t="shared" si="2"/>
        <v>10</v>
      </c>
      <c r="N289">
        <f t="shared" si="3"/>
        <v>1317002.709769</v>
      </c>
      <c r="O289">
        <f t="shared" si="4"/>
        <v>5680</v>
      </c>
      <c r="P289">
        <f t="shared" si="5"/>
        <v>92.95627</v>
      </c>
      <c r="Q289">
        <f t="shared" si="6"/>
        <v>453.102436</v>
      </c>
      <c r="R289">
        <f t="shared" si="7"/>
        <v>20</v>
      </c>
      <c r="S289">
        <f t="shared" si="8"/>
        <v>3143826.279397</v>
      </c>
      <c r="T289">
        <f t="shared" si="9"/>
        <v>3473.669998</v>
      </c>
      <c r="U289">
        <f t="shared" si="10"/>
        <v>135</v>
      </c>
      <c r="V289">
        <f t="shared" si="11"/>
        <v>26814168.474038</v>
      </c>
      <c r="W289">
        <f>IF($A289="","",Allocation!CD289)</f>
        <v>108753.606372</v>
      </c>
      <c r="X289">
        <f>IF($A289="","",Allocation!CE289)</f>
        <v>192003.82131</v>
      </c>
      <c r="Y289">
        <f>IF($A289="","",Allocation!CF289)</f>
        <v>59496.216244</v>
      </c>
      <c r="Z289">
        <f>IF($A289="","",Allocation!CG289)</f>
        <v>25263.2</v>
      </c>
      <c r="AA289">
        <f>IF($A289="","",Allocation!CH289)</f>
        <v>350737.430926</v>
      </c>
      <c r="AB289">
        <f>IF($A289="","",Allocation!CI289)</f>
        <v>2894009.992738</v>
      </c>
      <c r="AC289">
        <f>IF($A289="","",IF(Allocation!$N$4="VOL_EFF",$G289,IF(Allocation!$N$4="VOL_CLASS",$H289,$I289)))</f>
        <v>2</v>
      </c>
      <c r="AD289">
        <f>IF($A289="","",IF(Allocation!$N$4="VOL_EFF",$L289,IF(Allocation!$N$4="VOL_CLASS",$M289,$N289)))</f>
        <v>10</v>
      </c>
      <c r="AE289">
        <f>IF($A289="","",IF(Allocation!$N$3="VOL_EFF",$L289,IF(Allocation!$N$3="VOL_CLASS",$M289,$N289)))</f>
        <v>198.56127</v>
      </c>
      <c r="AF289">
        <f>IF($A289="","",IF(Allocation!$N$3="VOL_EFF",$Q289,IF(Allocation!$N$3="VOL_CLASS",$R289,$S289)))</f>
        <v>453.102436</v>
      </c>
      <c r="AG289">
        <f>IF($A289="","",IF(Allocation!$N$1="VOL_EFF",$Q289,IF(Allocation!$N$1="VOL_CLASS",$R289,$S289)))</f>
        <v>20</v>
      </c>
      <c r="AH289">
        <f>IF($A289="","",IF(Allocation!$N$1="VOL_EFF",$T289,IF(Allocation!$N$1="VOL_CLASS",$U289,$V289)))</f>
        <v>135</v>
      </c>
      <c r="AI289">
        <f t="shared" si="12"/>
        <v>18380.8912178028</v>
      </c>
      <c r="AJ289">
        <f t="shared" si="13"/>
        <v>32451.3500805634</v>
      </c>
      <c r="AK289">
        <f t="shared" si="14"/>
        <v>10649.083405398</v>
      </c>
      <c r="AL289">
        <f t="shared" si="15"/>
        <v>70147.4861852</v>
      </c>
      <c r="AM289">
        <f t="shared" si="16"/>
        <v>37577.19807688</v>
      </c>
      <c r="AN289">
        <f t="shared" si="17"/>
        <v>71719.4685347538</v>
      </c>
      <c r="AO289">
        <f>IF($A289="","",Allocation!CJ289)</f>
        <v>777795.6</v>
      </c>
      <c r="AP289">
        <f>IF($A289="","",IF(Allocation!$N$2="VOL_EFF",$Q289,IF(Allocation!$N$2="VOL_CLASS",$R289,$S289)))</f>
        <v>3143826.279397</v>
      </c>
      <c r="AQ289">
        <f>IF($A289="","",IF(Allocation!$N$2="VOL_EFF",$T289,IF(Allocation!$N$2="VOL_CLASS",$U289,$V289)))</f>
        <v>26814168.474038</v>
      </c>
      <c r="AR289">
        <f t="shared" si="18"/>
        <v>7992.59539940196</v>
      </c>
      <c r="AS289" t="str">
        <f>IF($A289="","",$A289&amp;"|"&amp;Allocation!BG289)</f>
        <v>2027|V02</v>
      </c>
    </row>
    <row r="290" ht="14.497499999999997" customHeight="1">
      <c r="A290" t="str">
        <f>IF(Allocation!BI290="","",Allocation!BI290)</f>
        <v>2027</v>
      </c>
      <c r="B290" t="str">
        <f>IF(Allocation!BJ290="","",Allocation!BJ290)</f>
        <v>PIGIER_BOR</v>
      </c>
      <c r="C290" t="str">
        <f>IF(Allocation!BK290="","",Allocation!BK290)</f>
        <v>PIGIER</v>
      </c>
      <c r="D290" t="str">
        <f>IF(Allocation!BL290="","",Allocation!BL290)</f>
        <v>BAC_RH</v>
      </c>
      <c r="E290" t="str">
        <f>IF(Allocation!BM290="","",Allocation!BM290)</f>
        <v>B3</v>
      </c>
      <c r="F290" t="str">
        <f>IF(Allocation!BN290="","",Allocation!BN290)</f>
        <v>ALT</v>
      </c>
      <c r="G290">
        <f>IF(Allocation!BO290="","",Allocation!BO290)</f>
        <v>34.525</v>
      </c>
      <c r="H290">
        <f>IF(Allocation!BP290="","",Allocation!BP290)</f>
        <v>2</v>
      </c>
      <c r="I290">
        <f>IF(Allocation!BQ290="","",Allocation!BQ290)</f>
        <v>241809.129625</v>
      </c>
      <c r="J290">
        <f>IF(Allocation!CC290="","",Allocation!CC290)</f>
        <v>0</v>
      </c>
      <c r="K290">
        <f t="shared" si="0"/>
        <v>960</v>
      </c>
      <c r="L290">
        <f t="shared" si="1"/>
        <v>198.56127</v>
      </c>
      <c r="M290">
        <f t="shared" si="2"/>
        <v>10</v>
      </c>
      <c r="N290">
        <f t="shared" si="3"/>
        <v>1317002.709769</v>
      </c>
      <c r="O290">
        <f t="shared" si="4"/>
        <v>5680</v>
      </c>
      <c r="P290">
        <f t="shared" si="5"/>
        <v>92.95627</v>
      </c>
      <c r="Q290">
        <f t="shared" si="6"/>
        <v>453.102436</v>
      </c>
      <c r="R290">
        <f t="shared" si="7"/>
        <v>20</v>
      </c>
      <c r="S290">
        <f t="shared" si="8"/>
        <v>3143826.279397</v>
      </c>
      <c r="T290">
        <f t="shared" si="9"/>
        <v>3473.669998</v>
      </c>
      <c r="U290">
        <f t="shared" si="10"/>
        <v>135</v>
      </c>
      <c r="V290">
        <f t="shared" si="11"/>
        <v>26814168.474038</v>
      </c>
      <c r="W290">
        <f>IF($A290="","",Allocation!CD290)</f>
        <v>108753.606372</v>
      </c>
      <c r="X290">
        <f>IF($A290="","",Allocation!CE290)</f>
        <v>192003.82131</v>
      </c>
      <c r="Y290">
        <f>IF($A290="","",Allocation!CF290)</f>
        <v>59496.216244</v>
      </c>
      <c r="Z290">
        <f>IF($A290="","",Allocation!CG290)</f>
        <v>25263.2</v>
      </c>
      <c r="AA290">
        <f>IF($A290="","",Allocation!CH290)</f>
        <v>350737.430926</v>
      </c>
      <c r="AB290">
        <f>IF($A290="","",Allocation!CI290)</f>
        <v>2894009.992738</v>
      </c>
      <c r="AC290">
        <f>IF($A290="","",IF(Allocation!$N$4="VOL_EFF",$G290,IF(Allocation!$N$4="VOL_CLASS",$H290,$I290)))</f>
        <v>2</v>
      </c>
      <c r="AD290">
        <f>IF($A290="","",IF(Allocation!$N$4="VOL_EFF",$L290,IF(Allocation!$N$4="VOL_CLASS",$M290,$N290)))</f>
        <v>10</v>
      </c>
      <c r="AE290">
        <f>IF($A290="","",IF(Allocation!$N$3="VOL_EFF",$L290,IF(Allocation!$N$3="VOL_CLASS",$M290,$N290)))</f>
        <v>198.56127</v>
      </c>
      <c r="AF290">
        <f>IF($A290="","",IF(Allocation!$N$3="VOL_EFF",$Q290,IF(Allocation!$N$3="VOL_CLASS",$R290,$S290)))</f>
        <v>453.102436</v>
      </c>
      <c r="AG290">
        <f>IF($A290="","",IF(Allocation!$N$1="VOL_EFF",$Q290,IF(Allocation!$N$1="VOL_CLASS",$R290,$S290)))</f>
        <v>20</v>
      </c>
      <c r="AH290">
        <f>IF($A290="","",IF(Allocation!$N$1="VOL_EFF",$T290,IF(Allocation!$N$1="VOL_CLASS",$U290,$V290)))</f>
        <v>135</v>
      </c>
      <c r="AI290">
        <f t="shared" si="12"/>
        <v>18380.8912178028</v>
      </c>
      <c r="AJ290">
        <f t="shared" si="13"/>
        <v>32451.3500805634</v>
      </c>
      <c r="AK290">
        <f t="shared" si="14"/>
        <v>10344.9522951989</v>
      </c>
      <c r="AL290">
        <f t="shared" si="15"/>
        <v>70147.4861852</v>
      </c>
      <c r="AM290">
        <f t="shared" si="16"/>
        <v>37577.19807688</v>
      </c>
      <c r="AN290">
        <f t="shared" si="17"/>
        <v>64914.656369953</v>
      </c>
      <c r="AO290">
        <f>IF($A290="","",Allocation!CJ290)</f>
        <v>777795.6</v>
      </c>
      <c r="AP290">
        <f>IF($A290="","",IF(Allocation!$N$2="VOL_EFF",$Q290,IF(Allocation!$N$2="VOL_CLASS",$R290,$S290)))</f>
        <v>3143826.279397</v>
      </c>
      <c r="AQ290">
        <f>IF($A290="","",IF(Allocation!$N$2="VOL_EFF",$T290,IF(Allocation!$N$2="VOL_CLASS",$U290,$V290)))</f>
        <v>26814168.474038</v>
      </c>
      <c r="AR290">
        <f t="shared" si="18"/>
        <v>7992.59539940196</v>
      </c>
      <c r="AS290" t="str">
        <f>IF($A290="","",$A290&amp;"|"&amp;Allocation!BG290)</f>
        <v>2027|V02</v>
      </c>
    </row>
    <row r="291" ht="14.497499999999997" customHeight="1">
      <c r="A291" t="str">
        <f>IF(Allocation!BI291="","",Allocation!BI291)</f>
        <v>2027</v>
      </c>
      <c r="B291" t="str">
        <f>IF(Allocation!BJ291="","",Allocation!BJ291)</f>
        <v>PIGIER_LYO</v>
      </c>
      <c r="C291" t="str">
        <f>IF(Allocation!BK291="","",Allocation!BK291)</f>
        <v>PIGIER</v>
      </c>
      <c r="D291" t="str">
        <f>IF(Allocation!BL291="","",Allocation!BL291)</f>
        <v>BAC_RH</v>
      </c>
      <c r="E291" t="str">
        <f>IF(Allocation!BM291="","",Allocation!BM291)</f>
        <v>B3</v>
      </c>
      <c r="F291" t="str">
        <f>IF(Allocation!BN291="","",Allocation!BN291)</f>
        <v>ALT</v>
      </c>
      <c r="G291">
        <f>IF(Allocation!BO291="","",Allocation!BO291)</f>
        <v>44.675</v>
      </c>
      <c r="H291">
        <f>IF(Allocation!BP291="","",Allocation!BP291)</f>
        <v>2</v>
      </c>
      <c r="I291">
        <f>IF(Allocation!BQ291="","",Allocation!BQ291)</f>
        <v>338704.629375</v>
      </c>
      <c r="J291">
        <f>IF(Allocation!CC291="","",Allocation!CC291)</f>
        <v>0</v>
      </c>
      <c r="K291">
        <f t="shared" si="0"/>
        <v>960</v>
      </c>
      <c r="L291">
        <f t="shared" si="1"/>
        <v>254.541166</v>
      </c>
      <c r="M291">
        <f t="shared" si="2"/>
        <v>10</v>
      </c>
      <c r="N291">
        <f t="shared" si="3"/>
        <v>1826823.569628</v>
      </c>
      <c r="O291">
        <f t="shared" si="4"/>
        <v>5680</v>
      </c>
      <c r="P291">
        <f t="shared" si="5"/>
        <v>118.486166</v>
      </c>
      <c r="Q291">
        <f t="shared" si="6"/>
        <v>453.102436</v>
      </c>
      <c r="R291">
        <f t="shared" si="7"/>
        <v>20</v>
      </c>
      <c r="S291">
        <f t="shared" si="8"/>
        <v>3143826.279397</v>
      </c>
      <c r="T291">
        <f t="shared" si="9"/>
        <v>3473.669998</v>
      </c>
      <c r="U291">
        <f t="shared" si="10"/>
        <v>135</v>
      </c>
      <c r="V291">
        <f t="shared" si="11"/>
        <v>26814168.474038</v>
      </c>
      <c r="W291">
        <f>IF($A291="","",Allocation!CD291)</f>
        <v>108753.606372</v>
      </c>
      <c r="X291">
        <f>IF($A291="","",Allocation!CE291)</f>
        <v>253518.92022</v>
      </c>
      <c r="Y291">
        <f>IF($A291="","",Allocation!CF291)</f>
        <v>76255.777214</v>
      </c>
      <c r="Z291">
        <f>IF($A291="","",Allocation!CG291)</f>
        <v>42103.8</v>
      </c>
      <c r="AA291">
        <f>IF($A291="","",Allocation!CH291)</f>
        <v>543803.997532</v>
      </c>
      <c r="AB291">
        <f>IF($A291="","",Allocation!CI291)</f>
        <v>2894009.992738</v>
      </c>
      <c r="AC291">
        <f>IF($A291="","",IF(Allocation!$N$4="VOL_EFF",$G291,IF(Allocation!$N$4="VOL_CLASS",$H291,$I291)))</f>
        <v>2</v>
      </c>
      <c r="AD291">
        <f>IF($A291="","",IF(Allocation!$N$4="VOL_EFF",$L291,IF(Allocation!$N$4="VOL_CLASS",$M291,$N291)))</f>
        <v>10</v>
      </c>
      <c r="AE291">
        <f>IF($A291="","",IF(Allocation!$N$3="VOL_EFF",$L291,IF(Allocation!$N$3="VOL_CLASS",$M291,$N291)))</f>
        <v>254.541166</v>
      </c>
      <c r="AF291">
        <f>IF($A291="","",IF(Allocation!$N$3="VOL_EFF",$Q291,IF(Allocation!$N$3="VOL_CLASS",$R291,$S291)))</f>
        <v>453.102436</v>
      </c>
      <c r="AG291">
        <f>IF($A291="","",IF(Allocation!$N$1="VOL_EFF",$Q291,IF(Allocation!$N$1="VOL_CLASS",$R291,$S291)))</f>
        <v>20</v>
      </c>
      <c r="AH291">
        <f>IF($A291="","",IF(Allocation!$N$1="VOL_EFF",$T291,IF(Allocation!$N$1="VOL_CLASS",$U291,$V291)))</f>
        <v>135</v>
      </c>
      <c r="AI291">
        <f t="shared" si="12"/>
        <v>18380.8912178028</v>
      </c>
      <c r="AJ291">
        <f t="shared" si="13"/>
        <v>42848.2682061972</v>
      </c>
      <c r="AK291">
        <f t="shared" si="14"/>
        <v>13383.795244481</v>
      </c>
      <c r="AL291">
        <f t="shared" si="15"/>
        <v>108760.7995064</v>
      </c>
      <c r="AM291">
        <f t="shared" si="16"/>
        <v>48171.2461523941</v>
      </c>
      <c r="AN291">
        <f t="shared" si="17"/>
        <v>96913.7006633526</v>
      </c>
      <c r="AO291">
        <f>IF($A291="","",Allocation!CJ291)</f>
        <v>777795.6</v>
      </c>
      <c r="AP291">
        <f>IF($A291="","",IF(Allocation!$N$2="VOL_EFF",$Q291,IF(Allocation!$N$2="VOL_CLASS",$R291,$S291)))</f>
        <v>3143826.279397</v>
      </c>
      <c r="AQ291">
        <f>IF($A291="","",IF(Allocation!$N$2="VOL_EFF",$T291,IF(Allocation!$N$2="VOL_CLASS",$U291,$V291)))</f>
        <v>26814168.474038</v>
      </c>
      <c r="AR291">
        <f t="shared" si="18"/>
        <v>10245.9283843723</v>
      </c>
      <c r="AS291" t="str">
        <f>IF($A291="","",$A291&amp;"|"&amp;Allocation!BG291)</f>
        <v>2027|V02</v>
      </c>
    </row>
    <row r="292" ht="14.497499999999997" customHeight="1">
      <c r="A292" t="str">
        <f>IF(Allocation!BI292="","",Allocation!BI292)</f>
        <v>2027</v>
      </c>
      <c r="B292" t="str">
        <f>IF(Allocation!BJ292="","",Allocation!BJ292)</f>
        <v>PIGIER_LYO</v>
      </c>
      <c r="C292" t="str">
        <f>IF(Allocation!BK292="","",Allocation!BK292)</f>
        <v>PIGIER</v>
      </c>
      <c r="D292" t="str">
        <f>IF(Allocation!BL292="","",Allocation!BL292)</f>
        <v>BAC_RH</v>
      </c>
      <c r="E292" t="str">
        <f>IF(Allocation!BM292="","",Allocation!BM292)</f>
        <v>B2</v>
      </c>
      <c r="F292" t="str">
        <f>IF(Allocation!BN292="","",Allocation!BN292)</f>
        <v>ALT</v>
      </c>
      <c r="G292">
        <f>IF(Allocation!BO292="","",Allocation!BO292)</f>
        <v>45.69</v>
      </c>
      <c r="H292">
        <f>IF(Allocation!BP292="","",Allocation!BP292)</f>
        <v>2</v>
      </c>
      <c r="I292">
        <f>IF(Allocation!BQ292="","",Allocation!BQ292)</f>
        <v>346399.87725</v>
      </c>
      <c r="J292">
        <f>IF(Allocation!CC292="","",Allocation!CC292)</f>
        <v>0</v>
      </c>
      <c r="K292">
        <f t="shared" si="0"/>
        <v>960</v>
      </c>
      <c r="L292">
        <f t="shared" si="1"/>
        <v>254.541166</v>
      </c>
      <c r="M292">
        <f t="shared" si="2"/>
        <v>10</v>
      </c>
      <c r="N292">
        <f t="shared" si="3"/>
        <v>1826823.569628</v>
      </c>
      <c r="O292">
        <f t="shared" si="4"/>
        <v>5680</v>
      </c>
      <c r="P292">
        <f t="shared" si="5"/>
        <v>118.486166</v>
      </c>
      <c r="Q292">
        <f t="shared" si="6"/>
        <v>453.102436</v>
      </c>
      <c r="R292">
        <f t="shared" si="7"/>
        <v>20</v>
      </c>
      <c r="S292">
        <f t="shared" si="8"/>
        <v>3143826.279397</v>
      </c>
      <c r="T292">
        <f t="shared" si="9"/>
        <v>3473.669998</v>
      </c>
      <c r="U292">
        <f t="shared" si="10"/>
        <v>135</v>
      </c>
      <c r="V292">
        <f t="shared" si="11"/>
        <v>26814168.474038</v>
      </c>
      <c r="W292">
        <f>IF($A292="","",Allocation!CD292)</f>
        <v>108753.606372</v>
      </c>
      <c r="X292">
        <f>IF($A292="","",Allocation!CE292)</f>
        <v>253518.92022</v>
      </c>
      <c r="Y292">
        <f>IF($A292="","",Allocation!CF292)</f>
        <v>76255.777214</v>
      </c>
      <c r="Z292">
        <f>IF($A292="","",Allocation!CG292)</f>
        <v>42103.8</v>
      </c>
      <c r="AA292">
        <f>IF($A292="","",Allocation!CH292)</f>
        <v>543803.997532</v>
      </c>
      <c r="AB292">
        <f>IF($A292="","",Allocation!CI292)</f>
        <v>2894009.992738</v>
      </c>
      <c r="AC292">
        <f>IF($A292="","",IF(Allocation!$N$4="VOL_EFF",$G292,IF(Allocation!$N$4="VOL_CLASS",$H292,$I292)))</f>
        <v>2</v>
      </c>
      <c r="AD292">
        <f>IF($A292="","",IF(Allocation!$N$4="VOL_EFF",$L292,IF(Allocation!$N$4="VOL_CLASS",$M292,$N292)))</f>
        <v>10</v>
      </c>
      <c r="AE292">
        <f>IF($A292="","",IF(Allocation!$N$3="VOL_EFF",$L292,IF(Allocation!$N$3="VOL_CLASS",$M292,$N292)))</f>
        <v>254.541166</v>
      </c>
      <c r="AF292">
        <f>IF($A292="","",IF(Allocation!$N$3="VOL_EFF",$Q292,IF(Allocation!$N$3="VOL_CLASS",$R292,$S292)))</f>
        <v>453.102436</v>
      </c>
      <c r="AG292">
        <f>IF($A292="","",IF(Allocation!$N$1="VOL_EFF",$Q292,IF(Allocation!$N$1="VOL_CLASS",$R292,$S292)))</f>
        <v>20</v>
      </c>
      <c r="AH292">
        <f>IF($A292="","",IF(Allocation!$N$1="VOL_EFF",$T292,IF(Allocation!$N$1="VOL_CLASS",$U292,$V292)))</f>
        <v>135</v>
      </c>
      <c r="AI292">
        <f t="shared" si="12"/>
        <v>18380.8912178028</v>
      </c>
      <c r="AJ292">
        <f t="shared" si="13"/>
        <v>42848.2682061972</v>
      </c>
      <c r="AK292">
        <f t="shared" si="14"/>
        <v>13687.8702791346</v>
      </c>
      <c r="AL292">
        <f t="shared" si="15"/>
        <v>108760.7995064</v>
      </c>
      <c r="AM292">
        <f t="shared" si="16"/>
        <v>48171.2461523941</v>
      </c>
      <c r="AN292">
        <f t="shared" si="17"/>
        <v>104304.873503699</v>
      </c>
      <c r="AO292">
        <f>IF($A292="","",Allocation!CJ292)</f>
        <v>777795.6</v>
      </c>
      <c r="AP292">
        <f>IF($A292="","",IF(Allocation!$N$2="VOL_EFF",$Q292,IF(Allocation!$N$2="VOL_CLASS",$R292,$S292)))</f>
        <v>3143826.279397</v>
      </c>
      <c r="AQ292">
        <f>IF($A292="","",IF(Allocation!$N$2="VOL_EFF",$T292,IF(Allocation!$N$2="VOL_CLASS",$U292,$V292)))</f>
        <v>26814168.474038</v>
      </c>
      <c r="AR292">
        <f t="shared" si="18"/>
        <v>10245.9283843723</v>
      </c>
      <c r="AS292" t="str">
        <f>IF($A292="","",$A292&amp;"|"&amp;Allocation!BG292)</f>
        <v>2027|V02</v>
      </c>
    </row>
    <row r="293" ht="14.497499999999997" customHeight="1">
      <c r="A293" t="str">
        <f>IF(Allocation!BI293="","",Allocation!BI293)</f>
        <v>2027</v>
      </c>
      <c r="B293" t="str">
        <f>IF(Allocation!BJ293="","",Allocation!BJ293)</f>
        <v>PIGIER_LYO</v>
      </c>
      <c r="C293" t="str">
        <f>IF(Allocation!BK293="","",Allocation!BK293)</f>
        <v>PIGIER</v>
      </c>
      <c r="D293" t="str">
        <f>IF(Allocation!BL293="","",Allocation!BL293)</f>
        <v>BTS_GES</v>
      </c>
      <c r="E293" t="str">
        <f>IF(Allocation!BM293="","",Allocation!BM293)</f>
        <v>BTS1</v>
      </c>
      <c r="F293" t="str">
        <f>IF(Allocation!BN293="","",Allocation!BN293)</f>
        <v>ALT</v>
      </c>
      <c r="G293">
        <f>IF(Allocation!BO293="","",Allocation!BO293)</f>
        <v>59.243083</v>
      </c>
      <c r="H293">
        <f>IF(Allocation!BP293="","",Allocation!BP293)</f>
        <v>2</v>
      </c>
      <c r="I293">
        <f>IF(Allocation!BQ293="","",Allocation!BQ293)</f>
        <v>390320.090191</v>
      </c>
      <c r="J293">
        <f>IF(Allocation!CC293="","",Allocation!CC293)</f>
        <v>59.243083</v>
      </c>
      <c r="K293">
        <f t="shared" si="0"/>
        <v>1400</v>
      </c>
      <c r="L293">
        <f t="shared" si="1"/>
        <v>254.541166</v>
      </c>
      <c r="M293">
        <f t="shared" si="2"/>
        <v>10</v>
      </c>
      <c r="N293">
        <f t="shared" si="3"/>
        <v>1826823.569628</v>
      </c>
      <c r="O293">
        <f t="shared" si="4"/>
        <v>5680</v>
      </c>
      <c r="P293">
        <f t="shared" si="5"/>
        <v>118.486166</v>
      </c>
      <c r="Q293">
        <f t="shared" si="6"/>
        <v>453.102436</v>
      </c>
      <c r="R293">
        <f t="shared" si="7"/>
        <v>20</v>
      </c>
      <c r="S293">
        <f t="shared" si="8"/>
        <v>3143826.279397</v>
      </c>
      <c r="T293">
        <f t="shared" si="9"/>
        <v>3473.669998</v>
      </c>
      <c r="U293">
        <f t="shared" si="10"/>
        <v>135</v>
      </c>
      <c r="V293">
        <f t="shared" si="11"/>
        <v>26814168.474038</v>
      </c>
      <c r="W293">
        <f>IF($A293="","",Allocation!CD293)</f>
        <v>108753.606372</v>
      </c>
      <c r="X293">
        <f>IF($A293="","",Allocation!CE293)</f>
        <v>253518.92022</v>
      </c>
      <c r="Y293">
        <f>IF($A293="","",Allocation!CF293)</f>
        <v>76255.777214</v>
      </c>
      <c r="Z293">
        <f>IF($A293="","",Allocation!CG293)</f>
        <v>42103.8</v>
      </c>
      <c r="AA293">
        <f>IF($A293="","",Allocation!CH293)</f>
        <v>543803.997532</v>
      </c>
      <c r="AB293">
        <f>IF($A293="","",Allocation!CI293)</f>
        <v>2894009.992738</v>
      </c>
      <c r="AC293">
        <f>IF($A293="","",IF(Allocation!$N$4="VOL_EFF",$G293,IF(Allocation!$N$4="VOL_CLASS",$H293,$I293)))</f>
        <v>2</v>
      </c>
      <c r="AD293">
        <f>IF($A293="","",IF(Allocation!$N$4="VOL_EFF",$L293,IF(Allocation!$N$4="VOL_CLASS",$M293,$N293)))</f>
        <v>10</v>
      </c>
      <c r="AE293">
        <f>IF($A293="","",IF(Allocation!$N$3="VOL_EFF",$L293,IF(Allocation!$N$3="VOL_CLASS",$M293,$N293)))</f>
        <v>254.541166</v>
      </c>
      <c r="AF293">
        <f>IF($A293="","",IF(Allocation!$N$3="VOL_EFF",$Q293,IF(Allocation!$N$3="VOL_CLASS",$R293,$S293)))</f>
        <v>453.102436</v>
      </c>
      <c r="AG293">
        <f>IF($A293="","",IF(Allocation!$N$1="VOL_EFF",$Q293,IF(Allocation!$N$1="VOL_CLASS",$R293,$S293)))</f>
        <v>20</v>
      </c>
      <c r="AH293">
        <f>IF($A293="","",IF(Allocation!$N$1="VOL_EFF",$T293,IF(Allocation!$N$1="VOL_CLASS",$U293,$V293)))</f>
        <v>135</v>
      </c>
      <c r="AI293">
        <f t="shared" si="12"/>
        <v>26805.4663592958</v>
      </c>
      <c r="AJ293">
        <f t="shared" si="13"/>
        <v>62487.0578007042</v>
      </c>
      <c r="AK293">
        <f t="shared" si="14"/>
        <v>38800.0207056249</v>
      </c>
      <c r="AL293">
        <f t="shared" si="15"/>
        <v>108760.7995064</v>
      </c>
      <c r="AM293">
        <f t="shared" si="16"/>
        <v>48171.2461523941</v>
      </c>
      <c r="AN293">
        <f t="shared" si="17"/>
        <v>95049.5712822087</v>
      </c>
      <c r="AO293">
        <f>IF($A293="","",Allocation!CJ293)</f>
        <v>777795.6</v>
      </c>
      <c r="AP293">
        <f>IF($A293="","",IF(Allocation!$N$2="VOL_EFF",$Q293,IF(Allocation!$N$2="VOL_CLASS",$R293,$S293)))</f>
        <v>3143826.279397</v>
      </c>
      <c r="AQ293">
        <f>IF($A293="","",IF(Allocation!$N$2="VOL_EFF",$T293,IF(Allocation!$N$2="VOL_CLASS",$U293,$V293)))</f>
        <v>26814168.474038</v>
      </c>
      <c r="AR293">
        <f t="shared" si="18"/>
        <v>10245.9283843723</v>
      </c>
      <c r="AS293" t="str">
        <f>IF($A293="","",$A293&amp;"|"&amp;Allocation!BG293)</f>
        <v>2027|V02</v>
      </c>
    </row>
    <row r="294" ht="14.497499999999997" customHeight="1">
      <c r="A294" t="str">
        <f>IF(Allocation!BI294="","",Allocation!BI294)</f>
        <v>2027</v>
      </c>
      <c r="B294" t="str">
        <f>IF(Allocation!BJ294="","",Allocation!BJ294)</f>
        <v>PIGIER_LYO</v>
      </c>
      <c r="C294" t="str">
        <f>IF(Allocation!BK294="","",Allocation!BK294)</f>
        <v>PIGIER</v>
      </c>
      <c r="D294" t="str">
        <f>IF(Allocation!BL294="","",Allocation!BL294)</f>
        <v>BTS_GES</v>
      </c>
      <c r="E294" t="str">
        <f>IF(Allocation!BM294="","",Allocation!BM294)</f>
        <v>BTS2</v>
      </c>
      <c r="F294" t="str">
        <f>IF(Allocation!BN294="","",Allocation!BN294)</f>
        <v>ALT</v>
      </c>
      <c r="G294">
        <f>IF(Allocation!BO294="","",Allocation!BO294)</f>
        <v>45.69</v>
      </c>
      <c r="H294">
        <f>IF(Allocation!BP294="","",Allocation!BP294)</f>
        <v>2</v>
      </c>
      <c r="I294">
        <f>IF(Allocation!BQ294="","",Allocation!BQ294)</f>
        <v>296914.1805</v>
      </c>
      <c r="J294">
        <f>IF(Allocation!CC294="","",Allocation!CC294)</f>
        <v>0</v>
      </c>
      <c r="K294">
        <f t="shared" si="0"/>
        <v>1400</v>
      </c>
      <c r="L294">
        <f t="shared" si="1"/>
        <v>254.541166</v>
      </c>
      <c r="M294">
        <f t="shared" si="2"/>
        <v>10</v>
      </c>
      <c r="N294">
        <f t="shared" si="3"/>
        <v>1826823.569628</v>
      </c>
      <c r="O294">
        <f t="shared" si="4"/>
        <v>5680</v>
      </c>
      <c r="P294">
        <f t="shared" si="5"/>
        <v>118.486166</v>
      </c>
      <c r="Q294">
        <f t="shared" si="6"/>
        <v>453.102436</v>
      </c>
      <c r="R294">
        <f t="shared" si="7"/>
        <v>20</v>
      </c>
      <c r="S294">
        <f t="shared" si="8"/>
        <v>3143826.279397</v>
      </c>
      <c r="T294">
        <f t="shared" si="9"/>
        <v>3473.669998</v>
      </c>
      <c r="U294">
        <f t="shared" si="10"/>
        <v>135</v>
      </c>
      <c r="V294">
        <f t="shared" si="11"/>
        <v>26814168.474038</v>
      </c>
      <c r="W294">
        <f>IF($A294="","",Allocation!CD294)</f>
        <v>108753.606372</v>
      </c>
      <c r="X294">
        <f>IF($A294="","",Allocation!CE294)</f>
        <v>253518.92022</v>
      </c>
      <c r="Y294">
        <f>IF($A294="","",Allocation!CF294)</f>
        <v>76255.777214</v>
      </c>
      <c r="Z294">
        <f>IF($A294="","",Allocation!CG294)</f>
        <v>42103.8</v>
      </c>
      <c r="AA294">
        <f>IF($A294="","",Allocation!CH294)</f>
        <v>543803.997532</v>
      </c>
      <c r="AB294">
        <f>IF($A294="","",Allocation!CI294)</f>
        <v>2894009.992738</v>
      </c>
      <c r="AC294">
        <f>IF($A294="","",IF(Allocation!$N$4="VOL_EFF",$G294,IF(Allocation!$N$4="VOL_CLASS",$H294,$I294)))</f>
        <v>2</v>
      </c>
      <c r="AD294">
        <f>IF($A294="","",IF(Allocation!$N$4="VOL_EFF",$L294,IF(Allocation!$N$4="VOL_CLASS",$M294,$N294)))</f>
        <v>10</v>
      </c>
      <c r="AE294">
        <f>IF($A294="","",IF(Allocation!$N$3="VOL_EFF",$L294,IF(Allocation!$N$3="VOL_CLASS",$M294,$N294)))</f>
        <v>254.541166</v>
      </c>
      <c r="AF294">
        <f>IF($A294="","",IF(Allocation!$N$3="VOL_EFF",$Q294,IF(Allocation!$N$3="VOL_CLASS",$R294,$S294)))</f>
        <v>453.102436</v>
      </c>
      <c r="AG294">
        <f>IF($A294="","",IF(Allocation!$N$1="VOL_EFF",$Q294,IF(Allocation!$N$1="VOL_CLASS",$R294,$S294)))</f>
        <v>20</v>
      </c>
      <c r="AH294">
        <f>IF($A294="","",IF(Allocation!$N$1="VOL_EFF",$T294,IF(Allocation!$N$1="VOL_CLASS",$U294,$V294)))</f>
        <v>135</v>
      </c>
      <c r="AI294">
        <f t="shared" si="12"/>
        <v>26805.4663592958</v>
      </c>
      <c r="AJ294">
        <f t="shared" si="13"/>
        <v>62487.0578007042</v>
      </c>
      <c r="AK294">
        <f t="shared" si="14"/>
        <v>13687.8702791346</v>
      </c>
      <c r="AL294">
        <f t="shared" si="15"/>
        <v>108760.7995064</v>
      </c>
      <c r="AM294">
        <f t="shared" si="16"/>
        <v>48171.2461523941</v>
      </c>
      <c r="AN294">
        <f t="shared" si="17"/>
        <v>26755.812017699</v>
      </c>
      <c r="AO294">
        <f>IF($A294="","",Allocation!CJ294)</f>
        <v>777795.6</v>
      </c>
      <c r="AP294">
        <f>IF($A294="","",IF(Allocation!$N$2="VOL_EFF",$Q294,IF(Allocation!$N$2="VOL_CLASS",$R294,$S294)))</f>
        <v>3143826.279397</v>
      </c>
      <c r="AQ294">
        <f>IF($A294="","",IF(Allocation!$N$2="VOL_EFF",$T294,IF(Allocation!$N$2="VOL_CLASS",$U294,$V294)))</f>
        <v>26814168.474038</v>
      </c>
      <c r="AR294">
        <f t="shared" si="18"/>
        <v>10245.9283843723</v>
      </c>
      <c r="AS294" t="str">
        <f>IF($A294="","",$A294&amp;"|"&amp;Allocation!BG294)</f>
        <v>2027|V02</v>
      </c>
    </row>
    <row r="295" ht="14.497499999999997" customHeight="1">
      <c r="A295" t="str">
        <f>IF(Allocation!BI295="","",Allocation!BI295)</f>
        <v>2027</v>
      </c>
      <c r="B295" t="str">
        <f>IF(Allocation!BJ295="","",Allocation!BJ295)</f>
        <v>PIGIER_LYO</v>
      </c>
      <c r="C295" t="str">
        <f>IF(Allocation!BK295="","",Allocation!BK295)</f>
        <v>PIGIER</v>
      </c>
      <c r="D295" t="str">
        <f>IF(Allocation!BL295="","",Allocation!BL295)</f>
        <v>BAC_RH</v>
      </c>
      <c r="E295" t="str">
        <f>IF(Allocation!BM295="","",Allocation!BM295)</f>
        <v>B1</v>
      </c>
      <c r="F295" t="str">
        <f>IF(Allocation!BN295="","",Allocation!BN295)</f>
        <v>ALT</v>
      </c>
      <c r="G295">
        <f>IF(Allocation!BO295="","",Allocation!BO295)</f>
        <v>59.243083</v>
      </c>
      <c r="H295">
        <f>IF(Allocation!BP295="","",Allocation!BP295)</f>
        <v>2</v>
      </c>
      <c r="I295">
        <f>IF(Allocation!BQ295="","",Allocation!BQ295)</f>
        <v>454484.792312</v>
      </c>
      <c r="J295">
        <f>IF(Allocation!CC295="","",Allocation!CC295)</f>
        <v>59.243083</v>
      </c>
      <c r="K295">
        <f t="shared" si="0"/>
        <v>960</v>
      </c>
      <c r="L295">
        <f t="shared" si="1"/>
        <v>254.541166</v>
      </c>
      <c r="M295">
        <f t="shared" si="2"/>
        <v>10</v>
      </c>
      <c r="N295">
        <f t="shared" si="3"/>
        <v>1826823.569628</v>
      </c>
      <c r="O295">
        <f t="shared" si="4"/>
        <v>5680</v>
      </c>
      <c r="P295">
        <f t="shared" si="5"/>
        <v>118.486166</v>
      </c>
      <c r="Q295">
        <f t="shared" si="6"/>
        <v>453.102436</v>
      </c>
      <c r="R295">
        <f t="shared" si="7"/>
        <v>20</v>
      </c>
      <c r="S295">
        <f t="shared" si="8"/>
        <v>3143826.279397</v>
      </c>
      <c r="T295">
        <f t="shared" si="9"/>
        <v>3473.669998</v>
      </c>
      <c r="U295">
        <f t="shared" si="10"/>
        <v>135</v>
      </c>
      <c r="V295">
        <f t="shared" si="11"/>
        <v>26814168.474038</v>
      </c>
      <c r="W295">
        <f>IF($A295="","",Allocation!CD295)</f>
        <v>108753.606372</v>
      </c>
      <c r="X295">
        <f>IF($A295="","",Allocation!CE295)</f>
        <v>253518.92022</v>
      </c>
      <c r="Y295">
        <f>IF($A295="","",Allocation!CF295)</f>
        <v>76255.777214</v>
      </c>
      <c r="Z295">
        <f>IF($A295="","",Allocation!CG295)</f>
        <v>42103.8</v>
      </c>
      <c r="AA295">
        <f>IF($A295="","",Allocation!CH295)</f>
        <v>543803.997532</v>
      </c>
      <c r="AB295">
        <f>IF($A295="","",Allocation!CI295)</f>
        <v>2894009.992738</v>
      </c>
      <c r="AC295">
        <f>IF($A295="","",IF(Allocation!$N$4="VOL_EFF",$G295,IF(Allocation!$N$4="VOL_CLASS",$H295,$I295)))</f>
        <v>2</v>
      </c>
      <c r="AD295">
        <f>IF($A295="","",IF(Allocation!$N$4="VOL_EFF",$L295,IF(Allocation!$N$4="VOL_CLASS",$M295,$N295)))</f>
        <v>10</v>
      </c>
      <c r="AE295">
        <f>IF($A295="","",IF(Allocation!$N$3="VOL_EFF",$L295,IF(Allocation!$N$3="VOL_CLASS",$M295,$N295)))</f>
        <v>254.541166</v>
      </c>
      <c r="AF295">
        <f>IF($A295="","",IF(Allocation!$N$3="VOL_EFF",$Q295,IF(Allocation!$N$3="VOL_CLASS",$R295,$S295)))</f>
        <v>453.102436</v>
      </c>
      <c r="AG295">
        <f>IF($A295="","",IF(Allocation!$N$1="VOL_EFF",$Q295,IF(Allocation!$N$1="VOL_CLASS",$R295,$S295)))</f>
        <v>20</v>
      </c>
      <c r="AH295">
        <f>IF($A295="","",IF(Allocation!$N$1="VOL_EFF",$T295,IF(Allocation!$N$1="VOL_CLASS",$U295,$V295)))</f>
        <v>135</v>
      </c>
      <c r="AI295">
        <f t="shared" si="12"/>
        <v>18380.8912178028</v>
      </c>
      <c r="AJ295">
        <f t="shared" si="13"/>
        <v>42848.2682061972</v>
      </c>
      <c r="AK295">
        <f t="shared" si="14"/>
        <v>38800.0207056249</v>
      </c>
      <c r="AL295">
        <f t="shared" si="15"/>
        <v>108760.7995064</v>
      </c>
      <c r="AM295">
        <f t="shared" si="16"/>
        <v>48171.2461523941</v>
      </c>
      <c r="AN295">
        <f t="shared" si="17"/>
        <v>187277.638139209</v>
      </c>
      <c r="AO295">
        <f>IF($A295="","",Allocation!CJ295)</f>
        <v>777795.6</v>
      </c>
      <c r="AP295">
        <f>IF($A295="","",IF(Allocation!$N$2="VOL_EFF",$Q295,IF(Allocation!$N$2="VOL_CLASS",$R295,$S295)))</f>
        <v>3143826.279397</v>
      </c>
      <c r="AQ295">
        <f>IF($A295="","",IF(Allocation!$N$2="VOL_EFF",$T295,IF(Allocation!$N$2="VOL_CLASS",$U295,$V295)))</f>
        <v>26814168.474038</v>
      </c>
      <c r="AR295">
        <f t="shared" si="18"/>
        <v>10245.9283843723</v>
      </c>
      <c r="AS295" t="str">
        <f>IF($A295="","",$A295&amp;"|"&amp;Allocation!BG295)</f>
        <v>2027|V02</v>
      </c>
    </row>
    <row r="296" ht="14.497499999999997" customHeight="1">
      <c r="A296" t="str">
        <f>IF(Allocation!BI296="","",Allocation!BI296)</f>
        <v>2027</v>
      </c>
      <c r="B296" t="str">
        <f>IF(Allocation!BJ296="","",Allocation!BJ296)</f>
        <v>TUNON_LYO</v>
      </c>
      <c r="C296" t="str">
        <f>IF(Allocation!BK296="","",Allocation!BK296)</f>
        <v>TUNON</v>
      </c>
      <c r="D296" t="str">
        <f>IF(Allocation!BL296="","",Allocation!BL296)</f>
        <v>BAC_TOU</v>
      </c>
      <c r="E296" t="str">
        <f>IF(Allocation!BM296="","",Allocation!BM296)</f>
        <v>B1</v>
      </c>
      <c r="F296" t="str">
        <f>IF(Allocation!BN296="","",Allocation!BN296)</f>
        <v>ALT</v>
      </c>
      <c r="G296">
        <f>IF(Allocation!BO296="","",Allocation!BO296)</f>
        <v>51.592495</v>
      </c>
      <c r="H296">
        <f>IF(Allocation!BP296="","",Allocation!BP296)</f>
        <v>2</v>
      </c>
      <c r="I296">
        <f>IF(Allocation!BQ296="","",Allocation!BQ296)</f>
        <v>397783.940606</v>
      </c>
      <c r="J296">
        <f>IF(Allocation!CC296="","",Allocation!CC296)</f>
        <v>51.592495</v>
      </c>
      <c r="K296">
        <f t="shared" si="0"/>
        <v>960</v>
      </c>
      <c r="L296">
        <f t="shared" si="1"/>
        <v>129.777495</v>
      </c>
      <c r="M296">
        <f t="shared" si="2"/>
        <v>6</v>
      </c>
      <c r="N296">
        <f t="shared" si="3"/>
        <v>993562.436419</v>
      </c>
      <c r="O296">
        <f t="shared" si="4"/>
        <v>2880</v>
      </c>
      <c r="P296">
        <f t="shared" si="5"/>
        <v>51.592495</v>
      </c>
      <c r="Q296">
        <f t="shared" si="6"/>
        <v>282.546505</v>
      </c>
      <c r="R296">
        <f t="shared" si="7"/>
        <v>12</v>
      </c>
      <c r="S296">
        <f t="shared" si="8"/>
        <v>2240720.94288</v>
      </c>
      <c r="T296">
        <f t="shared" si="9"/>
        <v>3473.669998</v>
      </c>
      <c r="U296">
        <f t="shared" si="10"/>
        <v>135</v>
      </c>
      <c r="V296">
        <f t="shared" si="11"/>
        <v>26814168.474038</v>
      </c>
      <c r="W296">
        <f>IF($A296="","",Allocation!CD296)</f>
        <v>81566.049288</v>
      </c>
      <c r="X296">
        <f>IF($A296="","",Allocation!CE296)</f>
        <v>195356.674632</v>
      </c>
      <c r="Y296">
        <f>IF($A296="","",Allocation!CF296)</f>
        <v>49020.927631</v>
      </c>
      <c r="Z296">
        <f>IF($A296="","",Allocation!CG296)</f>
        <v>21677.5</v>
      </c>
      <c r="AA296">
        <f>IF($A296="","",Allocation!CH296)</f>
        <v>378627.068329</v>
      </c>
      <c r="AB296">
        <f>IF($A296="","",Allocation!CI296)</f>
        <v>2894009.992738</v>
      </c>
      <c r="AC296">
        <f>IF($A296="","",IF(Allocation!$N$4="VOL_EFF",$G296,IF(Allocation!$N$4="VOL_CLASS",$H296,$I296)))</f>
        <v>2</v>
      </c>
      <c r="AD296">
        <f>IF($A296="","",IF(Allocation!$N$4="VOL_EFF",$L296,IF(Allocation!$N$4="VOL_CLASS",$M296,$N296)))</f>
        <v>6</v>
      </c>
      <c r="AE296">
        <f>IF($A296="","",IF(Allocation!$N$3="VOL_EFF",$L296,IF(Allocation!$N$3="VOL_CLASS",$M296,$N296)))</f>
        <v>129.777495</v>
      </c>
      <c r="AF296">
        <f>IF($A296="","",IF(Allocation!$N$3="VOL_EFF",$Q296,IF(Allocation!$N$3="VOL_CLASS",$R296,$S296)))</f>
        <v>282.546505</v>
      </c>
      <c r="AG296">
        <f>IF($A296="","",IF(Allocation!$N$1="VOL_EFF",$Q296,IF(Allocation!$N$1="VOL_CLASS",$R296,$S296)))</f>
        <v>12</v>
      </c>
      <c r="AH296">
        <f>IF($A296="","",IF(Allocation!$N$1="VOL_EFF",$T296,IF(Allocation!$N$1="VOL_CLASS",$U296,$V296)))</f>
        <v>135</v>
      </c>
      <c r="AI296">
        <f t="shared" si="12"/>
        <v>27188.683096</v>
      </c>
      <c r="AJ296">
        <f t="shared" si="13"/>
        <v>65118.891544</v>
      </c>
      <c r="AK296">
        <f t="shared" si="14"/>
        <v>41165.5627315062</v>
      </c>
      <c r="AL296">
        <f t="shared" si="15"/>
        <v>126209.022776333</v>
      </c>
      <c r="AM296">
        <f t="shared" si="16"/>
        <v>39385.4395481636</v>
      </c>
      <c r="AN296">
        <f t="shared" si="17"/>
        <v>88765.1028853041</v>
      </c>
      <c r="AO296">
        <f>IF($A296="","",Allocation!CJ296)</f>
        <v>777795.6</v>
      </c>
      <c r="AP296">
        <f>IF($A296="","",IF(Allocation!$N$2="VOL_EFF",$Q296,IF(Allocation!$N$2="VOL_CLASS",$R296,$S296)))</f>
        <v>2240720.94288</v>
      </c>
      <c r="AQ296">
        <f>IF($A296="","",IF(Allocation!$N$2="VOL_EFF",$T296,IF(Allocation!$N$2="VOL_CLASS",$U296,$V296)))</f>
        <v>26814168.474038</v>
      </c>
      <c r="AR296">
        <f t="shared" si="18"/>
        <v>9951.23802469313</v>
      </c>
      <c r="AS296" t="str">
        <f>IF($A296="","",$A296&amp;"|"&amp;Allocation!BG296)</f>
        <v>2027|V02</v>
      </c>
    </row>
    <row r="297" ht="14.497499999999997" customHeight="1">
      <c r="A297" t="str">
        <f>IF(Allocation!BI297="","",Allocation!BI297)</f>
        <v>2027</v>
      </c>
      <c r="B297" t="str">
        <f>IF(Allocation!BJ297="","",Allocation!BJ297)</f>
        <v>TUNON_LYO</v>
      </c>
      <c r="C297" t="str">
        <f>IF(Allocation!BK297="","",Allocation!BK297)</f>
        <v>TUNON</v>
      </c>
      <c r="D297" t="str">
        <f>IF(Allocation!BL297="","",Allocation!BL297)</f>
        <v>BAC_TOU</v>
      </c>
      <c r="E297" t="str">
        <f>IF(Allocation!BM297="","",Allocation!BM297)</f>
        <v>B2</v>
      </c>
      <c r="F297" t="str">
        <f>IF(Allocation!BN297="","",Allocation!BN297)</f>
        <v>ALT</v>
      </c>
      <c r="G297">
        <f>IF(Allocation!BO297="","",Allocation!BO297)</f>
        <v>39.6</v>
      </c>
      <c r="H297">
        <f>IF(Allocation!BP297="","",Allocation!BP297)</f>
        <v>2</v>
      </c>
      <c r="I297">
        <f>IF(Allocation!BQ297="","",Allocation!BQ297)</f>
        <v>301756.455</v>
      </c>
      <c r="J297">
        <f>IF(Allocation!CC297="","",Allocation!CC297)</f>
        <v>0</v>
      </c>
      <c r="K297">
        <f t="shared" si="0"/>
        <v>960</v>
      </c>
      <c r="L297">
        <f t="shared" si="1"/>
        <v>129.777495</v>
      </c>
      <c r="M297">
        <f t="shared" si="2"/>
        <v>6</v>
      </c>
      <c r="N297">
        <f t="shared" si="3"/>
        <v>993562.436419</v>
      </c>
      <c r="O297">
        <f t="shared" si="4"/>
        <v>2880</v>
      </c>
      <c r="P297">
        <f t="shared" si="5"/>
        <v>51.592495</v>
      </c>
      <c r="Q297">
        <f t="shared" si="6"/>
        <v>282.546505</v>
      </c>
      <c r="R297">
        <f t="shared" si="7"/>
        <v>12</v>
      </c>
      <c r="S297">
        <f t="shared" si="8"/>
        <v>2240720.94288</v>
      </c>
      <c r="T297">
        <f t="shared" si="9"/>
        <v>3473.669998</v>
      </c>
      <c r="U297">
        <f t="shared" si="10"/>
        <v>135</v>
      </c>
      <c r="V297">
        <f t="shared" si="11"/>
        <v>26814168.474038</v>
      </c>
      <c r="W297">
        <f>IF($A297="","",Allocation!CD297)</f>
        <v>81566.049288</v>
      </c>
      <c r="X297">
        <f>IF($A297="","",Allocation!CE297)</f>
        <v>195356.674632</v>
      </c>
      <c r="Y297">
        <f>IF($A297="","",Allocation!CF297)</f>
        <v>49020.927631</v>
      </c>
      <c r="Z297">
        <f>IF($A297="","",Allocation!CG297)</f>
        <v>21677.5</v>
      </c>
      <c r="AA297">
        <f>IF($A297="","",Allocation!CH297)</f>
        <v>378627.068329</v>
      </c>
      <c r="AB297">
        <f>IF($A297="","",Allocation!CI297)</f>
        <v>2894009.992738</v>
      </c>
      <c r="AC297">
        <f>IF($A297="","",IF(Allocation!$N$4="VOL_EFF",$G297,IF(Allocation!$N$4="VOL_CLASS",$H297,$I297)))</f>
        <v>2</v>
      </c>
      <c r="AD297">
        <f>IF($A297="","",IF(Allocation!$N$4="VOL_EFF",$L297,IF(Allocation!$N$4="VOL_CLASS",$M297,$N297)))</f>
        <v>6</v>
      </c>
      <c r="AE297">
        <f>IF($A297="","",IF(Allocation!$N$3="VOL_EFF",$L297,IF(Allocation!$N$3="VOL_CLASS",$M297,$N297)))</f>
        <v>129.777495</v>
      </c>
      <c r="AF297">
        <f>IF($A297="","",IF(Allocation!$N$3="VOL_EFF",$Q297,IF(Allocation!$N$3="VOL_CLASS",$R297,$S297)))</f>
        <v>282.546505</v>
      </c>
      <c r="AG297">
        <f>IF($A297="","",IF(Allocation!$N$1="VOL_EFF",$Q297,IF(Allocation!$N$1="VOL_CLASS",$R297,$S297)))</f>
        <v>12</v>
      </c>
      <c r="AH297">
        <f>IF($A297="","",IF(Allocation!$N$1="VOL_EFF",$T297,IF(Allocation!$N$1="VOL_CLASS",$U297,$V297)))</f>
        <v>135</v>
      </c>
      <c r="AI297">
        <f t="shared" si="12"/>
        <v>27188.683096</v>
      </c>
      <c r="AJ297">
        <f t="shared" si="13"/>
        <v>65118.891544</v>
      </c>
      <c r="AK297">
        <f t="shared" si="14"/>
        <v>14958.1307158656</v>
      </c>
      <c r="AL297">
        <f t="shared" si="15"/>
        <v>126209.022776333</v>
      </c>
      <c r="AM297">
        <f t="shared" si="16"/>
        <v>39385.4395481636</v>
      </c>
      <c r="AN297">
        <f t="shared" si="17"/>
        <v>18945.0492949446</v>
      </c>
      <c r="AO297">
        <f>IF($A297="","",Allocation!CJ297)</f>
        <v>777795.6</v>
      </c>
      <c r="AP297">
        <f>IF($A297="","",IF(Allocation!$N$2="VOL_EFF",$Q297,IF(Allocation!$N$2="VOL_CLASS",$R297,$S297)))</f>
        <v>2240720.94288</v>
      </c>
      <c r="AQ297">
        <f>IF($A297="","",IF(Allocation!$N$2="VOL_EFF",$T297,IF(Allocation!$N$2="VOL_CLASS",$U297,$V297)))</f>
        <v>26814168.474038</v>
      </c>
      <c r="AR297">
        <f t="shared" si="18"/>
        <v>9951.23802469313</v>
      </c>
      <c r="AS297" t="str">
        <f>IF($A297="","",$A297&amp;"|"&amp;Allocation!BG297)</f>
        <v>2027|V02</v>
      </c>
    </row>
    <row r="298" ht="14.497499999999997" customHeight="1">
      <c r="A298" t="str">
        <f>IF(Allocation!BI298="","",Allocation!BI298)</f>
        <v>2027</v>
      </c>
      <c r="B298" t="str">
        <f>IF(Allocation!BJ298="","",Allocation!BJ298)</f>
        <v>TUNON_LYO</v>
      </c>
      <c r="C298" t="str">
        <f>IF(Allocation!BK298="","",Allocation!BK298)</f>
        <v>TUNON</v>
      </c>
      <c r="D298" t="str">
        <f>IF(Allocation!BL298="","",Allocation!BL298)</f>
        <v>BAC_TOU</v>
      </c>
      <c r="E298" t="str">
        <f>IF(Allocation!BM298="","",Allocation!BM298)</f>
        <v>B3</v>
      </c>
      <c r="F298" t="str">
        <f>IF(Allocation!BN298="","",Allocation!BN298)</f>
        <v>ALT</v>
      </c>
      <c r="G298">
        <f>IF(Allocation!BO298="","",Allocation!BO298)</f>
        <v>38.585</v>
      </c>
      <c r="H298">
        <f>IF(Allocation!BP298="","",Allocation!BP298)</f>
        <v>2</v>
      </c>
      <c r="I298">
        <f>IF(Allocation!BQ298="","",Allocation!BQ298)</f>
        <v>294022.040813</v>
      </c>
      <c r="J298">
        <f>IF(Allocation!CC298="","",Allocation!CC298)</f>
        <v>0</v>
      </c>
      <c r="K298">
        <f t="shared" si="0"/>
        <v>960</v>
      </c>
      <c r="L298">
        <f t="shared" si="1"/>
        <v>129.777495</v>
      </c>
      <c r="M298">
        <f t="shared" si="2"/>
        <v>6</v>
      </c>
      <c r="N298">
        <f t="shared" si="3"/>
        <v>993562.436419</v>
      </c>
      <c r="O298">
        <f t="shared" si="4"/>
        <v>2880</v>
      </c>
      <c r="P298">
        <f t="shared" si="5"/>
        <v>51.592495</v>
      </c>
      <c r="Q298">
        <f t="shared" si="6"/>
        <v>282.546505</v>
      </c>
      <c r="R298">
        <f t="shared" si="7"/>
        <v>12</v>
      </c>
      <c r="S298">
        <f t="shared" si="8"/>
        <v>2240720.94288</v>
      </c>
      <c r="T298">
        <f t="shared" si="9"/>
        <v>3473.669998</v>
      </c>
      <c r="U298">
        <f t="shared" si="10"/>
        <v>135</v>
      </c>
      <c r="V298">
        <f t="shared" si="11"/>
        <v>26814168.474038</v>
      </c>
      <c r="W298">
        <f>IF($A298="","",Allocation!CD298)</f>
        <v>81566.049288</v>
      </c>
      <c r="X298">
        <f>IF($A298="","",Allocation!CE298)</f>
        <v>195356.674632</v>
      </c>
      <c r="Y298">
        <f>IF($A298="","",Allocation!CF298)</f>
        <v>49020.927631</v>
      </c>
      <c r="Z298">
        <f>IF($A298="","",Allocation!CG298)</f>
        <v>21677.5</v>
      </c>
      <c r="AA298">
        <f>IF($A298="","",Allocation!CH298)</f>
        <v>378627.068329</v>
      </c>
      <c r="AB298">
        <f>IF($A298="","",Allocation!CI298)</f>
        <v>2894009.992738</v>
      </c>
      <c r="AC298">
        <f>IF($A298="","",IF(Allocation!$N$4="VOL_EFF",$G298,IF(Allocation!$N$4="VOL_CLASS",$H298,$I298)))</f>
        <v>2</v>
      </c>
      <c r="AD298">
        <f>IF($A298="","",IF(Allocation!$N$4="VOL_EFF",$L298,IF(Allocation!$N$4="VOL_CLASS",$M298,$N298)))</f>
        <v>6</v>
      </c>
      <c r="AE298">
        <f>IF($A298="","",IF(Allocation!$N$3="VOL_EFF",$L298,IF(Allocation!$N$3="VOL_CLASS",$M298,$N298)))</f>
        <v>129.777495</v>
      </c>
      <c r="AF298">
        <f>IF($A298="","",IF(Allocation!$N$3="VOL_EFF",$Q298,IF(Allocation!$N$3="VOL_CLASS",$R298,$S298)))</f>
        <v>282.546505</v>
      </c>
      <c r="AG298">
        <f>IF($A298="","",IF(Allocation!$N$1="VOL_EFF",$Q298,IF(Allocation!$N$1="VOL_CLASS",$R298,$S298)))</f>
        <v>12</v>
      </c>
      <c r="AH298">
        <f>IF($A298="","",IF(Allocation!$N$1="VOL_EFF",$T298,IF(Allocation!$N$1="VOL_CLASS",$U298,$V298)))</f>
        <v>135</v>
      </c>
      <c r="AI298">
        <f t="shared" si="12"/>
        <v>27188.683096</v>
      </c>
      <c r="AJ298">
        <f t="shared" si="13"/>
        <v>65118.891544</v>
      </c>
      <c r="AK298">
        <f t="shared" si="14"/>
        <v>14574.7341836282</v>
      </c>
      <c r="AL298">
        <f t="shared" si="15"/>
        <v>126209.022776333</v>
      </c>
      <c r="AM298">
        <f t="shared" si="16"/>
        <v>39385.4395481636</v>
      </c>
      <c r="AN298">
        <f t="shared" si="17"/>
        <v>11594.031640182</v>
      </c>
      <c r="AO298">
        <f>IF($A298="","",Allocation!CJ298)</f>
        <v>777795.6</v>
      </c>
      <c r="AP298">
        <f>IF($A298="","",IF(Allocation!$N$2="VOL_EFF",$Q298,IF(Allocation!$N$2="VOL_CLASS",$R298,$S298)))</f>
        <v>2240720.94288</v>
      </c>
      <c r="AQ298">
        <f>IF($A298="","",IF(Allocation!$N$2="VOL_EFF",$T298,IF(Allocation!$N$2="VOL_CLASS",$U298,$V298)))</f>
        <v>26814168.474038</v>
      </c>
      <c r="AR298">
        <f t="shared" si="18"/>
        <v>9951.23802469313</v>
      </c>
      <c r="AS298" t="str">
        <f>IF($A298="","",$A298&amp;"|"&amp;Allocation!BG298)</f>
        <v>2027|V02</v>
      </c>
    </row>
    <row r="299" ht="14.497499999999997" customHeight="1">
      <c r="A299" t="str">
        <f>IF(Allocation!BI299="","",Allocation!BI299)</f>
        <v>2027</v>
      </c>
      <c r="B299" t="str">
        <f>IF(Allocation!BJ299="","",Allocation!BJ299)</f>
        <v>TUNON_PAR</v>
      </c>
      <c r="C299" t="str">
        <f>IF(Allocation!BK299="","",Allocation!BK299)</f>
        <v>TUNON</v>
      </c>
      <c r="D299" t="str">
        <f>IF(Allocation!BL299="","",Allocation!BL299)</f>
        <v>BAC_TOU</v>
      </c>
      <c r="E299" t="str">
        <f>IF(Allocation!BM299="","",Allocation!BM299)</f>
        <v>B1</v>
      </c>
      <c r="F299" t="str">
        <f>IF(Allocation!BN299="","",Allocation!BN299)</f>
        <v>ALT</v>
      </c>
      <c r="G299">
        <f>IF(Allocation!BO299="","",Allocation!BO299)</f>
        <v>60.37401</v>
      </c>
      <c r="H299">
        <f>IF(Allocation!BP299="","",Allocation!BP299)</f>
        <v>2</v>
      </c>
      <c r="I299">
        <f>IF(Allocation!BQ299="","",Allocation!BQ299)</f>
        <v>496160.859061</v>
      </c>
      <c r="J299">
        <f>IF(Allocation!CC299="","",Allocation!CC299)</f>
        <v>60.37401</v>
      </c>
      <c r="K299">
        <f t="shared" si="0"/>
        <v>960</v>
      </c>
      <c r="L299">
        <f t="shared" si="1"/>
        <v>152.76901</v>
      </c>
      <c r="M299">
        <f t="shared" si="2"/>
        <v>6</v>
      </c>
      <c r="N299">
        <f t="shared" si="3"/>
        <v>1247158.506461</v>
      </c>
      <c r="O299">
        <f t="shared" si="4"/>
        <v>2880</v>
      </c>
      <c r="P299">
        <f t="shared" si="5"/>
        <v>60.37401</v>
      </c>
      <c r="Q299">
        <f t="shared" si="6"/>
        <v>282.546505</v>
      </c>
      <c r="R299">
        <f t="shared" si="7"/>
        <v>12</v>
      </c>
      <c r="S299">
        <f t="shared" si="8"/>
        <v>2240720.94288</v>
      </c>
      <c r="T299">
        <f t="shared" si="9"/>
        <v>3473.669998</v>
      </c>
      <c r="U299">
        <f t="shared" si="10"/>
        <v>135</v>
      </c>
      <c r="V299">
        <f t="shared" si="11"/>
        <v>26814168.474038</v>
      </c>
      <c r="W299">
        <f>IF($A299="","",Allocation!CD299)</f>
        <v>81566.049288</v>
      </c>
      <c r="X299">
        <f>IF($A299="","",Allocation!CE299)</f>
        <v>234672.007206</v>
      </c>
      <c r="Y299">
        <f>IF($A299="","",Allocation!CF299)</f>
        <v>57819.58454</v>
      </c>
      <c r="Z299">
        <f>IF($A299="","",Allocation!CG299)</f>
        <v>34776</v>
      </c>
      <c r="AA299">
        <f>IF($A299="","",Allocation!CH299)</f>
        <v>507111.213331</v>
      </c>
      <c r="AB299">
        <f>IF($A299="","",Allocation!CI299)</f>
        <v>2894009.992738</v>
      </c>
      <c r="AC299">
        <f>IF($A299="","",IF(Allocation!$N$4="VOL_EFF",$G299,IF(Allocation!$N$4="VOL_CLASS",$H299,$I299)))</f>
        <v>2</v>
      </c>
      <c r="AD299">
        <f>IF($A299="","",IF(Allocation!$N$4="VOL_EFF",$L299,IF(Allocation!$N$4="VOL_CLASS",$M299,$N299)))</f>
        <v>6</v>
      </c>
      <c r="AE299">
        <f>IF($A299="","",IF(Allocation!$N$3="VOL_EFF",$L299,IF(Allocation!$N$3="VOL_CLASS",$M299,$N299)))</f>
        <v>152.76901</v>
      </c>
      <c r="AF299">
        <f>IF($A299="","",IF(Allocation!$N$3="VOL_EFF",$Q299,IF(Allocation!$N$3="VOL_CLASS",$R299,$S299)))</f>
        <v>282.546505</v>
      </c>
      <c r="AG299">
        <f>IF($A299="","",IF(Allocation!$N$1="VOL_EFF",$Q299,IF(Allocation!$N$1="VOL_CLASS",$R299,$S299)))</f>
        <v>12</v>
      </c>
      <c r="AH299">
        <f>IF($A299="","",IF(Allocation!$N$1="VOL_EFF",$T299,IF(Allocation!$N$1="VOL_CLASS",$U299,$V299)))</f>
        <v>135</v>
      </c>
      <c r="AI299">
        <f t="shared" si="12"/>
        <v>27188.683096</v>
      </c>
      <c r="AJ299">
        <f t="shared" si="13"/>
        <v>78224.002402</v>
      </c>
      <c r="AK299">
        <f t="shared" si="14"/>
        <v>57626.1852254839</v>
      </c>
      <c r="AL299">
        <f t="shared" si="15"/>
        <v>169037.071110333</v>
      </c>
      <c r="AM299">
        <f t="shared" si="16"/>
        <v>46363.0046811105</v>
      </c>
      <c r="AN299">
        <f t="shared" si="17"/>
        <v>106007.702918997</v>
      </c>
      <c r="AO299">
        <f>IF($A299="","",Allocation!CJ299)</f>
        <v>777795.6</v>
      </c>
      <c r="AP299">
        <f>IF($A299="","",IF(Allocation!$N$2="VOL_EFF",$Q299,IF(Allocation!$N$2="VOL_CLASS",$R299,$S299)))</f>
        <v>2240720.94288</v>
      </c>
      <c r="AQ299">
        <f>IF($A299="","",IF(Allocation!$N$2="VOL_EFF",$T299,IF(Allocation!$N$2="VOL_CLASS",$U299,$V299)))</f>
        <v>26814168.474038</v>
      </c>
      <c r="AR299">
        <f t="shared" si="18"/>
        <v>11714.2096270754</v>
      </c>
      <c r="AS299" t="str">
        <f>IF($A299="","",$A299&amp;"|"&amp;Allocation!BG299)</f>
        <v>2027|V02</v>
      </c>
    </row>
    <row r="300" ht="14.497499999999997" customHeight="1">
      <c r="A300" t="str">
        <f>IF(Allocation!BI300="","",Allocation!BI300)</f>
        <v>2027</v>
      </c>
      <c r="B300" t="str">
        <f>IF(Allocation!BJ300="","",Allocation!BJ300)</f>
        <v>TUNON_PAR</v>
      </c>
      <c r="C300" t="str">
        <f>IF(Allocation!BK300="","",Allocation!BK300)</f>
        <v>TUNON</v>
      </c>
      <c r="D300" t="str">
        <f>IF(Allocation!BL300="","",Allocation!BL300)</f>
        <v>BAC_TOU</v>
      </c>
      <c r="E300" t="str">
        <f>IF(Allocation!BM300="","",Allocation!BM300)</f>
        <v>B2</v>
      </c>
      <c r="F300" t="str">
        <f>IF(Allocation!BN300="","",Allocation!BN300)</f>
        <v>ALT</v>
      </c>
      <c r="G300">
        <f>IF(Allocation!BO300="","",Allocation!BO300)</f>
        <v>46.705</v>
      </c>
      <c r="H300">
        <f>IF(Allocation!BP300="","",Allocation!BP300)</f>
        <v>2</v>
      </c>
      <c r="I300">
        <f>IF(Allocation!BQ300="","",Allocation!BQ300)</f>
        <v>379623.8446</v>
      </c>
      <c r="J300">
        <f>IF(Allocation!CC300="","",Allocation!CC300)</f>
        <v>0</v>
      </c>
      <c r="K300">
        <f t="shared" si="0"/>
        <v>960</v>
      </c>
      <c r="L300">
        <f t="shared" si="1"/>
        <v>152.76901</v>
      </c>
      <c r="M300">
        <f t="shared" si="2"/>
        <v>6</v>
      </c>
      <c r="N300">
        <f t="shared" si="3"/>
        <v>1247158.506461</v>
      </c>
      <c r="O300">
        <f t="shared" si="4"/>
        <v>2880</v>
      </c>
      <c r="P300">
        <f t="shared" si="5"/>
        <v>60.37401</v>
      </c>
      <c r="Q300">
        <f t="shared" si="6"/>
        <v>282.546505</v>
      </c>
      <c r="R300">
        <f t="shared" si="7"/>
        <v>12</v>
      </c>
      <c r="S300">
        <f t="shared" si="8"/>
        <v>2240720.94288</v>
      </c>
      <c r="T300">
        <f t="shared" si="9"/>
        <v>3473.669998</v>
      </c>
      <c r="U300">
        <f t="shared" si="10"/>
        <v>135</v>
      </c>
      <c r="V300">
        <f t="shared" si="11"/>
        <v>26814168.474038</v>
      </c>
      <c r="W300">
        <f>IF($A300="","",Allocation!CD300)</f>
        <v>81566.049288</v>
      </c>
      <c r="X300">
        <f>IF($A300="","",Allocation!CE300)</f>
        <v>234672.007206</v>
      </c>
      <c r="Y300">
        <f>IF($A300="","",Allocation!CF300)</f>
        <v>57819.58454</v>
      </c>
      <c r="Z300">
        <f>IF($A300="","",Allocation!CG300)</f>
        <v>34776</v>
      </c>
      <c r="AA300">
        <f>IF($A300="","",Allocation!CH300)</f>
        <v>507111.213331</v>
      </c>
      <c r="AB300">
        <f>IF($A300="","",Allocation!CI300)</f>
        <v>2894009.992738</v>
      </c>
      <c r="AC300">
        <f>IF($A300="","",IF(Allocation!$N$4="VOL_EFF",$G300,IF(Allocation!$N$4="VOL_CLASS",$H300,$I300)))</f>
        <v>2</v>
      </c>
      <c r="AD300">
        <f>IF($A300="","",IF(Allocation!$N$4="VOL_EFF",$L300,IF(Allocation!$N$4="VOL_CLASS",$M300,$N300)))</f>
        <v>6</v>
      </c>
      <c r="AE300">
        <f>IF($A300="","",IF(Allocation!$N$3="VOL_EFF",$L300,IF(Allocation!$N$3="VOL_CLASS",$M300,$N300)))</f>
        <v>152.76901</v>
      </c>
      <c r="AF300">
        <f>IF($A300="","",IF(Allocation!$N$3="VOL_EFF",$Q300,IF(Allocation!$N$3="VOL_CLASS",$R300,$S300)))</f>
        <v>282.546505</v>
      </c>
      <c r="AG300">
        <f>IF($A300="","",IF(Allocation!$N$1="VOL_EFF",$Q300,IF(Allocation!$N$1="VOL_CLASS",$R300,$S300)))</f>
        <v>12</v>
      </c>
      <c r="AH300">
        <f>IF($A300="","",IF(Allocation!$N$1="VOL_EFF",$T300,IF(Allocation!$N$1="VOL_CLASS",$U300,$V300)))</f>
        <v>135</v>
      </c>
      <c r="AI300">
        <f t="shared" si="12"/>
        <v>27188.683096</v>
      </c>
      <c r="AJ300">
        <f t="shared" si="13"/>
        <v>78224.002402</v>
      </c>
      <c r="AK300">
        <f t="shared" si="14"/>
        <v>17676.7768275824</v>
      </c>
      <c r="AL300">
        <f t="shared" si="15"/>
        <v>169037.071110333</v>
      </c>
      <c r="AM300">
        <f t="shared" si="16"/>
        <v>46363.0046811105</v>
      </c>
      <c r="AN300">
        <f t="shared" si="17"/>
        <v>29420.0968558987</v>
      </c>
      <c r="AO300">
        <f>IF($A300="","",Allocation!CJ300)</f>
        <v>777795.6</v>
      </c>
      <c r="AP300">
        <f>IF($A300="","",IF(Allocation!$N$2="VOL_EFF",$Q300,IF(Allocation!$N$2="VOL_CLASS",$R300,$S300)))</f>
        <v>2240720.94288</v>
      </c>
      <c r="AQ300">
        <f>IF($A300="","",IF(Allocation!$N$2="VOL_EFF",$T300,IF(Allocation!$N$2="VOL_CLASS",$U300,$V300)))</f>
        <v>26814168.474038</v>
      </c>
      <c r="AR300">
        <f t="shared" si="18"/>
        <v>11714.2096270754</v>
      </c>
      <c r="AS300" t="str">
        <f>IF($A300="","",$A300&amp;"|"&amp;Allocation!BG300)</f>
        <v>2027|V02</v>
      </c>
    </row>
    <row r="301" ht="14.497499999999997" customHeight="1">
      <c r="A301" t="str">
        <f>IF(Allocation!BI301="","",Allocation!BI301)</f>
        <v>2027</v>
      </c>
      <c r="B301" t="str">
        <f>IF(Allocation!BJ301="","",Allocation!BJ301)</f>
        <v>TUNON_PAR</v>
      </c>
      <c r="C301" t="str">
        <f>IF(Allocation!BK301="","",Allocation!BK301)</f>
        <v>TUNON</v>
      </c>
      <c r="D301" t="str">
        <f>IF(Allocation!BL301="","",Allocation!BL301)</f>
        <v>BAC_TOU</v>
      </c>
      <c r="E301" t="str">
        <f>IF(Allocation!BM301="","",Allocation!BM301)</f>
        <v>B3</v>
      </c>
      <c r="F301" t="str">
        <f>IF(Allocation!BN301="","",Allocation!BN301)</f>
        <v>ALT</v>
      </c>
      <c r="G301">
        <f>IF(Allocation!BO301="","",Allocation!BO301)</f>
        <v>45.69</v>
      </c>
      <c r="H301">
        <f>IF(Allocation!BP301="","",Allocation!BP301)</f>
        <v>2</v>
      </c>
      <c r="I301">
        <f>IF(Allocation!BQ301="","",Allocation!BQ301)</f>
        <v>371373.8028</v>
      </c>
      <c r="J301">
        <f>IF(Allocation!CC301="","",Allocation!CC301)</f>
        <v>0</v>
      </c>
      <c r="K301">
        <f t="shared" si="0"/>
        <v>960</v>
      </c>
      <c r="L301">
        <f t="shared" si="1"/>
        <v>152.76901</v>
      </c>
      <c r="M301">
        <f t="shared" si="2"/>
        <v>6</v>
      </c>
      <c r="N301">
        <f t="shared" si="3"/>
        <v>1247158.506461</v>
      </c>
      <c r="O301">
        <f t="shared" si="4"/>
        <v>2880</v>
      </c>
      <c r="P301">
        <f t="shared" si="5"/>
        <v>60.37401</v>
      </c>
      <c r="Q301">
        <f t="shared" si="6"/>
        <v>282.546505</v>
      </c>
      <c r="R301">
        <f t="shared" si="7"/>
        <v>12</v>
      </c>
      <c r="S301">
        <f t="shared" si="8"/>
        <v>2240720.94288</v>
      </c>
      <c r="T301">
        <f t="shared" si="9"/>
        <v>3473.669998</v>
      </c>
      <c r="U301">
        <f t="shared" si="10"/>
        <v>135</v>
      </c>
      <c r="V301">
        <f t="shared" si="11"/>
        <v>26814168.474038</v>
      </c>
      <c r="W301">
        <f>IF($A301="","",Allocation!CD301)</f>
        <v>81566.049288</v>
      </c>
      <c r="X301">
        <f>IF($A301="","",Allocation!CE301)</f>
        <v>234672.007206</v>
      </c>
      <c r="Y301">
        <f>IF($A301="","",Allocation!CF301)</f>
        <v>57819.58454</v>
      </c>
      <c r="Z301">
        <f>IF($A301="","",Allocation!CG301)</f>
        <v>34776</v>
      </c>
      <c r="AA301">
        <f>IF($A301="","",Allocation!CH301)</f>
        <v>507111.213331</v>
      </c>
      <c r="AB301">
        <f>IF($A301="","",Allocation!CI301)</f>
        <v>2894009.992738</v>
      </c>
      <c r="AC301">
        <f>IF($A301="","",IF(Allocation!$N$4="VOL_EFF",$G301,IF(Allocation!$N$4="VOL_CLASS",$H301,$I301)))</f>
        <v>2</v>
      </c>
      <c r="AD301">
        <f>IF($A301="","",IF(Allocation!$N$4="VOL_EFF",$L301,IF(Allocation!$N$4="VOL_CLASS",$M301,$N301)))</f>
        <v>6</v>
      </c>
      <c r="AE301">
        <f>IF($A301="","",IF(Allocation!$N$3="VOL_EFF",$L301,IF(Allocation!$N$3="VOL_CLASS",$M301,$N301)))</f>
        <v>152.76901</v>
      </c>
      <c r="AF301">
        <f>IF($A301="","",IF(Allocation!$N$3="VOL_EFF",$Q301,IF(Allocation!$N$3="VOL_CLASS",$R301,$S301)))</f>
        <v>282.546505</v>
      </c>
      <c r="AG301">
        <f>IF($A301="","",IF(Allocation!$N$1="VOL_EFF",$Q301,IF(Allocation!$N$1="VOL_CLASS",$R301,$S301)))</f>
        <v>12</v>
      </c>
      <c r="AH301">
        <f>IF($A301="","",IF(Allocation!$N$1="VOL_EFF",$T301,IF(Allocation!$N$1="VOL_CLASS",$U301,$V301)))</f>
        <v>135</v>
      </c>
      <c r="AI301">
        <f t="shared" si="12"/>
        <v>27188.683096</v>
      </c>
      <c r="AJ301">
        <f t="shared" si="13"/>
        <v>78224.002402</v>
      </c>
      <c r="AK301">
        <f t="shared" si="14"/>
        <v>17292.6224869337</v>
      </c>
      <c r="AL301">
        <f t="shared" si="15"/>
        <v>169037.071110333</v>
      </c>
      <c r="AM301">
        <f t="shared" si="16"/>
        <v>46363.0046811105</v>
      </c>
      <c r="AN301">
        <f t="shared" si="17"/>
        <v>21554.2093965474</v>
      </c>
      <c r="AO301">
        <f>IF($A301="","",Allocation!CJ301)</f>
        <v>777795.6</v>
      </c>
      <c r="AP301">
        <f>IF($A301="","",IF(Allocation!$N$2="VOL_EFF",$Q301,IF(Allocation!$N$2="VOL_CLASS",$R301,$S301)))</f>
        <v>2240720.94288</v>
      </c>
      <c r="AQ301">
        <f>IF($A301="","",IF(Allocation!$N$2="VOL_EFF",$T301,IF(Allocation!$N$2="VOL_CLASS",$U301,$V301)))</f>
        <v>26814168.474038</v>
      </c>
      <c r="AR301">
        <f t="shared" si="18"/>
        <v>11714.2096270754</v>
      </c>
      <c r="AS301" t="str">
        <f>IF($A301="","",$A301&amp;"|"&amp;Allocation!BG301)</f>
        <v>2027|V02</v>
      </c>
    </row>
    <row r="302" ht="14.497499999999997" customHeight="1">
      <c r="A302" t="str">
        <f>IF(Allocation!BI302="","",Allocation!BI302)</f>
        <v>2027</v>
      </c>
      <c r="B302" t="str">
        <f>IF(Allocation!BJ302="","",Allocation!BJ302)</f>
        <v>IPAC_MTP</v>
      </c>
      <c r="C302" t="str">
        <f>IF(Allocation!BK302="","",Allocation!BK302)</f>
        <v>IPAC</v>
      </c>
      <c r="D302" t="str">
        <f>IF(Allocation!BL302="","",Allocation!BL302)</f>
        <v>BAC_CCE</v>
      </c>
      <c r="E302" t="str">
        <f>IF(Allocation!BM302="","",Allocation!BM302)</f>
        <v>B1</v>
      </c>
      <c r="F302" t="str">
        <f>IF(Allocation!BN302="","",Allocation!BN302)</f>
        <v>ALT</v>
      </c>
      <c r="G302">
        <f>IF(Allocation!BO302="","",Allocation!BO302)</f>
        <v>36.183876</v>
      </c>
      <c r="H302">
        <f>IF(Allocation!BP302="","",Allocation!BP302)</f>
        <v>2</v>
      </c>
      <c r="I302">
        <f>IF(Allocation!BQ302="","",Allocation!BQ302)</f>
        <v>248451.156973</v>
      </c>
      <c r="J302">
        <f>IF(Allocation!CC302="","",Allocation!CC302)</f>
        <v>36.183876</v>
      </c>
      <c r="K302">
        <f t="shared" si="0"/>
        <v>960</v>
      </c>
      <c r="L302">
        <f t="shared" si="1"/>
        <v>112.393876</v>
      </c>
      <c r="M302">
        <f t="shared" si="2"/>
        <v>6</v>
      </c>
      <c r="N302">
        <f t="shared" si="3"/>
        <v>764876.790473</v>
      </c>
      <c r="O302">
        <f t="shared" si="4"/>
        <v>2880</v>
      </c>
      <c r="P302">
        <f t="shared" si="5"/>
        <v>36.183876</v>
      </c>
      <c r="Q302">
        <f t="shared" si="6"/>
        <v>364.086935</v>
      </c>
      <c r="R302">
        <f t="shared" si="7"/>
        <v>18</v>
      </c>
      <c r="S302">
        <f t="shared" si="8"/>
        <v>2527447.039256</v>
      </c>
      <c r="T302">
        <f t="shared" si="9"/>
        <v>2494.334349</v>
      </c>
      <c r="U302">
        <f t="shared" si="10"/>
        <v>111</v>
      </c>
      <c r="V302">
        <f t="shared" si="11"/>
        <v>18970805.476786</v>
      </c>
      <c r="W302">
        <f>IF($A302="","",Allocation!CD302)</f>
        <v>71034.296436</v>
      </c>
      <c r="X302">
        <f>IF($A302="","",Allocation!CE302)</f>
        <v>147178.555545</v>
      </c>
      <c r="Y302">
        <f>IF($A302="","",Allocation!CF302)</f>
        <v>42691.37877</v>
      </c>
      <c r="Z302">
        <f>IF($A302="","",Allocation!CG302)</f>
        <v>14419.1</v>
      </c>
      <c r="AA302">
        <f>IF($A302="","",Allocation!CH302)</f>
        <v>295317.217659</v>
      </c>
      <c r="AB302">
        <f>IF($A302="","",Allocation!CI302)</f>
        <v>3092074.3479</v>
      </c>
      <c r="AC302">
        <f>IF($A302="","",IF(Allocation!$N$4="VOL_EFF",$G302,IF(Allocation!$N$4="VOL_CLASS",$H302,$I302)))</f>
        <v>2</v>
      </c>
      <c r="AD302">
        <f>IF($A302="","",IF(Allocation!$N$4="VOL_EFF",$L302,IF(Allocation!$N$4="VOL_CLASS",$M302,$N302)))</f>
        <v>6</v>
      </c>
      <c r="AE302">
        <f>IF($A302="","",IF(Allocation!$N$3="VOL_EFF",$L302,IF(Allocation!$N$3="VOL_CLASS",$M302,$N302)))</f>
        <v>112.393876</v>
      </c>
      <c r="AF302">
        <f>IF($A302="","",IF(Allocation!$N$3="VOL_EFF",$Q302,IF(Allocation!$N$3="VOL_CLASS",$R302,$S302)))</f>
        <v>364.086935</v>
      </c>
      <c r="AG302">
        <f>IF($A302="","",IF(Allocation!$N$1="VOL_EFF",$Q302,IF(Allocation!$N$1="VOL_CLASS",$R302,$S302)))</f>
        <v>18</v>
      </c>
      <c r="AH302">
        <f>IF($A302="","",IF(Allocation!$N$1="VOL_EFF",$T302,IF(Allocation!$N$1="VOL_CLASS",$U302,$V302)))</f>
        <v>111</v>
      </c>
      <c r="AI302">
        <f t="shared" si="12"/>
        <v>23678.098812</v>
      </c>
      <c r="AJ302">
        <f t="shared" si="13"/>
        <v>49059.518515</v>
      </c>
      <c r="AK302">
        <f t="shared" si="14"/>
        <v>28163.0833081538</v>
      </c>
      <c r="AL302">
        <f t="shared" si="15"/>
        <v>98439.072553</v>
      </c>
      <c r="AM302">
        <f t="shared" si="16"/>
        <v>51595.9666136826</v>
      </c>
      <c r="AN302">
        <f t="shared" si="17"/>
        <v>-11293.1209665823</v>
      </c>
      <c r="AO302">
        <f>IF($A302="","",Allocation!CJ302)</f>
        <v>642526.8</v>
      </c>
      <c r="AP302">
        <f>IF($A302="","",IF(Allocation!$N$2="VOL_EFF",$Q302,IF(Allocation!$N$2="VOL_CLASS",$R302,$S302)))</f>
        <v>2527447.039256</v>
      </c>
      <c r="AQ302">
        <f>IF($A302="","",IF(Allocation!$N$2="VOL_EFF",$T302,IF(Allocation!$N$2="VOL_CLASS",$U302,$V302)))</f>
        <v>18970805.476786</v>
      </c>
      <c r="AR302">
        <f t="shared" si="18"/>
        <v>8808.53813774591</v>
      </c>
      <c r="AS302" t="str">
        <f>IF($A302="","",$A302&amp;"|"&amp;Allocation!BG302)</f>
        <v>2027|V03</v>
      </c>
    </row>
    <row r="303" ht="14.497499999999997" customHeight="1">
      <c r="A303" t="str">
        <f>IF(Allocation!BI303="","",Allocation!BI303)</f>
        <v>2027</v>
      </c>
      <c r="B303" t="str">
        <f>IF(Allocation!BJ303="","",Allocation!BJ303)</f>
        <v>IPAC_MTP</v>
      </c>
      <c r="C303" t="str">
        <f>IF(Allocation!BK303="","",Allocation!BK303)</f>
        <v>IPAC</v>
      </c>
      <c r="D303" t="str">
        <f>IF(Allocation!BL303="","",Allocation!BL303)</f>
        <v>BAC_CCE</v>
      </c>
      <c r="E303" t="str">
        <f>IF(Allocation!BM303="","",Allocation!BM303)</f>
        <v>B2</v>
      </c>
      <c r="F303" t="str">
        <f>IF(Allocation!BN303="","",Allocation!BN303)</f>
        <v>ALT</v>
      </c>
      <c r="G303">
        <f>IF(Allocation!BO303="","",Allocation!BO303)</f>
        <v>38.6</v>
      </c>
      <c r="H303">
        <f>IF(Allocation!BP303="","",Allocation!BP303)</f>
        <v>2</v>
      </c>
      <c r="I303">
        <f>IF(Allocation!BQ303="","",Allocation!BQ303)</f>
        <v>261567.11</v>
      </c>
      <c r="J303">
        <f>IF(Allocation!CC303="","",Allocation!CC303)</f>
        <v>0</v>
      </c>
      <c r="K303">
        <f t="shared" si="0"/>
        <v>960</v>
      </c>
      <c r="L303">
        <f t="shared" si="1"/>
        <v>112.393876</v>
      </c>
      <c r="M303">
        <f t="shared" si="2"/>
        <v>6</v>
      </c>
      <c r="N303">
        <f t="shared" si="3"/>
        <v>764876.790473</v>
      </c>
      <c r="O303">
        <f t="shared" si="4"/>
        <v>2880</v>
      </c>
      <c r="P303">
        <f t="shared" si="5"/>
        <v>36.183876</v>
      </c>
      <c r="Q303">
        <f t="shared" si="6"/>
        <v>364.086935</v>
      </c>
      <c r="R303">
        <f t="shared" si="7"/>
        <v>18</v>
      </c>
      <c r="S303">
        <f t="shared" si="8"/>
        <v>2527447.039256</v>
      </c>
      <c r="T303">
        <f t="shared" si="9"/>
        <v>2494.334349</v>
      </c>
      <c r="U303">
        <f t="shared" si="10"/>
        <v>111</v>
      </c>
      <c r="V303">
        <f t="shared" si="11"/>
        <v>18970805.476786</v>
      </c>
      <c r="W303">
        <f>IF($A303="","",Allocation!CD303)</f>
        <v>71034.296436</v>
      </c>
      <c r="X303">
        <f>IF($A303="","",Allocation!CE303)</f>
        <v>147178.555545</v>
      </c>
      <c r="Y303">
        <f>IF($A303="","",Allocation!CF303)</f>
        <v>42691.37877</v>
      </c>
      <c r="Z303">
        <f>IF($A303="","",Allocation!CG303)</f>
        <v>14419.1</v>
      </c>
      <c r="AA303">
        <f>IF($A303="","",Allocation!CH303)</f>
        <v>295317.217659</v>
      </c>
      <c r="AB303">
        <f>IF($A303="","",Allocation!CI303)</f>
        <v>3092074.3479</v>
      </c>
      <c r="AC303">
        <f>IF($A303="","",IF(Allocation!$N$4="VOL_EFF",$G303,IF(Allocation!$N$4="VOL_CLASS",$H303,$I303)))</f>
        <v>2</v>
      </c>
      <c r="AD303">
        <f>IF($A303="","",IF(Allocation!$N$4="VOL_EFF",$L303,IF(Allocation!$N$4="VOL_CLASS",$M303,$N303)))</f>
        <v>6</v>
      </c>
      <c r="AE303">
        <f>IF($A303="","",IF(Allocation!$N$3="VOL_EFF",$L303,IF(Allocation!$N$3="VOL_CLASS",$M303,$N303)))</f>
        <v>112.393876</v>
      </c>
      <c r="AF303">
        <f>IF($A303="","",IF(Allocation!$N$3="VOL_EFF",$Q303,IF(Allocation!$N$3="VOL_CLASS",$R303,$S303)))</f>
        <v>364.086935</v>
      </c>
      <c r="AG303">
        <f>IF($A303="","",IF(Allocation!$N$1="VOL_EFF",$Q303,IF(Allocation!$N$1="VOL_CLASS",$R303,$S303)))</f>
        <v>18</v>
      </c>
      <c r="AH303">
        <f>IF($A303="","",IF(Allocation!$N$1="VOL_EFF",$T303,IF(Allocation!$N$1="VOL_CLASS",$U303,$V303)))</f>
        <v>111</v>
      </c>
      <c r="AI303">
        <f t="shared" si="12"/>
        <v>23678.098812</v>
      </c>
      <c r="AJ303">
        <f t="shared" si="13"/>
        <v>49059.518515</v>
      </c>
      <c r="AK303">
        <f t="shared" si="14"/>
        <v>14661.7171608353</v>
      </c>
      <c r="AL303">
        <f t="shared" si="15"/>
        <v>98439.072553</v>
      </c>
      <c r="AM303">
        <f t="shared" si="16"/>
        <v>51595.9666136826</v>
      </c>
      <c r="AN303">
        <f t="shared" si="17"/>
        <v>15324.1982077362</v>
      </c>
      <c r="AO303">
        <f>IF($A303="","",Allocation!CJ303)</f>
        <v>642526.8</v>
      </c>
      <c r="AP303">
        <f>IF($A303="","",IF(Allocation!$N$2="VOL_EFF",$Q303,IF(Allocation!$N$2="VOL_CLASS",$R303,$S303)))</f>
        <v>2527447.039256</v>
      </c>
      <c r="AQ303">
        <f>IF($A303="","",IF(Allocation!$N$2="VOL_EFF",$T303,IF(Allocation!$N$2="VOL_CLASS",$U303,$V303)))</f>
        <v>18970805.476786</v>
      </c>
      <c r="AR303">
        <f t="shared" si="18"/>
        <v>8808.53813774591</v>
      </c>
      <c r="AS303" t="str">
        <f>IF($A303="","",$A303&amp;"|"&amp;Allocation!BG303)</f>
        <v>2027|V03</v>
      </c>
    </row>
    <row r="304" ht="14.497499999999997" customHeight="1">
      <c r="A304" t="str">
        <f>IF(Allocation!BI304="","",Allocation!BI304)</f>
        <v>2027</v>
      </c>
      <c r="B304" t="str">
        <f>IF(Allocation!BJ304="","",Allocation!BJ304)</f>
        <v>IPAC_MTP</v>
      </c>
      <c r="C304" t="str">
        <f>IF(Allocation!BK304="","",Allocation!BK304)</f>
        <v>IPAC</v>
      </c>
      <c r="D304" t="str">
        <f>IF(Allocation!BL304="","",Allocation!BL304)</f>
        <v>BAC_CCE</v>
      </c>
      <c r="E304" t="str">
        <f>IF(Allocation!BM304="","",Allocation!BM304)</f>
        <v>B3</v>
      </c>
      <c r="F304" t="str">
        <f>IF(Allocation!BN304="","",Allocation!BN304)</f>
        <v>ALT</v>
      </c>
      <c r="G304">
        <f>IF(Allocation!BO304="","",Allocation!BO304)</f>
        <v>37.61</v>
      </c>
      <c r="H304">
        <f>IF(Allocation!BP304="","",Allocation!BP304)</f>
        <v>2</v>
      </c>
      <c r="I304">
        <f>IF(Allocation!BQ304="","",Allocation!BQ304)</f>
        <v>254858.5235</v>
      </c>
      <c r="J304">
        <f>IF(Allocation!CC304="","",Allocation!CC304)</f>
        <v>0</v>
      </c>
      <c r="K304">
        <f t="shared" si="0"/>
        <v>960</v>
      </c>
      <c r="L304">
        <f t="shared" si="1"/>
        <v>112.393876</v>
      </c>
      <c r="M304">
        <f t="shared" si="2"/>
        <v>6</v>
      </c>
      <c r="N304">
        <f t="shared" si="3"/>
        <v>764876.790473</v>
      </c>
      <c r="O304">
        <f t="shared" si="4"/>
        <v>2880</v>
      </c>
      <c r="P304">
        <f t="shared" si="5"/>
        <v>36.183876</v>
      </c>
      <c r="Q304">
        <f t="shared" si="6"/>
        <v>364.086935</v>
      </c>
      <c r="R304">
        <f t="shared" si="7"/>
        <v>18</v>
      </c>
      <c r="S304">
        <f t="shared" si="8"/>
        <v>2527447.039256</v>
      </c>
      <c r="T304">
        <f t="shared" si="9"/>
        <v>2494.334349</v>
      </c>
      <c r="U304">
        <f t="shared" si="10"/>
        <v>111</v>
      </c>
      <c r="V304">
        <f t="shared" si="11"/>
        <v>18970805.476786</v>
      </c>
      <c r="W304">
        <f>IF($A304="","",Allocation!CD304)</f>
        <v>71034.296436</v>
      </c>
      <c r="X304">
        <f>IF($A304="","",Allocation!CE304)</f>
        <v>147178.555545</v>
      </c>
      <c r="Y304">
        <f>IF($A304="","",Allocation!CF304)</f>
        <v>42691.37877</v>
      </c>
      <c r="Z304">
        <f>IF($A304="","",Allocation!CG304)</f>
        <v>14419.1</v>
      </c>
      <c r="AA304">
        <f>IF($A304="","",Allocation!CH304)</f>
        <v>295317.217659</v>
      </c>
      <c r="AB304">
        <f>IF($A304="","",Allocation!CI304)</f>
        <v>3092074.3479</v>
      </c>
      <c r="AC304">
        <f>IF($A304="","",IF(Allocation!$N$4="VOL_EFF",$G304,IF(Allocation!$N$4="VOL_CLASS",$H304,$I304)))</f>
        <v>2</v>
      </c>
      <c r="AD304">
        <f>IF($A304="","",IF(Allocation!$N$4="VOL_EFF",$L304,IF(Allocation!$N$4="VOL_CLASS",$M304,$N304)))</f>
        <v>6</v>
      </c>
      <c r="AE304">
        <f>IF($A304="","",IF(Allocation!$N$3="VOL_EFF",$L304,IF(Allocation!$N$3="VOL_CLASS",$M304,$N304)))</f>
        <v>112.393876</v>
      </c>
      <c r="AF304">
        <f>IF($A304="","",IF(Allocation!$N$3="VOL_EFF",$Q304,IF(Allocation!$N$3="VOL_CLASS",$R304,$S304)))</f>
        <v>364.086935</v>
      </c>
      <c r="AG304">
        <f>IF($A304="","",IF(Allocation!$N$1="VOL_EFF",$Q304,IF(Allocation!$N$1="VOL_CLASS",$R304,$S304)))</f>
        <v>18</v>
      </c>
      <c r="AH304">
        <f>IF($A304="","",IF(Allocation!$N$1="VOL_EFF",$T304,IF(Allocation!$N$1="VOL_CLASS",$U304,$V304)))</f>
        <v>111</v>
      </c>
      <c r="AI304">
        <f t="shared" si="12"/>
        <v>23678.098812</v>
      </c>
      <c r="AJ304">
        <f t="shared" si="13"/>
        <v>49059.518515</v>
      </c>
      <c r="AK304">
        <f t="shared" si="14"/>
        <v>14285.6783010108</v>
      </c>
      <c r="AL304">
        <f t="shared" si="15"/>
        <v>98439.072553</v>
      </c>
      <c r="AM304">
        <f t="shared" si="16"/>
        <v>51595.9666136826</v>
      </c>
      <c r="AN304">
        <f t="shared" si="17"/>
        <v>8991.65056756069</v>
      </c>
      <c r="AO304">
        <f>IF($A304="","",Allocation!CJ304)</f>
        <v>642526.8</v>
      </c>
      <c r="AP304">
        <f>IF($A304="","",IF(Allocation!$N$2="VOL_EFF",$Q304,IF(Allocation!$N$2="VOL_CLASS",$R304,$S304)))</f>
        <v>2527447.039256</v>
      </c>
      <c r="AQ304">
        <f>IF($A304="","",IF(Allocation!$N$2="VOL_EFF",$T304,IF(Allocation!$N$2="VOL_CLASS",$U304,$V304)))</f>
        <v>18970805.476786</v>
      </c>
      <c r="AR304">
        <f t="shared" si="18"/>
        <v>8808.53813774591</v>
      </c>
      <c r="AS304" t="str">
        <f>IF($A304="","",$A304&amp;"|"&amp;Allocation!BG304)</f>
        <v>2027|V03</v>
      </c>
    </row>
    <row r="305" ht="14.497499999999997" customHeight="1">
      <c r="A305" t="str">
        <f>IF(Allocation!BI305="","",Allocation!BI305)</f>
        <v>2027</v>
      </c>
      <c r="B305" t="str">
        <f>IF(Allocation!BJ305="","",Allocation!BJ305)</f>
        <v>IPAC_NAN</v>
      </c>
      <c r="C305" t="str">
        <f>IF(Allocation!BK305="","",Allocation!BK305)</f>
        <v>IPAC</v>
      </c>
      <c r="D305" t="str">
        <f>IF(Allocation!BL305="","",Allocation!BL305)</f>
        <v>BAC_CCE</v>
      </c>
      <c r="E305" t="str">
        <f>IF(Allocation!BM305="","",Allocation!BM305)</f>
        <v>B1</v>
      </c>
      <c r="F305" t="str">
        <f>IF(Allocation!BN305="","",Allocation!BN305)</f>
        <v>ALT</v>
      </c>
      <c r="G305">
        <f>IF(Allocation!BO305="","",Allocation!BO305)</f>
        <v>45.271499</v>
      </c>
      <c r="H305">
        <f>IF(Allocation!BP305="","",Allocation!BP305)</f>
        <v>2</v>
      </c>
      <c r="I305">
        <f>IF(Allocation!BQ305="","",Allocation!BQ305)</f>
        <v>326996.037277</v>
      </c>
      <c r="J305">
        <f>IF(Allocation!CC305="","",Allocation!CC305)</f>
        <v>45.271499</v>
      </c>
      <c r="K305">
        <f t="shared" si="0"/>
        <v>960</v>
      </c>
      <c r="L305">
        <f t="shared" si="1"/>
        <v>139.291499</v>
      </c>
      <c r="M305">
        <f t="shared" si="2"/>
        <v>6</v>
      </c>
      <c r="N305">
        <f t="shared" si="3"/>
        <v>997640.697277</v>
      </c>
      <c r="O305">
        <f t="shared" si="4"/>
        <v>2880</v>
      </c>
      <c r="P305">
        <f t="shared" si="5"/>
        <v>45.271499</v>
      </c>
      <c r="Q305">
        <f t="shared" si="6"/>
        <v>364.086935</v>
      </c>
      <c r="R305">
        <f t="shared" si="7"/>
        <v>18</v>
      </c>
      <c r="S305">
        <f t="shared" si="8"/>
        <v>2527447.039256</v>
      </c>
      <c r="T305">
        <f t="shared" si="9"/>
        <v>2494.334349</v>
      </c>
      <c r="U305">
        <f t="shared" si="10"/>
        <v>111</v>
      </c>
      <c r="V305">
        <f t="shared" si="11"/>
        <v>18970805.476786</v>
      </c>
      <c r="W305">
        <f>IF($A305="","",Allocation!CD305)</f>
        <v>71034.296436</v>
      </c>
      <c r="X305">
        <f>IF($A305="","",Allocation!CE305)</f>
        <v>181889.622495</v>
      </c>
      <c r="Y305">
        <f>IF($A305="","",Allocation!CF305)</f>
        <v>52908.479388</v>
      </c>
      <c r="Z305">
        <f>IF($A305="","",Allocation!CG305)</f>
        <v>20672</v>
      </c>
      <c r="AA305">
        <f>IF($A305="","",Allocation!CH305)</f>
        <v>419435.965314</v>
      </c>
      <c r="AB305">
        <f>IF($A305="","",Allocation!CI305)</f>
        <v>3092074.3479</v>
      </c>
      <c r="AC305">
        <f>IF($A305="","",IF(Allocation!$N$4="VOL_EFF",$G305,IF(Allocation!$N$4="VOL_CLASS",$H305,$I305)))</f>
        <v>2</v>
      </c>
      <c r="AD305">
        <f>IF($A305="","",IF(Allocation!$N$4="VOL_EFF",$L305,IF(Allocation!$N$4="VOL_CLASS",$M305,$N305)))</f>
        <v>6</v>
      </c>
      <c r="AE305">
        <f>IF($A305="","",IF(Allocation!$N$3="VOL_EFF",$L305,IF(Allocation!$N$3="VOL_CLASS",$M305,$N305)))</f>
        <v>139.291499</v>
      </c>
      <c r="AF305">
        <f>IF($A305="","",IF(Allocation!$N$3="VOL_EFF",$Q305,IF(Allocation!$N$3="VOL_CLASS",$R305,$S305)))</f>
        <v>364.086935</v>
      </c>
      <c r="AG305">
        <f>IF($A305="","",IF(Allocation!$N$1="VOL_EFF",$Q305,IF(Allocation!$N$1="VOL_CLASS",$R305,$S305)))</f>
        <v>18</v>
      </c>
      <c r="AH305">
        <f>IF($A305="","",IF(Allocation!$N$1="VOL_EFF",$T305,IF(Allocation!$N$1="VOL_CLASS",$U305,$V305)))</f>
        <v>111</v>
      </c>
      <c r="AI305">
        <f t="shared" si="12"/>
        <v>23678.098812</v>
      </c>
      <c r="AJ305">
        <f t="shared" si="13"/>
        <v>60629.874165</v>
      </c>
      <c r="AK305">
        <f t="shared" si="14"/>
        <v>37867.9250126626</v>
      </c>
      <c r="AL305">
        <f t="shared" si="15"/>
        <v>139811.988438</v>
      </c>
      <c r="AM305">
        <f t="shared" si="16"/>
        <v>63943.6932664712</v>
      </c>
      <c r="AN305">
        <f t="shared" si="17"/>
        <v>-9852.10233010707</v>
      </c>
      <c r="AO305">
        <f>IF($A305="","",Allocation!CJ305)</f>
        <v>642526.8</v>
      </c>
      <c r="AP305">
        <f>IF($A305="","",IF(Allocation!$N$2="VOL_EFF",$Q305,IF(Allocation!$N$2="VOL_CLASS",$R305,$S305)))</f>
        <v>2527447.039256</v>
      </c>
      <c r="AQ305">
        <f>IF($A305="","",IF(Allocation!$N$2="VOL_EFF",$T305,IF(Allocation!$N$2="VOL_CLASS",$U305,$V305)))</f>
        <v>18970805.476786</v>
      </c>
      <c r="AR305">
        <f t="shared" si="18"/>
        <v>10916.5599129733</v>
      </c>
      <c r="AS305" t="str">
        <f>IF($A305="","",$A305&amp;"|"&amp;Allocation!BG305)</f>
        <v>2027|V03</v>
      </c>
    </row>
    <row r="306" ht="14.497499999999997" customHeight="1">
      <c r="A306" t="str">
        <f>IF(Allocation!BI306="","",Allocation!BI306)</f>
        <v>2027</v>
      </c>
      <c r="B306" t="str">
        <f>IF(Allocation!BJ306="","",Allocation!BJ306)</f>
        <v>IPAC_NAN</v>
      </c>
      <c r="C306" t="str">
        <f>IF(Allocation!BK306="","",Allocation!BK306)</f>
        <v>IPAC</v>
      </c>
      <c r="D306" t="str">
        <f>IF(Allocation!BL306="","",Allocation!BL306)</f>
        <v>BAC_CCE</v>
      </c>
      <c r="E306" t="str">
        <f>IF(Allocation!BM306="","",Allocation!BM306)</f>
        <v>B2</v>
      </c>
      <c r="F306" t="str">
        <f>IF(Allocation!BN306="","",Allocation!BN306)</f>
        <v>ALT</v>
      </c>
      <c r="G306">
        <f>IF(Allocation!BO306="","",Allocation!BO306)</f>
        <v>47.5</v>
      </c>
      <c r="H306">
        <f>IF(Allocation!BP306="","",Allocation!BP306)</f>
        <v>2</v>
      </c>
      <c r="I306">
        <f>IF(Allocation!BQ306="","",Allocation!BQ306)</f>
        <v>338817.5</v>
      </c>
      <c r="J306">
        <f>IF(Allocation!CC306="","",Allocation!CC306)</f>
        <v>0</v>
      </c>
      <c r="K306">
        <f t="shared" si="0"/>
        <v>960</v>
      </c>
      <c r="L306">
        <f t="shared" si="1"/>
        <v>139.291499</v>
      </c>
      <c r="M306">
        <f t="shared" si="2"/>
        <v>6</v>
      </c>
      <c r="N306">
        <f t="shared" si="3"/>
        <v>997640.697277</v>
      </c>
      <c r="O306">
        <f t="shared" si="4"/>
        <v>2880</v>
      </c>
      <c r="P306">
        <f t="shared" si="5"/>
        <v>45.271499</v>
      </c>
      <c r="Q306">
        <f t="shared" si="6"/>
        <v>364.086935</v>
      </c>
      <c r="R306">
        <f t="shared" si="7"/>
        <v>18</v>
      </c>
      <c r="S306">
        <f t="shared" si="8"/>
        <v>2527447.039256</v>
      </c>
      <c r="T306">
        <f t="shared" si="9"/>
        <v>2494.334349</v>
      </c>
      <c r="U306">
        <f t="shared" si="10"/>
        <v>111</v>
      </c>
      <c r="V306">
        <f t="shared" si="11"/>
        <v>18970805.476786</v>
      </c>
      <c r="W306">
        <f>IF($A306="","",Allocation!CD306)</f>
        <v>71034.296436</v>
      </c>
      <c r="X306">
        <f>IF($A306="","",Allocation!CE306)</f>
        <v>181889.622495</v>
      </c>
      <c r="Y306">
        <f>IF($A306="","",Allocation!CF306)</f>
        <v>52908.479388</v>
      </c>
      <c r="Z306">
        <f>IF($A306="","",Allocation!CG306)</f>
        <v>20672</v>
      </c>
      <c r="AA306">
        <f>IF($A306="","",Allocation!CH306)</f>
        <v>419435.965314</v>
      </c>
      <c r="AB306">
        <f>IF($A306="","",Allocation!CI306)</f>
        <v>3092074.3479</v>
      </c>
      <c r="AC306">
        <f>IF($A306="","",IF(Allocation!$N$4="VOL_EFF",$G306,IF(Allocation!$N$4="VOL_CLASS",$H306,$I306)))</f>
        <v>2</v>
      </c>
      <c r="AD306">
        <f>IF($A306="","",IF(Allocation!$N$4="VOL_EFF",$L306,IF(Allocation!$N$4="VOL_CLASS",$M306,$N306)))</f>
        <v>6</v>
      </c>
      <c r="AE306">
        <f>IF($A306="","",IF(Allocation!$N$3="VOL_EFF",$L306,IF(Allocation!$N$3="VOL_CLASS",$M306,$N306)))</f>
        <v>139.291499</v>
      </c>
      <c r="AF306">
        <f>IF($A306="","",IF(Allocation!$N$3="VOL_EFF",$Q306,IF(Allocation!$N$3="VOL_CLASS",$R306,$S306)))</f>
        <v>364.086935</v>
      </c>
      <c r="AG306">
        <f>IF($A306="","",IF(Allocation!$N$1="VOL_EFF",$Q306,IF(Allocation!$N$1="VOL_CLASS",$R306,$S306)))</f>
        <v>18</v>
      </c>
      <c r="AH306">
        <f>IF($A306="","",IF(Allocation!$N$1="VOL_EFF",$T306,IF(Allocation!$N$1="VOL_CLASS",$U306,$V306)))</f>
        <v>111</v>
      </c>
      <c r="AI306">
        <f t="shared" si="12"/>
        <v>23678.098812</v>
      </c>
      <c r="AJ306">
        <f t="shared" si="13"/>
        <v>60629.874165</v>
      </c>
      <c r="AK306">
        <f t="shared" si="14"/>
        <v>18042.3987750322</v>
      </c>
      <c r="AL306">
        <f t="shared" si="15"/>
        <v>139811.988438</v>
      </c>
      <c r="AM306">
        <f t="shared" si="16"/>
        <v>63943.6932664712</v>
      </c>
      <c r="AN306">
        <f t="shared" si="17"/>
        <v>21794.8866305233</v>
      </c>
      <c r="AO306">
        <f>IF($A306="","",Allocation!CJ306)</f>
        <v>642526.8</v>
      </c>
      <c r="AP306">
        <f>IF($A306="","",IF(Allocation!$N$2="VOL_EFF",$Q306,IF(Allocation!$N$2="VOL_CLASS",$R306,$S306)))</f>
        <v>2527447.039256</v>
      </c>
      <c r="AQ306">
        <f>IF($A306="","",IF(Allocation!$N$2="VOL_EFF",$T306,IF(Allocation!$N$2="VOL_CLASS",$U306,$V306)))</f>
        <v>18970805.476786</v>
      </c>
      <c r="AR306">
        <f t="shared" si="18"/>
        <v>10916.5599129733</v>
      </c>
      <c r="AS306" t="str">
        <f>IF($A306="","",$A306&amp;"|"&amp;Allocation!BG306)</f>
        <v>2027|V03</v>
      </c>
    </row>
    <row r="307" ht="14.497499999999997" customHeight="1">
      <c r="A307" t="str">
        <f>IF(Allocation!BI307="","",Allocation!BI307)</f>
        <v>2027</v>
      </c>
      <c r="B307" t="str">
        <f>IF(Allocation!BJ307="","",Allocation!BJ307)</f>
        <v>IPAC_NAN</v>
      </c>
      <c r="C307" t="str">
        <f>IF(Allocation!BK307="","",Allocation!BK307)</f>
        <v>IPAC</v>
      </c>
      <c r="D307" t="str">
        <f>IF(Allocation!BL307="","",Allocation!BL307)</f>
        <v>BAC_CCE</v>
      </c>
      <c r="E307" t="str">
        <f>IF(Allocation!BM307="","",Allocation!BM307)</f>
        <v>B3</v>
      </c>
      <c r="F307" t="str">
        <f>IF(Allocation!BN307="","",Allocation!BN307)</f>
        <v>ALT</v>
      </c>
      <c r="G307">
        <f>IF(Allocation!BO307="","",Allocation!BO307)</f>
        <v>46.52</v>
      </c>
      <c r="H307">
        <f>IF(Allocation!BP307="","",Allocation!BP307)</f>
        <v>2</v>
      </c>
      <c r="I307">
        <f>IF(Allocation!BQ307="","",Allocation!BQ307)</f>
        <v>331827.16</v>
      </c>
      <c r="J307">
        <f>IF(Allocation!CC307="","",Allocation!CC307)</f>
        <v>0</v>
      </c>
      <c r="K307">
        <f t="shared" si="0"/>
        <v>960</v>
      </c>
      <c r="L307">
        <f t="shared" si="1"/>
        <v>139.291499</v>
      </c>
      <c r="M307">
        <f t="shared" si="2"/>
        <v>6</v>
      </c>
      <c r="N307">
        <f t="shared" si="3"/>
        <v>997640.697277</v>
      </c>
      <c r="O307">
        <f t="shared" si="4"/>
        <v>2880</v>
      </c>
      <c r="P307">
        <f t="shared" si="5"/>
        <v>45.271499</v>
      </c>
      <c r="Q307">
        <f t="shared" si="6"/>
        <v>364.086935</v>
      </c>
      <c r="R307">
        <f t="shared" si="7"/>
        <v>18</v>
      </c>
      <c r="S307">
        <f t="shared" si="8"/>
        <v>2527447.039256</v>
      </c>
      <c r="T307">
        <f t="shared" si="9"/>
        <v>2494.334349</v>
      </c>
      <c r="U307">
        <f t="shared" si="10"/>
        <v>111</v>
      </c>
      <c r="V307">
        <f t="shared" si="11"/>
        <v>18970805.476786</v>
      </c>
      <c r="W307">
        <f>IF($A307="","",Allocation!CD307)</f>
        <v>71034.296436</v>
      </c>
      <c r="X307">
        <f>IF($A307="","",Allocation!CE307)</f>
        <v>181889.622495</v>
      </c>
      <c r="Y307">
        <f>IF($A307="","",Allocation!CF307)</f>
        <v>52908.479388</v>
      </c>
      <c r="Z307">
        <f>IF($A307="","",Allocation!CG307)</f>
        <v>20672</v>
      </c>
      <c r="AA307">
        <f>IF($A307="","",Allocation!CH307)</f>
        <v>419435.965314</v>
      </c>
      <c r="AB307">
        <f>IF($A307="","",Allocation!CI307)</f>
        <v>3092074.3479</v>
      </c>
      <c r="AC307">
        <f>IF($A307="","",IF(Allocation!$N$4="VOL_EFF",$G307,IF(Allocation!$N$4="VOL_CLASS",$H307,$I307)))</f>
        <v>2</v>
      </c>
      <c r="AD307">
        <f>IF($A307="","",IF(Allocation!$N$4="VOL_EFF",$L307,IF(Allocation!$N$4="VOL_CLASS",$M307,$N307)))</f>
        <v>6</v>
      </c>
      <c r="AE307">
        <f>IF($A307="","",IF(Allocation!$N$3="VOL_EFF",$L307,IF(Allocation!$N$3="VOL_CLASS",$M307,$N307)))</f>
        <v>139.291499</v>
      </c>
      <c r="AF307">
        <f>IF($A307="","",IF(Allocation!$N$3="VOL_EFF",$Q307,IF(Allocation!$N$3="VOL_CLASS",$R307,$S307)))</f>
        <v>364.086935</v>
      </c>
      <c r="AG307">
        <f>IF($A307="","",IF(Allocation!$N$1="VOL_EFF",$Q307,IF(Allocation!$N$1="VOL_CLASS",$R307,$S307)))</f>
        <v>18</v>
      </c>
      <c r="AH307">
        <f>IF($A307="","",IF(Allocation!$N$1="VOL_EFF",$T307,IF(Allocation!$N$1="VOL_CLASS",$U307,$V307)))</f>
        <v>111</v>
      </c>
      <c r="AI307">
        <f t="shared" si="12"/>
        <v>23678.098812</v>
      </c>
      <c r="AJ307">
        <f t="shared" si="13"/>
        <v>60629.874165</v>
      </c>
      <c r="AK307">
        <f t="shared" si="14"/>
        <v>17670.1556003052</v>
      </c>
      <c r="AL307">
        <f t="shared" si="15"/>
        <v>139811.988438</v>
      </c>
      <c r="AM307">
        <f t="shared" si="16"/>
        <v>63943.6932664712</v>
      </c>
      <c r="AN307">
        <f t="shared" si="17"/>
        <v>15176.7898052502</v>
      </c>
      <c r="AO307">
        <f>IF($A307="","",Allocation!CJ307)</f>
        <v>642526.8</v>
      </c>
      <c r="AP307">
        <f>IF($A307="","",IF(Allocation!$N$2="VOL_EFF",$Q307,IF(Allocation!$N$2="VOL_CLASS",$R307,$S307)))</f>
        <v>2527447.039256</v>
      </c>
      <c r="AQ307">
        <f>IF($A307="","",IF(Allocation!$N$2="VOL_EFF",$T307,IF(Allocation!$N$2="VOL_CLASS",$U307,$V307)))</f>
        <v>18970805.476786</v>
      </c>
      <c r="AR307">
        <f t="shared" si="18"/>
        <v>10916.5599129733</v>
      </c>
      <c r="AS307" t="str">
        <f>IF($A307="","",$A307&amp;"|"&amp;Allocation!BG307)</f>
        <v>2027|V03</v>
      </c>
    </row>
    <row r="308" ht="14.497499999999997" customHeight="1">
      <c r="A308" t="str">
        <f>IF(Allocation!BI308="","",Allocation!BI308)</f>
        <v>2027</v>
      </c>
      <c r="B308" t="str">
        <f>IF(Allocation!BJ308="","",Allocation!BJ308)</f>
        <v>IPAC_REN</v>
      </c>
      <c r="C308" t="str">
        <f>IF(Allocation!BK308="","",Allocation!BK308)</f>
        <v>IPAC</v>
      </c>
      <c r="D308" t="str">
        <f>IF(Allocation!BL308="","",Allocation!BL308)</f>
        <v>BAC_CCE</v>
      </c>
      <c r="E308" t="str">
        <f>IF(Allocation!BM308="","",Allocation!BM308)</f>
        <v>B1</v>
      </c>
      <c r="F308" t="str">
        <f>IF(Allocation!BN308="","",Allocation!BN308)</f>
        <v>ALT</v>
      </c>
      <c r="G308">
        <f>IF(Allocation!BO308="","",Allocation!BO308)</f>
        <v>36.19156</v>
      </c>
      <c r="H308">
        <f>IF(Allocation!BP308="","",Allocation!BP308)</f>
        <v>2</v>
      </c>
      <c r="I308">
        <f>IF(Allocation!BQ308="","",Allocation!BQ308)</f>
        <v>248503.918006</v>
      </c>
      <c r="J308">
        <f>IF(Allocation!CC308="","",Allocation!CC308)</f>
        <v>36.19156</v>
      </c>
      <c r="K308">
        <f t="shared" si="0"/>
        <v>960</v>
      </c>
      <c r="L308">
        <f t="shared" si="1"/>
        <v>112.40156</v>
      </c>
      <c r="M308">
        <f t="shared" si="2"/>
        <v>6</v>
      </c>
      <c r="N308">
        <f t="shared" si="3"/>
        <v>764929.551506</v>
      </c>
      <c r="O308">
        <f t="shared" si="4"/>
        <v>2880</v>
      </c>
      <c r="P308">
        <f t="shared" si="5"/>
        <v>36.19156</v>
      </c>
      <c r="Q308">
        <f t="shared" si="6"/>
        <v>364.086935</v>
      </c>
      <c r="R308">
        <f t="shared" si="7"/>
        <v>18</v>
      </c>
      <c r="S308">
        <f t="shared" si="8"/>
        <v>2527447.039256</v>
      </c>
      <c r="T308">
        <f t="shared" si="9"/>
        <v>2494.334349</v>
      </c>
      <c r="U308">
        <f t="shared" si="10"/>
        <v>111</v>
      </c>
      <c r="V308">
        <f t="shared" si="11"/>
        <v>18970805.476786</v>
      </c>
      <c r="W308">
        <f>IF($A308="","",Allocation!CD308)</f>
        <v>71034.296436</v>
      </c>
      <c r="X308">
        <f>IF($A308="","",Allocation!CE308)</f>
        <v>147266.373345</v>
      </c>
      <c r="Y308">
        <f>IF($A308="","",Allocation!CF308)</f>
        <v>42691.37877</v>
      </c>
      <c r="Z308">
        <f>IF($A308="","",Allocation!CG308)</f>
        <v>14186.35</v>
      </c>
      <c r="AA308">
        <f>IF($A308="","",Allocation!CH308)</f>
        <v>295493.428617</v>
      </c>
      <c r="AB308">
        <f>IF($A308="","",Allocation!CI308)</f>
        <v>3092074.3479</v>
      </c>
      <c r="AC308">
        <f>IF($A308="","",IF(Allocation!$N$4="VOL_EFF",$G308,IF(Allocation!$N$4="VOL_CLASS",$H308,$I308)))</f>
        <v>2</v>
      </c>
      <c r="AD308">
        <f>IF($A308="","",IF(Allocation!$N$4="VOL_EFF",$L308,IF(Allocation!$N$4="VOL_CLASS",$M308,$N308)))</f>
        <v>6</v>
      </c>
      <c r="AE308">
        <f>IF($A308="","",IF(Allocation!$N$3="VOL_EFF",$L308,IF(Allocation!$N$3="VOL_CLASS",$M308,$N308)))</f>
        <v>112.40156</v>
      </c>
      <c r="AF308">
        <f>IF($A308="","",IF(Allocation!$N$3="VOL_EFF",$Q308,IF(Allocation!$N$3="VOL_CLASS",$R308,$S308)))</f>
        <v>364.086935</v>
      </c>
      <c r="AG308">
        <f>IF($A308="","",IF(Allocation!$N$1="VOL_EFF",$Q308,IF(Allocation!$N$1="VOL_CLASS",$R308,$S308)))</f>
        <v>18</v>
      </c>
      <c r="AH308">
        <f>IF($A308="","",IF(Allocation!$N$1="VOL_EFF",$T308,IF(Allocation!$N$1="VOL_CLASS",$U308,$V308)))</f>
        <v>111</v>
      </c>
      <c r="AI308">
        <f t="shared" si="12"/>
        <v>23678.098812</v>
      </c>
      <c r="AJ308">
        <f t="shared" si="13"/>
        <v>49088.791115</v>
      </c>
      <c r="AK308">
        <f t="shared" si="14"/>
        <v>27932.3122111756</v>
      </c>
      <c r="AL308">
        <f t="shared" si="15"/>
        <v>98497.809539</v>
      </c>
      <c r="AM308">
        <f t="shared" si="16"/>
        <v>51599.4940603867</v>
      </c>
      <c r="AN308">
        <f t="shared" si="17"/>
        <v>-11101.7280801177</v>
      </c>
      <c r="AO308">
        <f>IF($A308="","",Allocation!CJ308)</f>
        <v>642526.8</v>
      </c>
      <c r="AP308">
        <f>IF($A308="","",IF(Allocation!$N$2="VOL_EFF",$Q308,IF(Allocation!$N$2="VOL_CLASS",$R308,$S308)))</f>
        <v>2527447.039256</v>
      </c>
      <c r="AQ308">
        <f>IF($A308="","",IF(Allocation!$N$2="VOL_EFF",$T308,IF(Allocation!$N$2="VOL_CLASS",$U308,$V308)))</f>
        <v>18970805.476786</v>
      </c>
      <c r="AR308">
        <f t="shared" si="18"/>
        <v>8809.14034855543</v>
      </c>
      <c r="AS308" t="str">
        <f>IF($A308="","",$A308&amp;"|"&amp;Allocation!BG308)</f>
        <v>2027|V03</v>
      </c>
    </row>
    <row r="309" ht="14.497499999999997" customHeight="1">
      <c r="A309" t="str">
        <f>IF(Allocation!BI309="","",Allocation!BI309)</f>
        <v>2027</v>
      </c>
      <c r="B309" t="str">
        <f>IF(Allocation!BJ309="","",Allocation!BJ309)</f>
        <v>IPAC_REN</v>
      </c>
      <c r="C309" t="str">
        <f>IF(Allocation!BK309="","",Allocation!BK309)</f>
        <v>IPAC</v>
      </c>
      <c r="D309" t="str">
        <f>IF(Allocation!BL309="","",Allocation!BL309)</f>
        <v>BAC_CCE</v>
      </c>
      <c r="E309" t="str">
        <f>IF(Allocation!BM309="","",Allocation!BM309)</f>
        <v>B2</v>
      </c>
      <c r="F309" t="str">
        <f>IF(Allocation!BN309="","",Allocation!BN309)</f>
        <v>ALT</v>
      </c>
      <c r="G309">
        <f>IF(Allocation!BO309="","",Allocation!BO309)</f>
        <v>38.6</v>
      </c>
      <c r="H309">
        <f>IF(Allocation!BP309="","",Allocation!BP309)</f>
        <v>2</v>
      </c>
      <c r="I309">
        <f>IF(Allocation!BQ309="","",Allocation!BQ309)</f>
        <v>261567.11</v>
      </c>
      <c r="J309">
        <f>IF(Allocation!CC309="","",Allocation!CC309)</f>
        <v>0</v>
      </c>
      <c r="K309">
        <f t="shared" si="0"/>
        <v>960</v>
      </c>
      <c r="L309">
        <f t="shared" si="1"/>
        <v>112.40156</v>
      </c>
      <c r="M309">
        <f t="shared" si="2"/>
        <v>6</v>
      </c>
      <c r="N309">
        <f t="shared" si="3"/>
        <v>764929.551506</v>
      </c>
      <c r="O309">
        <f t="shared" si="4"/>
        <v>2880</v>
      </c>
      <c r="P309">
        <f t="shared" si="5"/>
        <v>36.19156</v>
      </c>
      <c r="Q309">
        <f t="shared" si="6"/>
        <v>364.086935</v>
      </c>
      <c r="R309">
        <f t="shared" si="7"/>
        <v>18</v>
      </c>
      <c r="S309">
        <f t="shared" si="8"/>
        <v>2527447.039256</v>
      </c>
      <c r="T309">
        <f t="shared" si="9"/>
        <v>2494.334349</v>
      </c>
      <c r="U309">
        <f t="shared" si="10"/>
        <v>111</v>
      </c>
      <c r="V309">
        <f t="shared" si="11"/>
        <v>18970805.476786</v>
      </c>
      <c r="W309">
        <f>IF($A309="","",Allocation!CD309)</f>
        <v>71034.296436</v>
      </c>
      <c r="X309">
        <f>IF($A309="","",Allocation!CE309)</f>
        <v>147266.373345</v>
      </c>
      <c r="Y309">
        <f>IF($A309="","",Allocation!CF309)</f>
        <v>42691.37877</v>
      </c>
      <c r="Z309">
        <f>IF($A309="","",Allocation!CG309)</f>
        <v>14186.35</v>
      </c>
      <c r="AA309">
        <f>IF($A309="","",Allocation!CH309)</f>
        <v>295493.428617</v>
      </c>
      <c r="AB309">
        <f>IF($A309="","",Allocation!CI309)</f>
        <v>3092074.3479</v>
      </c>
      <c r="AC309">
        <f>IF($A309="","",IF(Allocation!$N$4="VOL_EFF",$G309,IF(Allocation!$N$4="VOL_CLASS",$H309,$I309)))</f>
        <v>2</v>
      </c>
      <c r="AD309">
        <f>IF($A309="","",IF(Allocation!$N$4="VOL_EFF",$L309,IF(Allocation!$N$4="VOL_CLASS",$M309,$N309)))</f>
        <v>6</v>
      </c>
      <c r="AE309">
        <f>IF($A309="","",IF(Allocation!$N$3="VOL_EFF",$L309,IF(Allocation!$N$3="VOL_CLASS",$M309,$N309)))</f>
        <v>112.40156</v>
      </c>
      <c r="AF309">
        <f>IF($A309="","",IF(Allocation!$N$3="VOL_EFF",$Q309,IF(Allocation!$N$3="VOL_CLASS",$R309,$S309)))</f>
        <v>364.086935</v>
      </c>
      <c r="AG309">
        <f>IF($A309="","",IF(Allocation!$N$1="VOL_EFF",$Q309,IF(Allocation!$N$1="VOL_CLASS",$R309,$S309)))</f>
        <v>18</v>
      </c>
      <c r="AH309">
        <f>IF($A309="","",IF(Allocation!$N$1="VOL_EFF",$T309,IF(Allocation!$N$1="VOL_CLASS",$U309,$V309)))</f>
        <v>111</v>
      </c>
      <c r="AI309">
        <f t="shared" si="12"/>
        <v>23678.098812</v>
      </c>
      <c r="AJ309">
        <f t="shared" si="13"/>
        <v>49088.791115</v>
      </c>
      <c r="AK309">
        <f t="shared" si="14"/>
        <v>14660.7148559326</v>
      </c>
      <c r="AL309">
        <f t="shared" si="15"/>
        <v>98497.809539</v>
      </c>
      <c r="AM309">
        <f t="shared" si="16"/>
        <v>51599.4940603867</v>
      </c>
      <c r="AN309">
        <f t="shared" si="17"/>
        <v>15233.0612691253</v>
      </c>
      <c r="AO309">
        <f>IF($A309="","",Allocation!CJ309)</f>
        <v>642526.8</v>
      </c>
      <c r="AP309">
        <f>IF($A309="","",IF(Allocation!$N$2="VOL_EFF",$Q309,IF(Allocation!$N$2="VOL_CLASS",$R309,$S309)))</f>
        <v>2527447.039256</v>
      </c>
      <c r="AQ309">
        <f>IF($A309="","",IF(Allocation!$N$2="VOL_EFF",$T309,IF(Allocation!$N$2="VOL_CLASS",$U309,$V309)))</f>
        <v>18970805.476786</v>
      </c>
      <c r="AR309">
        <f t="shared" si="18"/>
        <v>8809.14034855543</v>
      </c>
      <c r="AS309" t="str">
        <f>IF($A309="","",$A309&amp;"|"&amp;Allocation!BG309)</f>
        <v>2027|V03</v>
      </c>
    </row>
    <row r="310" ht="14.497499999999997" customHeight="1">
      <c r="A310" t="str">
        <f>IF(Allocation!BI310="","",Allocation!BI310)</f>
        <v>2027</v>
      </c>
      <c r="B310" t="str">
        <f>IF(Allocation!BJ310="","",Allocation!BJ310)</f>
        <v>IPAC_REN</v>
      </c>
      <c r="C310" t="str">
        <f>IF(Allocation!BK310="","",Allocation!BK310)</f>
        <v>IPAC</v>
      </c>
      <c r="D310" t="str">
        <f>IF(Allocation!BL310="","",Allocation!BL310)</f>
        <v>BAC_CCE</v>
      </c>
      <c r="E310" t="str">
        <f>IF(Allocation!BM310="","",Allocation!BM310)</f>
        <v>B3</v>
      </c>
      <c r="F310" t="str">
        <f>IF(Allocation!BN310="","",Allocation!BN310)</f>
        <v>ALT</v>
      </c>
      <c r="G310">
        <f>IF(Allocation!BO310="","",Allocation!BO310)</f>
        <v>37.61</v>
      </c>
      <c r="H310">
        <f>IF(Allocation!BP310="","",Allocation!BP310)</f>
        <v>2</v>
      </c>
      <c r="I310">
        <f>IF(Allocation!BQ310="","",Allocation!BQ310)</f>
        <v>254858.5235</v>
      </c>
      <c r="J310">
        <f>IF(Allocation!CC310="","",Allocation!CC310)</f>
        <v>0</v>
      </c>
      <c r="K310">
        <f t="shared" si="0"/>
        <v>960</v>
      </c>
      <c r="L310">
        <f t="shared" si="1"/>
        <v>112.40156</v>
      </c>
      <c r="M310">
        <f t="shared" si="2"/>
        <v>6</v>
      </c>
      <c r="N310">
        <f t="shared" si="3"/>
        <v>764929.551506</v>
      </c>
      <c r="O310">
        <f t="shared" si="4"/>
        <v>2880</v>
      </c>
      <c r="P310">
        <f t="shared" si="5"/>
        <v>36.19156</v>
      </c>
      <c r="Q310">
        <f t="shared" si="6"/>
        <v>364.086935</v>
      </c>
      <c r="R310">
        <f t="shared" si="7"/>
        <v>18</v>
      </c>
      <c r="S310">
        <f t="shared" si="8"/>
        <v>2527447.039256</v>
      </c>
      <c r="T310">
        <f t="shared" si="9"/>
        <v>2494.334349</v>
      </c>
      <c r="U310">
        <f t="shared" si="10"/>
        <v>111</v>
      </c>
      <c r="V310">
        <f t="shared" si="11"/>
        <v>18970805.476786</v>
      </c>
      <c r="W310">
        <f>IF($A310="","",Allocation!CD310)</f>
        <v>71034.296436</v>
      </c>
      <c r="X310">
        <f>IF($A310="","",Allocation!CE310)</f>
        <v>147266.373345</v>
      </c>
      <c r="Y310">
        <f>IF($A310="","",Allocation!CF310)</f>
        <v>42691.37877</v>
      </c>
      <c r="Z310">
        <f>IF($A310="","",Allocation!CG310)</f>
        <v>14186.35</v>
      </c>
      <c r="AA310">
        <f>IF($A310="","",Allocation!CH310)</f>
        <v>295493.428617</v>
      </c>
      <c r="AB310">
        <f>IF($A310="","",Allocation!CI310)</f>
        <v>3092074.3479</v>
      </c>
      <c r="AC310">
        <f>IF($A310="","",IF(Allocation!$N$4="VOL_EFF",$G310,IF(Allocation!$N$4="VOL_CLASS",$H310,$I310)))</f>
        <v>2</v>
      </c>
      <c r="AD310">
        <f>IF($A310="","",IF(Allocation!$N$4="VOL_EFF",$L310,IF(Allocation!$N$4="VOL_CLASS",$M310,$N310)))</f>
        <v>6</v>
      </c>
      <c r="AE310">
        <f>IF($A310="","",IF(Allocation!$N$3="VOL_EFF",$L310,IF(Allocation!$N$3="VOL_CLASS",$M310,$N310)))</f>
        <v>112.40156</v>
      </c>
      <c r="AF310">
        <f>IF($A310="","",IF(Allocation!$N$3="VOL_EFF",$Q310,IF(Allocation!$N$3="VOL_CLASS",$R310,$S310)))</f>
        <v>364.086935</v>
      </c>
      <c r="AG310">
        <f>IF($A310="","",IF(Allocation!$N$1="VOL_EFF",$Q310,IF(Allocation!$N$1="VOL_CLASS",$R310,$S310)))</f>
        <v>18</v>
      </c>
      <c r="AH310">
        <f>IF($A310="","",IF(Allocation!$N$1="VOL_EFF",$T310,IF(Allocation!$N$1="VOL_CLASS",$U310,$V310)))</f>
        <v>111</v>
      </c>
      <c r="AI310">
        <f t="shared" si="12"/>
        <v>23678.098812</v>
      </c>
      <c r="AJ310">
        <f t="shared" si="13"/>
        <v>49088.791115</v>
      </c>
      <c r="AK310">
        <f t="shared" si="14"/>
        <v>14284.7017028918</v>
      </c>
      <c r="AL310">
        <f t="shared" si="15"/>
        <v>98497.809539</v>
      </c>
      <c r="AM310">
        <f t="shared" si="16"/>
        <v>51599.4940603867</v>
      </c>
      <c r="AN310">
        <f t="shared" si="17"/>
        <v>8900.48792216607</v>
      </c>
      <c r="AO310">
        <f>IF($A310="","",Allocation!CJ310)</f>
        <v>642526.8</v>
      </c>
      <c r="AP310">
        <f>IF($A310="","",IF(Allocation!$N$2="VOL_EFF",$Q310,IF(Allocation!$N$2="VOL_CLASS",$R310,$S310)))</f>
        <v>2527447.039256</v>
      </c>
      <c r="AQ310">
        <f>IF($A310="","",IF(Allocation!$N$2="VOL_EFF",$T310,IF(Allocation!$N$2="VOL_CLASS",$U310,$V310)))</f>
        <v>18970805.476786</v>
      </c>
      <c r="AR310">
        <f t="shared" si="18"/>
        <v>8809.14034855543</v>
      </c>
      <c r="AS310" t="str">
        <f>IF($A310="","",$A310&amp;"|"&amp;Allocation!BG310)</f>
        <v>2027|V03</v>
      </c>
    </row>
    <row r="311" ht="14.497499999999997" customHeight="1">
      <c r="A311" t="str">
        <f>IF(Allocation!BI311="","",Allocation!BI311)</f>
        <v>2027</v>
      </c>
      <c r="B311" t="str">
        <f>IF(Allocation!BJ311="","",Allocation!BJ311)</f>
        <v>ISCOM_LIL</v>
      </c>
      <c r="C311" t="str">
        <f>IF(Allocation!BK311="","",Allocation!BK311)</f>
        <v>ISCOM</v>
      </c>
      <c r="D311" t="str">
        <f>IF(Allocation!BL311="","",Allocation!BL311)</f>
        <v>BAC_COM</v>
      </c>
      <c r="E311" t="str">
        <f>IF(Allocation!BM311="","",Allocation!BM311)</f>
        <v>B1</v>
      </c>
      <c r="F311" t="str">
        <f>IF(Allocation!BN311="","",Allocation!BN311)</f>
        <v>INIT</v>
      </c>
      <c r="G311">
        <f>IF(Allocation!BO311="","",Allocation!BO311)</f>
        <v>46.373803</v>
      </c>
      <c r="H311">
        <f>IF(Allocation!BP311="","",Allocation!BP311)</f>
        <v>2</v>
      </c>
      <c r="I311">
        <f>IF(Allocation!BQ311="","",Allocation!BQ311)</f>
        <v>352860.585717</v>
      </c>
      <c r="J311">
        <f>IF(Allocation!CC311="","",Allocation!CC311)</f>
        <v>46.373803</v>
      </c>
      <c r="K311">
        <f t="shared" si="0"/>
        <v>1200</v>
      </c>
      <c r="L311">
        <f t="shared" si="1"/>
        <v>234.247257</v>
      </c>
      <c r="M311">
        <f t="shared" si="2"/>
        <v>10</v>
      </c>
      <c r="N311">
        <f t="shared" si="3"/>
        <v>1722442.885476</v>
      </c>
      <c r="O311">
        <f t="shared" si="4"/>
        <v>4800</v>
      </c>
      <c r="P311">
        <f t="shared" si="5"/>
        <v>91.727257</v>
      </c>
      <c r="Q311">
        <f t="shared" si="6"/>
        <v>796.250639</v>
      </c>
      <c r="R311">
        <f t="shared" si="7"/>
        <v>35</v>
      </c>
      <c r="S311">
        <f t="shared" si="8"/>
        <v>6176192.54789</v>
      </c>
      <c r="T311">
        <f t="shared" si="9"/>
        <v>2494.334349</v>
      </c>
      <c r="U311">
        <f t="shared" si="10"/>
        <v>111</v>
      </c>
      <c r="V311">
        <f t="shared" si="11"/>
        <v>18970805.476786</v>
      </c>
      <c r="W311">
        <f>IF($A311="","",Allocation!CD311)</f>
        <v>118389.513438</v>
      </c>
      <c r="X311">
        <f>IF($A311="","",Allocation!CE311)</f>
        <v>307869.707355</v>
      </c>
      <c r="Y311">
        <f>IF($A311="","",Allocation!CF311)</f>
        <v>89031.652002</v>
      </c>
      <c r="Z311">
        <f>IF($A311="","",Allocation!CG311)</f>
        <v>23959</v>
      </c>
      <c r="AA311">
        <f>IF($A311="","",Allocation!CH311)</f>
        <v>714557.247515</v>
      </c>
      <c r="AB311">
        <f>IF($A311="","",Allocation!CI311)</f>
        <v>3092074.3479</v>
      </c>
      <c r="AC311">
        <f>IF($A311="","",IF(Allocation!$N$4="VOL_EFF",$G311,IF(Allocation!$N$4="VOL_CLASS",$H311,$I311)))</f>
        <v>2</v>
      </c>
      <c r="AD311">
        <f>IF($A311="","",IF(Allocation!$N$4="VOL_EFF",$L311,IF(Allocation!$N$4="VOL_CLASS",$M311,$N311)))</f>
        <v>10</v>
      </c>
      <c r="AE311">
        <f>IF($A311="","",IF(Allocation!$N$3="VOL_EFF",$L311,IF(Allocation!$N$3="VOL_CLASS",$M311,$N311)))</f>
        <v>234.247257</v>
      </c>
      <c r="AF311">
        <f>IF($A311="","",IF(Allocation!$N$3="VOL_EFF",$Q311,IF(Allocation!$N$3="VOL_CLASS",$R311,$S311)))</f>
        <v>796.250639</v>
      </c>
      <c r="AG311">
        <f>IF($A311="","",IF(Allocation!$N$1="VOL_EFF",$Q311,IF(Allocation!$N$1="VOL_CLASS",$R311,$S311)))</f>
        <v>35</v>
      </c>
      <c r="AH311">
        <f>IF($A311="","",IF(Allocation!$N$1="VOL_EFF",$T311,IF(Allocation!$N$1="VOL_CLASS",$U311,$V311)))</f>
        <v>111</v>
      </c>
      <c r="AI311">
        <f t="shared" si="12"/>
        <v>29597.3783595</v>
      </c>
      <c r="AJ311">
        <f t="shared" si="13"/>
        <v>76967.42683875</v>
      </c>
      <c r="AK311">
        <f t="shared" si="14"/>
        <v>29738.3047714575</v>
      </c>
      <c r="AL311">
        <f t="shared" si="15"/>
        <v>142911.449503</v>
      </c>
      <c r="AM311">
        <f t="shared" si="16"/>
        <v>57365.3581363314</v>
      </c>
      <c r="AN311">
        <f t="shared" si="17"/>
        <v>3972.85142888065</v>
      </c>
      <c r="AO311">
        <f>IF($A311="","",Allocation!CJ311)</f>
        <v>642526.8</v>
      </c>
      <c r="AP311">
        <f>IF($A311="","",IF(Allocation!$N$2="VOL_EFF",$Q311,IF(Allocation!$N$2="VOL_CLASS",$R311,$S311)))</f>
        <v>6176192.54789</v>
      </c>
      <c r="AQ311">
        <f>IF($A311="","",IF(Allocation!$N$2="VOL_EFF",$T311,IF(Allocation!$N$2="VOL_CLASS",$U311,$V311)))</f>
        <v>18970805.476786</v>
      </c>
      <c r="AR311">
        <f t="shared" si="18"/>
        <v>12307.8166790805</v>
      </c>
      <c r="AS311" t="str">
        <f>IF($A311="","",$A311&amp;"|"&amp;Allocation!BG311)</f>
        <v>2027|V03</v>
      </c>
    </row>
    <row r="312" ht="14.497499999999997" customHeight="1">
      <c r="A312" t="str">
        <f>IF(Allocation!BI312="","",Allocation!BI312)</f>
        <v>2027</v>
      </c>
      <c r="B312" t="str">
        <f>IF(Allocation!BJ312="","",Allocation!BJ312)</f>
        <v>ISCOM_LIL</v>
      </c>
      <c r="C312" t="str">
        <f>IF(Allocation!BK312="","",Allocation!BK312)</f>
        <v>ISCOM</v>
      </c>
      <c r="D312" t="str">
        <f>IF(Allocation!BL312="","",Allocation!BL312)</f>
        <v>BAC_COM</v>
      </c>
      <c r="E312" t="str">
        <f>IF(Allocation!BM312="","",Allocation!BM312)</f>
        <v>B2</v>
      </c>
      <c r="F312" t="str">
        <f>IF(Allocation!BN312="","",Allocation!BN312)</f>
        <v>ALT</v>
      </c>
      <c r="G312">
        <f>IF(Allocation!BO312="","",Allocation!BO312)</f>
        <v>47.5</v>
      </c>
      <c r="H312">
        <f>IF(Allocation!BP312="","",Allocation!BP312)</f>
        <v>2</v>
      </c>
      <c r="I312">
        <f>IF(Allocation!BQ312="","",Allocation!BQ312)</f>
        <v>333344.55</v>
      </c>
      <c r="J312">
        <f>IF(Allocation!CC312="","",Allocation!CC312)</f>
        <v>0</v>
      </c>
      <c r="K312">
        <f t="shared" si="0"/>
        <v>960</v>
      </c>
      <c r="L312">
        <f t="shared" si="1"/>
        <v>234.247257</v>
      </c>
      <c r="M312">
        <f t="shared" si="2"/>
        <v>10</v>
      </c>
      <c r="N312">
        <f t="shared" si="3"/>
        <v>1722442.885476</v>
      </c>
      <c r="O312">
        <f t="shared" si="4"/>
        <v>4800</v>
      </c>
      <c r="P312">
        <f t="shared" si="5"/>
        <v>91.727257</v>
      </c>
      <c r="Q312">
        <f t="shared" si="6"/>
        <v>796.250639</v>
      </c>
      <c r="R312">
        <f t="shared" si="7"/>
        <v>35</v>
      </c>
      <c r="S312">
        <f t="shared" si="8"/>
        <v>6176192.54789</v>
      </c>
      <c r="T312">
        <f t="shared" si="9"/>
        <v>2494.334349</v>
      </c>
      <c r="U312">
        <f t="shared" si="10"/>
        <v>111</v>
      </c>
      <c r="V312">
        <f t="shared" si="11"/>
        <v>18970805.476786</v>
      </c>
      <c r="W312">
        <f>IF($A312="","",Allocation!CD312)</f>
        <v>118389.513438</v>
      </c>
      <c r="X312">
        <f>IF($A312="","",Allocation!CE312)</f>
        <v>307869.707355</v>
      </c>
      <c r="Y312">
        <f>IF($A312="","",Allocation!CF312)</f>
        <v>89031.652002</v>
      </c>
      <c r="Z312">
        <f>IF($A312="","",Allocation!CG312)</f>
        <v>23959</v>
      </c>
      <c r="AA312">
        <f>IF($A312="","",Allocation!CH312)</f>
        <v>714557.247515</v>
      </c>
      <c r="AB312">
        <f>IF($A312="","",Allocation!CI312)</f>
        <v>3092074.3479</v>
      </c>
      <c r="AC312">
        <f>IF($A312="","",IF(Allocation!$N$4="VOL_EFF",$G312,IF(Allocation!$N$4="VOL_CLASS",$H312,$I312)))</f>
        <v>2</v>
      </c>
      <c r="AD312">
        <f>IF($A312="","",IF(Allocation!$N$4="VOL_EFF",$L312,IF(Allocation!$N$4="VOL_CLASS",$M312,$N312)))</f>
        <v>10</v>
      </c>
      <c r="AE312">
        <f>IF($A312="","",IF(Allocation!$N$3="VOL_EFF",$L312,IF(Allocation!$N$3="VOL_CLASS",$M312,$N312)))</f>
        <v>234.247257</v>
      </c>
      <c r="AF312">
        <f>IF($A312="","",IF(Allocation!$N$3="VOL_EFF",$Q312,IF(Allocation!$N$3="VOL_CLASS",$R312,$S312)))</f>
        <v>796.250639</v>
      </c>
      <c r="AG312">
        <f>IF($A312="","",IF(Allocation!$N$1="VOL_EFF",$Q312,IF(Allocation!$N$1="VOL_CLASS",$R312,$S312)))</f>
        <v>35</v>
      </c>
      <c r="AH312">
        <f>IF($A312="","",IF(Allocation!$N$1="VOL_EFF",$T312,IF(Allocation!$N$1="VOL_CLASS",$U312,$V312)))</f>
        <v>111</v>
      </c>
      <c r="AI312">
        <f t="shared" si="12"/>
        <v>23677.9026876</v>
      </c>
      <c r="AJ312">
        <f t="shared" si="13"/>
        <v>61573.941471</v>
      </c>
      <c r="AK312">
        <f t="shared" si="14"/>
        <v>18053.5880089089</v>
      </c>
      <c r="AL312">
        <f t="shared" si="15"/>
        <v>142911.449503</v>
      </c>
      <c r="AM312">
        <f t="shared" si="16"/>
        <v>57365.3581363314</v>
      </c>
      <c r="AN312">
        <f t="shared" si="17"/>
        <v>17454.4935140792</v>
      </c>
      <c r="AO312">
        <f>IF($A312="","",Allocation!CJ312)</f>
        <v>642526.8</v>
      </c>
      <c r="AP312">
        <f>IF($A312="","",IF(Allocation!$N$2="VOL_EFF",$Q312,IF(Allocation!$N$2="VOL_CLASS",$R312,$S312)))</f>
        <v>6176192.54789</v>
      </c>
      <c r="AQ312">
        <f>IF($A312="","",IF(Allocation!$N$2="VOL_EFF",$T312,IF(Allocation!$N$2="VOL_CLASS",$U312,$V312)))</f>
        <v>18970805.476786</v>
      </c>
      <c r="AR312">
        <f t="shared" si="18"/>
        <v>12307.8166790805</v>
      </c>
      <c r="AS312" t="str">
        <f>IF($A312="","",$A312&amp;"|"&amp;Allocation!BG312)</f>
        <v>2027|V03</v>
      </c>
    </row>
    <row r="313" ht="14.497499999999997" customHeight="1">
      <c r="A313" t="str">
        <f>IF(Allocation!BI313="","",Allocation!BI313)</f>
        <v>2027</v>
      </c>
      <c r="B313" t="str">
        <f>IF(Allocation!BJ313="","",Allocation!BJ313)</f>
        <v>ISCOM_LIL</v>
      </c>
      <c r="C313" t="str">
        <f>IF(Allocation!BK313="","",Allocation!BK313)</f>
        <v>ISCOM</v>
      </c>
      <c r="D313" t="str">
        <f>IF(Allocation!BL313="","",Allocation!BL313)</f>
        <v>BAC_COM</v>
      </c>
      <c r="E313" t="str">
        <f>IF(Allocation!BM313="","",Allocation!BM313)</f>
        <v>B3</v>
      </c>
      <c r="F313" t="str">
        <f>IF(Allocation!BN313="","",Allocation!BN313)</f>
        <v>ALT</v>
      </c>
      <c r="G313">
        <f>IF(Allocation!BO313="","",Allocation!BO313)</f>
        <v>46.52</v>
      </c>
      <c r="H313">
        <f>IF(Allocation!BP313="","",Allocation!BP313)</f>
        <v>2</v>
      </c>
      <c r="I313">
        <f>IF(Allocation!BQ313="","",Allocation!BQ313)</f>
        <v>326467.1256</v>
      </c>
      <c r="J313">
        <f>IF(Allocation!CC313="","",Allocation!CC313)</f>
        <v>0</v>
      </c>
      <c r="K313">
        <f t="shared" si="0"/>
        <v>960</v>
      </c>
      <c r="L313">
        <f t="shared" si="1"/>
        <v>234.247257</v>
      </c>
      <c r="M313">
        <f t="shared" si="2"/>
        <v>10</v>
      </c>
      <c r="N313">
        <f t="shared" si="3"/>
        <v>1722442.885476</v>
      </c>
      <c r="O313">
        <f t="shared" si="4"/>
        <v>4800</v>
      </c>
      <c r="P313">
        <f t="shared" si="5"/>
        <v>91.727257</v>
      </c>
      <c r="Q313">
        <f t="shared" si="6"/>
        <v>796.250639</v>
      </c>
      <c r="R313">
        <f t="shared" si="7"/>
        <v>35</v>
      </c>
      <c r="S313">
        <f t="shared" si="8"/>
        <v>6176192.54789</v>
      </c>
      <c r="T313">
        <f t="shared" si="9"/>
        <v>2494.334349</v>
      </c>
      <c r="U313">
        <f t="shared" si="10"/>
        <v>111</v>
      </c>
      <c r="V313">
        <f t="shared" si="11"/>
        <v>18970805.476786</v>
      </c>
      <c r="W313">
        <f>IF($A313="","",Allocation!CD313)</f>
        <v>118389.513438</v>
      </c>
      <c r="X313">
        <f>IF($A313="","",Allocation!CE313)</f>
        <v>307869.707355</v>
      </c>
      <c r="Y313">
        <f>IF($A313="","",Allocation!CF313)</f>
        <v>89031.652002</v>
      </c>
      <c r="Z313">
        <f>IF($A313="","",Allocation!CG313)</f>
        <v>23959</v>
      </c>
      <c r="AA313">
        <f>IF($A313="","",Allocation!CH313)</f>
        <v>714557.247515</v>
      </c>
      <c r="AB313">
        <f>IF($A313="","",Allocation!CI313)</f>
        <v>3092074.3479</v>
      </c>
      <c r="AC313">
        <f>IF($A313="","",IF(Allocation!$N$4="VOL_EFF",$G313,IF(Allocation!$N$4="VOL_CLASS",$H313,$I313)))</f>
        <v>2</v>
      </c>
      <c r="AD313">
        <f>IF($A313="","",IF(Allocation!$N$4="VOL_EFF",$L313,IF(Allocation!$N$4="VOL_CLASS",$M313,$N313)))</f>
        <v>10</v>
      </c>
      <c r="AE313">
        <f>IF($A313="","",IF(Allocation!$N$3="VOL_EFF",$L313,IF(Allocation!$N$3="VOL_CLASS",$M313,$N313)))</f>
        <v>234.247257</v>
      </c>
      <c r="AF313">
        <f>IF($A313="","",IF(Allocation!$N$3="VOL_EFF",$Q313,IF(Allocation!$N$3="VOL_CLASS",$R313,$S313)))</f>
        <v>796.250639</v>
      </c>
      <c r="AG313">
        <f>IF($A313="","",IF(Allocation!$N$1="VOL_EFF",$Q313,IF(Allocation!$N$1="VOL_CLASS",$R313,$S313)))</f>
        <v>35</v>
      </c>
      <c r="AH313">
        <f>IF($A313="","",IF(Allocation!$N$1="VOL_EFF",$T313,IF(Allocation!$N$1="VOL_CLASS",$U313,$V313)))</f>
        <v>111</v>
      </c>
      <c r="AI313">
        <f t="shared" si="12"/>
        <v>23677.9026876</v>
      </c>
      <c r="AJ313">
        <f t="shared" si="13"/>
        <v>61573.941471</v>
      </c>
      <c r="AK313">
        <f t="shared" si="14"/>
        <v>17681.1139826198</v>
      </c>
      <c r="AL313">
        <f t="shared" si="15"/>
        <v>142911.449503</v>
      </c>
      <c r="AM313">
        <f t="shared" si="16"/>
        <v>57365.3581363314</v>
      </c>
      <c r="AN313">
        <f t="shared" si="17"/>
        <v>10949.5431403683</v>
      </c>
      <c r="AO313">
        <f>IF($A313="","",Allocation!CJ313)</f>
        <v>642526.8</v>
      </c>
      <c r="AP313">
        <f>IF($A313="","",IF(Allocation!$N$2="VOL_EFF",$Q313,IF(Allocation!$N$2="VOL_CLASS",$R313,$S313)))</f>
        <v>6176192.54789</v>
      </c>
      <c r="AQ313">
        <f>IF($A313="","",IF(Allocation!$N$2="VOL_EFF",$T313,IF(Allocation!$N$2="VOL_CLASS",$U313,$V313)))</f>
        <v>18970805.476786</v>
      </c>
      <c r="AR313">
        <f t="shared" si="18"/>
        <v>12307.8166790805</v>
      </c>
      <c r="AS313" t="str">
        <f>IF($A313="","",$A313&amp;"|"&amp;Allocation!BG313)</f>
        <v>2027|V03</v>
      </c>
    </row>
    <row r="314" ht="14.497499999999997" customHeight="1">
      <c r="A314" t="str">
        <f>IF(Allocation!BI314="","",Allocation!BI314)</f>
        <v>2027</v>
      </c>
      <c r="B314" t="str">
        <f>IF(Allocation!BJ314="","",Allocation!BJ314)</f>
        <v>ISCOM_LIL</v>
      </c>
      <c r="C314" t="str">
        <f>IF(Allocation!BK314="","",Allocation!BK314)</f>
        <v>ISCOM</v>
      </c>
      <c r="D314" t="str">
        <f>IF(Allocation!BL314="","",Allocation!BL314)</f>
        <v>MAS_COM</v>
      </c>
      <c r="E314" t="str">
        <f>IF(Allocation!BM314="","",Allocation!BM314)</f>
        <v>M1</v>
      </c>
      <c r="F314" t="str">
        <f>IF(Allocation!BN314="","",Allocation!BN314)</f>
        <v>ALT</v>
      </c>
      <c r="G314">
        <f>IF(Allocation!BO314="","",Allocation!BO314)</f>
        <v>45.353454</v>
      </c>
      <c r="H314">
        <f>IF(Allocation!BP314="","",Allocation!BP314)</f>
        <v>2</v>
      </c>
      <c r="I314">
        <f>IF(Allocation!BQ314="","",Allocation!BQ314)</f>
        <v>345096.699159</v>
      </c>
      <c r="J314">
        <f>IF(Allocation!CC314="","",Allocation!CC314)</f>
        <v>45.353454</v>
      </c>
      <c r="K314">
        <f t="shared" si="0"/>
        <v>840</v>
      </c>
      <c r="L314">
        <f t="shared" si="1"/>
        <v>234.247257</v>
      </c>
      <c r="M314">
        <f t="shared" si="2"/>
        <v>10</v>
      </c>
      <c r="N314">
        <f t="shared" si="3"/>
        <v>1722442.885476</v>
      </c>
      <c r="O314">
        <f t="shared" si="4"/>
        <v>4800</v>
      </c>
      <c r="P314">
        <f t="shared" si="5"/>
        <v>91.727257</v>
      </c>
      <c r="Q314">
        <f t="shared" si="6"/>
        <v>796.250639</v>
      </c>
      <c r="R314">
        <f t="shared" si="7"/>
        <v>35</v>
      </c>
      <c r="S314">
        <f t="shared" si="8"/>
        <v>6176192.54789</v>
      </c>
      <c r="T314">
        <f t="shared" si="9"/>
        <v>2494.334349</v>
      </c>
      <c r="U314">
        <f t="shared" si="10"/>
        <v>111</v>
      </c>
      <c r="V314">
        <f t="shared" si="11"/>
        <v>18970805.476786</v>
      </c>
      <c r="W314">
        <f>IF($A314="","",Allocation!CD314)</f>
        <v>118389.513438</v>
      </c>
      <c r="X314">
        <f>IF($A314="","",Allocation!CE314)</f>
        <v>307869.707355</v>
      </c>
      <c r="Y314">
        <f>IF($A314="","",Allocation!CF314)</f>
        <v>89031.652002</v>
      </c>
      <c r="Z314">
        <f>IF($A314="","",Allocation!CG314)</f>
        <v>23959</v>
      </c>
      <c r="AA314">
        <f>IF($A314="","",Allocation!CH314)</f>
        <v>714557.247515</v>
      </c>
      <c r="AB314">
        <f>IF($A314="","",Allocation!CI314)</f>
        <v>3092074.3479</v>
      </c>
      <c r="AC314">
        <f>IF($A314="","",IF(Allocation!$N$4="VOL_EFF",$G314,IF(Allocation!$N$4="VOL_CLASS",$H314,$I314)))</f>
        <v>2</v>
      </c>
      <c r="AD314">
        <f>IF($A314="","",IF(Allocation!$N$4="VOL_EFF",$L314,IF(Allocation!$N$4="VOL_CLASS",$M314,$N314)))</f>
        <v>10</v>
      </c>
      <c r="AE314">
        <f>IF($A314="","",IF(Allocation!$N$3="VOL_EFF",$L314,IF(Allocation!$N$3="VOL_CLASS",$M314,$N314)))</f>
        <v>234.247257</v>
      </c>
      <c r="AF314">
        <f>IF($A314="","",IF(Allocation!$N$3="VOL_EFF",$Q314,IF(Allocation!$N$3="VOL_CLASS",$R314,$S314)))</f>
        <v>796.250639</v>
      </c>
      <c r="AG314">
        <f>IF($A314="","",IF(Allocation!$N$1="VOL_EFF",$Q314,IF(Allocation!$N$1="VOL_CLASS",$R314,$S314)))</f>
        <v>35</v>
      </c>
      <c r="AH314">
        <f>IF($A314="","",IF(Allocation!$N$1="VOL_EFF",$T314,IF(Allocation!$N$1="VOL_CLASS",$U314,$V314)))</f>
        <v>111</v>
      </c>
      <c r="AI314">
        <f t="shared" si="12"/>
        <v>20718.16485165</v>
      </c>
      <c r="AJ314">
        <f t="shared" si="13"/>
        <v>53877.198787125</v>
      </c>
      <c r="AK314">
        <f t="shared" si="14"/>
        <v>29083.9816930752</v>
      </c>
      <c r="AL314">
        <f t="shared" si="15"/>
        <v>142911.449503</v>
      </c>
      <c r="AM314">
        <f t="shared" si="16"/>
        <v>57365.3581363314</v>
      </c>
      <c r="AN314">
        <f t="shared" si="17"/>
        <v>28832.7295087379</v>
      </c>
      <c r="AO314">
        <f>IF($A314="","",Allocation!CJ314)</f>
        <v>642526.8</v>
      </c>
      <c r="AP314">
        <f>IF($A314="","",IF(Allocation!$N$2="VOL_EFF",$Q314,IF(Allocation!$N$2="VOL_CLASS",$R314,$S314)))</f>
        <v>6176192.54789</v>
      </c>
      <c r="AQ314">
        <f>IF($A314="","",IF(Allocation!$N$2="VOL_EFF",$T314,IF(Allocation!$N$2="VOL_CLASS",$U314,$V314)))</f>
        <v>18970805.476786</v>
      </c>
      <c r="AR314">
        <f t="shared" si="18"/>
        <v>12307.8166790805</v>
      </c>
      <c r="AS314" t="str">
        <f>IF($A314="","",$A314&amp;"|"&amp;Allocation!BG314)</f>
        <v>2027|V03</v>
      </c>
    </row>
    <row r="315" ht="14.497499999999997" customHeight="1">
      <c r="A315" t="str">
        <f>IF(Allocation!BI315="","",Allocation!BI315)</f>
        <v>2027</v>
      </c>
      <c r="B315" t="str">
        <f>IF(Allocation!BJ315="","",Allocation!BJ315)</f>
        <v>ISCOM_LIL</v>
      </c>
      <c r="C315" t="str">
        <f>IF(Allocation!BK315="","",Allocation!BK315)</f>
        <v>ISCOM</v>
      </c>
      <c r="D315" t="str">
        <f>IF(Allocation!BL315="","",Allocation!BL315)</f>
        <v>MAS_COM</v>
      </c>
      <c r="E315" t="str">
        <f>IF(Allocation!BM315="","",Allocation!BM315)</f>
        <v>M2</v>
      </c>
      <c r="F315" t="str">
        <f>IF(Allocation!BN315="","",Allocation!BN315)</f>
        <v>ALT</v>
      </c>
      <c r="G315">
        <f>IF(Allocation!BO315="","",Allocation!BO315)</f>
        <v>48.5</v>
      </c>
      <c r="H315">
        <f>IF(Allocation!BP315="","",Allocation!BP315)</f>
        <v>2</v>
      </c>
      <c r="I315">
        <f>IF(Allocation!BQ315="","",Allocation!BQ315)</f>
        <v>364673.925</v>
      </c>
      <c r="J315">
        <f>IF(Allocation!CC315="","",Allocation!CC315)</f>
        <v>0</v>
      </c>
      <c r="K315">
        <f t="shared" si="0"/>
        <v>840</v>
      </c>
      <c r="L315">
        <f t="shared" si="1"/>
        <v>234.247257</v>
      </c>
      <c r="M315">
        <f t="shared" si="2"/>
        <v>10</v>
      </c>
      <c r="N315">
        <f t="shared" si="3"/>
        <v>1722442.885476</v>
      </c>
      <c r="O315">
        <f t="shared" si="4"/>
        <v>4800</v>
      </c>
      <c r="P315">
        <f t="shared" si="5"/>
        <v>91.727257</v>
      </c>
      <c r="Q315">
        <f t="shared" si="6"/>
        <v>796.250639</v>
      </c>
      <c r="R315">
        <f t="shared" si="7"/>
        <v>35</v>
      </c>
      <c r="S315">
        <f t="shared" si="8"/>
        <v>6176192.54789</v>
      </c>
      <c r="T315">
        <f t="shared" si="9"/>
        <v>2494.334349</v>
      </c>
      <c r="U315">
        <f t="shared" si="10"/>
        <v>111</v>
      </c>
      <c r="V315">
        <f t="shared" si="11"/>
        <v>18970805.476786</v>
      </c>
      <c r="W315">
        <f>IF($A315="","",Allocation!CD315)</f>
        <v>118389.513438</v>
      </c>
      <c r="X315">
        <f>IF($A315="","",Allocation!CE315)</f>
        <v>307869.707355</v>
      </c>
      <c r="Y315">
        <f>IF($A315="","",Allocation!CF315)</f>
        <v>89031.652002</v>
      </c>
      <c r="Z315">
        <f>IF($A315="","",Allocation!CG315)</f>
        <v>23959</v>
      </c>
      <c r="AA315">
        <f>IF($A315="","",Allocation!CH315)</f>
        <v>714557.247515</v>
      </c>
      <c r="AB315">
        <f>IF($A315="","",Allocation!CI315)</f>
        <v>3092074.3479</v>
      </c>
      <c r="AC315">
        <f>IF($A315="","",IF(Allocation!$N$4="VOL_EFF",$G315,IF(Allocation!$N$4="VOL_CLASS",$H315,$I315)))</f>
        <v>2</v>
      </c>
      <c r="AD315">
        <f>IF($A315="","",IF(Allocation!$N$4="VOL_EFF",$L315,IF(Allocation!$N$4="VOL_CLASS",$M315,$N315)))</f>
        <v>10</v>
      </c>
      <c r="AE315">
        <f>IF($A315="","",IF(Allocation!$N$3="VOL_EFF",$L315,IF(Allocation!$N$3="VOL_CLASS",$M315,$N315)))</f>
        <v>234.247257</v>
      </c>
      <c r="AF315">
        <f>IF($A315="","",IF(Allocation!$N$3="VOL_EFF",$Q315,IF(Allocation!$N$3="VOL_CLASS",$R315,$S315)))</f>
        <v>796.250639</v>
      </c>
      <c r="AG315">
        <f>IF($A315="","",IF(Allocation!$N$1="VOL_EFF",$Q315,IF(Allocation!$N$1="VOL_CLASS",$R315,$S315)))</f>
        <v>35</v>
      </c>
      <c r="AH315">
        <f>IF($A315="","",IF(Allocation!$N$1="VOL_EFF",$T315,IF(Allocation!$N$1="VOL_CLASS",$U315,$V315)))</f>
        <v>111</v>
      </c>
      <c r="AI315">
        <f t="shared" si="12"/>
        <v>20718.16485165</v>
      </c>
      <c r="AJ315">
        <f t="shared" si="13"/>
        <v>53877.198787125</v>
      </c>
      <c r="AK315">
        <f t="shared" si="14"/>
        <v>18433.6635459386</v>
      </c>
      <c r="AL315">
        <f t="shared" si="15"/>
        <v>142911.449503</v>
      </c>
      <c r="AM315">
        <f t="shared" si="16"/>
        <v>57365.3581363314</v>
      </c>
      <c r="AN315">
        <f t="shared" si="17"/>
        <v>59060.2734968745</v>
      </c>
      <c r="AO315">
        <f>IF($A315="","",Allocation!CJ315)</f>
        <v>642526.8</v>
      </c>
      <c r="AP315">
        <f>IF($A315="","",IF(Allocation!$N$2="VOL_EFF",$Q315,IF(Allocation!$N$2="VOL_CLASS",$R315,$S315)))</f>
        <v>6176192.54789</v>
      </c>
      <c r="AQ315">
        <f>IF($A315="","",IF(Allocation!$N$2="VOL_EFF",$T315,IF(Allocation!$N$2="VOL_CLASS",$U315,$V315)))</f>
        <v>18970805.476786</v>
      </c>
      <c r="AR315">
        <f t="shared" si="18"/>
        <v>12307.8166790805</v>
      </c>
      <c r="AS315" t="str">
        <f>IF($A315="","",$A315&amp;"|"&amp;Allocation!BG315)</f>
        <v>2027|V03</v>
      </c>
    </row>
    <row r="316" ht="14.497499999999997" customHeight="1">
      <c r="A316" t="str">
        <f>IF(Allocation!BI316="","",Allocation!BI316)</f>
        <v>2027</v>
      </c>
      <c r="B316" t="str">
        <f>IF(Allocation!BJ316="","",Allocation!BJ316)</f>
        <v>ISCOM_PAR</v>
      </c>
      <c r="C316" t="str">
        <f>IF(Allocation!BK316="","",Allocation!BK316)</f>
        <v>ISCOM</v>
      </c>
      <c r="D316" t="str">
        <f>IF(Allocation!BL316="","",Allocation!BL316)</f>
        <v>BAC_COM</v>
      </c>
      <c r="E316" t="str">
        <f>IF(Allocation!BM316="","",Allocation!BM316)</f>
        <v>B1</v>
      </c>
      <c r="F316" t="str">
        <f>IF(Allocation!BN316="","",Allocation!BN316)</f>
        <v>INIT</v>
      </c>
      <c r="G316">
        <f>IF(Allocation!BO316="","",Allocation!BO316)</f>
        <v>66.905471</v>
      </c>
      <c r="H316">
        <f>IF(Allocation!BP316="","",Allocation!BP316)</f>
        <v>3</v>
      </c>
      <c r="I316">
        <f>IF(Allocation!BQ316="","",Allocation!BQ316)</f>
        <v>580953.585787</v>
      </c>
      <c r="J316">
        <f>IF(Allocation!CC316="","",Allocation!CC316)</f>
        <v>66.905471</v>
      </c>
      <c r="K316">
        <f t="shared" si="0"/>
        <v>1800</v>
      </c>
      <c r="L316">
        <f t="shared" si="1"/>
        <v>340.203202</v>
      </c>
      <c r="M316">
        <f t="shared" si="2"/>
        <v>15</v>
      </c>
      <c r="N316">
        <f t="shared" si="3"/>
        <v>2856528.213206</v>
      </c>
      <c r="O316">
        <f t="shared" si="4"/>
        <v>7200</v>
      </c>
      <c r="P316">
        <f t="shared" si="5"/>
        <v>132.343202</v>
      </c>
      <c r="Q316">
        <f t="shared" si="6"/>
        <v>796.250639</v>
      </c>
      <c r="R316">
        <f t="shared" si="7"/>
        <v>35</v>
      </c>
      <c r="S316">
        <f t="shared" si="8"/>
        <v>6176192.54789</v>
      </c>
      <c r="T316">
        <f t="shared" si="9"/>
        <v>2494.334349</v>
      </c>
      <c r="U316">
        <f t="shared" si="10"/>
        <v>111</v>
      </c>
      <c r="V316">
        <f t="shared" si="11"/>
        <v>18970805.476786</v>
      </c>
      <c r="W316">
        <f>IF($A316="","",Allocation!CD316)</f>
        <v>177584.760468</v>
      </c>
      <c r="X316">
        <f>IF($A316="","",Allocation!CE316)</f>
        <v>527826.59412</v>
      </c>
      <c r="Y316">
        <f>IF($A316="","",Allocation!CF316)</f>
        <v>129169.491084</v>
      </c>
      <c r="Z316">
        <f>IF($A316="","",Allocation!CG316)</f>
        <v>57760</v>
      </c>
      <c r="AA316">
        <f>IF($A316="","",Allocation!CH316)</f>
        <v>1197973.690075</v>
      </c>
      <c r="AB316">
        <f>IF($A316="","",Allocation!CI316)</f>
        <v>3092074.3479</v>
      </c>
      <c r="AC316">
        <f>IF($A316="","",IF(Allocation!$N$4="VOL_EFF",$G316,IF(Allocation!$N$4="VOL_CLASS",$H316,$I316)))</f>
        <v>3</v>
      </c>
      <c r="AD316">
        <f>IF($A316="","",IF(Allocation!$N$4="VOL_EFF",$L316,IF(Allocation!$N$4="VOL_CLASS",$M316,$N316)))</f>
        <v>15</v>
      </c>
      <c r="AE316">
        <f>IF($A316="","",IF(Allocation!$N$3="VOL_EFF",$L316,IF(Allocation!$N$3="VOL_CLASS",$M316,$N316)))</f>
        <v>340.203202</v>
      </c>
      <c r="AF316">
        <f>IF($A316="","",IF(Allocation!$N$3="VOL_EFF",$Q316,IF(Allocation!$N$3="VOL_CLASS",$R316,$S316)))</f>
        <v>796.250639</v>
      </c>
      <c r="AG316">
        <f>IF($A316="","",IF(Allocation!$N$1="VOL_EFF",$Q316,IF(Allocation!$N$1="VOL_CLASS",$R316,$S316)))</f>
        <v>35</v>
      </c>
      <c r="AH316">
        <f>IF($A316="","",IF(Allocation!$N$1="VOL_EFF",$T316,IF(Allocation!$N$1="VOL_CLASS",$U316,$V316)))</f>
        <v>111</v>
      </c>
      <c r="AI316">
        <f t="shared" si="12"/>
        <v>44396.190117</v>
      </c>
      <c r="AJ316">
        <f t="shared" si="13"/>
        <v>131956.64853</v>
      </c>
      <c r="AK316">
        <f t="shared" si="14"/>
        <v>54603.1842571622</v>
      </c>
      <c r="AL316">
        <f t="shared" si="15"/>
        <v>239594.738015</v>
      </c>
      <c r="AM316">
        <f t="shared" si="16"/>
        <v>83313.1570964637</v>
      </c>
      <c r="AN316">
        <f t="shared" si="17"/>
        <v>9214.71505057369</v>
      </c>
      <c r="AO316">
        <f>IF($A316="","",Allocation!CJ316)</f>
        <v>642526.8</v>
      </c>
      <c r="AP316">
        <f>IF($A316="","",IF(Allocation!$N$2="VOL_EFF",$Q316,IF(Allocation!$N$2="VOL_CLASS",$R316,$S316)))</f>
        <v>6176192.54789</v>
      </c>
      <c r="AQ316">
        <f>IF($A316="","",IF(Allocation!$N$2="VOL_EFF",$T316,IF(Allocation!$N$2="VOL_CLASS",$U316,$V316)))</f>
        <v>18970805.476786</v>
      </c>
      <c r="AR316">
        <f t="shared" si="18"/>
        <v>17874.9527208004</v>
      </c>
      <c r="AS316" t="str">
        <f>IF($A316="","",$A316&amp;"|"&amp;Allocation!BG316)</f>
        <v>2027|V03</v>
      </c>
    </row>
    <row r="317" ht="14.497499999999997" customHeight="1">
      <c r="A317" t="str">
        <f>IF(Allocation!BI317="","",Allocation!BI317)</f>
        <v>2027</v>
      </c>
      <c r="B317" t="str">
        <f>IF(Allocation!BJ317="","",Allocation!BJ317)</f>
        <v>ISCOM_PAR</v>
      </c>
      <c r="C317" t="str">
        <f>IF(Allocation!BK317="","",Allocation!BK317)</f>
        <v>ISCOM</v>
      </c>
      <c r="D317" t="str">
        <f>IF(Allocation!BL317="","",Allocation!BL317)</f>
        <v>BAC_COM</v>
      </c>
      <c r="E317" t="str">
        <f>IF(Allocation!BM317="","",Allocation!BM317)</f>
        <v>B2</v>
      </c>
      <c r="F317" t="str">
        <f>IF(Allocation!BN317="","",Allocation!BN317)</f>
        <v>ALT</v>
      </c>
      <c r="G317">
        <f>IF(Allocation!BO317="","",Allocation!BO317)</f>
        <v>69.28</v>
      </c>
      <c r="H317">
        <f>IF(Allocation!BP317="","",Allocation!BP317)</f>
        <v>3</v>
      </c>
      <c r="I317">
        <f>IF(Allocation!BQ317="","",Allocation!BQ317)</f>
        <v>555647.7696</v>
      </c>
      <c r="J317">
        <f>IF(Allocation!CC317="","",Allocation!CC317)</f>
        <v>0</v>
      </c>
      <c r="K317">
        <f t="shared" si="0"/>
        <v>1440</v>
      </c>
      <c r="L317">
        <f t="shared" si="1"/>
        <v>340.203202</v>
      </c>
      <c r="M317">
        <f t="shared" si="2"/>
        <v>15</v>
      </c>
      <c r="N317">
        <f t="shared" si="3"/>
        <v>2856528.213206</v>
      </c>
      <c r="O317">
        <f t="shared" si="4"/>
        <v>7200</v>
      </c>
      <c r="P317">
        <f t="shared" si="5"/>
        <v>132.343202</v>
      </c>
      <c r="Q317">
        <f t="shared" si="6"/>
        <v>796.250639</v>
      </c>
      <c r="R317">
        <f t="shared" si="7"/>
        <v>35</v>
      </c>
      <c r="S317">
        <f t="shared" si="8"/>
        <v>6176192.54789</v>
      </c>
      <c r="T317">
        <f t="shared" si="9"/>
        <v>2494.334349</v>
      </c>
      <c r="U317">
        <f t="shared" si="10"/>
        <v>111</v>
      </c>
      <c r="V317">
        <f t="shared" si="11"/>
        <v>18970805.476786</v>
      </c>
      <c r="W317">
        <f>IF($A317="","",Allocation!CD317)</f>
        <v>177584.760468</v>
      </c>
      <c r="X317">
        <f>IF($A317="","",Allocation!CE317)</f>
        <v>527826.59412</v>
      </c>
      <c r="Y317">
        <f>IF($A317="","",Allocation!CF317)</f>
        <v>129169.491084</v>
      </c>
      <c r="Z317">
        <f>IF($A317="","",Allocation!CG317)</f>
        <v>57760</v>
      </c>
      <c r="AA317">
        <f>IF($A317="","",Allocation!CH317)</f>
        <v>1197973.690075</v>
      </c>
      <c r="AB317">
        <f>IF($A317="","",Allocation!CI317)</f>
        <v>3092074.3479</v>
      </c>
      <c r="AC317">
        <f>IF($A317="","",IF(Allocation!$N$4="VOL_EFF",$G317,IF(Allocation!$N$4="VOL_CLASS",$H317,$I317)))</f>
        <v>3</v>
      </c>
      <c r="AD317">
        <f>IF($A317="","",IF(Allocation!$N$4="VOL_EFF",$L317,IF(Allocation!$N$4="VOL_CLASS",$M317,$N317)))</f>
        <v>15</v>
      </c>
      <c r="AE317">
        <f>IF($A317="","",IF(Allocation!$N$3="VOL_EFF",$L317,IF(Allocation!$N$3="VOL_CLASS",$M317,$N317)))</f>
        <v>340.203202</v>
      </c>
      <c r="AF317">
        <f>IF($A317="","",IF(Allocation!$N$3="VOL_EFF",$Q317,IF(Allocation!$N$3="VOL_CLASS",$R317,$S317)))</f>
        <v>796.250639</v>
      </c>
      <c r="AG317">
        <f>IF($A317="","",IF(Allocation!$N$1="VOL_EFF",$Q317,IF(Allocation!$N$1="VOL_CLASS",$R317,$S317)))</f>
        <v>35</v>
      </c>
      <c r="AH317">
        <f>IF($A317="","",IF(Allocation!$N$1="VOL_EFF",$T317,IF(Allocation!$N$1="VOL_CLASS",$U317,$V317)))</f>
        <v>111</v>
      </c>
      <c r="AI317">
        <f t="shared" si="12"/>
        <v>35516.9520936</v>
      </c>
      <c r="AJ317">
        <f t="shared" si="13"/>
        <v>105565.318824</v>
      </c>
      <c r="AK317">
        <f t="shared" si="14"/>
        <v>26304.4624203729</v>
      </c>
      <c r="AL317">
        <f t="shared" si="15"/>
        <v>239594.738015</v>
      </c>
      <c r="AM317">
        <f t="shared" si="16"/>
        <v>83313.1570964637</v>
      </c>
      <c r="AN317">
        <f t="shared" si="17"/>
        <v>47478.188429763</v>
      </c>
      <c r="AO317">
        <f>IF($A317="","",Allocation!CJ317)</f>
        <v>642526.8</v>
      </c>
      <c r="AP317">
        <f>IF($A317="","",IF(Allocation!$N$2="VOL_EFF",$Q317,IF(Allocation!$N$2="VOL_CLASS",$R317,$S317)))</f>
        <v>6176192.54789</v>
      </c>
      <c r="AQ317">
        <f>IF($A317="","",IF(Allocation!$N$2="VOL_EFF",$T317,IF(Allocation!$N$2="VOL_CLASS",$U317,$V317)))</f>
        <v>18970805.476786</v>
      </c>
      <c r="AR317">
        <f t="shared" si="18"/>
        <v>17874.9527208004</v>
      </c>
      <c r="AS317" t="str">
        <f>IF($A317="","",$A317&amp;"|"&amp;Allocation!BG317)</f>
        <v>2027|V03</v>
      </c>
    </row>
    <row r="318" ht="14.497499999999997" customHeight="1">
      <c r="A318" t="str">
        <f>IF(Allocation!BI318="","",Allocation!BI318)</f>
        <v>2027</v>
      </c>
      <c r="B318" t="str">
        <f>IF(Allocation!BJ318="","",Allocation!BJ318)</f>
        <v>ISCOM_PAR</v>
      </c>
      <c r="C318" t="str">
        <f>IF(Allocation!BK318="","",Allocation!BK318)</f>
        <v>ISCOM</v>
      </c>
      <c r="D318" t="str">
        <f>IF(Allocation!BL318="","",Allocation!BL318)</f>
        <v>BAC_COM</v>
      </c>
      <c r="E318" t="str">
        <f>IF(Allocation!BM318="","",Allocation!BM318)</f>
        <v>B3</v>
      </c>
      <c r="F318" t="str">
        <f>IF(Allocation!BN318="","",Allocation!BN318)</f>
        <v>ALT</v>
      </c>
      <c r="G318">
        <f>IF(Allocation!BO318="","",Allocation!BO318)</f>
        <v>68.3</v>
      </c>
      <c r="H318">
        <f>IF(Allocation!BP318="","",Allocation!BP318)</f>
        <v>3</v>
      </c>
      <c r="I318">
        <f>IF(Allocation!BQ318="","",Allocation!BQ318)</f>
        <v>547787.856</v>
      </c>
      <c r="J318">
        <f>IF(Allocation!CC318="","",Allocation!CC318)</f>
        <v>0</v>
      </c>
      <c r="K318">
        <f t="shared" si="0"/>
        <v>1440</v>
      </c>
      <c r="L318">
        <f t="shared" si="1"/>
        <v>340.203202</v>
      </c>
      <c r="M318">
        <f t="shared" si="2"/>
        <v>15</v>
      </c>
      <c r="N318">
        <f t="shared" si="3"/>
        <v>2856528.213206</v>
      </c>
      <c r="O318">
        <f t="shared" si="4"/>
        <v>7200</v>
      </c>
      <c r="P318">
        <f t="shared" si="5"/>
        <v>132.343202</v>
      </c>
      <c r="Q318">
        <f t="shared" si="6"/>
        <v>796.250639</v>
      </c>
      <c r="R318">
        <f t="shared" si="7"/>
        <v>35</v>
      </c>
      <c r="S318">
        <f t="shared" si="8"/>
        <v>6176192.54789</v>
      </c>
      <c r="T318">
        <f t="shared" si="9"/>
        <v>2494.334349</v>
      </c>
      <c r="U318">
        <f t="shared" si="10"/>
        <v>111</v>
      </c>
      <c r="V318">
        <f t="shared" si="11"/>
        <v>18970805.476786</v>
      </c>
      <c r="W318">
        <f>IF($A318="","",Allocation!CD318)</f>
        <v>177584.760468</v>
      </c>
      <c r="X318">
        <f>IF($A318="","",Allocation!CE318)</f>
        <v>527826.59412</v>
      </c>
      <c r="Y318">
        <f>IF($A318="","",Allocation!CF318)</f>
        <v>129169.491084</v>
      </c>
      <c r="Z318">
        <f>IF($A318="","",Allocation!CG318)</f>
        <v>57760</v>
      </c>
      <c r="AA318">
        <f>IF($A318="","",Allocation!CH318)</f>
        <v>1197973.690075</v>
      </c>
      <c r="AB318">
        <f>IF($A318="","",Allocation!CI318)</f>
        <v>3092074.3479</v>
      </c>
      <c r="AC318">
        <f>IF($A318="","",IF(Allocation!$N$4="VOL_EFF",$G318,IF(Allocation!$N$4="VOL_CLASS",$H318,$I318)))</f>
        <v>3</v>
      </c>
      <c r="AD318">
        <f>IF($A318="","",IF(Allocation!$N$4="VOL_EFF",$L318,IF(Allocation!$N$4="VOL_CLASS",$M318,$N318)))</f>
        <v>15</v>
      </c>
      <c r="AE318">
        <f>IF($A318="","",IF(Allocation!$N$3="VOL_EFF",$L318,IF(Allocation!$N$3="VOL_CLASS",$M318,$N318)))</f>
        <v>340.203202</v>
      </c>
      <c r="AF318">
        <f>IF($A318="","",IF(Allocation!$N$3="VOL_EFF",$Q318,IF(Allocation!$N$3="VOL_CLASS",$R318,$S318)))</f>
        <v>796.250639</v>
      </c>
      <c r="AG318">
        <f>IF($A318="","",IF(Allocation!$N$1="VOL_EFF",$Q318,IF(Allocation!$N$1="VOL_CLASS",$R318,$S318)))</f>
        <v>35</v>
      </c>
      <c r="AH318">
        <f>IF($A318="","",IF(Allocation!$N$1="VOL_EFF",$T318,IF(Allocation!$N$1="VOL_CLASS",$U318,$V318)))</f>
        <v>111</v>
      </c>
      <c r="AI318">
        <f t="shared" si="12"/>
        <v>35516.9520936</v>
      </c>
      <c r="AJ318">
        <f t="shared" si="13"/>
        <v>105565.318824</v>
      </c>
      <c r="AK318">
        <f t="shared" si="14"/>
        <v>25932.3727383295</v>
      </c>
      <c r="AL318">
        <f t="shared" si="15"/>
        <v>239594.738015</v>
      </c>
      <c r="AM318">
        <f t="shared" si="16"/>
        <v>83313.1570964637</v>
      </c>
      <c r="AN318">
        <f t="shared" si="17"/>
        <v>39990.3645118064</v>
      </c>
      <c r="AO318">
        <f>IF($A318="","",Allocation!CJ318)</f>
        <v>642526.8</v>
      </c>
      <c r="AP318">
        <f>IF($A318="","",IF(Allocation!$N$2="VOL_EFF",$Q318,IF(Allocation!$N$2="VOL_CLASS",$R318,$S318)))</f>
        <v>6176192.54789</v>
      </c>
      <c r="AQ318">
        <f>IF($A318="","",IF(Allocation!$N$2="VOL_EFF",$T318,IF(Allocation!$N$2="VOL_CLASS",$U318,$V318)))</f>
        <v>18970805.476786</v>
      </c>
      <c r="AR318">
        <f t="shared" si="18"/>
        <v>17874.9527208004</v>
      </c>
      <c r="AS318" t="str">
        <f>IF($A318="","",$A318&amp;"|"&amp;Allocation!BG318)</f>
        <v>2027|V03</v>
      </c>
    </row>
    <row r="319" ht="14.497499999999997" customHeight="1">
      <c r="A319" t="str">
        <f>IF(Allocation!BI319="","",Allocation!BI319)</f>
        <v>2027</v>
      </c>
      <c r="B319" t="str">
        <f>IF(Allocation!BJ319="","",Allocation!BJ319)</f>
        <v>ISCOM_PAR</v>
      </c>
      <c r="C319" t="str">
        <f>IF(Allocation!BK319="","",Allocation!BK319)</f>
        <v>ISCOM</v>
      </c>
      <c r="D319" t="str">
        <f>IF(Allocation!BL319="","",Allocation!BL319)</f>
        <v>MAS_COM</v>
      </c>
      <c r="E319" t="str">
        <f>IF(Allocation!BM319="","",Allocation!BM319)</f>
        <v>M1</v>
      </c>
      <c r="F319" t="str">
        <f>IF(Allocation!BN319="","",Allocation!BN319)</f>
        <v>ALT</v>
      </c>
      <c r="G319">
        <f>IF(Allocation!BO319="","",Allocation!BO319)</f>
        <v>65.437731</v>
      </c>
      <c r="H319">
        <f>IF(Allocation!BP319="","",Allocation!BP319)</f>
        <v>3</v>
      </c>
      <c r="I319">
        <f>IF(Allocation!BQ319="","",Allocation!BQ319)</f>
        <v>568208.905819</v>
      </c>
      <c r="J319">
        <f>IF(Allocation!CC319="","",Allocation!CC319)</f>
        <v>65.437731</v>
      </c>
      <c r="K319">
        <f t="shared" si="0"/>
        <v>1260</v>
      </c>
      <c r="L319">
        <f t="shared" si="1"/>
        <v>340.203202</v>
      </c>
      <c r="M319">
        <f t="shared" si="2"/>
        <v>15</v>
      </c>
      <c r="N319">
        <f t="shared" si="3"/>
        <v>2856528.213206</v>
      </c>
      <c r="O319">
        <f t="shared" si="4"/>
        <v>7200</v>
      </c>
      <c r="P319">
        <f t="shared" si="5"/>
        <v>132.343202</v>
      </c>
      <c r="Q319">
        <f t="shared" si="6"/>
        <v>796.250639</v>
      </c>
      <c r="R319">
        <f t="shared" si="7"/>
        <v>35</v>
      </c>
      <c r="S319">
        <f t="shared" si="8"/>
        <v>6176192.54789</v>
      </c>
      <c r="T319">
        <f t="shared" si="9"/>
        <v>2494.334349</v>
      </c>
      <c r="U319">
        <f t="shared" si="10"/>
        <v>111</v>
      </c>
      <c r="V319">
        <f t="shared" si="11"/>
        <v>18970805.476786</v>
      </c>
      <c r="W319">
        <f>IF($A319="","",Allocation!CD319)</f>
        <v>177584.760468</v>
      </c>
      <c r="X319">
        <f>IF($A319="","",Allocation!CE319)</f>
        <v>527826.59412</v>
      </c>
      <c r="Y319">
        <f>IF($A319="","",Allocation!CF319)</f>
        <v>129169.491084</v>
      </c>
      <c r="Z319">
        <f>IF($A319="","",Allocation!CG319)</f>
        <v>57760</v>
      </c>
      <c r="AA319">
        <f>IF($A319="","",Allocation!CH319)</f>
        <v>1197973.690075</v>
      </c>
      <c r="AB319">
        <f>IF($A319="","",Allocation!CI319)</f>
        <v>3092074.3479</v>
      </c>
      <c r="AC319">
        <f>IF($A319="","",IF(Allocation!$N$4="VOL_EFF",$G319,IF(Allocation!$N$4="VOL_CLASS",$H319,$I319)))</f>
        <v>3</v>
      </c>
      <c r="AD319">
        <f>IF($A319="","",IF(Allocation!$N$4="VOL_EFF",$L319,IF(Allocation!$N$4="VOL_CLASS",$M319,$N319)))</f>
        <v>15</v>
      </c>
      <c r="AE319">
        <f>IF($A319="","",IF(Allocation!$N$3="VOL_EFF",$L319,IF(Allocation!$N$3="VOL_CLASS",$M319,$N319)))</f>
        <v>340.203202</v>
      </c>
      <c r="AF319">
        <f>IF($A319="","",IF(Allocation!$N$3="VOL_EFF",$Q319,IF(Allocation!$N$3="VOL_CLASS",$R319,$S319)))</f>
        <v>796.250639</v>
      </c>
      <c r="AG319">
        <f>IF($A319="","",IF(Allocation!$N$1="VOL_EFF",$Q319,IF(Allocation!$N$1="VOL_CLASS",$R319,$S319)))</f>
        <v>35</v>
      </c>
      <c r="AH319">
        <f>IF($A319="","",IF(Allocation!$N$1="VOL_EFF",$T319,IF(Allocation!$N$1="VOL_CLASS",$U319,$V319)))</f>
        <v>111</v>
      </c>
      <c r="AI319">
        <f t="shared" si="12"/>
        <v>31077.3330819</v>
      </c>
      <c r="AJ319">
        <f t="shared" si="13"/>
        <v>92369.653971</v>
      </c>
      <c r="AK319">
        <f t="shared" si="14"/>
        <v>53405.3258987387</v>
      </c>
      <c r="AL319">
        <f t="shared" si="15"/>
        <v>239594.738015</v>
      </c>
      <c r="AM319">
        <f t="shared" si="16"/>
        <v>83313.1570964637</v>
      </c>
      <c r="AN319">
        <f t="shared" si="17"/>
        <v>50573.7450350971</v>
      </c>
      <c r="AO319">
        <f>IF($A319="","",Allocation!CJ319)</f>
        <v>642526.8</v>
      </c>
      <c r="AP319">
        <f>IF($A319="","",IF(Allocation!$N$2="VOL_EFF",$Q319,IF(Allocation!$N$2="VOL_CLASS",$R319,$S319)))</f>
        <v>6176192.54789</v>
      </c>
      <c r="AQ319">
        <f>IF($A319="","",IF(Allocation!$N$2="VOL_EFF",$T319,IF(Allocation!$N$2="VOL_CLASS",$U319,$V319)))</f>
        <v>18970805.476786</v>
      </c>
      <c r="AR319">
        <f t="shared" si="18"/>
        <v>17874.9527208004</v>
      </c>
      <c r="AS319" t="str">
        <f>IF($A319="","",$A319&amp;"|"&amp;Allocation!BG319)</f>
        <v>2027|V03</v>
      </c>
    </row>
    <row r="320" ht="14.497499999999997" customHeight="1">
      <c r="A320" t="str">
        <f>IF(Allocation!BI320="","",Allocation!BI320)</f>
        <v>2027</v>
      </c>
      <c r="B320" t="str">
        <f>IF(Allocation!BJ320="","",Allocation!BJ320)</f>
        <v>ISCOM_PAR</v>
      </c>
      <c r="C320" t="str">
        <f>IF(Allocation!BK320="","",Allocation!BK320)</f>
        <v>ISCOM</v>
      </c>
      <c r="D320" t="str">
        <f>IF(Allocation!BL320="","",Allocation!BL320)</f>
        <v>MAS_COM</v>
      </c>
      <c r="E320" t="str">
        <f>IF(Allocation!BM320="","",Allocation!BM320)</f>
        <v>M2</v>
      </c>
      <c r="F320" t="str">
        <f>IF(Allocation!BN320="","",Allocation!BN320)</f>
        <v>ALT</v>
      </c>
      <c r="G320">
        <f>IF(Allocation!BO320="","",Allocation!BO320)</f>
        <v>70.28</v>
      </c>
      <c r="H320">
        <f>IF(Allocation!BP320="","",Allocation!BP320)</f>
        <v>3</v>
      </c>
      <c r="I320">
        <f>IF(Allocation!BQ320="","",Allocation!BQ320)</f>
        <v>603930.096</v>
      </c>
      <c r="J320">
        <f>IF(Allocation!CC320="","",Allocation!CC320)</f>
        <v>0</v>
      </c>
      <c r="K320">
        <f t="shared" si="0"/>
        <v>1260</v>
      </c>
      <c r="L320">
        <f t="shared" si="1"/>
        <v>340.203202</v>
      </c>
      <c r="M320">
        <f t="shared" si="2"/>
        <v>15</v>
      </c>
      <c r="N320">
        <f t="shared" si="3"/>
        <v>2856528.213206</v>
      </c>
      <c r="O320">
        <f t="shared" si="4"/>
        <v>7200</v>
      </c>
      <c r="P320">
        <f t="shared" si="5"/>
        <v>132.343202</v>
      </c>
      <c r="Q320">
        <f t="shared" si="6"/>
        <v>796.250639</v>
      </c>
      <c r="R320">
        <f t="shared" si="7"/>
        <v>35</v>
      </c>
      <c r="S320">
        <f t="shared" si="8"/>
        <v>6176192.54789</v>
      </c>
      <c r="T320">
        <f t="shared" si="9"/>
        <v>2494.334349</v>
      </c>
      <c r="U320">
        <f t="shared" si="10"/>
        <v>111</v>
      </c>
      <c r="V320">
        <f t="shared" si="11"/>
        <v>18970805.476786</v>
      </c>
      <c r="W320">
        <f>IF($A320="","",Allocation!CD320)</f>
        <v>177584.760468</v>
      </c>
      <c r="X320">
        <f>IF($A320="","",Allocation!CE320)</f>
        <v>527826.59412</v>
      </c>
      <c r="Y320">
        <f>IF($A320="","",Allocation!CF320)</f>
        <v>129169.491084</v>
      </c>
      <c r="Z320">
        <f>IF($A320="","",Allocation!CG320)</f>
        <v>57760</v>
      </c>
      <c r="AA320">
        <f>IF($A320="","",Allocation!CH320)</f>
        <v>1197973.690075</v>
      </c>
      <c r="AB320">
        <f>IF($A320="","",Allocation!CI320)</f>
        <v>3092074.3479</v>
      </c>
      <c r="AC320">
        <f>IF($A320="","",IF(Allocation!$N$4="VOL_EFF",$G320,IF(Allocation!$N$4="VOL_CLASS",$H320,$I320)))</f>
        <v>3</v>
      </c>
      <c r="AD320">
        <f>IF($A320="","",IF(Allocation!$N$4="VOL_EFF",$L320,IF(Allocation!$N$4="VOL_CLASS",$M320,$N320)))</f>
        <v>15</v>
      </c>
      <c r="AE320">
        <f>IF($A320="","",IF(Allocation!$N$3="VOL_EFF",$L320,IF(Allocation!$N$3="VOL_CLASS",$M320,$N320)))</f>
        <v>340.203202</v>
      </c>
      <c r="AF320">
        <f>IF($A320="","",IF(Allocation!$N$3="VOL_EFF",$Q320,IF(Allocation!$N$3="VOL_CLASS",$R320,$S320)))</f>
        <v>796.250639</v>
      </c>
      <c r="AG320">
        <f>IF($A320="","",IF(Allocation!$N$1="VOL_EFF",$Q320,IF(Allocation!$N$1="VOL_CLASS",$R320,$S320)))</f>
        <v>35</v>
      </c>
      <c r="AH320">
        <f>IF($A320="","",IF(Allocation!$N$1="VOL_EFF",$T320,IF(Allocation!$N$1="VOL_CLASS",$U320,$V320)))</f>
        <v>111</v>
      </c>
      <c r="AI320">
        <f t="shared" si="12"/>
        <v>31077.3330819</v>
      </c>
      <c r="AJ320">
        <f t="shared" si="13"/>
        <v>92369.653971</v>
      </c>
      <c r="AK320">
        <f t="shared" si="14"/>
        <v>26684.1457693967</v>
      </c>
      <c r="AL320">
        <f t="shared" si="15"/>
        <v>239594.738015</v>
      </c>
      <c r="AM320">
        <f t="shared" si="16"/>
        <v>83313.1570964637</v>
      </c>
      <c r="AN320">
        <f t="shared" si="17"/>
        <v>113016.115345439</v>
      </c>
      <c r="AO320">
        <f>IF($A320="","",Allocation!CJ320)</f>
        <v>642526.8</v>
      </c>
      <c r="AP320">
        <f>IF($A320="","",IF(Allocation!$N$2="VOL_EFF",$Q320,IF(Allocation!$N$2="VOL_CLASS",$R320,$S320)))</f>
        <v>6176192.54789</v>
      </c>
      <c r="AQ320">
        <f>IF($A320="","",IF(Allocation!$N$2="VOL_EFF",$T320,IF(Allocation!$N$2="VOL_CLASS",$U320,$V320)))</f>
        <v>18970805.476786</v>
      </c>
      <c r="AR320">
        <f t="shared" si="18"/>
        <v>17874.9527208004</v>
      </c>
      <c r="AS320" t="str">
        <f>IF($A320="","",$A320&amp;"|"&amp;Allocation!BG320)</f>
        <v>2027|V03</v>
      </c>
    </row>
    <row r="321" ht="14.497499999999997" customHeight="1">
      <c r="A321" t="str">
        <f>IF(Allocation!BI321="","",Allocation!BI321)</f>
        <v>2027</v>
      </c>
      <c r="B321" t="str">
        <f>IF(Allocation!BJ321="","",Allocation!BJ321)</f>
        <v>ISCOM_TLS</v>
      </c>
      <c r="C321" t="str">
        <f>IF(Allocation!BK321="","",Allocation!BK321)</f>
        <v>ISCOM</v>
      </c>
      <c r="D321" t="str">
        <f>IF(Allocation!BL321="","",Allocation!BL321)</f>
        <v>BAC_COM</v>
      </c>
      <c r="E321" t="str">
        <f>IF(Allocation!BM321="","",Allocation!BM321)</f>
        <v>B1</v>
      </c>
      <c r="F321" t="str">
        <f>IF(Allocation!BN321="","",Allocation!BN321)</f>
        <v>INIT</v>
      </c>
      <c r="G321">
        <f>IF(Allocation!BO321="","",Allocation!BO321)</f>
        <v>43.580238</v>
      </c>
      <c r="H321">
        <f>IF(Allocation!BP321="","",Allocation!BP321)</f>
        <v>2</v>
      </c>
      <c r="I321">
        <f>IF(Allocation!BQ321="","",Allocation!BQ321)</f>
        <v>324916.822433</v>
      </c>
      <c r="J321">
        <f>IF(Allocation!CC321="","",Allocation!CC321)</f>
        <v>43.580238</v>
      </c>
      <c r="K321">
        <f t="shared" si="0"/>
        <v>1200</v>
      </c>
      <c r="L321">
        <f t="shared" si="1"/>
        <v>221.80018</v>
      </c>
      <c r="M321">
        <f t="shared" si="2"/>
        <v>10</v>
      </c>
      <c r="N321">
        <f t="shared" si="3"/>
        <v>1597221.449208</v>
      </c>
      <c r="O321">
        <f t="shared" si="4"/>
        <v>4800</v>
      </c>
      <c r="P321">
        <f t="shared" si="5"/>
        <v>86.20018</v>
      </c>
      <c r="Q321">
        <f t="shared" si="6"/>
        <v>796.250639</v>
      </c>
      <c r="R321">
        <f t="shared" si="7"/>
        <v>35</v>
      </c>
      <c r="S321">
        <f t="shared" si="8"/>
        <v>6176192.54789</v>
      </c>
      <c r="T321">
        <f t="shared" si="9"/>
        <v>2494.334349</v>
      </c>
      <c r="U321">
        <f t="shared" si="10"/>
        <v>111</v>
      </c>
      <c r="V321">
        <f t="shared" si="11"/>
        <v>18970805.476786</v>
      </c>
      <c r="W321">
        <f>IF($A321="","",Allocation!CD321)</f>
        <v>118389.513438</v>
      </c>
      <c r="X321">
        <f>IF($A321="","",Allocation!CE321)</f>
        <v>289500.105405</v>
      </c>
      <c r="Y321">
        <f>IF($A321="","",Allocation!CF321)</f>
        <v>84288.383388</v>
      </c>
      <c r="Z321">
        <f>IF($A321="","",Allocation!CG321)</f>
        <v>20978.85</v>
      </c>
      <c r="AA321">
        <f>IF($A321="","",Allocation!CH321)</f>
        <v>647771.135759</v>
      </c>
      <c r="AB321">
        <f>IF($A321="","",Allocation!CI321)</f>
        <v>3092074.3479</v>
      </c>
      <c r="AC321">
        <f>IF($A321="","",IF(Allocation!$N$4="VOL_EFF",$G321,IF(Allocation!$N$4="VOL_CLASS",$H321,$I321)))</f>
        <v>2</v>
      </c>
      <c r="AD321">
        <f>IF($A321="","",IF(Allocation!$N$4="VOL_EFF",$L321,IF(Allocation!$N$4="VOL_CLASS",$M321,$N321)))</f>
        <v>10</v>
      </c>
      <c r="AE321">
        <f>IF($A321="","",IF(Allocation!$N$3="VOL_EFF",$L321,IF(Allocation!$N$3="VOL_CLASS",$M321,$N321)))</f>
        <v>221.80018</v>
      </c>
      <c r="AF321">
        <f>IF($A321="","",IF(Allocation!$N$3="VOL_EFF",$Q321,IF(Allocation!$N$3="VOL_CLASS",$R321,$S321)))</f>
        <v>796.250639</v>
      </c>
      <c r="AG321">
        <f>IF($A321="","",IF(Allocation!$N$1="VOL_EFF",$Q321,IF(Allocation!$N$1="VOL_CLASS",$R321,$S321)))</f>
        <v>35</v>
      </c>
      <c r="AH321">
        <f>IF($A321="","",IF(Allocation!$N$1="VOL_EFF",$T321,IF(Allocation!$N$1="VOL_CLASS",$U321,$V321)))</f>
        <v>111</v>
      </c>
      <c r="AI321">
        <f t="shared" si="12"/>
        <v>29597.3783595</v>
      </c>
      <c r="AJ321">
        <f t="shared" si="13"/>
        <v>72375.02635125</v>
      </c>
      <c r="AK321">
        <f t="shared" si="14"/>
        <v>27167.6186248271</v>
      </c>
      <c r="AL321">
        <f t="shared" si="15"/>
        <v>129554.2271518</v>
      </c>
      <c r="AM321">
        <f t="shared" si="16"/>
        <v>54317.1643645022</v>
      </c>
      <c r="AN321">
        <f t="shared" si="17"/>
        <v>251.585078400618</v>
      </c>
      <c r="AO321">
        <f>IF($A321="","",Allocation!CJ321)</f>
        <v>642526.8</v>
      </c>
      <c r="AP321">
        <f>IF($A321="","",IF(Allocation!$N$2="VOL_EFF",$Q321,IF(Allocation!$N$2="VOL_CLASS",$R321,$S321)))</f>
        <v>6176192.54789</v>
      </c>
      <c r="AQ321">
        <f>IF($A321="","",IF(Allocation!$N$2="VOL_EFF",$T321,IF(Allocation!$N$2="VOL_CLASS",$U321,$V321)))</f>
        <v>18970805.476786</v>
      </c>
      <c r="AR321">
        <f t="shared" si="18"/>
        <v>11653.8225027201</v>
      </c>
      <c r="AS321" t="str">
        <f>IF($A321="","",$A321&amp;"|"&amp;Allocation!BG321)</f>
        <v>2027|V03</v>
      </c>
    </row>
    <row r="322" ht="14.497499999999997" customHeight="1">
      <c r="A322" t="str">
        <f>IF(Allocation!BI322="","",Allocation!BI322)</f>
        <v>2027</v>
      </c>
      <c r="B322" t="str">
        <f>IF(Allocation!BJ322="","",Allocation!BJ322)</f>
        <v>ISCOM_TLS</v>
      </c>
      <c r="C322" t="str">
        <f>IF(Allocation!BK322="","",Allocation!BK322)</f>
        <v>ISCOM</v>
      </c>
      <c r="D322" t="str">
        <f>IF(Allocation!BL322="","",Allocation!BL322)</f>
        <v>BAC_COM</v>
      </c>
      <c r="E322" t="str">
        <f>IF(Allocation!BM322="","",Allocation!BM322)</f>
        <v>B2</v>
      </c>
      <c r="F322" t="str">
        <f>IF(Allocation!BN322="","",Allocation!BN322)</f>
        <v>ALT</v>
      </c>
      <c r="G322">
        <f>IF(Allocation!BO322="","",Allocation!BO322)</f>
        <v>45.53</v>
      </c>
      <c r="H322">
        <f>IF(Allocation!BP322="","",Allocation!BP322)</f>
        <v>2</v>
      </c>
      <c r="I322">
        <f>IF(Allocation!BQ322="","",Allocation!BQ322)</f>
        <v>312998.7168</v>
      </c>
      <c r="J322">
        <f>IF(Allocation!CC322="","",Allocation!CC322)</f>
        <v>0</v>
      </c>
      <c r="K322">
        <f t="shared" si="0"/>
        <v>960</v>
      </c>
      <c r="L322">
        <f t="shared" si="1"/>
        <v>221.80018</v>
      </c>
      <c r="M322">
        <f t="shared" si="2"/>
        <v>10</v>
      </c>
      <c r="N322">
        <f t="shared" si="3"/>
        <v>1597221.449208</v>
      </c>
      <c r="O322">
        <f t="shared" si="4"/>
        <v>4800</v>
      </c>
      <c r="P322">
        <f t="shared" si="5"/>
        <v>86.20018</v>
      </c>
      <c r="Q322">
        <f t="shared" si="6"/>
        <v>796.250639</v>
      </c>
      <c r="R322">
        <f t="shared" si="7"/>
        <v>35</v>
      </c>
      <c r="S322">
        <f t="shared" si="8"/>
        <v>6176192.54789</v>
      </c>
      <c r="T322">
        <f t="shared" si="9"/>
        <v>2494.334349</v>
      </c>
      <c r="U322">
        <f t="shared" si="10"/>
        <v>111</v>
      </c>
      <c r="V322">
        <f t="shared" si="11"/>
        <v>18970805.476786</v>
      </c>
      <c r="W322">
        <f>IF($A322="","",Allocation!CD322)</f>
        <v>118389.513438</v>
      </c>
      <c r="X322">
        <f>IF($A322="","",Allocation!CE322)</f>
        <v>289500.105405</v>
      </c>
      <c r="Y322">
        <f>IF($A322="","",Allocation!CF322)</f>
        <v>84288.383388</v>
      </c>
      <c r="Z322">
        <f>IF($A322="","",Allocation!CG322)</f>
        <v>20978.85</v>
      </c>
      <c r="AA322">
        <f>IF($A322="","",Allocation!CH322)</f>
        <v>647771.135759</v>
      </c>
      <c r="AB322">
        <f>IF($A322="","",Allocation!CI322)</f>
        <v>3092074.3479</v>
      </c>
      <c r="AC322">
        <f>IF($A322="","",IF(Allocation!$N$4="VOL_EFF",$G322,IF(Allocation!$N$4="VOL_CLASS",$H322,$I322)))</f>
        <v>2</v>
      </c>
      <c r="AD322">
        <f>IF($A322="","",IF(Allocation!$N$4="VOL_EFF",$L322,IF(Allocation!$N$4="VOL_CLASS",$M322,$N322)))</f>
        <v>10</v>
      </c>
      <c r="AE322">
        <f>IF($A322="","",IF(Allocation!$N$3="VOL_EFF",$L322,IF(Allocation!$N$3="VOL_CLASS",$M322,$N322)))</f>
        <v>221.80018</v>
      </c>
      <c r="AF322">
        <f>IF($A322="","",IF(Allocation!$N$3="VOL_EFF",$Q322,IF(Allocation!$N$3="VOL_CLASS",$R322,$S322)))</f>
        <v>796.250639</v>
      </c>
      <c r="AG322">
        <f>IF($A322="","",IF(Allocation!$N$1="VOL_EFF",$Q322,IF(Allocation!$N$1="VOL_CLASS",$R322,$S322)))</f>
        <v>35</v>
      </c>
      <c r="AH322">
        <f>IF($A322="","",IF(Allocation!$N$1="VOL_EFF",$T322,IF(Allocation!$N$1="VOL_CLASS",$U322,$V322)))</f>
        <v>111</v>
      </c>
      <c r="AI322">
        <f t="shared" si="12"/>
        <v>23677.9026876</v>
      </c>
      <c r="AJ322">
        <f t="shared" si="13"/>
        <v>57900.021081</v>
      </c>
      <c r="AK322">
        <f t="shared" si="14"/>
        <v>17302.2857585401</v>
      </c>
      <c r="AL322">
        <f t="shared" si="15"/>
        <v>129554.2271518</v>
      </c>
      <c r="AM322">
        <f t="shared" si="16"/>
        <v>54317.1643645022</v>
      </c>
      <c r="AN322">
        <f t="shared" si="17"/>
        <v>18593.2932538376</v>
      </c>
      <c r="AO322">
        <f>IF($A322="","",Allocation!CJ322)</f>
        <v>642526.8</v>
      </c>
      <c r="AP322">
        <f>IF($A322="","",IF(Allocation!$N$2="VOL_EFF",$Q322,IF(Allocation!$N$2="VOL_CLASS",$R322,$S322)))</f>
        <v>6176192.54789</v>
      </c>
      <c r="AQ322">
        <f>IF($A322="","",IF(Allocation!$N$2="VOL_EFF",$T322,IF(Allocation!$N$2="VOL_CLASS",$U322,$V322)))</f>
        <v>18970805.476786</v>
      </c>
      <c r="AR322">
        <f t="shared" si="18"/>
        <v>11653.8225027201</v>
      </c>
      <c r="AS322" t="str">
        <f>IF($A322="","",$A322&amp;"|"&amp;Allocation!BG322)</f>
        <v>2027|V03</v>
      </c>
    </row>
    <row r="323" ht="14.497499999999997" customHeight="1">
      <c r="A323" t="str">
        <f>IF(Allocation!BI323="","",Allocation!BI323)</f>
        <v>2027</v>
      </c>
      <c r="B323" t="str">
        <f>IF(Allocation!BJ323="","",Allocation!BJ323)</f>
        <v>ISCOM_TLS</v>
      </c>
      <c r="C323" t="str">
        <f>IF(Allocation!BK323="","",Allocation!BK323)</f>
        <v>ISCOM</v>
      </c>
      <c r="D323" t="str">
        <f>IF(Allocation!BL323="","",Allocation!BL323)</f>
        <v>BAC_COM</v>
      </c>
      <c r="E323" t="str">
        <f>IF(Allocation!BM323="","",Allocation!BM323)</f>
        <v>B3</v>
      </c>
      <c r="F323" t="str">
        <f>IF(Allocation!BN323="","",Allocation!BN323)</f>
        <v>ALT</v>
      </c>
      <c r="G323">
        <f>IF(Allocation!BO323="","",Allocation!BO323)</f>
        <v>44.54</v>
      </c>
      <c r="H323">
        <f>IF(Allocation!BP323="","",Allocation!BP323)</f>
        <v>2</v>
      </c>
      <c r="I323">
        <f>IF(Allocation!BQ323="","",Allocation!BQ323)</f>
        <v>306192.9024</v>
      </c>
      <c r="J323">
        <f>IF(Allocation!CC323="","",Allocation!CC323)</f>
        <v>0</v>
      </c>
      <c r="K323">
        <f t="shared" si="0"/>
        <v>960</v>
      </c>
      <c r="L323">
        <f t="shared" si="1"/>
        <v>221.80018</v>
      </c>
      <c r="M323">
        <f t="shared" si="2"/>
        <v>10</v>
      </c>
      <c r="N323">
        <f t="shared" si="3"/>
        <v>1597221.449208</v>
      </c>
      <c r="O323">
        <f t="shared" si="4"/>
        <v>4800</v>
      </c>
      <c r="P323">
        <f t="shared" si="5"/>
        <v>86.20018</v>
      </c>
      <c r="Q323">
        <f t="shared" si="6"/>
        <v>796.250639</v>
      </c>
      <c r="R323">
        <f t="shared" si="7"/>
        <v>35</v>
      </c>
      <c r="S323">
        <f t="shared" si="8"/>
        <v>6176192.54789</v>
      </c>
      <c r="T323">
        <f t="shared" si="9"/>
        <v>2494.334349</v>
      </c>
      <c r="U323">
        <f t="shared" si="10"/>
        <v>111</v>
      </c>
      <c r="V323">
        <f t="shared" si="11"/>
        <v>18970805.476786</v>
      </c>
      <c r="W323">
        <f>IF($A323="","",Allocation!CD323)</f>
        <v>118389.513438</v>
      </c>
      <c r="X323">
        <f>IF($A323="","",Allocation!CE323)</f>
        <v>289500.105405</v>
      </c>
      <c r="Y323">
        <f>IF($A323="","",Allocation!CF323)</f>
        <v>84288.383388</v>
      </c>
      <c r="Z323">
        <f>IF($A323="","",Allocation!CG323)</f>
        <v>20978.85</v>
      </c>
      <c r="AA323">
        <f>IF($A323="","",Allocation!CH323)</f>
        <v>647771.135759</v>
      </c>
      <c r="AB323">
        <f>IF($A323="","",Allocation!CI323)</f>
        <v>3092074.3479</v>
      </c>
      <c r="AC323">
        <f>IF($A323="","",IF(Allocation!$N$4="VOL_EFF",$G323,IF(Allocation!$N$4="VOL_CLASS",$H323,$I323)))</f>
        <v>2</v>
      </c>
      <c r="AD323">
        <f>IF($A323="","",IF(Allocation!$N$4="VOL_EFF",$L323,IF(Allocation!$N$4="VOL_CLASS",$M323,$N323)))</f>
        <v>10</v>
      </c>
      <c r="AE323">
        <f>IF($A323="","",IF(Allocation!$N$3="VOL_EFF",$L323,IF(Allocation!$N$3="VOL_CLASS",$M323,$N323)))</f>
        <v>221.80018</v>
      </c>
      <c r="AF323">
        <f>IF($A323="","",IF(Allocation!$N$3="VOL_EFF",$Q323,IF(Allocation!$N$3="VOL_CLASS",$R323,$S323)))</f>
        <v>796.250639</v>
      </c>
      <c r="AG323">
        <f>IF($A323="","",IF(Allocation!$N$1="VOL_EFF",$Q323,IF(Allocation!$N$1="VOL_CLASS",$R323,$S323)))</f>
        <v>35</v>
      </c>
      <c r="AH323">
        <f>IF($A323="","",IF(Allocation!$N$1="VOL_EFF",$T323,IF(Allocation!$N$1="VOL_CLASS",$U323,$V323)))</f>
        <v>111</v>
      </c>
      <c r="AI323">
        <f t="shared" si="12"/>
        <v>23677.9026876</v>
      </c>
      <c r="AJ323">
        <f t="shared" si="13"/>
        <v>57900.021081</v>
      </c>
      <c r="AK323">
        <f t="shared" si="14"/>
        <v>16926.0664986905</v>
      </c>
      <c r="AL323">
        <f t="shared" si="15"/>
        <v>129554.2271518</v>
      </c>
      <c r="AM323">
        <f t="shared" si="16"/>
        <v>54317.1643645022</v>
      </c>
      <c r="AN323">
        <f t="shared" si="17"/>
        <v>12163.6981136872</v>
      </c>
      <c r="AO323">
        <f>IF($A323="","",Allocation!CJ323)</f>
        <v>642526.8</v>
      </c>
      <c r="AP323">
        <f>IF($A323="","",IF(Allocation!$N$2="VOL_EFF",$Q323,IF(Allocation!$N$2="VOL_CLASS",$R323,$S323)))</f>
        <v>6176192.54789</v>
      </c>
      <c r="AQ323">
        <f>IF($A323="","",IF(Allocation!$N$2="VOL_EFF",$T323,IF(Allocation!$N$2="VOL_CLASS",$U323,$V323)))</f>
        <v>18970805.476786</v>
      </c>
      <c r="AR323">
        <f t="shared" si="18"/>
        <v>11653.8225027201</v>
      </c>
      <c r="AS323" t="str">
        <f>IF($A323="","",$A323&amp;"|"&amp;Allocation!BG323)</f>
        <v>2027|V03</v>
      </c>
    </row>
    <row r="324" ht="14.497499999999997" customHeight="1">
      <c r="A324" t="str">
        <f>IF(Allocation!BI324="","",Allocation!BI324)</f>
        <v>2027</v>
      </c>
      <c r="B324" t="str">
        <f>IF(Allocation!BJ324="","",Allocation!BJ324)</f>
        <v>ISCOM_TLS</v>
      </c>
      <c r="C324" t="str">
        <f>IF(Allocation!BK324="","",Allocation!BK324)</f>
        <v>ISCOM</v>
      </c>
      <c r="D324" t="str">
        <f>IF(Allocation!BL324="","",Allocation!BL324)</f>
        <v>MAS_COM</v>
      </c>
      <c r="E324" t="str">
        <f>IF(Allocation!BM324="","",Allocation!BM324)</f>
        <v>M1</v>
      </c>
      <c r="F324" t="str">
        <f>IF(Allocation!BN324="","",Allocation!BN324)</f>
        <v>ALT</v>
      </c>
      <c r="G324">
        <f>IF(Allocation!BO324="","",Allocation!BO324)</f>
        <v>42.619942</v>
      </c>
      <c r="H324">
        <f>IF(Allocation!BP324="","",Allocation!BP324)</f>
        <v>2</v>
      </c>
      <c r="I324">
        <f>IF(Allocation!BQ324="","",Allocation!BQ324)</f>
        <v>317757.239575</v>
      </c>
      <c r="J324">
        <f>IF(Allocation!CC324="","",Allocation!CC324)</f>
        <v>42.619942</v>
      </c>
      <c r="K324">
        <f t="shared" si="0"/>
        <v>840</v>
      </c>
      <c r="L324">
        <f t="shared" si="1"/>
        <v>221.80018</v>
      </c>
      <c r="M324">
        <f t="shared" si="2"/>
        <v>10</v>
      </c>
      <c r="N324">
        <f t="shared" si="3"/>
        <v>1597221.449208</v>
      </c>
      <c r="O324">
        <f t="shared" si="4"/>
        <v>4800</v>
      </c>
      <c r="P324">
        <f t="shared" si="5"/>
        <v>86.20018</v>
      </c>
      <c r="Q324">
        <f t="shared" si="6"/>
        <v>796.250639</v>
      </c>
      <c r="R324">
        <f t="shared" si="7"/>
        <v>35</v>
      </c>
      <c r="S324">
        <f t="shared" si="8"/>
        <v>6176192.54789</v>
      </c>
      <c r="T324">
        <f t="shared" si="9"/>
        <v>2494.334349</v>
      </c>
      <c r="U324">
        <f t="shared" si="10"/>
        <v>111</v>
      </c>
      <c r="V324">
        <f t="shared" si="11"/>
        <v>18970805.476786</v>
      </c>
      <c r="W324">
        <f>IF($A324="","",Allocation!CD324)</f>
        <v>118389.513438</v>
      </c>
      <c r="X324">
        <f>IF($A324="","",Allocation!CE324)</f>
        <v>289500.105405</v>
      </c>
      <c r="Y324">
        <f>IF($A324="","",Allocation!CF324)</f>
        <v>84288.383388</v>
      </c>
      <c r="Z324">
        <f>IF($A324="","",Allocation!CG324)</f>
        <v>20978.85</v>
      </c>
      <c r="AA324">
        <f>IF($A324="","",Allocation!CH324)</f>
        <v>647771.135759</v>
      </c>
      <c r="AB324">
        <f>IF($A324="","",Allocation!CI324)</f>
        <v>3092074.3479</v>
      </c>
      <c r="AC324">
        <f>IF($A324="","",IF(Allocation!$N$4="VOL_EFF",$G324,IF(Allocation!$N$4="VOL_CLASS",$H324,$I324)))</f>
        <v>2</v>
      </c>
      <c r="AD324">
        <f>IF($A324="","",IF(Allocation!$N$4="VOL_EFF",$L324,IF(Allocation!$N$4="VOL_CLASS",$M324,$N324)))</f>
        <v>10</v>
      </c>
      <c r="AE324">
        <f>IF($A324="","",IF(Allocation!$N$3="VOL_EFF",$L324,IF(Allocation!$N$3="VOL_CLASS",$M324,$N324)))</f>
        <v>221.80018</v>
      </c>
      <c r="AF324">
        <f>IF($A324="","",IF(Allocation!$N$3="VOL_EFF",$Q324,IF(Allocation!$N$3="VOL_CLASS",$R324,$S324)))</f>
        <v>796.250639</v>
      </c>
      <c r="AG324">
        <f>IF($A324="","",IF(Allocation!$N$1="VOL_EFF",$Q324,IF(Allocation!$N$1="VOL_CLASS",$R324,$S324)))</f>
        <v>35</v>
      </c>
      <c r="AH324">
        <f>IF($A324="","",IF(Allocation!$N$1="VOL_EFF",$T324,IF(Allocation!$N$1="VOL_CLASS",$U324,$V324)))</f>
        <v>111</v>
      </c>
      <c r="AI324">
        <f t="shared" si="12"/>
        <v>20718.16485165</v>
      </c>
      <c r="AJ324">
        <f t="shared" si="13"/>
        <v>50662.518445875</v>
      </c>
      <c r="AK324">
        <f t="shared" si="14"/>
        <v>26568.9767474021</v>
      </c>
      <c r="AL324">
        <f t="shared" si="15"/>
        <v>129554.2271518</v>
      </c>
      <c r="AM324">
        <f t="shared" si="16"/>
        <v>54317.1643645022</v>
      </c>
      <c r="AN324">
        <f t="shared" si="17"/>
        <v>24282.3655110506</v>
      </c>
      <c r="AO324">
        <f>IF($A324="","",Allocation!CJ324)</f>
        <v>642526.8</v>
      </c>
      <c r="AP324">
        <f>IF($A324="","",IF(Allocation!$N$2="VOL_EFF",$Q324,IF(Allocation!$N$2="VOL_CLASS",$R324,$S324)))</f>
        <v>6176192.54789</v>
      </c>
      <c r="AQ324">
        <f>IF($A324="","",IF(Allocation!$N$2="VOL_EFF",$T324,IF(Allocation!$N$2="VOL_CLASS",$U324,$V324)))</f>
        <v>18970805.476786</v>
      </c>
      <c r="AR324">
        <f t="shared" si="18"/>
        <v>11653.8225027201</v>
      </c>
      <c r="AS324" t="str">
        <f>IF($A324="","",$A324&amp;"|"&amp;Allocation!BG324)</f>
        <v>2027|V03</v>
      </c>
    </row>
    <row r="325" ht="14.497499999999997" customHeight="1">
      <c r="A325" t="str">
        <f>IF(Allocation!BI325="","",Allocation!BI325)</f>
        <v>2027</v>
      </c>
      <c r="B325" t="str">
        <f>IF(Allocation!BJ325="","",Allocation!BJ325)</f>
        <v>ISCOM_TLS</v>
      </c>
      <c r="C325" t="str">
        <f>IF(Allocation!BK325="","",Allocation!BK325)</f>
        <v>ISCOM</v>
      </c>
      <c r="D325" t="str">
        <f>IF(Allocation!BL325="","",Allocation!BL325)</f>
        <v>MAS_COM</v>
      </c>
      <c r="E325" t="str">
        <f>IF(Allocation!BM325="","",Allocation!BM325)</f>
        <v>M2</v>
      </c>
      <c r="F325" t="str">
        <f>IF(Allocation!BN325="","",Allocation!BN325)</f>
        <v>ALT</v>
      </c>
      <c r="G325">
        <f>IF(Allocation!BO325="","",Allocation!BO325)</f>
        <v>45.53</v>
      </c>
      <c r="H325">
        <f>IF(Allocation!BP325="","",Allocation!BP325)</f>
        <v>2</v>
      </c>
      <c r="I325">
        <f>IF(Allocation!BQ325="","",Allocation!BQ325)</f>
        <v>335355.768</v>
      </c>
      <c r="J325">
        <f>IF(Allocation!CC325="","",Allocation!CC325)</f>
        <v>0</v>
      </c>
      <c r="K325">
        <f t="shared" si="0"/>
        <v>840</v>
      </c>
      <c r="L325">
        <f t="shared" si="1"/>
        <v>221.80018</v>
      </c>
      <c r="M325">
        <f t="shared" si="2"/>
        <v>10</v>
      </c>
      <c r="N325">
        <f t="shared" si="3"/>
        <v>1597221.449208</v>
      </c>
      <c r="O325">
        <f t="shared" si="4"/>
        <v>4800</v>
      </c>
      <c r="P325">
        <f t="shared" si="5"/>
        <v>86.20018</v>
      </c>
      <c r="Q325">
        <f t="shared" si="6"/>
        <v>796.250639</v>
      </c>
      <c r="R325">
        <f t="shared" si="7"/>
        <v>35</v>
      </c>
      <c r="S325">
        <f t="shared" si="8"/>
        <v>6176192.54789</v>
      </c>
      <c r="T325">
        <f t="shared" si="9"/>
        <v>2494.334349</v>
      </c>
      <c r="U325">
        <f t="shared" si="10"/>
        <v>111</v>
      </c>
      <c r="V325">
        <f t="shared" si="11"/>
        <v>18970805.476786</v>
      </c>
      <c r="W325">
        <f>IF($A325="","",Allocation!CD325)</f>
        <v>118389.513438</v>
      </c>
      <c r="X325">
        <f>IF($A325="","",Allocation!CE325)</f>
        <v>289500.105405</v>
      </c>
      <c r="Y325">
        <f>IF($A325="","",Allocation!CF325)</f>
        <v>84288.383388</v>
      </c>
      <c r="Z325">
        <f>IF($A325="","",Allocation!CG325)</f>
        <v>20978.85</v>
      </c>
      <c r="AA325">
        <f>IF($A325="","",Allocation!CH325)</f>
        <v>647771.135759</v>
      </c>
      <c r="AB325">
        <f>IF($A325="","",Allocation!CI325)</f>
        <v>3092074.3479</v>
      </c>
      <c r="AC325">
        <f>IF($A325="","",IF(Allocation!$N$4="VOL_EFF",$G325,IF(Allocation!$N$4="VOL_CLASS",$H325,$I325)))</f>
        <v>2</v>
      </c>
      <c r="AD325">
        <f>IF($A325="","",IF(Allocation!$N$4="VOL_EFF",$L325,IF(Allocation!$N$4="VOL_CLASS",$M325,$N325)))</f>
        <v>10</v>
      </c>
      <c r="AE325">
        <f>IF($A325="","",IF(Allocation!$N$3="VOL_EFF",$L325,IF(Allocation!$N$3="VOL_CLASS",$M325,$N325)))</f>
        <v>221.80018</v>
      </c>
      <c r="AF325">
        <f>IF($A325="","",IF(Allocation!$N$3="VOL_EFF",$Q325,IF(Allocation!$N$3="VOL_CLASS",$R325,$S325)))</f>
        <v>796.250639</v>
      </c>
      <c r="AG325">
        <f>IF($A325="","",IF(Allocation!$N$1="VOL_EFF",$Q325,IF(Allocation!$N$1="VOL_CLASS",$R325,$S325)))</f>
        <v>35</v>
      </c>
      <c r="AH325">
        <f>IF($A325="","",IF(Allocation!$N$1="VOL_EFF",$T325,IF(Allocation!$N$1="VOL_CLASS",$U325,$V325)))</f>
        <v>111</v>
      </c>
      <c r="AI325">
        <f t="shared" si="12"/>
        <v>20718.16485165</v>
      </c>
      <c r="AJ325">
        <f t="shared" si="13"/>
        <v>50662.518445875</v>
      </c>
      <c r="AK325">
        <f t="shared" si="14"/>
        <v>17302.2857585401</v>
      </c>
      <c r="AL325">
        <f t="shared" si="15"/>
        <v>129554.2271518</v>
      </c>
      <c r="AM325">
        <f t="shared" si="16"/>
        <v>54317.1643645022</v>
      </c>
      <c r="AN325">
        <f t="shared" si="17"/>
        <v>51147.5849249125</v>
      </c>
      <c r="AO325">
        <f>IF($A325="","",Allocation!CJ325)</f>
        <v>642526.8</v>
      </c>
      <c r="AP325">
        <f>IF($A325="","",IF(Allocation!$N$2="VOL_EFF",$Q325,IF(Allocation!$N$2="VOL_CLASS",$R325,$S325)))</f>
        <v>6176192.54789</v>
      </c>
      <c r="AQ325">
        <f>IF($A325="","",IF(Allocation!$N$2="VOL_EFF",$T325,IF(Allocation!$N$2="VOL_CLASS",$U325,$V325)))</f>
        <v>18970805.476786</v>
      </c>
      <c r="AR325">
        <f t="shared" si="18"/>
        <v>11653.8225027201</v>
      </c>
      <c r="AS325" t="str">
        <f>IF($A325="","",$A325&amp;"|"&amp;Allocation!BG325)</f>
        <v>2027|V03</v>
      </c>
    </row>
    <row r="326" ht="14.497499999999997" customHeight="1">
      <c r="A326" t="str">
        <f>IF(Allocation!BI326="","",Allocation!BI326)</f>
        <v>2027</v>
      </c>
      <c r="B326" t="str">
        <f>IF(Allocation!BJ326="","",Allocation!BJ326)</f>
        <v>MBWAY_BOR</v>
      </c>
      <c r="C326" t="str">
        <f>IF(Allocation!BK326="","",Allocation!BK326)</f>
        <v>MBWAY</v>
      </c>
      <c r="D326" t="str">
        <f>IF(Allocation!BL326="","",Allocation!BL326)</f>
        <v>BAC_MGT</v>
      </c>
      <c r="E326" t="str">
        <f>IF(Allocation!BM326="","",Allocation!BM326)</f>
        <v>B1</v>
      </c>
      <c r="F326" t="str">
        <f>IF(Allocation!BN326="","",Allocation!BN326)</f>
        <v>INIT</v>
      </c>
      <c r="G326">
        <f>IF(Allocation!BO326="","",Allocation!BO326)</f>
        <v>47.269295</v>
      </c>
      <c r="H326">
        <f>IF(Allocation!BP326="","",Allocation!BP326)</f>
        <v>2</v>
      </c>
      <c r="I326">
        <f>IF(Allocation!BQ326="","",Allocation!BQ326)</f>
        <v>356391.576582</v>
      </c>
      <c r="J326">
        <f>IF(Allocation!CC326="","",Allocation!CC326)</f>
        <v>47.269295</v>
      </c>
      <c r="K326">
        <f t="shared" si="0"/>
        <v>1200</v>
      </c>
      <c r="L326">
        <f t="shared" si="1"/>
        <v>238.992269</v>
      </c>
      <c r="M326">
        <f t="shared" si="2"/>
        <v>10</v>
      </c>
      <c r="N326">
        <f t="shared" si="3"/>
        <v>1741134.571352</v>
      </c>
      <c r="O326">
        <f t="shared" si="4"/>
        <v>4800</v>
      </c>
      <c r="P326">
        <f t="shared" si="5"/>
        <v>93.502269</v>
      </c>
      <c r="Q326">
        <f t="shared" si="6"/>
        <v>1199.348537</v>
      </c>
      <c r="R326">
        <f t="shared" si="7"/>
        <v>50</v>
      </c>
      <c r="S326">
        <f t="shared" si="8"/>
        <v>9397044.3791</v>
      </c>
      <c r="T326">
        <f t="shared" si="9"/>
        <v>2494.334349</v>
      </c>
      <c r="U326">
        <f t="shared" si="10"/>
        <v>111</v>
      </c>
      <c r="V326">
        <f t="shared" si="11"/>
        <v>18970805.476786</v>
      </c>
      <c r="W326">
        <f>IF($A326="","",Allocation!CD326)</f>
        <v>118389.513438</v>
      </c>
      <c r="X326">
        <f>IF($A326="","",Allocation!CE326)</f>
        <v>303184.562835</v>
      </c>
      <c r="Y326">
        <f>IF($A326="","",Allocation!CF326)</f>
        <v>90856.589544</v>
      </c>
      <c r="Z326">
        <f>IF($A326="","",Allocation!CG326)</f>
        <v>23676.85</v>
      </c>
      <c r="AA326">
        <f>IF($A326="","",Allocation!CH326)</f>
        <v>713411.787296</v>
      </c>
      <c r="AB326">
        <f>IF($A326="","",Allocation!CI326)</f>
        <v>3092074.3479</v>
      </c>
      <c r="AC326">
        <f>IF($A326="","",IF(Allocation!$N$4="VOL_EFF",$G326,IF(Allocation!$N$4="VOL_CLASS",$H326,$I326)))</f>
        <v>2</v>
      </c>
      <c r="AD326">
        <f>IF($A326="","",IF(Allocation!$N$4="VOL_EFF",$L326,IF(Allocation!$N$4="VOL_CLASS",$M326,$N326)))</f>
        <v>10</v>
      </c>
      <c r="AE326">
        <f>IF($A326="","",IF(Allocation!$N$3="VOL_EFF",$L326,IF(Allocation!$N$3="VOL_CLASS",$M326,$N326)))</f>
        <v>238.992269</v>
      </c>
      <c r="AF326">
        <f>IF($A326="","",IF(Allocation!$N$3="VOL_EFF",$Q326,IF(Allocation!$N$3="VOL_CLASS",$R326,$S326)))</f>
        <v>1199.348537</v>
      </c>
      <c r="AG326">
        <f>IF($A326="","",IF(Allocation!$N$1="VOL_EFF",$Q326,IF(Allocation!$N$1="VOL_CLASS",$R326,$S326)))</f>
        <v>50</v>
      </c>
      <c r="AH326">
        <f>IF($A326="","",IF(Allocation!$N$1="VOL_EFF",$T326,IF(Allocation!$N$1="VOL_CLASS",$U326,$V326)))</f>
        <v>111</v>
      </c>
      <c r="AI326">
        <f t="shared" si="12"/>
        <v>29597.3783595</v>
      </c>
      <c r="AJ326">
        <f t="shared" si="13"/>
        <v>75796.14070875</v>
      </c>
      <c r="AK326">
        <f t="shared" si="14"/>
        <v>29939.7847866725</v>
      </c>
      <c r="AL326">
        <f t="shared" si="15"/>
        <v>142682.3574592</v>
      </c>
      <c r="AM326">
        <f t="shared" si="16"/>
        <v>55509.2541307282</v>
      </c>
      <c r="AN326">
        <f t="shared" si="17"/>
        <v>10182.3994771411</v>
      </c>
      <c r="AO326">
        <f>IF($A326="","",Allocation!CJ326)</f>
        <v>642526.8</v>
      </c>
      <c r="AP326">
        <f>IF($A326="","",IF(Allocation!$N$2="VOL_EFF",$Q326,IF(Allocation!$N$2="VOL_CLASS",$R326,$S326)))</f>
        <v>9397044.3791</v>
      </c>
      <c r="AQ326">
        <f>IF($A326="","",IF(Allocation!$N$2="VOL_EFF",$T326,IF(Allocation!$N$2="VOL_CLASS",$U326,$V326)))</f>
        <v>18970805.476786</v>
      </c>
      <c r="AR326">
        <f t="shared" si="18"/>
        <v>12684.2616600082</v>
      </c>
      <c r="AS326" t="str">
        <f>IF($A326="","",$A326&amp;"|"&amp;Allocation!BG326)</f>
        <v>2027|V03</v>
      </c>
    </row>
    <row r="327" ht="14.497499999999997" customHeight="1">
      <c r="A327" t="str">
        <f>IF(Allocation!BI327="","",Allocation!BI327)</f>
        <v>2027</v>
      </c>
      <c r="B327" t="str">
        <f>IF(Allocation!BJ327="","",Allocation!BJ327)</f>
        <v>MBWAY_BOR</v>
      </c>
      <c r="C327" t="str">
        <f>IF(Allocation!BK327="","",Allocation!BK327)</f>
        <v>MBWAY</v>
      </c>
      <c r="D327" t="str">
        <f>IF(Allocation!BL327="","",Allocation!BL327)</f>
        <v>BAC_MGT</v>
      </c>
      <c r="E327" t="str">
        <f>IF(Allocation!BM327="","",Allocation!BM327)</f>
        <v>B2</v>
      </c>
      <c r="F327" t="str">
        <f>IF(Allocation!BN327="","",Allocation!BN327)</f>
        <v>ALT</v>
      </c>
      <c r="G327">
        <f>IF(Allocation!BO327="","",Allocation!BO327)</f>
        <v>48.49</v>
      </c>
      <c r="H327">
        <f>IF(Allocation!BP327="","",Allocation!BP327)</f>
        <v>2</v>
      </c>
      <c r="I327">
        <f>IF(Allocation!BQ327="","",Allocation!BQ327)</f>
        <v>337149.0304</v>
      </c>
      <c r="J327">
        <f>IF(Allocation!CC327="","",Allocation!CC327)</f>
        <v>0</v>
      </c>
      <c r="K327">
        <f t="shared" si="0"/>
        <v>960</v>
      </c>
      <c r="L327">
        <f t="shared" si="1"/>
        <v>238.992269</v>
      </c>
      <c r="M327">
        <f t="shared" si="2"/>
        <v>10</v>
      </c>
      <c r="N327">
        <f t="shared" si="3"/>
        <v>1741134.571352</v>
      </c>
      <c r="O327">
        <f t="shared" si="4"/>
        <v>4800</v>
      </c>
      <c r="P327">
        <f t="shared" si="5"/>
        <v>93.502269</v>
      </c>
      <c r="Q327">
        <f t="shared" si="6"/>
        <v>1199.348537</v>
      </c>
      <c r="R327">
        <f t="shared" si="7"/>
        <v>50</v>
      </c>
      <c r="S327">
        <f t="shared" si="8"/>
        <v>9397044.3791</v>
      </c>
      <c r="T327">
        <f t="shared" si="9"/>
        <v>2494.334349</v>
      </c>
      <c r="U327">
        <f t="shared" si="10"/>
        <v>111</v>
      </c>
      <c r="V327">
        <f t="shared" si="11"/>
        <v>18970805.476786</v>
      </c>
      <c r="W327">
        <f>IF($A327="","",Allocation!CD327)</f>
        <v>118389.513438</v>
      </c>
      <c r="X327">
        <f>IF($A327="","",Allocation!CE327)</f>
        <v>303184.562835</v>
      </c>
      <c r="Y327">
        <f>IF($A327="","",Allocation!CF327)</f>
        <v>90856.589544</v>
      </c>
      <c r="Z327">
        <f>IF($A327="","",Allocation!CG327)</f>
        <v>23676.85</v>
      </c>
      <c r="AA327">
        <f>IF($A327="","",Allocation!CH327)</f>
        <v>713411.787296</v>
      </c>
      <c r="AB327">
        <f>IF($A327="","",Allocation!CI327)</f>
        <v>3092074.3479</v>
      </c>
      <c r="AC327">
        <f>IF($A327="","",IF(Allocation!$N$4="VOL_EFF",$G327,IF(Allocation!$N$4="VOL_CLASS",$H327,$I327)))</f>
        <v>2</v>
      </c>
      <c r="AD327">
        <f>IF($A327="","",IF(Allocation!$N$4="VOL_EFF",$L327,IF(Allocation!$N$4="VOL_CLASS",$M327,$N327)))</f>
        <v>10</v>
      </c>
      <c r="AE327">
        <f>IF($A327="","",IF(Allocation!$N$3="VOL_EFF",$L327,IF(Allocation!$N$3="VOL_CLASS",$M327,$N327)))</f>
        <v>238.992269</v>
      </c>
      <c r="AF327">
        <f>IF($A327="","",IF(Allocation!$N$3="VOL_EFF",$Q327,IF(Allocation!$N$3="VOL_CLASS",$R327,$S327)))</f>
        <v>1199.348537</v>
      </c>
      <c r="AG327">
        <f>IF($A327="","",IF(Allocation!$N$1="VOL_EFF",$Q327,IF(Allocation!$N$1="VOL_CLASS",$R327,$S327)))</f>
        <v>50</v>
      </c>
      <c r="AH327">
        <f>IF($A327="","",IF(Allocation!$N$1="VOL_EFF",$T327,IF(Allocation!$N$1="VOL_CLASS",$U327,$V327)))</f>
        <v>111</v>
      </c>
      <c r="AI327">
        <f t="shared" si="12"/>
        <v>23677.9026876</v>
      </c>
      <c r="AJ327">
        <f t="shared" si="13"/>
        <v>60636.912567</v>
      </c>
      <c r="AK327">
        <f t="shared" si="14"/>
        <v>18434.2198407621</v>
      </c>
      <c r="AL327">
        <f t="shared" si="15"/>
        <v>142682.3574592</v>
      </c>
      <c r="AM327">
        <f t="shared" si="16"/>
        <v>55509.2541307282</v>
      </c>
      <c r="AN327">
        <f t="shared" si="17"/>
        <v>23524.1220547015</v>
      </c>
      <c r="AO327">
        <f>IF($A327="","",Allocation!CJ327)</f>
        <v>642526.8</v>
      </c>
      <c r="AP327">
        <f>IF($A327="","",IF(Allocation!$N$2="VOL_EFF",$Q327,IF(Allocation!$N$2="VOL_CLASS",$R327,$S327)))</f>
        <v>9397044.3791</v>
      </c>
      <c r="AQ327">
        <f>IF($A327="","",IF(Allocation!$N$2="VOL_EFF",$T327,IF(Allocation!$N$2="VOL_CLASS",$U327,$V327)))</f>
        <v>18970805.476786</v>
      </c>
      <c r="AR327">
        <f t="shared" si="18"/>
        <v>12684.2616600082</v>
      </c>
      <c r="AS327" t="str">
        <f>IF($A327="","",$A327&amp;"|"&amp;Allocation!BG327)</f>
        <v>2027|V03</v>
      </c>
    </row>
    <row r="328" ht="14.497499999999997" customHeight="1">
      <c r="A328" t="str">
        <f>IF(Allocation!BI328="","",Allocation!BI328)</f>
        <v>2027</v>
      </c>
      <c r="B328" t="str">
        <f>IF(Allocation!BJ328="","",Allocation!BJ328)</f>
        <v>MBWAY_BOR</v>
      </c>
      <c r="C328" t="str">
        <f>IF(Allocation!BK328="","",Allocation!BK328)</f>
        <v>MBWAY</v>
      </c>
      <c r="D328" t="str">
        <f>IF(Allocation!BL328="","",Allocation!BL328)</f>
        <v>BAC_MGT</v>
      </c>
      <c r="E328" t="str">
        <f>IF(Allocation!BM328="","",Allocation!BM328)</f>
        <v>B3</v>
      </c>
      <c r="F328" t="str">
        <f>IF(Allocation!BN328="","",Allocation!BN328)</f>
        <v>ALT</v>
      </c>
      <c r="G328">
        <f>IF(Allocation!BO328="","",Allocation!BO328)</f>
        <v>47.51</v>
      </c>
      <c r="H328">
        <f>IF(Allocation!BP328="","",Allocation!BP328)</f>
        <v>2</v>
      </c>
      <c r="I328">
        <f>IF(Allocation!BQ328="","",Allocation!BQ328)</f>
        <v>330335.1296</v>
      </c>
      <c r="J328">
        <f>IF(Allocation!CC328="","",Allocation!CC328)</f>
        <v>0</v>
      </c>
      <c r="K328">
        <f t="shared" si="0"/>
        <v>960</v>
      </c>
      <c r="L328">
        <f t="shared" si="1"/>
        <v>238.992269</v>
      </c>
      <c r="M328">
        <f t="shared" si="2"/>
        <v>10</v>
      </c>
      <c r="N328">
        <f t="shared" si="3"/>
        <v>1741134.571352</v>
      </c>
      <c r="O328">
        <f t="shared" si="4"/>
        <v>4800</v>
      </c>
      <c r="P328">
        <f t="shared" si="5"/>
        <v>93.502269</v>
      </c>
      <c r="Q328">
        <f t="shared" si="6"/>
        <v>1199.348537</v>
      </c>
      <c r="R328">
        <f t="shared" si="7"/>
        <v>50</v>
      </c>
      <c r="S328">
        <f t="shared" si="8"/>
        <v>9397044.3791</v>
      </c>
      <c r="T328">
        <f t="shared" si="9"/>
        <v>2494.334349</v>
      </c>
      <c r="U328">
        <f t="shared" si="10"/>
        <v>111</v>
      </c>
      <c r="V328">
        <f t="shared" si="11"/>
        <v>18970805.476786</v>
      </c>
      <c r="W328">
        <f>IF($A328="","",Allocation!CD328)</f>
        <v>118389.513438</v>
      </c>
      <c r="X328">
        <f>IF($A328="","",Allocation!CE328)</f>
        <v>303184.562835</v>
      </c>
      <c r="Y328">
        <f>IF($A328="","",Allocation!CF328)</f>
        <v>90856.589544</v>
      </c>
      <c r="Z328">
        <f>IF($A328="","",Allocation!CG328)</f>
        <v>23676.85</v>
      </c>
      <c r="AA328">
        <f>IF($A328="","",Allocation!CH328)</f>
        <v>713411.787296</v>
      </c>
      <c r="AB328">
        <f>IF($A328="","",Allocation!CI328)</f>
        <v>3092074.3479</v>
      </c>
      <c r="AC328">
        <f>IF($A328="","",IF(Allocation!$N$4="VOL_EFF",$G328,IF(Allocation!$N$4="VOL_CLASS",$H328,$I328)))</f>
        <v>2</v>
      </c>
      <c r="AD328">
        <f>IF($A328="","",IF(Allocation!$N$4="VOL_EFF",$L328,IF(Allocation!$N$4="VOL_CLASS",$M328,$N328)))</f>
        <v>10</v>
      </c>
      <c r="AE328">
        <f>IF($A328="","",IF(Allocation!$N$3="VOL_EFF",$L328,IF(Allocation!$N$3="VOL_CLASS",$M328,$N328)))</f>
        <v>238.992269</v>
      </c>
      <c r="AF328">
        <f>IF($A328="","",IF(Allocation!$N$3="VOL_EFF",$Q328,IF(Allocation!$N$3="VOL_CLASS",$R328,$S328)))</f>
        <v>1199.348537</v>
      </c>
      <c r="AG328">
        <f>IF($A328="","",IF(Allocation!$N$1="VOL_EFF",$Q328,IF(Allocation!$N$1="VOL_CLASS",$R328,$S328)))</f>
        <v>50</v>
      </c>
      <c r="AH328">
        <f>IF($A328="","",IF(Allocation!$N$1="VOL_EFF",$T328,IF(Allocation!$N$1="VOL_CLASS",$U328,$V328)))</f>
        <v>111</v>
      </c>
      <c r="AI328">
        <f t="shared" si="12"/>
        <v>23677.9026876</v>
      </c>
      <c r="AJ328">
        <f t="shared" si="13"/>
        <v>60636.912567</v>
      </c>
      <c r="AK328">
        <f t="shared" si="14"/>
        <v>18061.6577569521</v>
      </c>
      <c r="AL328">
        <f t="shared" si="15"/>
        <v>142682.3574592</v>
      </c>
      <c r="AM328">
        <f t="shared" si="16"/>
        <v>55509.2541307282</v>
      </c>
      <c r="AN328">
        <f t="shared" si="17"/>
        <v>17082.7833385115</v>
      </c>
      <c r="AO328">
        <f>IF($A328="","",Allocation!CJ328)</f>
        <v>642526.8</v>
      </c>
      <c r="AP328">
        <f>IF($A328="","",IF(Allocation!$N$2="VOL_EFF",$Q328,IF(Allocation!$N$2="VOL_CLASS",$R328,$S328)))</f>
        <v>9397044.3791</v>
      </c>
      <c r="AQ328">
        <f>IF($A328="","",IF(Allocation!$N$2="VOL_EFF",$T328,IF(Allocation!$N$2="VOL_CLASS",$U328,$V328)))</f>
        <v>18970805.476786</v>
      </c>
      <c r="AR328">
        <f t="shared" si="18"/>
        <v>12684.2616600082</v>
      </c>
      <c r="AS328" t="str">
        <f>IF($A328="","",$A328&amp;"|"&amp;Allocation!BG328)</f>
        <v>2027|V03</v>
      </c>
    </row>
    <row r="329" ht="14.497499999999997" customHeight="1">
      <c r="A329" t="str">
        <f>IF(Allocation!BI329="","",Allocation!BI329)</f>
        <v>2027</v>
      </c>
      <c r="B329" t="str">
        <f>IF(Allocation!BJ329="","",Allocation!BJ329)</f>
        <v>MBWAY_BOR</v>
      </c>
      <c r="C329" t="str">
        <f>IF(Allocation!BK329="","",Allocation!BK329)</f>
        <v>MBWAY</v>
      </c>
      <c r="D329" t="str">
        <f>IF(Allocation!BL329="","",Allocation!BL329)</f>
        <v>MAS_MGT</v>
      </c>
      <c r="E329" t="str">
        <f>IF(Allocation!BM329="","",Allocation!BM329)</f>
        <v>M1</v>
      </c>
      <c r="F329" t="str">
        <f>IF(Allocation!BN329="","",Allocation!BN329)</f>
        <v>ALT</v>
      </c>
      <c r="G329">
        <f>IF(Allocation!BO329="","",Allocation!BO329)</f>
        <v>46.232974</v>
      </c>
      <c r="H329">
        <f>IF(Allocation!BP329="","",Allocation!BP329)</f>
        <v>2</v>
      </c>
      <c r="I329">
        <f>IF(Allocation!BQ329="","",Allocation!BQ329)</f>
        <v>348578.13077</v>
      </c>
      <c r="J329">
        <f>IF(Allocation!CC329="","",Allocation!CC329)</f>
        <v>46.232974</v>
      </c>
      <c r="K329">
        <f t="shared" si="0"/>
        <v>840</v>
      </c>
      <c r="L329">
        <f t="shared" si="1"/>
        <v>238.992269</v>
      </c>
      <c r="M329">
        <f t="shared" si="2"/>
        <v>10</v>
      </c>
      <c r="N329">
        <f t="shared" si="3"/>
        <v>1741134.571352</v>
      </c>
      <c r="O329">
        <f t="shared" si="4"/>
        <v>4800</v>
      </c>
      <c r="P329">
        <f t="shared" si="5"/>
        <v>93.502269</v>
      </c>
      <c r="Q329">
        <f t="shared" si="6"/>
        <v>1199.348537</v>
      </c>
      <c r="R329">
        <f t="shared" si="7"/>
        <v>50</v>
      </c>
      <c r="S329">
        <f t="shared" si="8"/>
        <v>9397044.3791</v>
      </c>
      <c r="T329">
        <f t="shared" si="9"/>
        <v>2494.334349</v>
      </c>
      <c r="U329">
        <f t="shared" si="10"/>
        <v>111</v>
      </c>
      <c r="V329">
        <f t="shared" si="11"/>
        <v>18970805.476786</v>
      </c>
      <c r="W329">
        <f>IF($A329="","",Allocation!CD329)</f>
        <v>118389.513438</v>
      </c>
      <c r="X329">
        <f>IF($A329="","",Allocation!CE329)</f>
        <v>303184.562835</v>
      </c>
      <c r="Y329">
        <f>IF($A329="","",Allocation!CF329)</f>
        <v>90856.589544</v>
      </c>
      <c r="Z329">
        <f>IF($A329="","",Allocation!CG329)</f>
        <v>23676.85</v>
      </c>
      <c r="AA329">
        <f>IF($A329="","",Allocation!CH329)</f>
        <v>713411.787296</v>
      </c>
      <c r="AB329">
        <f>IF($A329="","",Allocation!CI329)</f>
        <v>3092074.3479</v>
      </c>
      <c r="AC329">
        <f>IF($A329="","",IF(Allocation!$N$4="VOL_EFF",$G329,IF(Allocation!$N$4="VOL_CLASS",$H329,$I329)))</f>
        <v>2</v>
      </c>
      <c r="AD329">
        <f>IF($A329="","",IF(Allocation!$N$4="VOL_EFF",$L329,IF(Allocation!$N$4="VOL_CLASS",$M329,$N329)))</f>
        <v>10</v>
      </c>
      <c r="AE329">
        <f>IF($A329="","",IF(Allocation!$N$3="VOL_EFF",$L329,IF(Allocation!$N$3="VOL_CLASS",$M329,$N329)))</f>
        <v>238.992269</v>
      </c>
      <c r="AF329">
        <f>IF($A329="","",IF(Allocation!$N$3="VOL_EFF",$Q329,IF(Allocation!$N$3="VOL_CLASS",$R329,$S329)))</f>
        <v>1199.348537</v>
      </c>
      <c r="AG329">
        <f>IF($A329="","",IF(Allocation!$N$1="VOL_EFF",$Q329,IF(Allocation!$N$1="VOL_CLASS",$R329,$S329)))</f>
        <v>50</v>
      </c>
      <c r="AH329">
        <f>IF($A329="","",IF(Allocation!$N$1="VOL_EFF",$T329,IF(Allocation!$N$1="VOL_CLASS",$U329,$V329)))</f>
        <v>111</v>
      </c>
      <c r="AI329">
        <f t="shared" si="12"/>
        <v>20718.16485165</v>
      </c>
      <c r="AJ329">
        <f t="shared" si="13"/>
        <v>53057.298496125</v>
      </c>
      <c r="AK329">
        <f t="shared" si="14"/>
        <v>29283.3919272083</v>
      </c>
      <c r="AL329">
        <f t="shared" si="15"/>
        <v>142682.3574592</v>
      </c>
      <c r="AM329">
        <f t="shared" si="16"/>
        <v>55509.2541307282</v>
      </c>
      <c r="AN329">
        <f t="shared" si="17"/>
        <v>34643.4022450803</v>
      </c>
      <c r="AO329">
        <f>IF($A329="","",Allocation!CJ329)</f>
        <v>642526.8</v>
      </c>
      <c r="AP329">
        <f>IF($A329="","",IF(Allocation!$N$2="VOL_EFF",$Q329,IF(Allocation!$N$2="VOL_CLASS",$R329,$S329)))</f>
        <v>9397044.3791</v>
      </c>
      <c r="AQ329">
        <f>IF($A329="","",IF(Allocation!$N$2="VOL_EFF",$T329,IF(Allocation!$N$2="VOL_CLASS",$U329,$V329)))</f>
        <v>18970805.476786</v>
      </c>
      <c r="AR329">
        <f t="shared" si="18"/>
        <v>12684.2616600082</v>
      </c>
      <c r="AS329" t="str">
        <f>IF($A329="","",$A329&amp;"|"&amp;Allocation!BG329)</f>
        <v>2027|V03</v>
      </c>
    </row>
    <row r="330" ht="14.497499999999997" customHeight="1">
      <c r="A330" t="str">
        <f>IF(Allocation!BI330="","",Allocation!BI330)</f>
        <v>2027</v>
      </c>
      <c r="B330" t="str">
        <f>IF(Allocation!BJ330="","",Allocation!BJ330)</f>
        <v>MBWAY_BOR</v>
      </c>
      <c r="C330" t="str">
        <f>IF(Allocation!BK330="","",Allocation!BK330)</f>
        <v>MBWAY</v>
      </c>
      <c r="D330" t="str">
        <f>IF(Allocation!BL330="","",Allocation!BL330)</f>
        <v>MAS_MGT</v>
      </c>
      <c r="E330" t="str">
        <f>IF(Allocation!BM330="","",Allocation!BM330)</f>
        <v>M2</v>
      </c>
      <c r="F330" t="str">
        <f>IF(Allocation!BN330="","",Allocation!BN330)</f>
        <v>ALT</v>
      </c>
      <c r="G330">
        <f>IF(Allocation!BO330="","",Allocation!BO330)</f>
        <v>49.49</v>
      </c>
      <c r="H330">
        <f>IF(Allocation!BP330="","",Allocation!BP330)</f>
        <v>2</v>
      </c>
      <c r="I330">
        <f>IF(Allocation!BQ330="","",Allocation!BQ330)</f>
        <v>368680.704</v>
      </c>
      <c r="J330">
        <f>IF(Allocation!CC330="","",Allocation!CC330)</f>
        <v>0</v>
      </c>
      <c r="K330">
        <f t="shared" si="0"/>
        <v>840</v>
      </c>
      <c r="L330">
        <f t="shared" si="1"/>
        <v>238.992269</v>
      </c>
      <c r="M330">
        <f t="shared" si="2"/>
        <v>10</v>
      </c>
      <c r="N330">
        <f t="shared" si="3"/>
        <v>1741134.571352</v>
      </c>
      <c r="O330">
        <f t="shared" si="4"/>
        <v>4800</v>
      </c>
      <c r="P330">
        <f t="shared" si="5"/>
        <v>93.502269</v>
      </c>
      <c r="Q330">
        <f t="shared" si="6"/>
        <v>1199.348537</v>
      </c>
      <c r="R330">
        <f t="shared" si="7"/>
        <v>50</v>
      </c>
      <c r="S330">
        <f t="shared" si="8"/>
        <v>9397044.3791</v>
      </c>
      <c r="T330">
        <f t="shared" si="9"/>
        <v>2494.334349</v>
      </c>
      <c r="U330">
        <f t="shared" si="10"/>
        <v>111</v>
      </c>
      <c r="V330">
        <f t="shared" si="11"/>
        <v>18970805.476786</v>
      </c>
      <c r="W330">
        <f>IF($A330="","",Allocation!CD330)</f>
        <v>118389.513438</v>
      </c>
      <c r="X330">
        <f>IF($A330="","",Allocation!CE330)</f>
        <v>303184.562835</v>
      </c>
      <c r="Y330">
        <f>IF($A330="","",Allocation!CF330)</f>
        <v>90856.589544</v>
      </c>
      <c r="Z330">
        <f>IF($A330="","",Allocation!CG330)</f>
        <v>23676.85</v>
      </c>
      <c r="AA330">
        <f>IF($A330="","",Allocation!CH330)</f>
        <v>713411.787296</v>
      </c>
      <c r="AB330">
        <f>IF($A330="","",Allocation!CI330)</f>
        <v>3092074.3479</v>
      </c>
      <c r="AC330">
        <f>IF($A330="","",IF(Allocation!$N$4="VOL_EFF",$G330,IF(Allocation!$N$4="VOL_CLASS",$H330,$I330)))</f>
        <v>2</v>
      </c>
      <c r="AD330">
        <f>IF($A330="","",IF(Allocation!$N$4="VOL_EFF",$L330,IF(Allocation!$N$4="VOL_CLASS",$M330,$N330)))</f>
        <v>10</v>
      </c>
      <c r="AE330">
        <f>IF($A330="","",IF(Allocation!$N$3="VOL_EFF",$L330,IF(Allocation!$N$3="VOL_CLASS",$M330,$N330)))</f>
        <v>238.992269</v>
      </c>
      <c r="AF330">
        <f>IF($A330="","",IF(Allocation!$N$3="VOL_EFF",$Q330,IF(Allocation!$N$3="VOL_CLASS",$R330,$S330)))</f>
        <v>1199.348537</v>
      </c>
      <c r="AG330">
        <f>IF($A330="","",IF(Allocation!$N$1="VOL_EFF",$Q330,IF(Allocation!$N$1="VOL_CLASS",$R330,$S330)))</f>
        <v>50</v>
      </c>
      <c r="AH330">
        <f>IF($A330="","",IF(Allocation!$N$1="VOL_EFF",$T330,IF(Allocation!$N$1="VOL_CLASS",$U330,$V330)))</f>
        <v>111</v>
      </c>
      <c r="AI330">
        <f t="shared" si="12"/>
        <v>20718.16485165</v>
      </c>
      <c r="AJ330">
        <f t="shared" si="13"/>
        <v>53057.298496125</v>
      </c>
      <c r="AK330">
        <f t="shared" si="14"/>
        <v>18814.385232405</v>
      </c>
      <c r="AL330">
        <f t="shared" si="15"/>
        <v>142682.3574592</v>
      </c>
      <c r="AM330">
        <f t="shared" si="16"/>
        <v>55509.2541307282</v>
      </c>
      <c r="AN330">
        <f t="shared" si="17"/>
        <v>65214.9821698836</v>
      </c>
      <c r="AO330">
        <f>IF($A330="","",Allocation!CJ330)</f>
        <v>642526.8</v>
      </c>
      <c r="AP330">
        <f>IF($A330="","",IF(Allocation!$N$2="VOL_EFF",$Q330,IF(Allocation!$N$2="VOL_CLASS",$R330,$S330)))</f>
        <v>9397044.3791</v>
      </c>
      <c r="AQ330">
        <f>IF($A330="","",IF(Allocation!$N$2="VOL_EFF",$T330,IF(Allocation!$N$2="VOL_CLASS",$U330,$V330)))</f>
        <v>18970805.476786</v>
      </c>
      <c r="AR330">
        <f t="shared" si="18"/>
        <v>12684.2616600082</v>
      </c>
      <c r="AS330" t="str">
        <f>IF($A330="","",$A330&amp;"|"&amp;Allocation!BG330)</f>
        <v>2027|V03</v>
      </c>
    </row>
    <row r="331" ht="14.497499999999997" customHeight="1">
      <c r="A331" t="str">
        <f>IF(Allocation!BI331="","",Allocation!BI331)</f>
        <v>2027</v>
      </c>
      <c r="B331" t="str">
        <f>IF(Allocation!BJ331="","",Allocation!BJ331)</f>
        <v>MBWAY_LYO</v>
      </c>
      <c r="C331" t="str">
        <f>IF(Allocation!BK331="","",Allocation!BK331)</f>
        <v>MBWAY</v>
      </c>
      <c r="D331" t="str">
        <f>IF(Allocation!BL331="","",Allocation!BL331)</f>
        <v>BAC_MGT</v>
      </c>
      <c r="E331" t="str">
        <f>IF(Allocation!BM331="","",Allocation!BM331)</f>
        <v>B1</v>
      </c>
      <c r="F331" t="str">
        <f>IF(Allocation!BN331="","",Allocation!BN331)</f>
        <v>INIT</v>
      </c>
      <c r="G331">
        <f>IF(Allocation!BO331="","",Allocation!BO331)</f>
        <v>61.226543</v>
      </c>
      <c r="H331">
        <f>IF(Allocation!BP331="","",Allocation!BP331)</f>
        <v>3</v>
      </c>
      <c r="I331">
        <f>IF(Allocation!BQ331="","",Allocation!BQ331)</f>
        <v>499241.231622</v>
      </c>
      <c r="J331">
        <f>IF(Allocation!CC331="","",Allocation!CC331)</f>
        <v>61.226543</v>
      </c>
      <c r="K331">
        <f t="shared" si="0"/>
        <v>1800</v>
      </c>
      <c r="L331">
        <f t="shared" si="1"/>
        <v>311.147459</v>
      </c>
      <c r="M331">
        <f t="shared" si="2"/>
        <v>13</v>
      </c>
      <c r="N331">
        <f t="shared" si="3"/>
        <v>2452416.460686</v>
      </c>
      <c r="O331">
        <f t="shared" si="4"/>
        <v>6240</v>
      </c>
      <c r="P331">
        <f t="shared" si="5"/>
        <v>121.107459</v>
      </c>
      <c r="Q331">
        <f t="shared" si="6"/>
        <v>1199.348537</v>
      </c>
      <c r="R331">
        <f t="shared" si="7"/>
        <v>50</v>
      </c>
      <c r="S331">
        <f t="shared" si="8"/>
        <v>9397044.3791</v>
      </c>
      <c r="T331">
        <f t="shared" si="9"/>
        <v>2494.334349</v>
      </c>
      <c r="U331">
        <f t="shared" si="10"/>
        <v>111</v>
      </c>
      <c r="V331">
        <f t="shared" si="11"/>
        <v>18970805.476786</v>
      </c>
      <c r="W331">
        <f>IF($A331="","",Allocation!CD331)</f>
        <v>153906.661656</v>
      </c>
      <c r="X331">
        <f>IF($A331="","",Allocation!CE331)</f>
        <v>432808.5132</v>
      </c>
      <c r="Y331">
        <f>IF($A331="","",Allocation!CF331)</f>
        <v>118222.807698</v>
      </c>
      <c r="Z331">
        <f>IF($A331="","",Allocation!CG331)</f>
        <v>39693.85</v>
      </c>
      <c r="AA331">
        <f>IF($A331="","",Allocation!CH331)</f>
        <v>1019065.020553</v>
      </c>
      <c r="AB331">
        <f>IF($A331="","",Allocation!CI331)</f>
        <v>3092074.3479</v>
      </c>
      <c r="AC331">
        <f>IF($A331="","",IF(Allocation!$N$4="VOL_EFF",$G331,IF(Allocation!$N$4="VOL_CLASS",$H331,$I331)))</f>
        <v>3</v>
      </c>
      <c r="AD331">
        <f>IF($A331="","",IF(Allocation!$N$4="VOL_EFF",$L331,IF(Allocation!$N$4="VOL_CLASS",$M331,$N331)))</f>
        <v>13</v>
      </c>
      <c r="AE331">
        <f>IF($A331="","",IF(Allocation!$N$3="VOL_EFF",$L331,IF(Allocation!$N$3="VOL_CLASS",$M331,$N331)))</f>
        <v>311.147459</v>
      </c>
      <c r="AF331">
        <f>IF($A331="","",IF(Allocation!$N$3="VOL_EFF",$Q331,IF(Allocation!$N$3="VOL_CLASS",$R331,$S331)))</f>
        <v>1199.348537</v>
      </c>
      <c r="AG331">
        <f>IF($A331="","",IF(Allocation!$N$1="VOL_EFF",$Q331,IF(Allocation!$N$1="VOL_CLASS",$R331,$S331)))</f>
        <v>50</v>
      </c>
      <c r="AH331">
        <f>IF($A331="","",IF(Allocation!$N$1="VOL_EFF",$T331,IF(Allocation!$N$1="VOL_CLASS",$U331,$V331)))</f>
        <v>111</v>
      </c>
      <c r="AI331">
        <f t="shared" si="12"/>
        <v>44396.1524007692</v>
      </c>
      <c r="AJ331">
        <f t="shared" si="13"/>
        <v>124848.609576923</v>
      </c>
      <c r="AK331">
        <f t="shared" si="14"/>
        <v>43330.9281456589</v>
      </c>
      <c r="AL331">
        <f t="shared" si="15"/>
        <v>235168.850896846</v>
      </c>
      <c r="AM331">
        <f t="shared" si="16"/>
        <v>83386.492178643</v>
      </c>
      <c r="AN331">
        <f t="shared" si="17"/>
        <v>-50944.2115534754</v>
      </c>
      <c r="AO331">
        <f>IF($A331="","",Allocation!CJ331)</f>
        <v>642526.8</v>
      </c>
      <c r="AP331">
        <f>IF($A331="","",IF(Allocation!$N$2="VOL_EFF",$Q331,IF(Allocation!$N$2="VOL_CLASS",$R331,$S331)))</f>
        <v>9397044.3791</v>
      </c>
      <c r="AQ331">
        <f>IF($A331="","",IF(Allocation!$N$2="VOL_EFF",$T331,IF(Allocation!$N$2="VOL_CLASS",$U331,$V331)))</f>
        <v>18970805.476786</v>
      </c>
      <c r="AR331">
        <f t="shared" si="18"/>
        <v>19054.4099766353</v>
      </c>
      <c r="AS331" t="str">
        <f>IF($A331="","",$A331&amp;"|"&amp;Allocation!BG331)</f>
        <v>2027|V03</v>
      </c>
    </row>
    <row r="332" ht="14.497499999999997" customHeight="1">
      <c r="A332" t="str">
        <f>IF(Allocation!BI332="","",Allocation!BI332)</f>
        <v>2027</v>
      </c>
      <c r="B332" t="str">
        <f>IF(Allocation!BJ332="","",Allocation!BJ332)</f>
        <v>MBWAY_LYO</v>
      </c>
      <c r="C332" t="str">
        <f>IF(Allocation!BK332="","",Allocation!BK332)</f>
        <v>MBWAY</v>
      </c>
      <c r="D332" t="str">
        <f>IF(Allocation!BL332="","",Allocation!BL332)</f>
        <v>BAC_MGT</v>
      </c>
      <c r="E332" t="str">
        <f>IF(Allocation!BM332="","",Allocation!BM332)</f>
        <v>B2</v>
      </c>
      <c r="F332" t="str">
        <f>IF(Allocation!BN332="","",Allocation!BN332)</f>
        <v>ALT</v>
      </c>
      <c r="G332">
        <f>IF(Allocation!BO332="","",Allocation!BO332)</f>
        <v>63.34</v>
      </c>
      <c r="H332">
        <f>IF(Allocation!BP332="","",Allocation!BP332)</f>
        <v>2</v>
      </c>
      <c r="I332">
        <f>IF(Allocation!BQ332="","",Allocation!BQ332)</f>
        <v>476722.176</v>
      </c>
      <c r="J332">
        <f>IF(Allocation!CC332="","",Allocation!CC332)</f>
        <v>0</v>
      </c>
      <c r="K332">
        <f t="shared" si="0"/>
        <v>960</v>
      </c>
      <c r="L332">
        <f t="shared" si="1"/>
        <v>311.147459</v>
      </c>
      <c r="M332">
        <f t="shared" si="2"/>
        <v>13</v>
      </c>
      <c r="N332">
        <f t="shared" si="3"/>
        <v>2452416.460686</v>
      </c>
      <c r="O332">
        <f t="shared" si="4"/>
        <v>6240</v>
      </c>
      <c r="P332">
        <f t="shared" si="5"/>
        <v>121.107459</v>
      </c>
      <c r="Q332">
        <f t="shared" si="6"/>
        <v>1199.348537</v>
      </c>
      <c r="R332">
        <f t="shared" si="7"/>
        <v>50</v>
      </c>
      <c r="S332">
        <f t="shared" si="8"/>
        <v>9397044.3791</v>
      </c>
      <c r="T332">
        <f t="shared" si="9"/>
        <v>2494.334349</v>
      </c>
      <c r="U332">
        <f t="shared" si="10"/>
        <v>111</v>
      </c>
      <c r="V332">
        <f t="shared" si="11"/>
        <v>18970805.476786</v>
      </c>
      <c r="W332">
        <f>IF($A332="","",Allocation!CD332)</f>
        <v>153906.661656</v>
      </c>
      <c r="X332">
        <f>IF($A332="","",Allocation!CE332)</f>
        <v>432808.5132</v>
      </c>
      <c r="Y332">
        <f>IF($A332="","",Allocation!CF332)</f>
        <v>118222.807698</v>
      </c>
      <c r="Z332">
        <f>IF($A332="","",Allocation!CG332)</f>
        <v>39693.85</v>
      </c>
      <c r="AA332">
        <f>IF($A332="","",Allocation!CH332)</f>
        <v>1019065.020553</v>
      </c>
      <c r="AB332">
        <f>IF($A332="","",Allocation!CI332)</f>
        <v>3092074.3479</v>
      </c>
      <c r="AC332">
        <f>IF($A332="","",IF(Allocation!$N$4="VOL_EFF",$G332,IF(Allocation!$N$4="VOL_CLASS",$H332,$I332)))</f>
        <v>2</v>
      </c>
      <c r="AD332">
        <f>IF($A332="","",IF(Allocation!$N$4="VOL_EFF",$L332,IF(Allocation!$N$4="VOL_CLASS",$M332,$N332)))</f>
        <v>13</v>
      </c>
      <c r="AE332">
        <f>IF($A332="","",IF(Allocation!$N$3="VOL_EFF",$L332,IF(Allocation!$N$3="VOL_CLASS",$M332,$N332)))</f>
        <v>311.147459</v>
      </c>
      <c r="AF332">
        <f>IF($A332="","",IF(Allocation!$N$3="VOL_EFF",$Q332,IF(Allocation!$N$3="VOL_CLASS",$R332,$S332)))</f>
        <v>1199.348537</v>
      </c>
      <c r="AG332">
        <f>IF($A332="","",IF(Allocation!$N$1="VOL_EFF",$Q332,IF(Allocation!$N$1="VOL_CLASS",$R332,$S332)))</f>
        <v>50</v>
      </c>
      <c r="AH332">
        <f>IF($A332="","",IF(Allocation!$N$1="VOL_EFF",$T332,IF(Allocation!$N$1="VOL_CLASS",$U332,$V332)))</f>
        <v>111</v>
      </c>
      <c r="AI332">
        <f t="shared" si="12"/>
        <v>23677.9479470769</v>
      </c>
      <c r="AJ332">
        <f t="shared" si="13"/>
        <v>66585.9251076923</v>
      </c>
      <c r="AK332">
        <f t="shared" si="14"/>
        <v>24066.5074484549</v>
      </c>
      <c r="AL332">
        <f t="shared" si="15"/>
        <v>156779.233931231</v>
      </c>
      <c r="AM332">
        <f t="shared" si="16"/>
        <v>55590.994785762</v>
      </c>
      <c r="AN332">
        <f t="shared" si="17"/>
        <v>137318.626795359</v>
      </c>
      <c r="AO332">
        <f>IF($A332="","",Allocation!CJ332)</f>
        <v>642526.8</v>
      </c>
      <c r="AP332">
        <f>IF($A332="","",IF(Allocation!$N$2="VOL_EFF",$Q332,IF(Allocation!$N$2="VOL_CLASS",$R332,$S332)))</f>
        <v>9397044.3791</v>
      </c>
      <c r="AQ332">
        <f>IF($A332="","",IF(Allocation!$N$2="VOL_EFF",$T332,IF(Allocation!$N$2="VOL_CLASS",$U332,$V332)))</f>
        <v>18970805.476786</v>
      </c>
      <c r="AR332">
        <f t="shared" si="18"/>
        <v>12702.9399844235</v>
      </c>
      <c r="AS332" t="str">
        <f>IF($A332="","",$A332&amp;"|"&amp;Allocation!BG332)</f>
        <v>2027|V03</v>
      </c>
    </row>
    <row r="333" ht="14.497499999999997" customHeight="1">
      <c r="A333" t="str">
        <f>IF(Allocation!BI333="","",Allocation!BI333)</f>
        <v>2027</v>
      </c>
      <c r="B333" t="str">
        <f>IF(Allocation!BJ333="","",Allocation!BJ333)</f>
        <v>MBWAY_LYO</v>
      </c>
      <c r="C333" t="str">
        <f>IF(Allocation!BK333="","",Allocation!BK333)</f>
        <v>MBWAY</v>
      </c>
      <c r="D333" t="str">
        <f>IF(Allocation!BL333="","",Allocation!BL333)</f>
        <v>BAC_MGT</v>
      </c>
      <c r="E333" t="str">
        <f>IF(Allocation!BM333="","",Allocation!BM333)</f>
        <v>B3</v>
      </c>
      <c r="F333" t="str">
        <f>IF(Allocation!BN333="","",Allocation!BN333)</f>
        <v>ALT</v>
      </c>
      <c r="G333">
        <f>IF(Allocation!BO333="","",Allocation!BO333)</f>
        <v>62.36</v>
      </c>
      <c r="H333">
        <f>IF(Allocation!BP333="","",Allocation!BP333)</f>
        <v>2</v>
      </c>
      <c r="I333">
        <f>IF(Allocation!BQ333="","",Allocation!BQ333)</f>
        <v>469346.304</v>
      </c>
      <c r="J333">
        <f>IF(Allocation!CC333="","",Allocation!CC333)</f>
        <v>0</v>
      </c>
      <c r="K333">
        <f t="shared" si="0"/>
        <v>960</v>
      </c>
      <c r="L333">
        <f t="shared" si="1"/>
        <v>311.147459</v>
      </c>
      <c r="M333">
        <f t="shared" si="2"/>
        <v>13</v>
      </c>
      <c r="N333">
        <f t="shared" si="3"/>
        <v>2452416.460686</v>
      </c>
      <c r="O333">
        <f t="shared" si="4"/>
        <v>6240</v>
      </c>
      <c r="P333">
        <f t="shared" si="5"/>
        <v>121.107459</v>
      </c>
      <c r="Q333">
        <f t="shared" si="6"/>
        <v>1199.348537</v>
      </c>
      <c r="R333">
        <f t="shared" si="7"/>
        <v>50</v>
      </c>
      <c r="S333">
        <f t="shared" si="8"/>
        <v>9397044.3791</v>
      </c>
      <c r="T333">
        <f t="shared" si="9"/>
        <v>2494.334349</v>
      </c>
      <c r="U333">
        <f t="shared" si="10"/>
        <v>111</v>
      </c>
      <c r="V333">
        <f t="shared" si="11"/>
        <v>18970805.476786</v>
      </c>
      <c r="W333">
        <f>IF($A333="","",Allocation!CD333)</f>
        <v>153906.661656</v>
      </c>
      <c r="X333">
        <f>IF($A333="","",Allocation!CE333)</f>
        <v>432808.5132</v>
      </c>
      <c r="Y333">
        <f>IF($A333="","",Allocation!CF333)</f>
        <v>118222.807698</v>
      </c>
      <c r="Z333">
        <f>IF($A333="","",Allocation!CG333)</f>
        <v>39693.85</v>
      </c>
      <c r="AA333">
        <f>IF($A333="","",Allocation!CH333)</f>
        <v>1019065.020553</v>
      </c>
      <c r="AB333">
        <f>IF($A333="","",Allocation!CI333)</f>
        <v>3092074.3479</v>
      </c>
      <c r="AC333">
        <f>IF($A333="","",IF(Allocation!$N$4="VOL_EFF",$G333,IF(Allocation!$N$4="VOL_CLASS",$H333,$I333)))</f>
        <v>2</v>
      </c>
      <c r="AD333">
        <f>IF($A333="","",IF(Allocation!$N$4="VOL_EFF",$L333,IF(Allocation!$N$4="VOL_CLASS",$M333,$N333)))</f>
        <v>13</v>
      </c>
      <c r="AE333">
        <f>IF($A333="","",IF(Allocation!$N$3="VOL_EFF",$L333,IF(Allocation!$N$3="VOL_CLASS",$M333,$N333)))</f>
        <v>311.147459</v>
      </c>
      <c r="AF333">
        <f>IF($A333="","",IF(Allocation!$N$3="VOL_EFF",$Q333,IF(Allocation!$N$3="VOL_CLASS",$R333,$S333)))</f>
        <v>1199.348537</v>
      </c>
      <c r="AG333">
        <f>IF($A333="","",IF(Allocation!$N$1="VOL_EFF",$Q333,IF(Allocation!$N$1="VOL_CLASS",$R333,$S333)))</f>
        <v>50</v>
      </c>
      <c r="AH333">
        <f>IF($A333="","",IF(Allocation!$N$1="VOL_EFF",$T333,IF(Allocation!$N$1="VOL_CLASS",$U333,$V333)))</f>
        <v>111</v>
      </c>
      <c r="AI333">
        <f t="shared" si="12"/>
        <v>23677.9479470769</v>
      </c>
      <c r="AJ333">
        <f t="shared" si="13"/>
        <v>66585.9251076923</v>
      </c>
      <c r="AK333">
        <f t="shared" si="14"/>
        <v>23694.1491077621</v>
      </c>
      <c r="AL333">
        <f t="shared" si="15"/>
        <v>156779.233931231</v>
      </c>
      <c r="AM333">
        <f t="shared" si="16"/>
        <v>55590.994785762</v>
      </c>
      <c r="AN333">
        <f t="shared" si="17"/>
        <v>130315.113136052</v>
      </c>
      <c r="AO333">
        <f>IF($A333="","",Allocation!CJ333)</f>
        <v>642526.8</v>
      </c>
      <c r="AP333">
        <f>IF($A333="","",IF(Allocation!$N$2="VOL_EFF",$Q333,IF(Allocation!$N$2="VOL_CLASS",$R333,$S333)))</f>
        <v>9397044.3791</v>
      </c>
      <c r="AQ333">
        <f>IF($A333="","",IF(Allocation!$N$2="VOL_EFF",$T333,IF(Allocation!$N$2="VOL_CLASS",$U333,$V333)))</f>
        <v>18970805.476786</v>
      </c>
      <c r="AR333">
        <f t="shared" si="18"/>
        <v>12702.9399844235</v>
      </c>
      <c r="AS333" t="str">
        <f>IF($A333="","",$A333&amp;"|"&amp;Allocation!BG333)</f>
        <v>2027|V03</v>
      </c>
    </row>
    <row r="334" ht="14.497499999999997" customHeight="1">
      <c r="A334" t="str">
        <f>IF(Allocation!BI334="","",Allocation!BI334)</f>
        <v>2027</v>
      </c>
      <c r="B334" t="str">
        <f>IF(Allocation!BJ334="","",Allocation!BJ334)</f>
        <v>MBWAY_LYO</v>
      </c>
      <c r="C334" t="str">
        <f>IF(Allocation!BK334="","",Allocation!BK334)</f>
        <v>MBWAY</v>
      </c>
      <c r="D334" t="str">
        <f>IF(Allocation!BL334="","",Allocation!BL334)</f>
        <v>MAS_MGT</v>
      </c>
      <c r="E334" t="str">
        <f>IF(Allocation!BM334="","",Allocation!BM334)</f>
        <v>M1</v>
      </c>
      <c r="F334" t="str">
        <f>IF(Allocation!BN334="","",Allocation!BN334)</f>
        <v>ALT</v>
      </c>
      <c r="G334">
        <f>IF(Allocation!BO334="","",Allocation!BO334)</f>
        <v>59.880916</v>
      </c>
      <c r="H334">
        <f>IF(Allocation!BP334="","",Allocation!BP334)</f>
        <v>3</v>
      </c>
      <c r="I334">
        <f>IF(Allocation!BQ334="","",Allocation!BQ334)</f>
        <v>488268.989064</v>
      </c>
      <c r="J334">
        <f>IF(Allocation!CC334="","",Allocation!CC334)</f>
        <v>59.880916</v>
      </c>
      <c r="K334">
        <f t="shared" si="0"/>
        <v>1260</v>
      </c>
      <c r="L334">
        <f t="shared" si="1"/>
        <v>311.147459</v>
      </c>
      <c r="M334">
        <f t="shared" si="2"/>
        <v>13</v>
      </c>
      <c r="N334">
        <f t="shared" si="3"/>
        <v>2452416.460686</v>
      </c>
      <c r="O334">
        <f t="shared" si="4"/>
        <v>6240</v>
      </c>
      <c r="P334">
        <f t="shared" si="5"/>
        <v>121.107459</v>
      </c>
      <c r="Q334">
        <f t="shared" si="6"/>
        <v>1199.348537</v>
      </c>
      <c r="R334">
        <f t="shared" si="7"/>
        <v>50</v>
      </c>
      <c r="S334">
        <f t="shared" si="8"/>
        <v>9397044.3791</v>
      </c>
      <c r="T334">
        <f t="shared" si="9"/>
        <v>2494.334349</v>
      </c>
      <c r="U334">
        <f t="shared" si="10"/>
        <v>111</v>
      </c>
      <c r="V334">
        <f t="shared" si="11"/>
        <v>18970805.476786</v>
      </c>
      <c r="W334">
        <f>IF($A334="","",Allocation!CD334)</f>
        <v>153906.661656</v>
      </c>
      <c r="X334">
        <f>IF($A334="","",Allocation!CE334)</f>
        <v>432808.5132</v>
      </c>
      <c r="Y334">
        <f>IF($A334="","",Allocation!CF334)</f>
        <v>118222.807698</v>
      </c>
      <c r="Z334">
        <f>IF($A334="","",Allocation!CG334)</f>
        <v>39693.85</v>
      </c>
      <c r="AA334">
        <f>IF($A334="","",Allocation!CH334)</f>
        <v>1019065.020553</v>
      </c>
      <c r="AB334">
        <f>IF($A334="","",Allocation!CI334)</f>
        <v>3092074.3479</v>
      </c>
      <c r="AC334">
        <f>IF($A334="","",IF(Allocation!$N$4="VOL_EFF",$G334,IF(Allocation!$N$4="VOL_CLASS",$H334,$I334)))</f>
        <v>3</v>
      </c>
      <c r="AD334">
        <f>IF($A334="","",IF(Allocation!$N$4="VOL_EFF",$L334,IF(Allocation!$N$4="VOL_CLASS",$M334,$N334)))</f>
        <v>13</v>
      </c>
      <c r="AE334">
        <f>IF($A334="","",IF(Allocation!$N$3="VOL_EFF",$L334,IF(Allocation!$N$3="VOL_CLASS",$M334,$N334)))</f>
        <v>311.147459</v>
      </c>
      <c r="AF334">
        <f>IF($A334="","",IF(Allocation!$N$3="VOL_EFF",$Q334,IF(Allocation!$N$3="VOL_CLASS",$R334,$S334)))</f>
        <v>1199.348537</v>
      </c>
      <c r="AG334">
        <f>IF($A334="","",IF(Allocation!$N$1="VOL_EFF",$Q334,IF(Allocation!$N$1="VOL_CLASS",$R334,$S334)))</f>
        <v>50</v>
      </c>
      <c r="AH334">
        <f>IF($A334="","",IF(Allocation!$N$1="VOL_EFF",$T334,IF(Allocation!$N$1="VOL_CLASS",$U334,$V334)))</f>
        <v>111</v>
      </c>
      <c r="AI334">
        <f t="shared" si="12"/>
        <v>31077.3066805385</v>
      </c>
      <c r="AJ334">
        <f t="shared" si="13"/>
        <v>87394.0267038461</v>
      </c>
      <c r="AK334">
        <f t="shared" si="14"/>
        <v>42378.6080571663</v>
      </c>
      <c r="AL334">
        <f t="shared" si="15"/>
        <v>235168.850896846</v>
      </c>
      <c r="AM334">
        <f t="shared" si="16"/>
        <v>83386.492178643</v>
      </c>
      <c r="AN334">
        <f t="shared" si="17"/>
        <v>-10190.7054296752</v>
      </c>
      <c r="AO334">
        <f>IF($A334="","",Allocation!CJ334)</f>
        <v>642526.8</v>
      </c>
      <c r="AP334">
        <f>IF($A334="","",IF(Allocation!$N$2="VOL_EFF",$Q334,IF(Allocation!$N$2="VOL_CLASS",$R334,$S334)))</f>
        <v>9397044.3791</v>
      </c>
      <c r="AQ334">
        <f>IF($A334="","",IF(Allocation!$N$2="VOL_EFF",$T334,IF(Allocation!$N$2="VOL_CLASS",$U334,$V334)))</f>
        <v>18970805.476786</v>
      </c>
      <c r="AR334">
        <f t="shared" si="18"/>
        <v>19054.4099766353</v>
      </c>
      <c r="AS334" t="str">
        <f>IF($A334="","",$A334&amp;"|"&amp;Allocation!BG334)</f>
        <v>2027|V03</v>
      </c>
    </row>
    <row r="335" ht="14.497499999999997" customHeight="1">
      <c r="A335" t="str">
        <f>IF(Allocation!BI335="","",Allocation!BI335)</f>
        <v>2027</v>
      </c>
      <c r="B335" t="str">
        <f>IF(Allocation!BJ335="","",Allocation!BJ335)</f>
        <v>MBWAY_LYO</v>
      </c>
      <c r="C335" t="str">
        <f>IF(Allocation!BK335="","",Allocation!BK335)</f>
        <v>MBWAY</v>
      </c>
      <c r="D335" t="str">
        <f>IF(Allocation!BL335="","",Allocation!BL335)</f>
        <v>MAS_MGT</v>
      </c>
      <c r="E335" t="str">
        <f>IF(Allocation!BM335="","",Allocation!BM335)</f>
        <v>M2</v>
      </c>
      <c r="F335" t="str">
        <f>IF(Allocation!BN335="","",Allocation!BN335)</f>
        <v>ALT</v>
      </c>
      <c r="G335">
        <f>IF(Allocation!BO335="","",Allocation!BO335)</f>
        <v>64.34</v>
      </c>
      <c r="H335">
        <f>IF(Allocation!BP335="","",Allocation!BP335)</f>
        <v>3</v>
      </c>
      <c r="I335">
        <f>IF(Allocation!BQ335="","",Allocation!BQ335)</f>
        <v>518837.76</v>
      </c>
      <c r="J335">
        <f>IF(Allocation!CC335="","",Allocation!CC335)</f>
        <v>0</v>
      </c>
      <c r="K335">
        <f t="shared" si="0"/>
        <v>1260</v>
      </c>
      <c r="L335">
        <f t="shared" si="1"/>
        <v>311.147459</v>
      </c>
      <c r="M335">
        <f t="shared" si="2"/>
        <v>13</v>
      </c>
      <c r="N335">
        <f t="shared" si="3"/>
        <v>2452416.460686</v>
      </c>
      <c r="O335">
        <f t="shared" si="4"/>
        <v>6240</v>
      </c>
      <c r="P335">
        <f t="shared" si="5"/>
        <v>121.107459</v>
      </c>
      <c r="Q335">
        <f t="shared" si="6"/>
        <v>1199.348537</v>
      </c>
      <c r="R335">
        <f t="shared" si="7"/>
        <v>50</v>
      </c>
      <c r="S335">
        <f t="shared" si="8"/>
        <v>9397044.3791</v>
      </c>
      <c r="T335">
        <f t="shared" si="9"/>
        <v>2494.334349</v>
      </c>
      <c r="U335">
        <f t="shared" si="10"/>
        <v>111</v>
      </c>
      <c r="V335">
        <f t="shared" si="11"/>
        <v>18970805.476786</v>
      </c>
      <c r="W335">
        <f>IF($A335="","",Allocation!CD335)</f>
        <v>153906.661656</v>
      </c>
      <c r="X335">
        <f>IF($A335="","",Allocation!CE335)</f>
        <v>432808.5132</v>
      </c>
      <c r="Y335">
        <f>IF($A335="","",Allocation!CF335)</f>
        <v>118222.807698</v>
      </c>
      <c r="Z335">
        <f>IF($A335="","",Allocation!CG335)</f>
        <v>39693.85</v>
      </c>
      <c r="AA335">
        <f>IF($A335="","",Allocation!CH335)</f>
        <v>1019065.020553</v>
      </c>
      <c r="AB335">
        <f>IF($A335="","",Allocation!CI335)</f>
        <v>3092074.3479</v>
      </c>
      <c r="AC335">
        <f>IF($A335="","",IF(Allocation!$N$4="VOL_EFF",$G335,IF(Allocation!$N$4="VOL_CLASS",$H335,$I335)))</f>
        <v>3</v>
      </c>
      <c r="AD335">
        <f>IF($A335="","",IF(Allocation!$N$4="VOL_EFF",$L335,IF(Allocation!$N$4="VOL_CLASS",$M335,$N335)))</f>
        <v>13</v>
      </c>
      <c r="AE335">
        <f>IF($A335="","",IF(Allocation!$N$3="VOL_EFF",$L335,IF(Allocation!$N$3="VOL_CLASS",$M335,$N335)))</f>
        <v>311.147459</v>
      </c>
      <c r="AF335">
        <f>IF($A335="","",IF(Allocation!$N$3="VOL_EFF",$Q335,IF(Allocation!$N$3="VOL_CLASS",$R335,$S335)))</f>
        <v>1199.348537</v>
      </c>
      <c r="AG335">
        <f>IF($A335="","",IF(Allocation!$N$1="VOL_EFF",$Q335,IF(Allocation!$N$1="VOL_CLASS",$R335,$S335)))</f>
        <v>50</v>
      </c>
      <c r="AH335">
        <f>IF($A335="","",IF(Allocation!$N$1="VOL_EFF",$T335,IF(Allocation!$N$1="VOL_CLASS",$U335,$V335)))</f>
        <v>111</v>
      </c>
      <c r="AI335">
        <f t="shared" si="12"/>
        <v>31077.3066805385</v>
      </c>
      <c r="AJ335">
        <f t="shared" si="13"/>
        <v>87394.0267038461</v>
      </c>
      <c r="AK335">
        <f t="shared" si="14"/>
        <v>24446.4649389578</v>
      </c>
      <c r="AL335">
        <f t="shared" si="15"/>
        <v>235168.850896846</v>
      </c>
      <c r="AM335">
        <f t="shared" si="16"/>
        <v>83386.492178643</v>
      </c>
      <c r="AN335">
        <f t="shared" si="17"/>
        <v>38310.2086245333</v>
      </c>
      <c r="AO335">
        <f>IF($A335="","",Allocation!CJ335)</f>
        <v>642526.8</v>
      </c>
      <c r="AP335">
        <f>IF($A335="","",IF(Allocation!$N$2="VOL_EFF",$Q335,IF(Allocation!$N$2="VOL_CLASS",$R335,$S335)))</f>
        <v>9397044.3791</v>
      </c>
      <c r="AQ335">
        <f>IF($A335="","",IF(Allocation!$N$2="VOL_EFF",$T335,IF(Allocation!$N$2="VOL_CLASS",$U335,$V335)))</f>
        <v>18970805.476786</v>
      </c>
      <c r="AR335">
        <f t="shared" si="18"/>
        <v>19054.4099766353</v>
      </c>
      <c r="AS335" t="str">
        <f>IF($A335="","",$A335&amp;"|"&amp;Allocation!BG335)</f>
        <v>2027|V03</v>
      </c>
    </row>
    <row r="336" ht="14.497499999999997" customHeight="1">
      <c r="A336" t="str">
        <f>IF(Allocation!BI336="","",Allocation!BI336)</f>
        <v>2027</v>
      </c>
      <c r="B336" t="str">
        <f>IF(Allocation!BJ336="","",Allocation!BJ336)</f>
        <v>MBWAY_NAN</v>
      </c>
      <c r="C336" t="str">
        <f>IF(Allocation!BK336="","",Allocation!BK336)</f>
        <v>MBWAY</v>
      </c>
      <c r="D336" t="str">
        <f>IF(Allocation!BL336="","",Allocation!BL336)</f>
        <v>BAC_MGT</v>
      </c>
      <c r="E336" t="str">
        <f>IF(Allocation!BM336="","",Allocation!BM336)</f>
        <v>B1</v>
      </c>
      <c r="F336" t="str">
        <f>IF(Allocation!BN336="","",Allocation!BN336)</f>
        <v>INIT</v>
      </c>
      <c r="G336">
        <f>IF(Allocation!BO336="","",Allocation!BO336)</f>
        <v>55.632349</v>
      </c>
      <c r="H336">
        <f>IF(Allocation!BP336="","",Allocation!BP336)</f>
        <v>2</v>
      </c>
      <c r="I336">
        <f>IF(Allocation!BQ336="","",Allocation!BQ336)</f>
        <v>432263.35173</v>
      </c>
      <c r="J336">
        <f>IF(Allocation!CC336="","",Allocation!CC336)</f>
        <v>55.632349</v>
      </c>
      <c r="K336">
        <f t="shared" si="0"/>
        <v>1200</v>
      </c>
      <c r="L336">
        <f t="shared" si="1"/>
        <v>282.259326</v>
      </c>
      <c r="M336">
        <f t="shared" si="2"/>
        <v>12</v>
      </c>
      <c r="N336">
        <f t="shared" si="3"/>
        <v>2119379.32302</v>
      </c>
      <c r="O336">
        <f t="shared" si="4"/>
        <v>5640</v>
      </c>
      <c r="P336">
        <f t="shared" si="5"/>
        <v>110.039326</v>
      </c>
      <c r="Q336">
        <f t="shared" si="6"/>
        <v>1199.348537</v>
      </c>
      <c r="R336">
        <f t="shared" si="7"/>
        <v>50</v>
      </c>
      <c r="S336">
        <f t="shared" si="8"/>
        <v>9397044.3791</v>
      </c>
      <c r="T336">
        <f t="shared" si="9"/>
        <v>2494.334349</v>
      </c>
      <c r="U336">
        <f t="shared" si="10"/>
        <v>111</v>
      </c>
      <c r="V336">
        <f t="shared" si="11"/>
        <v>18970805.476786</v>
      </c>
      <c r="W336">
        <f>IF($A336="","",Allocation!CD336)</f>
        <v>142067.61225</v>
      </c>
      <c r="X336">
        <f>IF($A336="","",Allocation!CE336)</f>
        <v>372308.9706</v>
      </c>
      <c r="Y336">
        <f>IF($A336="","",Allocation!CF336)</f>
        <v>107276.124312</v>
      </c>
      <c r="Z336">
        <f>IF($A336="","",Allocation!CG336)</f>
        <v>29956.35</v>
      </c>
      <c r="AA336">
        <f>IF($A336="","",Allocation!CH336)</f>
        <v>866508.316712</v>
      </c>
      <c r="AB336">
        <f>IF($A336="","",Allocation!CI336)</f>
        <v>3092074.3479</v>
      </c>
      <c r="AC336">
        <f>IF($A336="","",IF(Allocation!$N$4="VOL_EFF",$G336,IF(Allocation!$N$4="VOL_CLASS",$H336,$I336)))</f>
        <v>2</v>
      </c>
      <c r="AD336">
        <f>IF($A336="","",IF(Allocation!$N$4="VOL_EFF",$L336,IF(Allocation!$N$4="VOL_CLASS",$M336,$N336)))</f>
        <v>12</v>
      </c>
      <c r="AE336">
        <f>IF($A336="","",IF(Allocation!$N$3="VOL_EFF",$L336,IF(Allocation!$N$3="VOL_CLASS",$M336,$N336)))</f>
        <v>282.259326</v>
      </c>
      <c r="AF336">
        <f>IF($A336="","",IF(Allocation!$N$3="VOL_EFF",$Q336,IF(Allocation!$N$3="VOL_CLASS",$R336,$S336)))</f>
        <v>1199.348537</v>
      </c>
      <c r="AG336">
        <f>IF($A336="","",IF(Allocation!$N$1="VOL_EFF",$Q336,IF(Allocation!$N$1="VOL_CLASS",$R336,$S336)))</f>
        <v>50</v>
      </c>
      <c r="AH336">
        <f>IF($A336="","",IF(Allocation!$N$1="VOL_EFF",$T336,IF(Allocation!$N$1="VOL_CLASS",$U336,$V336)))</f>
        <v>111</v>
      </c>
      <c r="AI336">
        <f t="shared" si="12"/>
        <v>30227.1515425532</v>
      </c>
      <c r="AJ336">
        <f t="shared" si="13"/>
        <v>79214.6745957447</v>
      </c>
      <c r="AK336">
        <f t="shared" si="14"/>
        <v>36288.7260898024</v>
      </c>
      <c r="AL336">
        <f t="shared" si="15"/>
        <v>144418.052785333</v>
      </c>
      <c r="AM336">
        <f t="shared" si="16"/>
        <v>54632.1879059823</v>
      </c>
      <c r="AN336">
        <f t="shared" si="17"/>
        <v>74998.7130571138</v>
      </c>
      <c r="AO336">
        <f>IF($A336="","",Allocation!CJ336)</f>
        <v>642526.8</v>
      </c>
      <c r="AP336">
        <f>IF($A336="","",IF(Allocation!$N$2="VOL_EFF",$Q336,IF(Allocation!$N$2="VOL_CLASS",$R336,$S336)))</f>
        <v>9397044.3791</v>
      </c>
      <c r="AQ336">
        <f>IF($A336="","",IF(Allocation!$N$2="VOL_EFF",$T336,IF(Allocation!$N$2="VOL_CLASS",$U336,$V336)))</f>
        <v>18970805.476786</v>
      </c>
      <c r="AR336">
        <f t="shared" si="18"/>
        <v>12483.8457534706</v>
      </c>
      <c r="AS336" t="str">
        <f>IF($A336="","",$A336&amp;"|"&amp;Allocation!BG336)</f>
        <v>2027|V03</v>
      </c>
    </row>
    <row r="337" ht="14.497499999999997" customHeight="1">
      <c r="A337" t="str">
        <f>IF(Allocation!BI337="","",Allocation!BI337)</f>
        <v>2027</v>
      </c>
      <c r="B337" t="str">
        <f>IF(Allocation!BJ337="","",Allocation!BJ337)</f>
        <v>MBWAY_NAN</v>
      </c>
      <c r="C337" t="str">
        <f>IF(Allocation!BK337="","",Allocation!BK337)</f>
        <v>MBWAY</v>
      </c>
      <c r="D337" t="str">
        <f>IF(Allocation!BL337="","",Allocation!BL337)</f>
        <v>BAC_MGT</v>
      </c>
      <c r="E337" t="str">
        <f>IF(Allocation!BM337="","",Allocation!BM337)</f>
        <v>B2</v>
      </c>
      <c r="F337" t="str">
        <f>IF(Allocation!BN337="","",Allocation!BN337)</f>
        <v>ALT</v>
      </c>
      <c r="G337">
        <f>IF(Allocation!BO337="","",Allocation!BO337)</f>
        <v>57.4</v>
      </c>
      <c r="H337">
        <f>IF(Allocation!BP337="","",Allocation!BP337)</f>
        <v>2</v>
      </c>
      <c r="I337">
        <f>IF(Allocation!BQ337="","",Allocation!BQ337)</f>
        <v>411443.2</v>
      </c>
      <c r="J337">
        <f>IF(Allocation!CC337="","",Allocation!CC337)</f>
        <v>0</v>
      </c>
      <c r="K337">
        <f t="shared" si="0"/>
        <v>960</v>
      </c>
      <c r="L337">
        <f t="shared" si="1"/>
        <v>282.259326</v>
      </c>
      <c r="M337">
        <f t="shared" si="2"/>
        <v>12</v>
      </c>
      <c r="N337">
        <f t="shared" si="3"/>
        <v>2119379.32302</v>
      </c>
      <c r="O337">
        <f t="shared" si="4"/>
        <v>5640</v>
      </c>
      <c r="P337">
        <f t="shared" si="5"/>
        <v>110.039326</v>
      </c>
      <c r="Q337">
        <f t="shared" si="6"/>
        <v>1199.348537</v>
      </c>
      <c r="R337">
        <f t="shared" si="7"/>
        <v>50</v>
      </c>
      <c r="S337">
        <f t="shared" si="8"/>
        <v>9397044.3791</v>
      </c>
      <c r="T337">
        <f t="shared" si="9"/>
        <v>2494.334349</v>
      </c>
      <c r="U337">
        <f t="shared" si="10"/>
        <v>111</v>
      </c>
      <c r="V337">
        <f t="shared" si="11"/>
        <v>18970805.476786</v>
      </c>
      <c r="W337">
        <f>IF($A337="","",Allocation!CD337)</f>
        <v>142067.61225</v>
      </c>
      <c r="X337">
        <f>IF($A337="","",Allocation!CE337)</f>
        <v>372308.9706</v>
      </c>
      <c r="Y337">
        <f>IF($A337="","",Allocation!CF337)</f>
        <v>107276.124312</v>
      </c>
      <c r="Z337">
        <f>IF($A337="","",Allocation!CG337)</f>
        <v>29956.35</v>
      </c>
      <c r="AA337">
        <f>IF($A337="","",Allocation!CH337)</f>
        <v>866508.316712</v>
      </c>
      <c r="AB337">
        <f>IF($A337="","",Allocation!CI337)</f>
        <v>3092074.3479</v>
      </c>
      <c r="AC337">
        <f>IF($A337="","",IF(Allocation!$N$4="VOL_EFF",$G337,IF(Allocation!$N$4="VOL_CLASS",$H337,$I337)))</f>
        <v>2</v>
      </c>
      <c r="AD337">
        <f>IF($A337="","",IF(Allocation!$N$4="VOL_EFF",$L337,IF(Allocation!$N$4="VOL_CLASS",$M337,$N337)))</f>
        <v>12</v>
      </c>
      <c r="AE337">
        <f>IF($A337="","",IF(Allocation!$N$3="VOL_EFF",$L337,IF(Allocation!$N$3="VOL_CLASS",$M337,$N337)))</f>
        <v>282.259326</v>
      </c>
      <c r="AF337">
        <f>IF($A337="","",IF(Allocation!$N$3="VOL_EFF",$Q337,IF(Allocation!$N$3="VOL_CLASS",$R337,$S337)))</f>
        <v>1199.348537</v>
      </c>
      <c r="AG337">
        <f>IF($A337="","",IF(Allocation!$N$1="VOL_EFF",$Q337,IF(Allocation!$N$1="VOL_CLASS",$R337,$S337)))</f>
        <v>50</v>
      </c>
      <c r="AH337">
        <f>IF($A337="","",IF(Allocation!$N$1="VOL_EFF",$T337,IF(Allocation!$N$1="VOL_CLASS",$U337,$V337)))</f>
        <v>111</v>
      </c>
      <c r="AI337">
        <f t="shared" si="12"/>
        <v>24181.7212340426</v>
      </c>
      <c r="AJ337">
        <f t="shared" si="13"/>
        <v>63371.7396765957</v>
      </c>
      <c r="AK337">
        <f t="shared" si="14"/>
        <v>21815.5751406733</v>
      </c>
      <c r="AL337">
        <f t="shared" si="15"/>
        <v>144418.052785333</v>
      </c>
      <c r="AM337">
        <f t="shared" si="16"/>
        <v>54632.1879059823</v>
      </c>
      <c r="AN337">
        <f t="shared" si="17"/>
        <v>90540.0775039025</v>
      </c>
      <c r="AO337">
        <f>IF($A337="","",Allocation!CJ337)</f>
        <v>642526.8</v>
      </c>
      <c r="AP337">
        <f>IF($A337="","",IF(Allocation!$N$2="VOL_EFF",$Q337,IF(Allocation!$N$2="VOL_CLASS",$R337,$S337)))</f>
        <v>9397044.3791</v>
      </c>
      <c r="AQ337">
        <f>IF($A337="","",IF(Allocation!$N$2="VOL_EFF",$T337,IF(Allocation!$N$2="VOL_CLASS",$U337,$V337)))</f>
        <v>18970805.476786</v>
      </c>
      <c r="AR337">
        <f t="shared" si="18"/>
        <v>12483.8457534706</v>
      </c>
      <c r="AS337" t="str">
        <f>IF($A337="","",$A337&amp;"|"&amp;Allocation!BG337)</f>
        <v>2027|V03</v>
      </c>
    </row>
    <row r="338" ht="14.497499999999997" customHeight="1">
      <c r="A338" t="str">
        <f>IF(Allocation!BI338="","",Allocation!BI338)</f>
        <v>2027</v>
      </c>
      <c r="B338" t="str">
        <f>IF(Allocation!BJ338="","",Allocation!BJ338)</f>
        <v>MBWAY_NAN</v>
      </c>
      <c r="C338" t="str">
        <f>IF(Allocation!BK338="","",Allocation!BK338)</f>
        <v>MBWAY</v>
      </c>
      <c r="D338" t="str">
        <f>IF(Allocation!BL338="","",Allocation!BL338)</f>
        <v>BAC_MGT</v>
      </c>
      <c r="E338" t="str">
        <f>IF(Allocation!BM338="","",Allocation!BM338)</f>
        <v>B3</v>
      </c>
      <c r="F338" t="str">
        <f>IF(Allocation!BN338="","",Allocation!BN338)</f>
        <v>ALT</v>
      </c>
      <c r="G338">
        <f>IF(Allocation!BO338="","",Allocation!BO338)</f>
        <v>56.42</v>
      </c>
      <c r="H338">
        <f>IF(Allocation!BP338="","",Allocation!BP338)</f>
        <v>2</v>
      </c>
      <c r="I338">
        <f>IF(Allocation!BQ338="","",Allocation!BQ338)</f>
        <v>404418.56</v>
      </c>
      <c r="J338">
        <f>IF(Allocation!CC338="","",Allocation!CC338)</f>
        <v>0</v>
      </c>
      <c r="K338">
        <f t="shared" si="0"/>
        <v>960</v>
      </c>
      <c r="L338">
        <f t="shared" si="1"/>
        <v>282.259326</v>
      </c>
      <c r="M338">
        <f t="shared" si="2"/>
        <v>12</v>
      </c>
      <c r="N338">
        <f t="shared" si="3"/>
        <v>2119379.32302</v>
      </c>
      <c r="O338">
        <f t="shared" si="4"/>
        <v>5640</v>
      </c>
      <c r="P338">
        <f t="shared" si="5"/>
        <v>110.039326</v>
      </c>
      <c r="Q338">
        <f t="shared" si="6"/>
        <v>1199.348537</v>
      </c>
      <c r="R338">
        <f t="shared" si="7"/>
        <v>50</v>
      </c>
      <c r="S338">
        <f t="shared" si="8"/>
        <v>9397044.3791</v>
      </c>
      <c r="T338">
        <f t="shared" si="9"/>
        <v>2494.334349</v>
      </c>
      <c r="U338">
        <f t="shared" si="10"/>
        <v>111</v>
      </c>
      <c r="V338">
        <f t="shared" si="11"/>
        <v>18970805.476786</v>
      </c>
      <c r="W338">
        <f>IF($A338="","",Allocation!CD338)</f>
        <v>142067.61225</v>
      </c>
      <c r="X338">
        <f>IF($A338="","",Allocation!CE338)</f>
        <v>372308.9706</v>
      </c>
      <c r="Y338">
        <f>IF($A338="","",Allocation!CF338)</f>
        <v>107276.124312</v>
      </c>
      <c r="Z338">
        <f>IF($A338="","",Allocation!CG338)</f>
        <v>29956.35</v>
      </c>
      <c r="AA338">
        <f>IF($A338="","",Allocation!CH338)</f>
        <v>866508.316712</v>
      </c>
      <c r="AB338">
        <f>IF($A338="","",Allocation!CI338)</f>
        <v>3092074.3479</v>
      </c>
      <c r="AC338">
        <f>IF($A338="","",IF(Allocation!$N$4="VOL_EFF",$G338,IF(Allocation!$N$4="VOL_CLASS",$H338,$I338)))</f>
        <v>2</v>
      </c>
      <c r="AD338">
        <f>IF($A338="","",IF(Allocation!$N$4="VOL_EFF",$L338,IF(Allocation!$N$4="VOL_CLASS",$M338,$N338)))</f>
        <v>12</v>
      </c>
      <c r="AE338">
        <f>IF($A338="","",IF(Allocation!$N$3="VOL_EFF",$L338,IF(Allocation!$N$3="VOL_CLASS",$M338,$N338)))</f>
        <v>282.259326</v>
      </c>
      <c r="AF338">
        <f>IF($A338="","",IF(Allocation!$N$3="VOL_EFF",$Q338,IF(Allocation!$N$3="VOL_CLASS",$R338,$S338)))</f>
        <v>1199.348537</v>
      </c>
      <c r="AG338">
        <f>IF($A338="","",IF(Allocation!$N$1="VOL_EFF",$Q338,IF(Allocation!$N$1="VOL_CLASS",$R338,$S338)))</f>
        <v>50</v>
      </c>
      <c r="AH338">
        <f>IF($A338="","",IF(Allocation!$N$1="VOL_EFF",$T338,IF(Allocation!$N$1="VOL_CLASS",$U338,$V338)))</f>
        <v>111</v>
      </c>
      <c r="AI338">
        <f t="shared" si="12"/>
        <v>24181.7212340426</v>
      </c>
      <c r="AJ338">
        <f t="shared" si="13"/>
        <v>63371.7396765957</v>
      </c>
      <c r="AK338">
        <f t="shared" si="14"/>
        <v>21443.1141016862</v>
      </c>
      <c r="AL338">
        <f t="shared" si="15"/>
        <v>144418.052785333</v>
      </c>
      <c r="AM338">
        <f t="shared" si="16"/>
        <v>54632.1879059823</v>
      </c>
      <c r="AN338">
        <f t="shared" si="17"/>
        <v>83887.8985428896</v>
      </c>
      <c r="AO338">
        <f>IF($A338="","",Allocation!CJ338)</f>
        <v>642526.8</v>
      </c>
      <c r="AP338">
        <f>IF($A338="","",IF(Allocation!$N$2="VOL_EFF",$Q338,IF(Allocation!$N$2="VOL_CLASS",$R338,$S338)))</f>
        <v>9397044.3791</v>
      </c>
      <c r="AQ338">
        <f>IF($A338="","",IF(Allocation!$N$2="VOL_EFF",$T338,IF(Allocation!$N$2="VOL_CLASS",$U338,$V338)))</f>
        <v>18970805.476786</v>
      </c>
      <c r="AR338">
        <f t="shared" si="18"/>
        <v>12483.8457534706</v>
      </c>
      <c r="AS338" t="str">
        <f>IF($A338="","",$A338&amp;"|"&amp;Allocation!BG338)</f>
        <v>2027|V03</v>
      </c>
    </row>
    <row r="339" ht="14.497499999999997" customHeight="1">
      <c r="A339" t="str">
        <f>IF(Allocation!BI339="","",Allocation!BI339)</f>
        <v>2027</v>
      </c>
      <c r="B339" t="str">
        <f>IF(Allocation!BJ339="","",Allocation!BJ339)</f>
        <v>MBWAY_NAN</v>
      </c>
      <c r="C339" t="str">
        <f>IF(Allocation!BK339="","",Allocation!BK339)</f>
        <v>MBWAY</v>
      </c>
      <c r="D339" t="str">
        <f>IF(Allocation!BL339="","",Allocation!BL339)</f>
        <v>MAS_MGT</v>
      </c>
      <c r="E339" t="str">
        <f>IF(Allocation!BM339="","",Allocation!BM339)</f>
        <v>M1</v>
      </c>
      <c r="F339" t="str">
        <f>IF(Allocation!BN339="","",Allocation!BN339)</f>
        <v>ALT</v>
      </c>
      <c r="G339">
        <f>IF(Allocation!BO339="","",Allocation!BO339)</f>
        <v>54.406977</v>
      </c>
      <c r="H339">
        <f>IF(Allocation!BP339="","",Allocation!BP339)</f>
        <v>3</v>
      </c>
      <c r="I339">
        <f>IF(Allocation!BQ339="","",Allocation!BQ339)</f>
        <v>422742.21129</v>
      </c>
      <c r="J339">
        <f>IF(Allocation!CC339="","",Allocation!CC339)</f>
        <v>54.406977</v>
      </c>
      <c r="K339">
        <f t="shared" si="0"/>
        <v>1260</v>
      </c>
      <c r="L339">
        <f t="shared" si="1"/>
        <v>282.259326</v>
      </c>
      <c r="M339">
        <f t="shared" si="2"/>
        <v>12</v>
      </c>
      <c r="N339">
        <f t="shared" si="3"/>
        <v>2119379.32302</v>
      </c>
      <c r="O339">
        <f t="shared" si="4"/>
        <v>5640</v>
      </c>
      <c r="P339">
        <f t="shared" si="5"/>
        <v>110.039326</v>
      </c>
      <c r="Q339">
        <f t="shared" si="6"/>
        <v>1199.348537</v>
      </c>
      <c r="R339">
        <f t="shared" si="7"/>
        <v>50</v>
      </c>
      <c r="S339">
        <f t="shared" si="8"/>
        <v>9397044.3791</v>
      </c>
      <c r="T339">
        <f t="shared" si="9"/>
        <v>2494.334349</v>
      </c>
      <c r="U339">
        <f t="shared" si="10"/>
        <v>111</v>
      </c>
      <c r="V339">
        <f t="shared" si="11"/>
        <v>18970805.476786</v>
      </c>
      <c r="W339">
        <f>IF($A339="","",Allocation!CD339)</f>
        <v>142067.61225</v>
      </c>
      <c r="X339">
        <f>IF($A339="","",Allocation!CE339)</f>
        <v>372308.9706</v>
      </c>
      <c r="Y339">
        <f>IF($A339="","",Allocation!CF339)</f>
        <v>107276.124312</v>
      </c>
      <c r="Z339">
        <f>IF($A339="","",Allocation!CG339)</f>
        <v>29956.35</v>
      </c>
      <c r="AA339">
        <f>IF($A339="","",Allocation!CH339)</f>
        <v>866508.316712</v>
      </c>
      <c r="AB339">
        <f>IF($A339="","",Allocation!CI339)</f>
        <v>3092074.3479</v>
      </c>
      <c r="AC339">
        <f>IF($A339="","",IF(Allocation!$N$4="VOL_EFF",$G339,IF(Allocation!$N$4="VOL_CLASS",$H339,$I339)))</f>
        <v>3</v>
      </c>
      <c r="AD339">
        <f>IF($A339="","",IF(Allocation!$N$4="VOL_EFF",$L339,IF(Allocation!$N$4="VOL_CLASS",$M339,$N339)))</f>
        <v>12</v>
      </c>
      <c r="AE339">
        <f>IF($A339="","",IF(Allocation!$N$3="VOL_EFF",$L339,IF(Allocation!$N$3="VOL_CLASS",$M339,$N339)))</f>
        <v>282.259326</v>
      </c>
      <c r="AF339">
        <f>IF($A339="","",IF(Allocation!$N$3="VOL_EFF",$Q339,IF(Allocation!$N$3="VOL_CLASS",$R339,$S339)))</f>
        <v>1199.348537</v>
      </c>
      <c r="AG339">
        <f>IF($A339="","",IF(Allocation!$N$1="VOL_EFF",$Q339,IF(Allocation!$N$1="VOL_CLASS",$R339,$S339)))</f>
        <v>50</v>
      </c>
      <c r="AH339">
        <f>IF($A339="","",IF(Allocation!$N$1="VOL_EFF",$T339,IF(Allocation!$N$1="VOL_CLASS",$U339,$V339)))</f>
        <v>111</v>
      </c>
      <c r="AI339">
        <f t="shared" si="12"/>
        <v>31738.5091196808</v>
      </c>
      <c r="AJ339">
        <f t="shared" si="13"/>
        <v>83175.4083255319</v>
      </c>
      <c r="AK339">
        <f t="shared" si="14"/>
        <v>35489.4215544841</v>
      </c>
      <c r="AL339">
        <f t="shared" si="15"/>
        <v>216627.079178</v>
      </c>
      <c r="AM339">
        <f t="shared" si="16"/>
        <v>81948.2818589734</v>
      </c>
      <c r="AN339">
        <f t="shared" si="17"/>
        <v>-44962.257376876</v>
      </c>
      <c r="AO339">
        <f>IF($A339="","",Allocation!CJ339)</f>
        <v>642526.8</v>
      </c>
      <c r="AP339">
        <f>IF($A339="","",IF(Allocation!$N$2="VOL_EFF",$Q339,IF(Allocation!$N$2="VOL_CLASS",$R339,$S339)))</f>
        <v>9397044.3791</v>
      </c>
      <c r="AQ339">
        <f>IF($A339="","",IF(Allocation!$N$2="VOL_EFF",$T339,IF(Allocation!$N$2="VOL_CLASS",$U339,$V339)))</f>
        <v>18970805.476786</v>
      </c>
      <c r="AR339">
        <f t="shared" si="18"/>
        <v>18725.7686302059</v>
      </c>
      <c r="AS339" t="str">
        <f>IF($A339="","",$A339&amp;"|"&amp;Allocation!BG339)</f>
        <v>2027|V03</v>
      </c>
    </row>
    <row r="340" ht="14.497499999999997" customHeight="1">
      <c r="A340" t="str">
        <f>IF(Allocation!BI340="","",Allocation!BI340)</f>
        <v>2027</v>
      </c>
      <c r="B340" t="str">
        <f>IF(Allocation!BJ340="","",Allocation!BJ340)</f>
        <v>MBWAY_NAN</v>
      </c>
      <c r="C340" t="str">
        <f>IF(Allocation!BK340="","",Allocation!BK340)</f>
        <v>MBWAY</v>
      </c>
      <c r="D340" t="str">
        <f>IF(Allocation!BL340="","",Allocation!BL340)</f>
        <v>MAS_MGT</v>
      </c>
      <c r="E340" t="str">
        <f>IF(Allocation!BM340="","",Allocation!BM340)</f>
        <v>M2</v>
      </c>
      <c r="F340" t="str">
        <f>IF(Allocation!BN340="","",Allocation!BN340)</f>
        <v>ALT</v>
      </c>
      <c r="G340">
        <f>IF(Allocation!BO340="","",Allocation!BO340)</f>
        <v>58.4</v>
      </c>
      <c r="H340">
        <f>IF(Allocation!BP340="","",Allocation!BP340)</f>
        <v>3</v>
      </c>
      <c r="I340">
        <f>IF(Allocation!BQ340="","",Allocation!BQ340)</f>
        <v>448512</v>
      </c>
      <c r="J340">
        <f>IF(Allocation!CC340="","",Allocation!CC340)</f>
        <v>0</v>
      </c>
      <c r="K340">
        <f t="shared" si="0"/>
        <v>1260</v>
      </c>
      <c r="L340">
        <f t="shared" si="1"/>
        <v>282.259326</v>
      </c>
      <c r="M340">
        <f t="shared" si="2"/>
        <v>12</v>
      </c>
      <c r="N340">
        <f t="shared" si="3"/>
        <v>2119379.32302</v>
      </c>
      <c r="O340">
        <f t="shared" si="4"/>
        <v>5640</v>
      </c>
      <c r="P340">
        <f t="shared" si="5"/>
        <v>110.039326</v>
      </c>
      <c r="Q340">
        <f t="shared" si="6"/>
        <v>1199.348537</v>
      </c>
      <c r="R340">
        <f t="shared" si="7"/>
        <v>50</v>
      </c>
      <c r="S340">
        <f t="shared" si="8"/>
        <v>9397044.3791</v>
      </c>
      <c r="T340">
        <f t="shared" si="9"/>
        <v>2494.334349</v>
      </c>
      <c r="U340">
        <f t="shared" si="10"/>
        <v>111</v>
      </c>
      <c r="V340">
        <f t="shared" si="11"/>
        <v>18970805.476786</v>
      </c>
      <c r="W340">
        <f>IF($A340="","",Allocation!CD340)</f>
        <v>142067.61225</v>
      </c>
      <c r="X340">
        <f>IF($A340="","",Allocation!CE340)</f>
        <v>372308.9706</v>
      </c>
      <c r="Y340">
        <f>IF($A340="","",Allocation!CF340)</f>
        <v>107276.124312</v>
      </c>
      <c r="Z340">
        <f>IF($A340="","",Allocation!CG340)</f>
        <v>29956.35</v>
      </c>
      <c r="AA340">
        <f>IF($A340="","",Allocation!CH340)</f>
        <v>866508.316712</v>
      </c>
      <c r="AB340">
        <f>IF($A340="","",Allocation!CI340)</f>
        <v>3092074.3479</v>
      </c>
      <c r="AC340">
        <f>IF($A340="","",IF(Allocation!$N$4="VOL_EFF",$G340,IF(Allocation!$N$4="VOL_CLASS",$H340,$I340)))</f>
        <v>3</v>
      </c>
      <c r="AD340">
        <f>IF($A340="","",IF(Allocation!$N$4="VOL_EFF",$L340,IF(Allocation!$N$4="VOL_CLASS",$M340,$N340)))</f>
        <v>12</v>
      </c>
      <c r="AE340">
        <f>IF($A340="","",IF(Allocation!$N$3="VOL_EFF",$L340,IF(Allocation!$N$3="VOL_CLASS",$M340,$N340)))</f>
        <v>282.259326</v>
      </c>
      <c r="AF340">
        <f>IF($A340="","",IF(Allocation!$N$3="VOL_EFF",$Q340,IF(Allocation!$N$3="VOL_CLASS",$R340,$S340)))</f>
        <v>1199.348537</v>
      </c>
      <c r="AG340">
        <f>IF($A340="","",IF(Allocation!$N$1="VOL_EFF",$Q340,IF(Allocation!$N$1="VOL_CLASS",$R340,$S340)))</f>
        <v>50</v>
      </c>
      <c r="AH340">
        <f>IF($A340="","",IF(Allocation!$N$1="VOL_EFF",$T340,IF(Allocation!$N$1="VOL_CLASS",$U340,$V340)))</f>
        <v>111</v>
      </c>
      <c r="AI340">
        <f t="shared" si="12"/>
        <v>31738.5091196808</v>
      </c>
      <c r="AJ340">
        <f t="shared" si="13"/>
        <v>83175.4083255319</v>
      </c>
      <c r="AK340">
        <f t="shared" si="14"/>
        <v>22195.637425354</v>
      </c>
      <c r="AL340">
        <f t="shared" si="15"/>
        <v>216627.079178</v>
      </c>
      <c r="AM340">
        <f t="shared" si="16"/>
        <v>81948.2818589734</v>
      </c>
      <c r="AN340">
        <f t="shared" si="17"/>
        <v>-5898.68453774595</v>
      </c>
      <c r="AO340">
        <f>IF($A340="","",Allocation!CJ340)</f>
        <v>642526.8</v>
      </c>
      <c r="AP340">
        <f>IF($A340="","",IF(Allocation!$N$2="VOL_EFF",$Q340,IF(Allocation!$N$2="VOL_CLASS",$R340,$S340)))</f>
        <v>9397044.3791</v>
      </c>
      <c r="AQ340">
        <f>IF($A340="","",IF(Allocation!$N$2="VOL_EFF",$T340,IF(Allocation!$N$2="VOL_CLASS",$U340,$V340)))</f>
        <v>18970805.476786</v>
      </c>
      <c r="AR340">
        <f t="shared" si="18"/>
        <v>18725.7686302059</v>
      </c>
      <c r="AS340" t="str">
        <f>IF($A340="","",$A340&amp;"|"&amp;Allocation!BG340)</f>
        <v>2027|V03</v>
      </c>
    </row>
    <row r="341" ht="14.497499999999997" customHeight="1">
      <c r="A341" t="str">
        <f>IF(Allocation!BI341="","",Allocation!BI341)</f>
        <v>2027</v>
      </c>
      <c r="B341" t="str">
        <f>IF(Allocation!BJ341="","",Allocation!BJ341)</f>
        <v>MBWAY_PAR</v>
      </c>
      <c r="C341" t="str">
        <f>IF(Allocation!BK341="","",Allocation!BK341)</f>
        <v>MBWAY</v>
      </c>
      <c r="D341" t="str">
        <f>IF(Allocation!BL341="","",Allocation!BL341)</f>
        <v>BAC_MGT</v>
      </c>
      <c r="E341" t="str">
        <f>IF(Allocation!BM341="","",Allocation!BM341)</f>
        <v>B1</v>
      </c>
      <c r="F341" t="str">
        <f>IF(Allocation!BN341="","",Allocation!BN341)</f>
        <v>INIT</v>
      </c>
      <c r="G341">
        <f>IF(Allocation!BO341="","",Allocation!BO341)</f>
        <v>72.432654</v>
      </c>
      <c r="H341">
        <f>IF(Allocation!BP341="","",Allocation!BP341)</f>
        <v>3</v>
      </c>
      <c r="I341">
        <f>IF(Allocation!BQ341="","",Allocation!BQ341)</f>
        <v>629555.655506</v>
      </c>
      <c r="J341">
        <f>IF(Allocation!CC341="","",Allocation!CC341)</f>
        <v>72.432654</v>
      </c>
      <c r="K341">
        <f t="shared" si="0"/>
        <v>1800</v>
      </c>
      <c r="L341">
        <f t="shared" si="1"/>
        <v>366.949483</v>
      </c>
      <c r="M341">
        <f t="shared" si="2"/>
        <v>15</v>
      </c>
      <c r="N341">
        <f t="shared" si="3"/>
        <v>3084114.024042</v>
      </c>
      <c r="O341">
        <f t="shared" si="4"/>
        <v>7200</v>
      </c>
      <c r="P341">
        <f t="shared" si="5"/>
        <v>143.269483</v>
      </c>
      <c r="Q341">
        <f t="shared" si="6"/>
        <v>1199.348537</v>
      </c>
      <c r="R341">
        <f t="shared" si="7"/>
        <v>50</v>
      </c>
      <c r="S341">
        <f t="shared" si="8"/>
        <v>9397044.3791</v>
      </c>
      <c r="T341">
        <f t="shared" si="9"/>
        <v>2494.334349</v>
      </c>
      <c r="U341">
        <f t="shared" si="10"/>
        <v>111</v>
      </c>
      <c r="V341">
        <f t="shared" si="11"/>
        <v>18970805.476786</v>
      </c>
      <c r="W341">
        <f>IF($A341="","",Allocation!CD341)</f>
        <v>177584.760468</v>
      </c>
      <c r="X341">
        <f>IF($A341="","",Allocation!CE341)</f>
        <v>542981.09124</v>
      </c>
      <c r="Y341">
        <f>IF($A341="","",Allocation!CF341)</f>
        <v>139385.61108</v>
      </c>
      <c r="Z341">
        <f>IF($A341="","",Allocation!CG341)</f>
        <v>64876.45</v>
      </c>
      <c r="AA341">
        <f>IF($A341="","",Allocation!CH341)</f>
        <v>1297410.844061</v>
      </c>
      <c r="AB341">
        <f>IF($A341="","",Allocation!CI341)</f>
        <v>3092074.3479</v>
      </c>
      <c r="AC341">
        <f>IF($A341="","",IF(Allocation!$N$4="VOL_EFF",$G341,IF(Allocation!$N$4="VOL_CLASS",$H341,$I341)))</f>
        <v>3</v>
      </c>
      <c r="AD341">
        <f>IF($A341="","",IF(Allocation!$N$4="VOL_EFF",$L341,IF(Allocation!$N$4="VOL_CLASS",$M341,$N341)))</f>
        <v>15</v>
      </c>
      <c r="AE341">
        <f>IF($A341="","",IF(Allocation!$N$3="VOL_EFF",$L341,IF(Allocation!$N$3="VOL_CLASS",$M341,$N341)))</f>
        <v>366.949483</v>
      </c>
      <c r="AF341">
        <f>IF($A341="","",IF(Allocation!$N$3="VOL_EFF",$Q341,IF(Allocation!$N$3="VOL_CLASS",$R341,$S341)))</f>
        <v>1199.348537</v>
      </c>
      <c r="AG341">
        <f>IF($A341="","",IF(Allocation!$N$1="VOL_EFF",$Q341,IF(Allocation!$N$1="VOL_CLASS",$R341,$S341)))</f>
        <v>50</v>
      </c>
      <c r="AH341">
        <f>IF($A341="","",IF(Allocation!$N$1="VOL_EFF",$T341,IF(Allocation!$N$1="VOL_CLASS",$U341,$V341)))</f>
        <v>111</v>
      </c>
      <c r="AI341">
        <f t="shared" si="12"/>
        <v>44396.190117</v>
      </c>
      <c r="AJ341">
        <f t="shared" si="13"/>
        <v>135745.27281</v>
      </c>
      <c r="AK341">
        <f t="shared" si="14"/>
        <v>60313.0562195191</v>
      </c>
      <c r="AL341">
        <f t="shared" si="15"/>
        <v>259482.1688122</v>
      </c>
      <c r="AM341">
        <f t="shared" si="16"/>
        <v>85229.0837281701</v>
      </c>
      <c r="AN341">
        <f t="shared" si="17"/>
        <v>24914.4284922411</v>
      </c>
      <c r="AO341">
        <f>IF($A341="","",Allocation!CJ341)</f>
        <v>642526.8</v>
      </c>
      <c r="AP341">
        <f>IF($A341="","",IF(Allocation!$N$2="VOL_EFF",$Q341,IF(Allocation!$N$2="VOL_CLASS",$R341,$S341)))</f>
        <v>9397044.3791</v>
      </c>
      <c r="AQ341">
        <f>IF($A341="","",IF(Allocation!$N$2="VOL_EFF",$T341,IF(Allocation!$N$2="VOL_CLASS",$U341,$V341)))</f>
        <v>18970805.476786</v>
      </c>
      <c r="AR341">
        <f t="shared" si="18"/>
        <v>19475.4553268697</v>
      </c>
      <c r="AS341" t="str">
        <f>IF($A341="","",$A341&amp;"|"&amp;Allocation!BG341)</f>
        <v>2027|V03</v>
      </c>
    </row>
    <row r="342" ht="14.497499999999997" customHeight="1">
      <c r="A342" t="str">
        <f>IF(Allocation!BI342="","",Allocation!BI342)</f>
        <v>2027</v>
      </c>
      <c r="B342" t="str">
        <f>IF(Allocation!BJ342="","",Allocation!BJ342)</f>
        <v>MBWAY_PAR</v>
      </c>
      <c r="C342" t="str">
        <f>IF(Allocation!BK342="","",Allocation!BK342)</f>
        <v>MBWAY</v>
      </c>
      <c r="D342" t="str">
        <f>IF(Allocation!BL342="","",Allocation!BL342)</f>
        <v>BAC_MGT</v>
      </c>
      <c r="E342" t="str">
        <f>IF(Allocation!BM342="","",Allocation!BM342)</f>
        <v>B2</v>
      </c>
      <c r="F342" t="str">
        <f>IF(Allocation!BN342="","",Allocation!BN342)</f>
        <v>ALT</v>
      </c>
      <c r="G342">
        <f>IF(Allocation!BO342="","",Allocation!BO342)</f>
        <v>75.22</v>
      </c>
      <c r="H342">
        <f>IF(Allocation!BP342="","",Allocation!BP342)</f>
        <v>3</v>
      </c>
      <c r="I342">
        <f>IF(Allocation!BQ342="","",Allocation!BQ342)</f>
        <v>603878.1952</v>
      </c>
      <c r="J342">
        <f>IF(Allocation!CC342="","",Allocation!CC342)</f>
        <v>0</v>
      </c>
      <c r="K342">
        <f t="shared" si="0"/>
        <v>1440</v>
      </c>
      <c r="L342">
        <f t="shared" si="1"/>
        <v>366.949483</v>
      </c>
      <c r="M342">
        <f t="shared" si="2"/>
        <v>15</v>
      </c>
      <c r="N342">
        <f t="shared" si="3"/>
        <v>3084114.024042</v>
      </c>
      <c r="O342">
        <f t="shared" si="4"/>
        <v>7200</v>
      </c>
      <c r="P342">
        <f t="shared" si="5"/>
        <v>143.269483</v>
      </c>
      <c r="Q342">
        <f t="shared" si="6"/>
        <v>1199.348537</v>
      </c>
      <c r="R342">
        <f t="shared" si="7"/>
        <v>50</v>
      </c>
      <c r="S342">
        <f t="shared" si="8"/>
        <v>9397044.3791</v>
      </c>
      <c r="T342">
        <f t="shared" si="9"/>
        <v>2494.334349</v>
      </c>
      <c r="U342">
        <f t="shared" si="10"/>
        <v>111</v>
      </c>
      <c r="V342">
        <f t="shared" si="11"/>
        <v>18970805.476786</v>
      </c>
      <c r="W342">
        <f>IF($A342="","",Allocation!CD342)</f>
        <v>177584.760468</v>
      </c>
      <c r="X342">
        <f>IF($A342="","",Allocation!CE342)</f>
        <v>542981.09124</v>
      </c>
      <c r="Y342">
        <f>IF($A342="","",Allocation!CF342)</f>
        <v>139385.61108</v>
      </c>
      <c r="Z342">
        <f>IF($A342="","",Allocation!CG342)</f>
        <v>64876.45</v>
      </c>
      <c r="AA342">
        <f>IF($A342="","",Allocation!CH342)</f>
        <v>1297410.844061</v>
      </c>
      <c r="AB342">
        <f>IF($A342="","",Allocation!CI342)</f>
        <v>3092074.3479</v>
      </c>
      <c r="AC342">
        <f>IF($A342="","",IF(Allocation!$N$4="VOL_EFF",$G342,IF(Allocation!$N$4="VOL_CLASS",$H342,$I342)))</f>
        <v>3</v>
      </c>
      <c r="AD342">
        <f>IF($A342="","",IF(Allocation!$N$4="VOL_EFF",$L342,IF(Allocation!$N$4="VOL_CLASS",$M342,$N342)))</f>
        <v>15</v>
      </c>
      <c r="AE342">
        <f>IF($A342="","",IF(Allocation!$N$3="VOL_EFF",$L342,IF(Allocation!$N$3="VOL_CLASS",$M342,$N342)))</f>
        <v>366.949483</v>
      </c>
      <c r="AF342">
        <f>IF($A342="","",IF(Allocation!$N$3="VOL_EFF",$Q342,IF(Allocation!$N$3="VOL_CLASS",$R342,$S342)))</f>
        <v>1199.348537</v>
      </c>
      <c r="AG342">
        <f>IF($A342="","",IF(Allocation!$N$1="VOL_EFF",$Q342,IF(Allocation!$N$1="VOL_CLASS",$R342,$S342)))</f>
        <v>50</v>
      </c>
      <c r="AH342">
        <f>IF($A342="","",IF(Allocation!$N$1="VOL_EFF",$T342,IF(Allocation!$N$1="VOL_CLASS",$U342,$V342)))</f>
        <v>111</v>
      </c>
      <c r="AI342">
        <f t="shared" si="12"/>
        <v>35516.9520936</v>
      </c>
      <c r="AJ342">
        <f t="shared" si="13"/>
        <v>108596.218248</v>
      </c>
      <c r="AK342">
        <f t="shared" si="14"/>
        <v>28572.2862442011</v>
      </c>
      <c r="AL342">
        <f t="shared" si="15"/>
        <v>259482.1688122</v>
      </c>
      <c r="AM342">
        <f t="shared" si="16"/>
        <v>85229.0837281701</v>
      </c>
      <c r="AN342">
        <f t="shared" si="17"/>
        <v>67006.0307469591</v>
      </c>
      <c r="AO342">
        <f>IF($A342="","",Allocation!CJ342)</f>
        <v>642526.8</v>
      </c>
      <c r="AP342">
        <f>IF($A342="","",IF(Allocation!$N$2="VOL_EFF",$Q342,IF(Allocation!$N$2="VOL_CLASS",$R342,$S342)))</f>
        <v>9397044.3791</v>
      </c>
      <c r="AQ342">
        <f>IF($A342="","",IF(Allocation!$N$2="VOL_EFF",$T342,IF(Allocation!$N$2="VOL_CLASS",$U342,$V342)))</f>
        <v>18970805.476786</v>
      </c>
      <c r="AR342">
        <f t="shared" si="18"/>
        <v>19475.4553268697</v>
      </c>
      <c r="AS342" t="str">
        <f>IF($A342="","",$A342&amp;"|"&amp;Allocation!BG342)</f>
        <v>2027|V03</v>
      </c>
    </row>
    <row r="343" ht="14.497499999999997" customHeight="1">
      <c r="A343" t="str">
        <f>IF(Allocation!BI343="","",Allocation!BI343)</f>
        <v>2027</v>
      </c>
      <c r="B343" t="str">
        <f>IF(Allocation!BJ343="","",Allocation!BJ343)</f>
        <v>MBWAY_PAR</v>
      </c>
      <c r="C343" t="str">
        <f>IF(Allocation!BK343="","",Allocation!BK343)</f>
        <v>MBWAY</v>
      </c>
      <c r="D343" t="str">
        <f>IF(Allocation!BL343="","",Allocation!BL343)</f>
        <v>BAC_MGT</v>
      </c>
      <c r="E343" t="str">
        <f>IF(Allocation!BM343="","",Allocation!BM343)</f>
        <v>B3</v>
      </c>
      <c r="F343" t="str">
        <f>IF(Allocation!BN343="","",Allocation!BN343)</f>
        <v>ALT</v>
      </c>
      <c r="G343">
        <f>IF(Allocation!BO343="","",Allocation!BO343)</f>
        <v>73.24</v>
      </c>
      <c r="H343">
        <f>IF(Allocation!BP343="","",Allocation!BP343)</f>
        <v>3</v>
      </c>
      <c r="I343">
        <f>IF(Allocation!BQ343="","",Allocation!BQ343)</f>
        <v>587982.4384</v>
      </c>
      <c r="J343">
        <f>IF(Allocation!CC343="","",Allocation!CC343)</f>
        <v>0</v>
      </c>
      <c r="K343">
        <f t="shared" si="0"/>
        <v>1440</v>
      </c>
      <c r="L343">
        <f t="shared" si="1"/>
        <v>366.949483</v>
      </c>
      <c r="M343">
        <f t="shared" si="2"/>
        <v>15</v>
      </c>
      <c r="N343">
        <f t="shared" si="3"/>
        <v>3084114.024042</v>
      </c>
      <c r="O343">
        <f t="shared" si="4"/>
        <v>7200</v>
      </c>
      <c r="P343">
        <f t="shared" si="5"/>
        <v>143.269483</v>
      </c>
      <c r="Q343">
        <f t="shared" si="6"/>
        <v>1199.348537</v>
      </c>
      <c r="R343">
        <f t="shared" si="7"/>
        <v>50</v>
      </c>
      <c r="S343">
        <f t="shared" si="8"/>
        <v>9397044.3791</v>
      </c>
      <c r="T343">
        <f t="shared" si="9"/>
        <v>2494.334349</v>
      </c>
      <c r="U343">
        <f t="shared" si="10"/>
        <v>111</v>
      </c>
      <c r="V343">
        <f t="shared" si="11"/>
        <v>18970805.476786</v>
      </c>
      <c r="W343">
        <f>IF($A343="","",Allocation!CD343)</f>
        <v>177584.760468</v>
      </c>
      <c r="X343">
        <f>IF($A343="","",Allocation!CE343)</f>
        <v>542981.09124</v>
      </c>
      <c r="Y343">
        <f>IF($A343="","",Allocation!CF343)</f>
        <v>139385.61108</v>
      </c>
      <c r="Z343">
        <f>IF($A343="","",Allocation!CG343)</f>
        <v>64876.45</v>
      </c>
      <c r="AA343">
        <f>IF($A343="","",Allocation!CH343)</f>
        <v>1297410.844061</v>
      </c>
      <c r="AB343">
        <f>IF($A343="","",Allocation!CI343)</f>
        <v>3092074.3479</v>
      </c>
      <c r="AC343">
        <f>IF($A343="","",IF(Allocation!$N$4="VOL_EFF",$G343,IF(Allocation!$N$4="VOL_CLASS",$H343,$I343)))</f>
        <v>3</v>
      </c>
      <c r="AD343">
        <f>IF($A343="","",IF(Allocation!$N$4="VOL_EFF",$L343,IF(Allocation!$N$4="VOL_CLASS",$M343,$N343)))</f>
        <v>15</v>
      </c>
      <c r="AE343">
        <f>IF($A343="","",IF(Allocation!$N$3="VOL_EFF",$L343,IF(Allocation!$N$3="VOL_CLASS",$M343,$N343)))</f>
        <v>366.949483</v>
      </c>
      <c r="AF343">
        <f>IF($A343="","",IF(Allocation!$N$3="VOL_EFF",$Q343,IF(Allocation!$N$3="VOL_CLASS",$R343,$S343)))</f>
        <v>1199.348537</v>
      </c>
      <c r="AG343">
        <f>IF($A343="","",IF(Allocation!$N$1="VOL_EFF",$Q343,IF(Allocation!$N$1="VOL_CLASS",$R343,$S343)))</f>
        <v>50</v>
      </c>
      <c r="AH343">
        <f>IF($A343="","",IF(Allocation!$N$1="VOL_EFF",$T343,IF(Allocation!$N$1="VOL_CLASS",$U343,$V343)))</f>
        <v>111</v>
      </c>
      <c r="AI343">
        <f t="shared" si="12"/>
        <v>35516.9520936</v>
      </c>
      <c r="AJ343">
        <f t="shared" si="13"/>
        <v>108596.218248</v>
      </c>
      <c r="AK343">
        <f t="shared" si="14"/>
        <v>27820.1840537794</v>
      </c>
      <c r="AL343">
        <f t="shared" si="15"/>
        <v>259482.1688122</v>
      </c>
      <c r="AM343">
        <f t="shared" si="16"/>
        <v>85229.0837281701</v>
      </c>
      <c r="AN343">
        <f t="shared" si="17"/>
        <v>51862.3761373808</v>
      </c>
      <c r="AO343">
        <f>IF($A343="","",Allocation!CJ343)</f>
        <v>642526.8</v>
      </c>
      <c r="AP343">
        <f>IF($A343="","",IF(Allocation!$N$2="VOL_EFF",$Q343,IF(Allocation!$N$2="VOL_CLASS",$R343,$S343)))</f>
        <v>9397044.3791</v>
      </c>
      <c r="AQ343">
        <f>IF($A343="","",IF(Allocation!$N$2="VOL_EFF",$T343,IF(Allocation!$N$2="VOL_CLASS",$U343,$V343)))</f>
        <v>18970805.476786</v>
      </c>
      <c r="AR343">
        <f t="shared" si="18"/>
        <v>19475.4553268697</v>
      </c>
      <c r="AS343" t="str">
        <f>IF($A343="","",$A343&amp;"|"&amp;Allocation!BG343)</f>
        <v>2027|V03</v>
      </c>
    </row>
    <row r="344" ht="14.497499999999997" customHeight="1">
      <c r="A344" t="str">
        <f>IF(Allocation!BI344="","",Allocation!BI344)</f>
        <v>2027</v>
      </c>
      <c r="B344" t="str">
        <f>IF(Allocation!BJ344="","",Allocation!BJ344)</f>
        <v>MBWAY_PAR</v>
      </c>
      <c r="C344" t="str">
        <f>IF(Allocation!BK344="","",Allocation!BK344)</f>
        <v>MBWAY</v>
      </c>
      <c r="D344" t="str">
        <f>IF(Allocation!BL344="","",Allocation!BL344)</f>
        <v>MAS_MGT</v>
      </c>
      <c r="E344" t="str">
        <f>IF(Allocation!BM344="","",Allocation!BM344)</f>
        <v>M1</v>
      </c>
      <c r="F344" t="str">
        <f>IF(Allocation!BN344="","",Allocation!BN344)</f>
        <v>ALT</v>
      </c>
      <c r="G344">
        <f>IF(Allocation!BO344="","",Allocation!BO344)</f>
        <v>70.836829</v>
      </c>
      <c r="H344">
        <f>IF(Allocation!BP344="","",Allocation!BP344)</f>
        <v>3</v>
      </c>
      <c r="I344">
        <f>IF(Allocation!BQ344="","",Allocation!BQ344)</f>
        <v>615685.382936</v>
      </c>
      <c r="J344">
        <f>IF(Allocation!CC344="","",Allocation!CC344)</f>
        <v>70.836829</v>
      </c>
      <c r="K344">
        <f t="shared" si="0"/>
        <v>1260</v>
      </c>
      <c r="L344">
        <f t="shared" si="1"/>
        <v>366.949483</v>
      </c>
      <c r="M344">
        <f t="shared" si="2"/>
        <v>15</v>
      </c>
      <c r="N344">
        <f t="shared" si="3"/>
        <v>3084114.024042</v>
      </c>
      <c r="O344">
        <f t="shared" si="4"/>
        <v>7200</v>
      </c>
      <c r="P344">
        <f t="shared" si="5"/>
        <v>143.269483</v>
      </c>
      <c r="Q344">
        <f t="shared" si="6"/>
        <v>1199.348537</v>
      </c>
      <c r="R344">
        <f t="shared" si="7"/>
        <v>50</v>
      </c>
      <c r="S344">
        <f t="shared" si="8"/>
        <v>9397044.3791</v>
      </c>
      <c r="T344">
        <f t="shared" si="9"/>
        <v>2494.334349</v>
      </c>
      <c r="U344">
        <f t="shared" si="10"/>
        <v>111</v>
      </c>
      <c r="V344">
        <f t="shared" si="11"/>
        <v>18970805.476786</v>
      </c>
      <c r="W344">
        <f>IF($A344="","",Allocation!CD344)</f>
        <v>177584.760468</v>
      </c>
      <c r="X344">
        <f>IF($A344="","",Allocation!CE344)</f>
        <v>542981.09124</v>
      </c>
      <c r="Y344">
        <f>IF($A344="","",Allocation!CF344)</f>
        <v>139385.61108</v>
      </c>
      <c r="Z344">
        <f>IF($A344="","",Allocation!CG344)</f>
        <v>64876.45</v>
      </c>
      <c r="AA344">
        <f>IF($A344="","",Allocation!CH344)</f>
        <v>1297410.844061</v>
      </c>
      <c r="AB344">
        <f>IF($A344="","",Allocation!CI344)</f>
        <v>3092074.3479</v>
      </c>
      <c r="AC344">
        <f>IF($A344="","",IF(Allocation!$N$4="VOL_EFF",$G344,IF(Allocation!$N$4="VOL_CLASS",$H344,$I344)))</f>
        <v>3</v>
      </c>
      <c r="AD344">
        <f>IF($A344="","",IF(Allocation!$N$4="VOL_EFF",$L344,IF(Allocation!$N$4="VOL_CLASS",$M344,$N344)))</f>
        <v>15</v>
      </c>
      <c r="AE344">
        <f>IF($A344="","",IF(Allocation!$N$3="VOL_EFF",$L344,IF(Allocation!$N$3="VOL_CLASS",$M344,$N344)))</f>
        <v>366.949483</v>
      </c>
      <c r="AF344">
        <f>IF($A344="","",IF(Allocation!$N$3="VOL_EFF",$Q344,IF(Allocation!$N$3="VOL_CLASS",$R344,$S344)))</f>
        <v>1199.348537</v>
      </c>
      <c r="AG344">
        <f>IF($A344="","",IF(Allocation!$N$1="VOL_EFF",$Q344,IF(Allocation!$N$1="VOL_CLASS",$R344,$S344)))</f>
        <v>50</v>
      </c>
      <c r="AH344">
        <f>IF($A344="","",IF(Allocation!$N$1="VOL_EFF",$T344,IF(Allocation!$N$1="VOL_CLASS",$U344,$V344)))</f>
        <v>111</v>
      </c>
      <c r="AI344">
        <f t="shared" si="12"/>
        <v>31077.3330819</v>
      </c>
      <c r="AJ344">
        <f t="shared" si="13"/>
        <v>95021.690967</v>
      </c>
      <c r="AK344">
        <f t="shared" si="14"/>
        <v>58984.2483182993</v>
      </c>
      <c r="AL344">
        <f t="shared" si="15"/>
        <v>259482.1688122</v>
      </c>
      <c r="AM344">
        <f t="shared" si="16"/>
        <v>85229.0837281701</v>
      </c>
      <c r="AN344">
        <f t="shared" si="17"/>
        <v>66415.4027015609</v>
      </c>
      <c r="AO344">
        <f>IF($A344="","",Allocation!CJ344)</f>
        <v>642526.8</v>
      </c>
      <c r="AP344">
        <f>IF($A344="","",IF(Allocation!$N$2="VOL_EFF",$Q344,IF(Allocation!$N$2="VOL_CLASS",$R344,$S344)))</f>
        <v>9397044.3791</v>
      </c>
      <c r="AQ344">
        <f>IF($A344="","",IF(Allocation!$N$2="VOL_EFF",$T344,IF(Allocation!$N$2="VOL_CLASS",$U344,$V344)))</f>
        <v>18970805.476786</v>
      </c>
      <c r="AR344">
        <f t="shared" si="18"/>
        <v>19475.4553268697</v>
      </c>
      <c r="AS344" t="str">
        <f>IF($A344="","",$A344&amp;"|"&amp;Allocation!BG344)</f>
        <v>2027|V03</v>
      </c>
    </row>
    <row r="345" ht="14.497499999999997" customHeight="1">
      <c r="A345" t="str">
        <f>IF(Allocation!BI345="","",Allocation!BI345)</f>
        <v>2027</v>
      </c>
      <c r="B345" t="str">
        <f>IF(Allocation!BJ345="","",Allocation!BJ345)</f>
        <v>MBWAY_PAR</v>
      </c>
      <c r="C345" t="str">
        <f>IF(Allocation!BK345="","",Allocation!BK345)</f>
        <v>MBWAY</v>
      </c>
      <c r="D345" t="str">
        <f>IF(Allocation!BL345="","",Allocation!BL345)</f>
        <v>MAS_MGT</v>
      </c>
      <c r="E345" t="str">
        <f>IF(Allocation!BM345="","",Allocation!BM345)</f>
        <v>M2</v>
      </c>
      <c r="F345" t="str">
        <f>IF(Allocation!BN345="","",Allocation!BN345)</f>
        <v>ALT</v>
      </c>
      <c r="G345">
        <f>IF(Allocation!BO345="","",Allocation!BO345)</f>
        <v>75.22</v>
      </c>
      <c r="H345">
        <f>IF(Allocation!BP345="","",Allocation!BP345)</f>
        <v>3</v>
      </c>
      <c r="I345">
        <f>IF(Allocation!BQ345="","",Allocation!BQ345)</f>
        <v>647012.352</v>
      </c>
      <c r="J345">
        <f>IF(Allocation!CC345="","",Allocation!CC345)</f>
        <v>0</v>
      </c>
      <c r="K345">
        <f t="shared" si="0"/>
        <v>1260</v>
      </c>
      <c r="L345">
        <f t="shared" si="1"/>
        <v>366.949483</v>
      </c>
      <c r="M345">
        <f t="shared" si="2"/>
        <v>15</v>
      </c>
      <c r="N345">
        <f t="shared" si="3"/>
        <v>3084114.024042</v>
      </c>
      <c r="O345">
        <f t="shared" si="4"/>
        <v>7200</v>
      </c>
      <c r="P345">
        <f t="shared" si="5"/>
        <v>143.269483</v>
      </c>
      <c r="Q345">
        <f t="shared" si="6"/>
        <v>1199.348537</v>
      </c>
      <c r="R345">
        <f t="shared" si="7"/>
        <v>50</v>
      </c>
      <c r="S345">
        <f t="shared" si="8"/>
        <v>9397044.3791</v>
      </c>
      <c r="T345">
        <f t="shared" si="9"/>
        <v>2494.334349</v>
      </c>
      <c r="U345">
        <f t="shared" si="10"/>
        <v>111</v>
      </c>
      <c r="V345">
        <f t="shared" si="11"/>
        <v>18970805.476786</v>
      </c>
      <c r="W345">
        <f>IF($A345="","",Allocation!CD345)</f>
        <v>177584.760468</v>
      </c>
      <c r="X345">
        <f>IF($A345="","",Allocation!CE345)</f>
        <v>542981.09124</v>
      </c>
      <c r="Y345">
        <f>IF($A345="","",Allocation!CF345)</f>
        <v>139385.61108</v>
      </c>
      <c r="Z345">
        <f>IF($A345="","",Allocation!CG345)</f>
        <v>64876.45</v>
      </c>
      <c r="AA345">
        <f>IF($A345="","",Allocation!CH345)</f>
        <v>1297410.844061</v>
      </c>
      <c r="AB345">
        <f>IF($A345="","",Allocation!CI345)</f>
        <v>3092074.3479</v>
      </c>
      <c r="AC345">
        <f>IF($A345="","",IF(Allocation!$N$4="VOL_EFF",$G345,IF(Allocation!$N$4="VOL_CLASS",$H345,$I345)))</f>
        <v>3</v>
      </c>
      <c r="AD345">
        <f>IF($A345="","",IF(Allocation!$N$4="VOL_EFF",$L345,IF(Allocation!$N$4="VOL_CLASS",$M345,$N345)))</f>
        <v>15</v>
      </c>
      <c r="AE345">
        <f>IF($A345="","",IF(Allocation!$N$3="VOL_EFF",$L345,IF(Allocation!$N$3="VOL_CLASS",$M345,$N345)))</f>
        <v>366.949483</v>
      </c>
      <c r="AF345">
        <f>IF($A345="","",IF(Allocation!$N$3="VOL_EFF",$Q345,IF(Allocation!$N$3="VOL_CLASS",$R345,$S345)))</f>
        <v>1199.348537</v>
      </c>
      <c r="AG345">
        <f>IF($A345="","",IF(Allocation!$N$1="VOL_EFF",$Q345,IF(Allocation!$N$1="VOL_CLASS",$R345,$S345)))</f>
        <v>50</v>
      </c>
      <c r="AH345">
        <f>IF($A345="","",IF(Allocation!$N$1="VOL_EFF",$T345,IF(Allocation!$N$1="VOL_CLASS",$U345,$V345)))</f>
        <v>111</v>
      </c>
      <c r="AI345">
        <f t="shared" si="12"/>
        <v>31077.3330819</v>
      </c>
      <c r="AJ345">
        <f t="shared" si="13"/>
        <v>95021.690967</v>
      </c>
      <c r="AK345">
        <f t="shared" si="14"/>
        <v>28572.2862442011</v>
      </c>
      <c r="AL345">
        <f t="shared" si="15"/>
        <v>259482.1688122</v>
      </c>
      <c r="AM345">
        <f t="shared" si="16"/>
        <v>85229.0837281701</v>
      </c>
      <c r="AN345">
        <f t="shared" si="17"/>
        <v>128154.333839659</v>
      </c>
      <c r="AO345">
        <f>IF($A345="","",Allocation!CJ345)</f>
        <v>642526.8</v>
      </c>
      <c r="AP345">
        <f>IF($A345="","",IF(Allocation!$N$2="VOL_EFF",$Q345,IF(Allocation!$N$2="VOL_CLASS",$R345,$S345)))</f>
        <v>9397044.3791</v>
      </c>
      <c r="AQ345">
        <f>IF($A345="","",IF(Allocation!$N$2="VOL_EFF",$T345,IF(Allocation!$N$2="VOL_CLASS",$U345,$V345)))</f>
        <v>18970805.476786</v>
      </c>
      <c r="AR345">
        <f t="shared" si="18"/>
        <v>19475.4553268697</v>
      </c>
      <c r="AS345" t="str">
        <f>IF($A345="","",$A345&amp;"|"&amp;Allocation!BG345)</f>
        <v>2027|V03</v>
      </c>
    </row>
    <row r="346" ht="14.497499999999997" customHeight="1">
      <c r="A346" t="str">
        <f>IF(Allocation!BI346="","",Allocation!BI346)</f>
        <v>2027</v>
      </c>
      <c r="B346" t="str">
        <f>IF(Allocation!BJ346="","",Allocation!BJ346)</f>
        <v>PIGIER_BOR</v>
      </c>
      <c r="C346" t="str">
        <f>IF(Allocation!BK346="","",Allocation!BK346)</f>
        <v>PIGIER</v>
      </c>
      <c r="D346" t="str">
        <f>IF(Allocation!BL346="","",Allocation!BL346)</f>
        <v>BTS_GES</v>
      </c>
      <c r="E346" t="str">
        <f>IF(Allocation!BM346="","",Allocation!BM346)</f>
        <v>BTS1</v>
      </c>
      <c r="F346" t="str">
        <f>IF(Allocation!BN346="","",Allocation!BN346)</f>
        <v>ALT</v>
      </c>
      <c r="G346">
        <f>IF(Allocation!BO346="","",Allocation!BO346)</f>
        <v>32.684119</v>
      </c>
      <c r="H346">
        <f>IF(Allocation!BP346="","",Allocation!BP346)</f>
        <v>2</v>
      </c>
      <c r="I346">
        <f>IF(Allocation!BQ346="","",Allocation!BQ346)</f>
        <v>196587.131596</v>
      </c>
      <c r="J346">
        <f>IF(Allocation!CC346="","",Allocation!CC346)</f>
        <v>32.684119</v>
      </c>
      <c r="K346">
        <f t="shared" si="0"/>
        <v>1400</v>
      </c>
      <c r="L346">
        <f t="shared" si="1"/>
        <v>134.648238</v>
      </c>
      <c r="M346">
        <f t="shared" si="2"/>
        <v>8</v>
      </c>
      <c r="N346">
        <f t="shared" si="3"/>
        <v>870121.51054</v>
      </c>
      <c r="O346">
        <f t="shared" si="4"/>
        <v>4720</v>
      </c>
      <c r="P346">
        <f t="shared" si="5"/>
        <v>65.368238</v>
      </c>
      <c r="Q346">
        <f t="shared" si="6"/>
        <v>134.648238</v>
      </c>
      <c r="R346">
        <f t="shared" si="7"/>
        <v>8</v>
      </c>
      <c r="S346">
        <f t="shared" si="8"/>
        <v>870121.51054</v>
      </c>
      <c r="T346">
        <f t="shared" si="9"/>
        <v>2494.334349</v>
      </c>
      <c r="U346">
        <f t="shared" si="10"/>
        <v>111</v>
      </c>
      <c r="V346">
        <f t="shared" si="11"/>
        <v>18970805.476786</v>
      </c>
      <c r="W346">
        <f>IF($A346="","",Allocation!CD346)</f>
        <v>94711.414626</v>
      </c>
      <c r="X346">
        <f>IF($A346="","",Allocation!CE346)</f>
        <v>197650.992525</v>
      </c>
      <c r="Y346">
        <f>IF($A346="","",Allocation!CF346)</f>
        <v>51814.105236</v>
      </c>
      <c r="Z346">
        <f>IF($A346="","",Allocation!CG346)</f>
        <v>20869.6</v>
      </c>
      <c r="AA346">
        <f>IF($A346="","",Allocation!CH346)</f>
        <v>374395.120652</v>
      </c>
      <c r="AB346">
        <f>IF($A346="","",Allocation!CI346)</f>
        <v>3092074.3479</v>
      </c>
      <c r="AC346">
        <f>IF($A346="","",IF(Allocation!$N$4="VOL_EFF",$G346,IF(Allocation!$N$4="VOL_CLASS",$H346,$I346)))</f>
        <v>2</v>
      </c>
      <c r="AD346">
        <f>IF($A346="","",IF(Allocation!$N$4="VOL_EFF",$L346,IF(Allocation!$N$4="VOL_CLASS",$M346,$N346)))</f>
        <v>8</v>
      </c>
      <c r="AE346">
        <f>IF($A346="","",IF(Allocation!$N$3="VOL_EFF",$L346,IF(Allocation!$N$3="VOL_CLASS",$M346,$N346)))</f>
        <v>134.648238</v>
      </c>
      <c r="AF346">
        <f>IF($A346="","",IF(Allocation!$N$3="VOL_EFF",$Q346,IF(Allocation!$N$3="VOL_CLASS",$R346,$S346)))</f>
        <v>134.648238</v>
      </c>
      <c r="AG346">
        <f>IF($A346="","",IF(Allocation!$N$1="VOL_EFF",$Q346,IF(Allocation!$N$1="VOL_CLASS",$R346,$S346)))</f>
        <v>8</v>
      </c>
      <c r="AH346">
        <f>IF($A346="","",IF(Allocation!$N$1="VOL_EFF",$T346,IF(Allocation!$N$1="VOL_CLASS",$U346,$V346)))</f>
        <v>111</v>
      </c>
      <c r="AI346">
        <f t="shared" si="12"/>
        <v>28092.368745</v>
      </c>
      <c r="AJ346">
        <f t="shared" si="13"/>
        <v>58625.2943930085</v>
      </c>
      <c r="AK346">
        <f t="shared" si="14"/>
        <v>23012.004177094</v>
      </c>
      <c r="AL346">
        <f t="shared" si="15"/>
        <v>93598.780163</v>
      </c>
      <c r="AM346">
        <f t="shared" si="16"/>
        <v>55713.0513135135</v>
      </c>
      <c r="AN346">
        <f t="shared" si="17"/>
        <v>-69821.9561794174</v>
      </c>
      <c r="AO346">
        <f>IF($A346="","",Allocation!CJ346)</f>
        <v>642526.8</v>
      </c>
      <c r="AP346">
        <f>IF($A346="","",IF(Allocation!$N$2="VOL_EFF",$Q346,IF(Allocation!$N$2="VOL_CLASS",$R346,$S346)))</f>
        <v>870121.51054</v>
      </c>
      <c r="AQ346">
        <f>IF($A346="","",IF(Allocation!$N$2="VOL_EFF",$T346,IF(Allocation!$N$2="VOL_CLASS",$U346,$V346)))</f>
        <v>18970805.476786</v>
      </c>
      <c r="AR346">
        <f t="shared" si="18"/>
        <v>7367.58898380142</v>
      </c>
      <c r="AS346" t="str">
        <f>IF($A346="","",$A346&amp;"|"&amp;Allocation!BG346)</f>
        <v>2027|V03</v>
      </c>
    </row>
    <row r="347" ht="14.497499999999997" customHeight="1">
      <c r="A347" t="str">
        <f>IF(Allocation!BI347="","",Allocation!BI347)</f>
        <v>2027</v>
      </c>
      <c r="B347" t="str">
        <f>IF(Allocation!BJ347="","",Allocation!BJ347)</f>
        <v>PIGIER_BOR</v>
      </c>
      <c r="C347" t="str">
        <f>IF(Allocation!BK347="","",Allocation!BK347)</f>
        <v>PIGIER</v>
      </c>
      <c r="D347" t="str">
        <f>IF(Allocation!BL347="","",Allocation!BL347)</f>
        <v>BTS_GES</v>
      </c>
      <c r="E347" t="str">
        <f>IF(Allocation!BM347="","",Allocation!BM347)</f>
        <v>BTS2</v>
      </c>
      <c r="F347" t="str">
        <f>IF(Allocation!BN347="","",Allocation!BN347)</f>
        <v>ALT</v>
      </c>
      <c r="G347">
        <f>IF(Allocation!BO347="","",Allocation!BO347)</f>
        <v>34.64</v>
      </c>
      <c r="H347">
        <f>IF(Allocation!BP347="","",Allocation!BP347)</f>
        <v>2</v>
      </c>
      <c r="I347">
        <f>IF(Allocation!BQ347="","",Allocation!BQ347)</f>
        <v>205233.6864</v>
      </c>
      <c r="J347">
        <f>IF(Allocation!CC347="","",Allocation!CC347)</f>
        <v>0</v>
      </c>
      <c r="K347">
        <f t="shared" si="0"/>
        <v>1400</v>
      </c>
      <c r="L347">
        <f t="shared" si="1"/>
        <v>134.648238</v>
      </c>
      <c r="M347">
        <f t="shared" si="2"/>
        <v>8</v>
      </c>
      <c r="N347">
        <f t="shared" si="3"/>
        <v>870121.51054</v>
      </c>
      <c r="O347">
        <f t="shared" si="4"/>
        <v>4720</v>
      </c>
      <c r="P347">
        <f t="shared" si="5"/>
        <v>65.368238</v>
      </c>
      <c r="Q347">
        <f t="shared" si="6"/>
        <v>134.648238</v>
      </c>
      <c r="R347">
        <f t="shared" si="7"/>
        <v>8</v>
      </c>
      <c r="S347">
        <f t="shared" si="8"/>
        <v>870121.51054</v>
      </c>
      <c r="T347">
        <f t="shared" si="9"/>
        <v>2494.334349</v>
      </c>
      <c r="U347">
        <f t="shared" si="10"/>
        <v>111</v>
      </c>
      <c r="V347">
        <f t="shared" si="11"/>
        <v>18970805.476786</v>
      </c>
      <c r="W347">
        <f>IF($A347="","",Allocation!CD347)</f>
        <v>94711.414626</v>
      </c>
      <c r="X347">
        <f>IF($A347="","",Allocation!CE347)</f>
        <v>197650.992525</v>
      </c>
      <c r="Y347">
        <f>IF($A347="","",Allocation!CF347)</f>
        <v>51814.105236</v>
      </c>
      <c r="Z347">
        <f>IF($A347="","",Allocation!CG347)</f>
        <v>20869.6</v>
      </c>
      <c r="AA347">
        <f>IF($A347="","",Allocation!CH347)</f>
        <v>374395.120652</v>
      </c>
      <c r="AB347">
        <f>IF($A347="","",Allocation!CI347)</f>
        <v>3092074.3479</v>
      </c>
      <c r="AC347">
        <f>IF($A347="","",IF(Allocation!$N$4="VOL_EFF",$G347,IF(Allocation!$N$4="VOL_CLASS",$H347,$I347)))</f>
        <v>2</v>
      </c>
      <c r="AD347">
        <f>IF($A347="","",IF(Allocation!$N$4="VOL_EFF",$L347,IF(Allocation!$N$4="VOL_CLASS",$M347,$N347)))</f>
        <v>8</v>
      </c>
      <c r="AE347">
        <f>IF($A347="","",IF(Allocation!$N$3="VOL_EFF",$L347,IF(Allocation!$N$3="VOL_CLASS",$M347,$N347)))</f>
        <v>134.648238</v>
      </c>
      <c r="AF347">
        <f>IF($A347="","",IF(Allocation!$N$3="VOL_EFF",$Q347,IF(Allocation!$N$3="VOL_CLASS",$R347,$S347)))</f>
        <v>134.648238</v>
      </c>
      <c r="AG347">
        <f>IF($A347="","",IF(Allocation!$N$1="VOL_EFF",$Q347,IF(Allocation!$N$1="VOL_CLASS",$R347,$S347)))</f>
        <v>8</v>
      </c>
      <c r="AH347">
        <f>IF($A347="","",IF(Allocation!$N$1="VOL_EFF",$T347,IF(Allocation!$N$1="VOL_CLASS",$U347,$V347)))</f>
        <v>111</v>
      </c>
      <c r="AI347">
        <f t="shared" si="12"/>
        <v>28092.368745</v>
      </c>
      <c r="AJ347">
        <f t="shared" si="13"/>
        <v>58625.2943930085</v>
      </c>
      <c r="AK347">
        <f t="shared" si="14"/>
        <v>13329.848440906</v>
      </c>
      <c r="AL347">
        <f t="shared" si="15"/>
        <v>93598.780163</v>
      </c>
      <c r="AM347">
        <f t="shared" si="16"/>
        <v>55713.0513135135</v>
      </c>
      <c r="AN347">
        <f t="shared" si="17"/>
        <v>-51493.2456392294</v>
      </c>
      <c r="AO347">
        <f>IF($A347="","",Allocation!CJ347)</f>
        <v>642526.8</v>
      </c>
      <c r="AP347">
        <f>IF($A347="","",IF(Allocation!$N$2="VOL_EFF",$Q347,IF(Allocation!$N$2="VOL_CLASS",$R347,$S347)))</f>
        <v>870121.51054</v>
      </c>
      <c r="AQ347">
        <f>IF($A347="","",IF(Allocation!$N$2="VOL_EFF",$T347,IF(Allocation!$N$2="VOL_CLASS",$U347,$V347)))</f>
        <v>18970805.476786</v>
      </c>
      <c r="AR347">
        <f t="shared" si="18"/>
        <v>7367.58898380142</v>
      </c>
      <c r="AS347" t="str">
        <f>IF($A347="","",$A347&amp;"|"&amp;Allocation!BG347)</f>
        <v>2027|V03</v>
      </c>
    </row>
    <row r="348" ht="14.497499999999997" customHeight="1">
      <c r="A348" t="str">
        <f>IF(Allocation!BI348="","",Allocation!BI348)</f>
        <v>2027</v>
      </c>
      <c r="B348" t="str">
        <f>IF(Allocation!BJ348="","",Allocation!BJ348)</f>
        <v>PIGIER_BOR</v>
      </c>
      <c r="C348" t="str">
        <f>IF(Allocation!BK348="","",Allocation!BK348)</f>
        <v>PIGIER</v>
      </c>
      <c r="D348" t="str">
        <f>IF(Allocation!BL348="","",Allocation!BL348)</f>
        <v>BAC_RH</v>
      </c>
      <c r="E348" t="str">
        <f>IF(Allocation!BM348="","",Allocation!BM348)</f>
        <v>B1</v>
      </c>
      <c r="F348" t="str">
        <f>IF(Allocation!BN348="","",Allocation!BN348)</f>
        <v>ALT</v>
      </c>
      <c r="G348">
        <f>IF(Allocation!BO348="","",Allocation!BO348)</f>
        <v>32.684119</v>
      </c>
      <c r="H348">
        <f>IF(Allocation!BP348="","",Allocation!BP348)</f>
        <v>2</v>
      </c>
      <c r="I348">
        <f>IF(Allocation!BQ348="","",Allocation!BQ348)</f>
        <v>228861.391744</v>
      </c>
      <c r="J348">
        <f>IF(Allocation!CC348="","",Allocation!CC348)</f>
        <v>32.684119</v>
      </c>
      <c r="K348">
        <f t="shared" si="0"/>
        <v>960</v>
      </c>
      <c r="L348">
        <f t="shared" si="1"/>
        <v>134.648238</v>
      </c>
      <c r="M348">
        <f t="shared" si="2"/>
        <v>8</v>
      </c>
      <c r="N348">
        <f t="shared" si="3"/>
        <v>870121.51054</v>
      </c>
      <c r="O348">
        <f t="shared" si="4"/>
        <v>4720</v>
      </c>
      <c r="P348">
        <f t="shared" si="5"/>
        <v>65.368238</v>
      </c>
      <c r="Q348">
        <f t="shared" si="6"/>
        <v>134.648238</v>
      </c>
      <c r="R348">
        <f t="shared" si="7"/>
        <v>8</v>
      </c>
      <c r="S348">
        <f t="shared" si="8"/>
        <v>870121.51054</v>
      </c>
      <c r="T348">
        <f t="shared" si="9"/>
        <v>2494.334349</v>
      </c>
      <c r="U348">
        <f t="shared" si="10"/>
        <v>111</v>
      </c>
      <c r="V348">
        <f t="shared" si="11"/>
        <v>18970805.476786</v>
      </c>
      <c r="W348">
        <f>IF($A348="","",Allocation!CD348)</f>
        <v>94711.414626</v>
      </c>
      <c r="X348">
        <f>IF($A348="","",Allocation!CE348)</f>
        <v>197650.992525</v>
      </c>
      <c r="Y348">
        <f>IF($A348="","",Allocation!CF348)</f>
        <v>51814.105236</v>
      </c>
      <c r="Z348">
        <f>IF($A348="","",Allocation!CG348)</f>
        <v>20869.6</v>
      </c>
      <c r="AA348">
        <f>IF($A348="","",Allocation!CH348)</f>
        <v>374395.120652</v>
      </c>
      <c r="AB348">
        <f>IF($A348="","",Allocation!CI348)</f>
        <v>3092074.3479</v>
      </c>
      <c r="AC348">
        <f>IF($A348="","",IF(Allocation!$N$4="VOL_EFF",$G348,IF(Allocation!$N$4="VOL_CLASS",$H348,$I348)))</f>
        <v>2</v>
      </c>
      <c r="AD348">
        <f>IF($A348="","",IF(Allocation!$N$4="VOL_EFF",$L348,IF(Allocation!$N$4="VOL_CLASS",$M348,$N348)))</f>
        <v>8</v>
      </c>
      <c r="AE348">
        <f>IF($A348="","",IF(Allocation!$N$3="VOL_EFF",$L348,IF(Allocation!$N$3="VOL_CLASS",$M348,$N348)))</f>
        <v>134.648238</v>
      </c>
      <c r="AF348">
        <f>IF($A348="","",IF(Allocation!$N$3="VOL_EFF",$Q348,IF(Allocation!$N$3="VOL_CLASS",$R348,$S348)))</f>
        <v>134.648238</v>
      </c>
      <c r="AG348">
        <f>IF($A348="","",IF(Allocation!$N$1="VOL_EFF",$Q348,IF(Allocation!$N$1="VOL_CLASS",$R348,$S348)))</f>
        <v>8</v>
      </c>
      <c r="AH348">
        <f>IF($A348="","",IF(Allocation!$N$1="VOL_EFF",$T348,IF(Allocation!$N$1="VOL_CLASS",$U348,$V348)))</f>
        <v>111</v>
      </c>
      <c r="AI348">
        <f t="shared" si="12"/>
        <v>19263.338568</v>
      </c>
      <c r="AJ348">
        <f t="shared" si="13"/>
        <v>40200.2018694915</v>
      </c>
      <c r="AK348">
        <f t="shared" si="14"/>
        <v>23012.004177094</v>
      </c>
      <c r="AL348">
        <f t="shared" si="15"/>
        <v>93598.780163</v>
      </c>
      <c r="AM348">
        <f t="shared" si="16"/>
        <v>55713.0513135135</v>
      </c>
      <c r="AN348">
        <f t="shared" si="17"/>
        <v>-10293.5733309004</v>
      </c>
      <c r="AO348">
        <f>IF($A348="","",Allocation!CJ348)</f>
        <v>642526.8</v>
      </c>
      <c r="AP348">
        <f>IF($A348="","",IF(Allocation!$N$2="VOL_EFF",$Q348,IF(Allocation!$N$2="VOL_CLASS",$R348,$S348)))</f>
        <v>870121.51054</v>
      </c>
      <c r="AQ348">
        <f>IF($A348="","",IF(Allocation!$N$2="VOL_EFF",$T348,IF(Allocation!$N$2="VOL_CLASS",$U348,$V348)))</f>
        <v>18970805.476786</v>
      </c>
      <c r="AR348">
        <f t="shared" si="18"/>
        <v>7367.58898380142</v>
      </c>
      <c r="AS348" t="str">
        <f>IF($A348="","",$A348&amp;"|"&amp;Allocation!BG348)</f>
        <v>2027|V03</v>
      </c>
    </row>
    <row r="349" ht="14.497499999999997" customHeight="1">
      <c r="A349" t="str">
        <f>IF(Allocation!BI349="","",Allocation!BI349)</f>
        <v>2027</v>
      </c>
      <c r="B349" t="str">
        <f>IF(Allocation!BJ349="","",Allocation!BJ349)</f>
        <v>PIGIER_BOR</v>
      </c>
      <c r="C349" t="str">
        <f>IF(Allocation!BK349="","",Allocation!BK349)</f>
        <v>PIGIER</v>
      </c>
      <c r="D349" t="str">
        <f>IF(Allocation!BL349="","",Allocation!BL349)</f>
        <v>BAC_RH</v>
      </c>
      <c r="E349" t="str">
        <f>IF(Allocation!BM349="","",Allocation!BM349)</f>
        <v>B2</v>
      </c>
      <c r="F349" t="str">
        <f>IF(Allocation!BN349="","",Allocation!BN349)</f>
        <v>ALT</v>
      </c>
      <c r="G349">
        <f>IF(Allocation!BO349="","",Allocation!BO349)</f>
        <v>34.64</v>
      </c>
      <c r="H349">
        <f>IF(Allocation!BP349="","",Allocation!BP349)</f>
        <v>2</v>
      </c>
      <c r="I349">
        <f>IF(Allocation!BQ349="","",Allocation!BQ349)</f>
        <v>239439.3008</v>
      </c>
      <c r="J349">
        <f>IF(Allocation!CC349="","",Allocation!CC349)</f>
        <v>0</v>
      </c>
      <c r="K349">
        <f t="shared" si="0"/>
        <v>960</v>
      </c>
      <c r="L349">
        <f t="shared" si="1"/>
        <v>134.648238</v>
      </c>
      <c r="M349">
        <f t="shared" si="2"/>
        <v>8</v>
      </c>
      <c r="N349">
        <f t="shared" si="3"/>
        <v>870121.51054</v>
      </c>
      <c r="O349">
        <f t="shared" si="4"/>
        <v>4720</v>
      </c>
      <c r="P349">
        <f t="shared" si="5"/>
        <v>65.368238</v>
      </c>
      <c r="Q349">
        <f t="shared" si="6"/>
        <v>134.648238</v>
      </c>
      <c r="R349">
        <f t="shared" si="7"/>
        <v>8</v>
      </c>
      <c r="S349">
        <f t="shared" si="8"/>
        <v>870121.51054</v>
      </c>
      <c r="T349">
        <f t="shared" si="9"/>
        <v>2494.334349</v>
      </c>
      <c r="U349">
        <f t="shared" si="10"/>
        <v>111</v>
      </c>
      <c r="V349">
        <f t="shared" si="11"/>
        <v>18970805.476786</v>
      </c>
      <c r="W349">
        <f>IF($A349="","",Allocation!CD349)</f>
        <v>94711.414626</v>
      </c>
      <c r="X349">
        <f>IF($A349="","",Allocation!CE349)</f>
        <v>197650.992525</v>
      </c>
      <c r="Y349">
        <f>IF($A349="","",Allocation!CF349)</f>
        <v>51814.105236</v>
      </c>
      <c r="Z349">
        <f>IF($A349="","",Allocation!CG349)</f>
        <v>20869.6</v>
      </c>
      <c r="AA349">
        <f>IF($A349="","",Allocation!CH349)</f>
        <v>374395.120652</v>
      </c>
      <c r="AB349">
        <f>IF($A349="","",Allocation!CI349)</f>
        <v>3092074.3479</v>
      </c>
      <c r="AC349">
        <f>IF($A349="","",IF(Allocation!$N$4="VOL_EFF",$G349,IF(Allocation!$N$4="VOL_CLASS",$H349,$I349)))</f>
        <v>2</v>
      </c>
      <c r="AD349">
        <f>IF($A349="","",IF(Allocation!$N$4="VOL_EFF",$L349,IF(Allocation!$N$4="VOL_CLASS",$M349,$N349)))</f>
        <v>8</v>
      </c>
      <c r="AE349">
        <f>IF($A349="","",IF(Allocation!$N$3="VOL_EFF",$L349,IF(Allocation!$N$3="VOL_CLASS",$M349,$N349)))</f>
        <v>134.648238</v>
      </c>
      <c r="AF349">
        <f>IF($A349="","",IF(Allocation!$N$3="VOL_EFF",$Q349,IF(Allocation!$N$3="VOL_CLASS",$R349,$S349)))</f>
        <v>134.648238</v>
      </c>
      <c r="AG349">
        <f>IF($A349="","",IF(Allocation!$N$1="VOL_EFF",$Q349,IF(Allocation!$N$1="VOL_CLASS",$R349,$S349)))</f>
        <v>8</v>
      </c>
      <c r="AH349">
        <f>IF($A349="","",IF(Allocation!$N$1="VOL_EFF",$T349,IF(Allocation!$N$1="VOL_CLASS",$U349,$V349)))</f>
        <v>111</v>
      </c>
      <c r="AI349">
        <f t="shared" si="12"/>
        <v>19263.338568</v>
      </c>
      <c r="AJ349">
        <f t="shared" si="13"/>
        <v>40200.2018694915</v>
      </c>
      <c r="AK349">
        <f t="shared" si="14"/>
        <v>13329.848440906</v>
      </c>
      <c r="AL349">
        <f t="shared" si="15"/>
        <v>93598.780163</v>
      </c>
      <c r="AM349">
        <f t="shared" si="16"/>
        <v>55713.0513135135</v>
      </c>
      <c r="AN349">
        <f t="shared" si="17"/>
        <v>9966.49146128757</v>
      </c>
      <c r="AO349">
        <f>IF($A349="","",Allocation!CJ349)</f>
        <v>642526.8</v>
      </c>
      <c r="AP349">
        <f>IF($A349="","",IF(Allocation!$N$2="VOL_EFF",$Q349,IF(Allocation!$N$2="VOL_CLASS",$R349,$S349)))</f>
        <v>870121.51054</v>
      </c>
      <c r="AQ349">
        <f>IF($A349="","",IF(Allocation!$N$2="VOL_EFF",$T349,IF(Allocation!$N$2="VOL_CLASS",$U349,$V349)))</f>
        <v>18970805.476786</v>
      </c>
      <c r="AR349">
        <f t="shared" si="18"/>
        <v>7367.58898380142</v>
      </c>
      <c r="AS349" t="str">
        <f>IF($A349="","",$A349&amp;"|"&amp;Allocation!BG349)</f>
        <v>2027|V03</v>
      </c>
    </row>
  </sheetData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4</vt:i4>
      </vt:variant>
    </vt:vector>
  </HeadingPairs>
  <TitlesOfParts>
    <vt:vector size="6" baseType="lpstr">
      <vt:lpstr>Allocation</vt:lpstr>
      <vt:lpstr>_CALC_ALLOC</vt:lpstr>
      <vt:lpstr>ALLOC_BRAND_CAMP</vt:lpstr>
      <vt:lpstr>ALLOC_CAMP_CLASS</vt:lpstr>
      <vt:lpstr>ALLOC_GRP_BRAND</vt:lpstr>
      <vt:lpstr>ALLOC_GRP_MARQUE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2026-08-19T10:07:49Z</dcterms:created>
  <dc:creator>Hamza Bouzidi</dc:creator>
  <cp:lastModifiedBy>Matthieu Pitot</cp:lastModifiedBy>
  <dcterms:modified xsi:type="dcterms:W3CDTF">2026-08-27T14:32:04Z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