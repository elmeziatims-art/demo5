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mez\Downloads\"/>
    </mc:Choice>
  </mc:AlternateContent>
  <xr:revisionPtr revIDLastSave="0" documentId="8_{009A8E97-3333-4DC6-B0F8-F229015540A4}" xr6:coauthVersionLast="47" xr6:coauthVersionMax="47" xr10:uidLastSave="{00000000-0000-0000-0000-000000000000}"/>
  <bookViews>
    <workbookView xWindow="-98" yWindow="-98" windowWidth="21795" windowHeight="12975" tabRatio="473" activeTab="1" xr2:uid="{BFD80C7C-8FCC-42DB-8334-50E9FAFEA52E}"/>
  </bookViews>
  <sheets>
    <sheet name="Cockpit" sheetId="4" r:id="rId1"/>
    <sheet name="Simulation" sheetId="9" r:id="rId2"/>
    <sheet name="Drill Effect" sheetId="7" r:id="rId3"/>
    <sheet name="Drill P&amp;L" sheetId="8" r:id="rId4"/>
  </sheets>
  <definedNames>
    <definedName name="Query00" localSheetId="0">Cockpit!$AD$6:$AH$11</definedName>
    <definedName name="Query00" localSheetId="1">Simulation!$AD$7:$AH$8</definedName>
    <definedName name="Query01" localSheetId="0">Cockpit!$AK$6:$AN$11</definedName>
    <definedName name="Query01" localSheetId="1">Simulation!$AK$7:$AN$8</definedName>
    <definedName name="Query02" localSheetId="0">Cockpit!$BB$6:$BD$9</definedName>
    <definedName name="Query02" localSheetId="1">Simulation!$BB$7:$BD$8</definedName>
  </definedNames>
  <calcPr calcId="0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5" i="8" l="1"/>
  <c r="G55" i="8" s="1"/>
  <c r="G57" i="8" s="1"/>
  <c r="I57" i="8" s="1"/>
  <c r="G36" i="8"/>
  <c r="G52" i="8" s="1"/>
  <c r="G37" i="8"/>
  <c r="G38" i="8"/>
  <c r="G39" i="8"/>
  <c r="H39" i="8" s="1"/>
  <c r="G40" i="8"/>
  <c r="H40" i="8" s="1"/>
  <c r="G41" i="8"/>
  <c r="G42" i="8"/>
  <c r="G43" i="8"/>
  <c r="H43" i="8" s="1"/>
  <c r="G44" i="8"/>
  <c r="H44" i="8" s="1"/>
  <c r="G45" i="8"/>
  <c r="H45" i="8" s="1"/>
  <c r="G46" i="8"/>
  <c r="G47" i="8"/>
  <c r="H47" i="8" s="1"/>
  <c r="G48" i="8"/>
  <c r="H48" i="8" s="1"/>
  <c r="G49" i="8"/>
  <c r="G50" i="8"/>
  <c r="D35" i="8"/>
  <c r="I35" i="8" s="1"/>
  <c r="E35" i="8"/>
  <c r="F35" i="8"/>
  <c r="H35" i="8"/>
  <c r="K35" i="8"/>
  <c r="D36" i="8"/>
  <c r="I36" i="8" s="1"/>
  <c r="E36" i="8"/>
  <c r="F36" i="8"/>
  <c r="F52" i="8" s="1"/>
  <c r="H36" i="8"/>
  <c r="K36" i="8"/>
  <c r="D37" i="8"/>
  <c r="E37" i="8"/>
  <c r="F37" i="8"/>
  <c r="K37" i="8"/>
  <c r="D38" i="8"/>
  <c r="E38" i="8"/>
  <c r="F38" i="8"/>
  <c r="H38" i="8" s="1"/>
  <c r="K38" i="8"/>
  <c r="L38" i="8"/>
  <c r="M38" i="8"/>
  <c r="D39" i="8"/>
  <c r="I39" i="8" s="1"/>
  <c r="E39" i="8"/>
  <c r="F39" i="8"/>
  <c r="K39" i="8"/>
  <c r="L39" i="8"/>
  <c r="M39" i="8"/>
  <c r="D40" i="8"/>
  <c r="I40" i="8" s="1"/>
  <c r="E40" i="8"/>
  <c r="F40" i="8"/>
  <c r="K40" i="8"/>
  <c r="L40" i="8"/>
  <c r="M40" i="8"/>
  <c r="D41" i="8"/>
  <c r="I41" i="8" s="1"/>
  <c r="E41" i="8"/>
  <c r="F41" i="8"/>
  <c r="H41" i="8" s="1"/>
  <c r="K41" i="8"/>
  <c r="L41" i="8"/>
  <c r="M41" i="8"/>
  <c r="D42" i="8"/>
  <c r="E42" i="8"/>
  <c r="F42" i="8"/>
  <c r="H42" i="8" s="1"/>
  <c r="K42" i="8"/>
  <c r="L42" i="8"/>
  <c r="M42" i="8"/>
  <c r="D43" i="8"/>
  <c r="I43" i="8" s="1"/>
  <c r="E43" i="8"/>
  <c r="F43" i="8"/>
  <c r="K43" i="8"/>
  <c r="L43" i="8"/>
  <c r="M43" i="8"/>
  <c r="D44" i="8"/>
  <c r="I44" i="8" s="1"/>
  <c r="E44" i="8"/>
  <c r="F44" i="8"/>
  <c r="K44" i="8"/>
  <c r="L44" i="8"/>
  <c r="M44" i="8"/>
  <c r="D45" i="8"/>
  <c r="I45" i="8" s="1"/>
  <c r="E45" i="8"/>
  <c r="F45" i="8"/>
  <c r="K45" i="8"/>
  <c r="L45" i="8"/>
  <c r="M45" i="8"/>
  <c r="D46" i="8"/>
  <c r="E46" i="8"/>
  <c r="F46" i="8"/>
  <c r="H46" i="8" s="1"/>
  <c r="K46" i="8"/>
  <c r="L46" i="8"/>
  <c r="M46" i="8"/>
  <c r="D47" i="8"/>
  <c r="I47" i="8" s="1"/>
  <c r="E47" i="8"/>
  <c r="F47" i="8"/>
  <c r="K47" i="8"/>
  <c r="L47" i="8"/>
  <c r="M47" i="8"/>
  <c r="D48" i="8"/>
  <c r="I48" i="8" s="1"/>
  <c r="E48" i="8"/>
  <c r="F48" i="8"/>
  <c r="K48" i="8"/>
  <c r="L48" i="8"/>
  <c r="M48" i="8"/>
  <c r="D49" i="8"/>
  <c r="I49" i="8" s="1"/>
  <c r="E49" i="8"/>
  <c r="F49" i="8"/>
  <c r="H49" i="8" s="1"/>
  <c r="K49" i="8"/>
  <c r="L49" i="8"/>
  <c r="M49" i="8"/>
  <c r="D50" i="8"/>
  <c r="E50" i="8"/>
  <c r="F50" i="8"/>
  <c r="H50" i="8" s="1"/>
  <c r="K50" i="8"/>
  <c r="L50" i="8"/>
  <c r="M50" i="8"/>
  <c r="F56" i="8"/>
  <c r="G56" i="8"/>
  <c r="P44" i="7"/>
  <c r="D13" i="7" s="1"/>
  <c r="Q44" i="7"/>
  <c r="D19" i="7"/>
  <c r="AB37" i="7" s="1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D44" i="7"/>
  <c r="E44" i="7"/>
  <c r="F44" i="7"/>
  <c r="L44" i="7"/>
  <c r="M44" i="7"/>
  <c r="N44" i="7"/>
  <c r="O44" i="7"/>
  <c r="BJ8" i="9"/>
  <c r="S13" i="9"/>
  <c r="T13" i="9" s="1"/>
  <c r="V13" i="9" s="1"/>
  <c r="U13" i="9"/>
  <c r="S14" i="9"/>
  <c r="T14" i="9" s="1"/>
  <c r="V14" i="9" s="1"/>
  <c r="U14" i="9"/>
  <c r="S15" i="9"/>
  <c r="T15" i="9"/>
  <c r="V15" i="9" s="1"/>
  <c r="U15" i="9"/>
  <c r="S16" i="9"/>
  <c r="T16" i="9" s="1"/>
  <c r="V16" i="9" s="1"/>
  <c r="U16" i="9"/>
  <c r="S17" i="9"/>
  <c r="T17" i="9" s="1"/>
  <c r="V17" i="9" s="1"/>
  <c r="U17" i="9"/>
  <c r="S18" i="9"/>
  <c r="T18" i="9" s="1"/>
  <c r="V18" i="9" s="1"/>
  <c r="U18" i="9"/>
  <c r="S19" i="9"/>
  <c r="T19" i="9"/>
  <c r="V19" i="9" s="1"/>
  <c r="U19" i="9"/>
  <c r="S20" i="9"/>
  <c r="T20" i="9" s="1"/>
  <c r="V20" i="9" s="1"/>
  <c r="U20" i="9"/>
  <c r="S21" i="9"/>
  <c r="T21" i="9" s="1"/>
  <c r="V21" i="9" s="1"/>
  <c r="U21" i="9"/>
  <c r="S22" i="9"/>
  <c r="T22" i="9" s="1"/>
  <c r="V22" i="9" s="1"/>
  <c r="U22" i="9"/>
  <c r="S23" i="9"/>
  <c r="T23" i="9"/>
  <c r="V23" i="9" s="1"/>
  <c r="U23" i="9"/>
  <c r="S24" i="9"/>
  <c r="T24" i="9" s="1"/>
  <c r="V24" i="9" s="1"/>
  <c r="U24" i="9"/>
  <c r="S25" i="9"/>
  <c r="T25" i="9"/>
  <c r="V25" i="9" s="1"/>
  <c r="U25" i="9"/>
  <c r="S26" i="9"/>
  <c r="T26" i="9" s="1"/>
  <c r="V26" i="9" s="1"/>
  <c r="U26" i="9"/>
  <c r="S27" i="9"/>
  <c r="T27" i="9" s="1"/>
  <c r="V27" i="9" s="1"/>
  <c r="U27" i="9"/>
  <c r="S28" i="9"/>
  <c r="T28" i="9" s="1"/>
  <c r="V28" i="9" s="1"/>
  <c r="U28" i="9"/>
  <c r="S29" i="9"/>
  <c r="T29" i="9" s="1"/>
  <c r="V29" i="9" s="1"/>
  <c r="U29" i="9"/>
  <c r="S30" i="9"/>
  <c r="T30" i="9" s="1"/>
  <c r="V30" i="9" s="1"/>
  <c r="U30" i="9"/>
  <c r="S31" i="9"/>
  <c r="T31" i="9" s="1"/>
  <c r="V31" i="9" s="1"/>
  <c r="U31" i="9"/>
  <c r="S32" i="9"/>
  <c r="T32" i="9" s="1"/>
  <c r="V32" i="9" s="1"/>
  <c r="U32" i="9"/>
  <c r="S33" i="9"/>
  <c r="T33" i="9" s="1"/>
  <c r="V33" i="9" s="1"/>
  <c r="U33" i="9"/>
  <c r="S34" i="9"/>
  <c r="T34" i="9" s="1"/>
  <c r="V34" i="9" s="1"/>
  <c r="U34" i="9"/>
  <c r="S35" i="9"/>
  <c r="T35" i="9" s="1"/>
  <c r="V35" i="9" s="1"/>
  <c r="U35" i="9"/>
  <c r="S36" i="9"/>
  <c r="T36" i="9" s="1"/>
  <c r="V36" i="9" s="1"/>
  <c r="U36" i="9"/>
  <c r="S37" i="9"/>
  <c r="T37" i="9"/>
  <c r="V37" i="9" s="1"/>
  <c r="U37" i="9"/>
  <c r="S38" i="9"/>
  <c r="T38" i="9" s="1"/>
  <c r="V38" i="9" s="1"/>
  <c r="U38" i="9"/>
  <c r="S39" i="9"/>
  <c r="T39" i="9" s="1"/>
  <c r="V39" i="9" s="1"/>
  <c r="U39" i="9"/>
  <c r="S40" i="9"/>
  <c r="T40" i="9" s="1"/>
  <c r="V40" i="9" s="1"/>
  <c r="U40" i="9"/>
  <c r="S41" i="9"/>
  <c r="T41" i="9" s="1"/>
  <c r="V41" i="9" s="1"/>
  <c r="U41" i="9"/>
  <c r="S42" i="9"/>
  <c r="T42" i="9" s="1"/>
  <c r="V42" i="9" s="1"/>
  <c r="U42" i="9"/>
  <c r="S43" i="9"/>
  <c r="T43" i="9" s="1"/>
  <c r="V43" i="9" s="1"/>
  <c r="U43" i="9"/>
  <c r="S44" i="9"/>
  <c r="T44" i="9" s="1"/>
  <c r="V44" i="9" s="1"/>
  <c r="U44" i="9"/>
  <c r="S45" i="9"/>
  <c r="T45" i="9" s="1"/>
  <c r="V45" i="9" s="1"/>
  <c r="U45" i="9"/>
  <c r="S46" i="9"/>
  <c r="T46" i="9" s="1"/>
  <c r="V46" i="9" s="1"/>
  <c r="U46" i="9"/>
  <c r="S47" i="9"/>
  <c r="T47" i="9"/>
  <c r="V47" i="9" s="1"/>
  <c r="U47" i="9"/>
  <c r="S48" i="9"/>
  <c r="T48" i="9" s="1"/>
  <c r="V48" i="9" s="1"/>
  <c r="U48" i="9"/>
  <c r="S49" i="9"/>
  <c r="T49" i="9" s="1"/>
  <c r="V49" i="9" s="1"/>
  <c r="U49" i="9"/>
  <c r="S50" i="9"/>
  <c r="T50" i="9" s="1"/>
  <c r="V50" i="9" s="1"/>
  <c r="U50" i="9"/>
  <c r="S51" i="9"/>
  <c r="T51" i="9" s="1"/>
  <c r="V51" i="9" s="1"/>
  <c r="U51" i="9"/>
  <c r="S52" i="9"/>
  <c r="T52" i="9" s="1"/>
  <c r="V52" i="9" s="1"/>
  <c r="U52" i="9"/>
  <c r="S53" i="9"/>
  <c r="T53" i="9"/>
  <c r="V53" i="9" s="1"/>
  <c r="U53" i="9"/>
  <c r="S54" i="9"/>
  <c r="T54" i="9" s="1"/>
  <c r="V54" i="9" s="1"/>
  <c r="U54" i="9"/>
  <c r="S55" i="9"/>
  <c r="T55" i="9" s="1"/>
  <c r="V55" i="9" s="1"/>
  <c r="U55" i="9"/>
  <c r="S56" i="9"/>
  <c r="T56" i="9" s="1"/>
  <c r="V56" i="9" s="1"/>
  <c r="U56" i="9"/>
  <c r="S57" i="9"/>
  <c r="T57" i="9" s="1"/>
  <c r="V57" i="9" s="1"/>
  <c r="U57" i="9"/>
  <c r="S58" i="9"/>
  <c r="T58" i="9" s="1"/>
  <c r="V58" i="9" s="1"/>
  <c r="U58" i="9"/>
  <c r="S59" i="9"/>
  <c r="T59" i="9"/>
  <c r="V59" i="9" s="1"/>
  <c r="U59" i="9"/>
  <c r="S60" i="9"/>
  <c r="T60" i="9" s="1"/>
  <c r="V60" i="9" s="1"/>
  <c r="U60" i="9"/>
  <c r="S61" i="9"/>
  <c r="T61" i="9" s="1"/>
  <c r="V61" i="9" s="1"/>
  <c r="U61" i="9"/>
  <c r="S62" i="9"/>
  <c r="T62" i="9" s="1"/>
  <c r="V62" i="9" s="1"/>
  <c r="U62" i="9"/>
  <c r="S63" i="9"/>
  <c r="T63" i="9"/>
  <c r="V63" i="9" s="1"/>
  <c r="U63" i="9"/>
  <c r="S64" i="9"/>
  <c r="T64" i="9" s="1"/>
  <c r="V64" i="9" s="1"/>
  <c r="U64" i="9"/>
  <c r="S65" i="9"/>
  <c r="T65" i="9" s="1"/>
  <c r="V65" i="9" s="1"/>
  <c r="U65" i="9"/>
  <c r="S66" i="9"/>
  <c r="T66" i="9" s="1"/>
  <c r="V66" i="9" s="1"/>
  <c r="U66" i="9"/>
  <c r="S67" i="9"/>
  <c r="T67" i="9" s="1"/>
  <c r="V67" i="9" s="1"/>
  <c r="U67" i="9"/>
  <c r="S68" i="9"/>
  <c r="T68" i="9" s="1"/>
  <c r="V68" i="9" s="1"/>
  <c r="U68" i="9"/>
  <c r="S69" i="9"/>
  <c r="T69" i="9" s="1"/>
  <c r="V69" i="9" s="1"/>
  <c r="U69" i="9"/>
  <c r="S70" i="9"/>
  <c r="T70" i="9" s="1"/>
  <c r="V70" i="9" s="1"/>
  <c r="U70" i="9"/>
  <c r="S71" i="9"/>
  <c r="T71" i="9"/>
  <c r="V71" i="9" s="1"/>
  <c r="U71" i="9"/>
  <c r="S72" i="9"/>
  <c r="T72" i="9" s="1"/>
  <c r="V72" i="9" s="1"/>
  <c r="U72" i="9"/>
  <c r="BJ7" i="4"/>
  <c r="BJ8" i="4"/>
  <c r="E9" i="4"/>
  <c r="G9" i="4"/>
  <c r="K38" i="4"/>
  <c r="I9" i="4"/>
  <c r="K9" i="4"/>
  <c r="M9" i="4"/>
  <c r="M10" i="4" s="1"/>
  <c r="N38" i="4"/>
  <c r="O9" i="4"/>
  <c r="BJ9" i="4"/>
  <c r="G38" i="4"/>
  <c r="E10" i="4" s="1"/>
  <c r="I38" i="4"/>
  <c r="G10" i="4"/>
  <c r="W38" i="4"/>
  <c r="L38" i="4" s="1"/>
  <c r="I10" i="4" s="1"/>
  <c r="AA38" i="4"/>
  <c r="K10" i="4"/>
  <c r="O10" i="4"/>
  <c r="BJ10" i="4"/>
  <c r="BJ11" i="4"/>
  <c r="O38" i="4"/>
  <c r="AB38" i="4"/>
  <c r="G39" i="4"/>
  <c r="I39" i="4"/>
  <c r="K39" i="4"/>
  <c r="W39" i="4"/>
  <c r="L39" i="4"/>
  <c r="N39" i="4"/>
  <c r="O39" i="4"/>
  <c r="AA39" i="4"/>
  <c r="AB39" i="4"/>
  <c r="G40" i="4"/>
  <c r="I40" i="4"/>
  <c r="K40" i="4"/>
  <c r="W40" i="4"/>
  <c r="L40" i="4" s="1"/>
  <c r="N40" i="4"/>
  <c r="O40" i="4"/>
  <c r="AA40" i="4"/>
  <c r="AB40" i="4"/>
  <c r="G41" i="4"/>
  <c r="I41" i="4"/>
  <c r="K41" i="4"/>
  <c r="L41" i="4" s="1"/>
  <c r="W41" i="4"/>
  <c r="N41" i="4"/>
  <c r="O41" i="4"/>
  <c r="AA41" i="4"/>
  <c r="AB41" i="4"/>
  <c r="G42" i="4"/>
  <c r="I42" i="4"/>
  <c r="K42" i="4"/>
  <c r="L42" i="4" s="1"/>
  <c r="W42" i="4"/>
  <c r="N42" i="4"/>
  <c r="O42" i="4"/>
  <c r="AA42" i="4"/>
  <c r="AB42" i="4"/>
  <c r="G43" i="4"/>
  <c r="I43" i="4"/>
  <c r="K43" i="4"/>
  <c r="W43" i="4"/>
  <c r="L43" i="4"/>
  <c r="N43" i="4"/>
  <c r="O43" i="4"/>
  <c r="AA43" i="4"/>
  <c r="AB43" i="4"/>
  <c r="G44" i="4"/>
  <c r="I44" i="4"/>
  <c r="K44" i="4"/>
  <c r="W44" i="4"/>
  <c r="L44" i="4" s="1"/>
  <c r="N44" i="4"/>
  <c r="O44" i="4"/>
  <c r="AA44" i="4"/>
  <c r="AB44" i="4"/>
  <c r="G45" i="4"/>
  <c r="I45" i="4"/>
  <c r="K45" i="4"/>
  <c r="L45" i="4" s="1"/>
  <c r="W45" i="4"/>
  <c r="N45" i="4"/>
  <c r="O45" i="4"/>
  <c r="AA45" i="4"/>
  <c r="AB45" i="4"/>
  <c r="G46" i="4"/>
  <c r="I46" i="4"/>
  <c r="K46" i="4"/>
  <c r="L46" i="4" s="1"/>
  <c r="W46" i="4"/>
  <c r="N46" i="4"/>
  <c r="O46" i="4"/>
  <c r="AA46" i="4"/>
  <c r="AB46" i="4"/>
  <c r="G47" i="4"/>
  <c r="I47" i="4"/>
  <c r="K47" i="4"/>
  <c r="W47" i="4"/>
  <c r="L47" i="4"/>
  <c r="N47" i="4"/>
  <c r="O47" i="4"/>
  <c r="AA47" i="4"/>
  <c r="AB47" i="4"/>
  <c r="G48" i="4"/>
  <c r="I48" i="4"/>
  <c r="K48" i="4"/>
  <c r="W48" i="4"/>
  <c r="L48" i="4"/>
  <c r="N48" i="4"/>
  <c r="O48" i="4"/>
  <c r="AA48" i="4"/>
  <c r="AB48" i="4"/>
  <c r="G49" i="4"/>
  <c r="I49" i="4"/>
  <c r="K49" i="4"/>
  <c r="W49" i="4"/>
  <c r="N49" i="4"/>
  <c r="O49" i="4"/>
  <c r="AA49" i="4"/>
  <c r="AB49" i="4"/>
  <c r="G50" i="4"/>
  <c r="I50" i="4"/>
  <c r="K50" i="4"/>
  <c r="L50" i="4" s="1"/>
  <c r="W50" i="4"/>
  <c r="N50" i="4"/>
  <c r="O50" i="4"/>
  <c r="AA50" i="4"/>
  <c r="AB50" i="4"/>
  <c r="G51" i="4"/>
  <c r="I51" i="4"/>
  <c r="K51" i="4"/>
  <c r="W51" i="4"/>
  <c r="L51" i="4"/>
  <c r="N51" i="4"/>
  <c r="O51" i="4"/>
  <c r="AA51" i="4"/>
  <c r="AB51" i="4"/>
  <c r="G52" i="4"/>
  <c r="I52" i="4"/>
  <c r="K52" i="4"/>
  <c r="W52" i="4"/>
  <c r="L52" i="4"/>
  <c r="N52" i="4"/>
  <c r="O52" i="4"/>
  <c r="AA52" i="4"/>
  <c r="AB52" i="4"/>
  <c r="G53" i="4"/>
  <c r="I53" i="4"/>
  <c r="K53" i="4"/>
  <c r="W53" i="4"/>
  <c r="N53" i="4"/>
  <c r="O53" i="4"/>
  <c r="AA53" i="4"/>
  <c r="AB53" i="4"/>
  <c r="G54" i="4"/>
  <c r="I54" i="4"/>
  <c r="K54" i="4"/>
  <c r="L54" i="4" s="1"/>
  <c r="W54" i="4"/>
  <c r="N54" i="4"/>
  <c r="O54" i="4"/>
  <c r="AA54" i="4"/>
  <c r="AB54" i="4"/>
  <c r="G55" i="4"/>
  <c r="I55" i="4"/>
  <c r="K55" i="4"/>
  <c r="W55" i="4"/>
  <c r="L55" i="4"/>
  <c r="N55" i="4"/>
  <c r="O55" i="4"/>
  <c r="AA55" i="4"/>
  <c r="AB55" i="4"/>
  <c r="G56" i="4"/>
  <c r="I56" i="4"/>
  <c r="K56" i="4"/>
  <c r="W56" i="4"/>
  <c r="L56" i="4" s="1"/>
  <c r="N56" i="4"/>
  <c r="O56" i="4"/>
  <c r="AA56" i="4"/>
  <c r="AB56" i="4"/>
  <c r="G57" i="4"/>
  <c r="I57" i="4"/>
  <c r="K57" i="4"/>
  <c r="L57" i="4" s="1"/>
  <c r="W57" i="4"/>
  <c r="N57" i="4"/>
  <c r="O57" i="4"/>
  <c r="AA57" i="4"/>
  <c r="AB57" i="4"/>
  <c r="L53" i="4" l="1"/>
  <c r="W44" i="7"/>
  <c r="D17" i="7" s="1"/>
  <c r="X44" i="7"/>
  <c r="D18" i="7" s="1"/>
  <c r="T44" i="7"/>
  <c r="D14" i="7" s="1"/>
  <c r="H37" i="8"/>
  <c r="I37" i="8"/>
  <c r="U44" i="7"/>
  <c r="D15" i="7" s="1"/>
  <c r="L49" i="4"/>
  <c r="V44" i="7"/>
  <c r="D16" i="7" s="1"/>
  <c r="C7" i="7"/>
  <c r="AB31" i="7"/>
  <c r="AA32" i="7"/>
  <c r="I50" i="8"/>
  <c r="I46" i="8"/>
  <c r="I42" i="8"/>
  <c r="I38" i="8"/>
  <c r="C6" i="8"/>
  <c r="F55" i="8"/>
  <c r="F57" i="8" s="1"/>
  <c r="H57" i="8" s="1"/>
  <c r="AC33" i="7" l="1"/>
  <c r="AD33" i="7"/>
  <c r="E15" i="7"/>
  <c r="D20" i="7"/>
  <c r="E20" i="7"/>
  <c r="D22" i="7"/>
  <c r="E14" i="7"/>
  <c r="AC32" i="7"/>
  <c r="AD32" i="7"/>
  <c r="AA35" i="7"/>
  <c r="AA36" i="7"/>
  <c r="E18" i="7"/>
  <c r="AC36" i="7"/>
  <c r="AD36" i="7"/>
  <c r="AA33" i="7"/>
  <c r="AC34" i="7"/>
  <c r="AD34" i="7"/>
  <c r="E16" i="7"/>
  <c r="AD35" i="7"/>
  <c r="E17" i="7"/>
  <c r="AC35" i="7"/>
  <c r="AA34" i="7"/>
</calcChain>
</file>

<file path=xl/sharedStrings.xml><?xml version="1.0" encoding="utf-8"?>
<sst xmlns="http://schemas.openxmlformats.org/spreadsheetml/2006/main" count="604" uniqueCount="203">
  <si>
    <t>EDUSERVICES</t>
  </si>
  <si>
    <t>EBITDA</t>
  </si>
  <si>
    <t>CA</t>
  </si>
  <si>
    <t>EBITDA_N1</t>
  </si>
  <si>
    <t>CA_N1</t>
  </si>
  <si>
    <t>PLACES</t>
  </si>
  <si>
    <t>EFFECTIFS</t>
  </si>
  <si>
    <t>EFFECTIFS_ALT</t>
  </si>
  <si>
    <t>Δ CA</t>
  </si>
  <si>
    <t>SPEND_ACQ</t>
  </si>
  <si>
    <t>SPEND_ACQ_N1</t>
  </si>
  <si>
    <t>Δ EBITDA</t>
  </si>
  <si>
    <t>Part EBITDA</t>
  </si>
  <si>
    <t>Marge EBITDA</t>
  </si>
  <si>
    <t>Δ Marge</t>
  </si>
  <si>
    <t>Inscrits</t>
  </si>
  <si>
    <t>Rempl.</t>
  </si>
  <si>
    <t>Mix alt.</t>
  </si>
  <si>
    <t>Marge EBTIDA N-1</t>
  </si>
  <si>
    <t xml:space="preserve">  CHIFFRE D'AFFAIRES</t>
  </si>
  <si>
    <t xml:space="preserve">  EBITDA</t>
  </si>
  <si>
    <t xml:space="preserve">  MARGE EBITDA</t>
  </si>
  <si>
    <t xml:space="preserve">  INSCRITS (NOUVEAUX)</t>
  </si>
  <si>
    <t xml:space="preserve">  COÛT D'ACQUISITION</t>
  </si>
  <si>
    <t xml:space="preserve">  REMPLISSAGE MOYEN</t>
  </si>
  <si>
    <t>PLACES_N1</t>
  </si>
  <si>
    <t>INSCRITS_N1</t>
  </si>
  <si>
    <t>EFFECTIFS_N1</t>
  </si>
  <si>
    <t>% nouveaux inscrits</t>
  </si>
  <si>
    <t xml:space="preserve">  Scénario</t>
  </si>
  <si>
    <t>Version</t>
  </si>
  <si>
    <t>V_FINAL</t>
  </si>
  <si>
    <t>EXERCICE</t>
  </si>
  <si>
    <t>MARGE_2024</t>
  </si>
  <si>
    <t>MARGE_2025</t>
  </si>
  <si>
    <t>MARGE_2026</t>
  </si>
  <si>
    <t>IND_DEPENSES</t>
  </si>
  <si>
    <t>IND_INSCRITS</t>
  </si>
  <si>
    <t>LIBELLE</t>
  </si>
  <si>
    <t xml:space="preserve">Exercice 2026 · variation contre 2025 </t>
  </si>
  <si>
    <t>Entité</t>
  </si>
  <si>
    <t xml:space="preserve">  Pont d'EBITDA 2025 → 2026</t>
  </si>
  <si>
    <t xml:space="preserve">  Marge EBITDA par marque</t>
  </si>
  <si>
    <t>Pont</t>
  </si>
  <si>
    <t>ETAPE</t>
  </si>
  <si>
    <t>SOCLE</t>
  </si>
  <si>
    <t>ANCRE</t>
  </si>
  <si>
    <t>HAUSSE</t>
  </si>
  <si>
    <t>BAISSE</t>
  </si>
  <si>
    <t>Campus</t>
  </si>
  <si>
    <t>Effectifs 2025</t>
  </si>
  <si>
    <t>Effectifs 2026</t>
  </si>
  <si>
    <t>Élèves gagnés</t>
  </si>
  <si>
    <t>CA par élève 2025</t>
  </si>
  <si>
    <t>CA par élève 2026</t>
  </si>
  <si>
    <t>Coût var. par élève 2025</t>
  </si>
  <si>
    <t>Coût var. par élève 2026</t>
  </si>
  <si>
    <t>Marge sur coût var. par élève 2025</t>
  </si>
  <si>
    <t>Coûts directs 2025</t>
  </si>
  <si>
    <t>Coûts directs 2026</t>
  </si>
  <si>
    <t>Siège 2025</t>
  </si>
  <si>
    <t>Siège 2026</t>
  </si>
  <si>
    <t>EBITDA 2025</t>
  </si>
  <si>
    <t>EBITDA 2026</t>
  </si>
  <si>
    <t>Effet effectifs</t>
  </si>
  <si>
    <t>Effet prix et mix</t>
  </si>
  <si>
    <t>Effet coût var. unitaire</t>
  </si>
  <si>
    <t>Effet coûts directs</t>
  </si>
  <si>
    <t>Effet siège</t>
  </si>
  <si>
    <t>TOTAL du périmètre</t>
  </si>
  <si>
    <t>Effet</t>
  </si>
  <si>
    <t>Montant</t>
  </si>
  <si>
    <t>POURQUOI L'EBITDA A BOUGÉ</t>
  </si>
  <si>
    <t>le pont ci-dessous décompose cette variation en cinq causes, sans reste</t>
  </si>
  <si>
    <t>LE PONT, CHIFFRE PAR CHIFFRE</t>
  </si>
  <si>
    <t>Contrôle · les cinq effets moins la variation</t>
  </si>
  <si>
    <t>doit valoir 0,00 €</t>
  </si>
  <si>
    <t>—</t>
  </si>
  <si>
    <t>Calcul des effets</t>
  </si>
  <si>
    <t xml:space="preserve">LE DÉTAIL PAR CAMPUS </t>
  </si>
  <si>
    <t>drill sur la cellule cliquée · 2026 contre 2025</t>
  </si>
  <si>
    <t>DE QUOI CET EBITDA EST-IL FAIT</t>
  </si>
  <si>
    <t>Compte</t>
  </si>
  <si>
    <t>Famille</t>
  </si>
  <si>
    <t>Poste</t>
  </si>
  <si>
    <t>Poste court</t>
  </si>
  <si>
    <t>Montant 2025</t>
  </si>
  <si>
    <t>Montant 2026</t>
  </si>
  <si>
    <t>621</t>
  </si>
  <si>
    <t>604</t>
  </si>
  <si>
    <t>6063</t>
  </si>
  <si>
    <t>6231</t>
  </si>
  <si>
    <t>6411</t>
  </si>
  <si>
    <t>6413</t>
  </si>
  <si>
    <t>645</t>
  </si>
  <si>
    <t>613</t>
  </si>
  <si>
    <t>615</t>
  </si>
  <si>
    <t>616</t>
  </si>
  <si>
    <t>625</t>
  </si>
  <si>
    <t>63511</t>
  </si>
  <si>
    <t>SIEGE</t>
  </si>
  <si>
    <t>LE COMPTE D'EXPLOITATION, POSTE PAR POSTE</t>
  </si>
  <si>
    <t>Variation</t>
  </si>
  <si>
    <t>Part des charges</t>
  </si>
  <si>
    <t>2025</t>
  </si>
  <si>
    <t>2026</t>
  </si>
  <si>
    <t>Contrôle</t>
  </si>
  <si>
    <t>Écart</t>
  </si>
  <si>
    <t>Part de sa masse</t>
  </si>
  <si>
    <t>Ce qui pousse  ·  ce qui freine</t>
  </si>
  <si>
    <t>706</t>
  </si>
  <si>
    <t>7062</t>
  </si>
  <si>
    <t>708</t>
  </si>
  <si>
    <t>RAPPROCHEMENT DU CHIFFRE D'AFFAIRES  ·  comptes de produit contre socle CRM</t>
  </si>
  <si>
    <t>Comptes de produit  ·  706 + 7062 + 708, somme des trois lignes ci-dessus</t>
  </si>
  <si>
    <t>COMPTE</t>
  </si>
  <si>
    <t>POSTE</t>
  </si>
  <si>
    <t>MONTANT 2025</t>
  </si>
  <si>
    <t>MONTANT 2026</t>
  </si>
  <si>
    <t>Modalité</t>
  </si>
  <si>
    <t>Programme</t>
  </si>
  <si>
    <t>CRM  ·  effectifs × droits de scolarité</t>
  </si>
  <si>
    <t>COCKPIT EDUSERVICES - PILOTAGE DE LA MARGE</t>
  </si>
  <si>
    <t>Dépenses Vs Inscriptions</t>
  </si>
  <si>
    <t xml:space="preserve">  PÉRIMÈTRE</t>
  </si>
  <si>
    <t>14 campus</t>
  </si>
  <si>
    <t>5 marques</t>
  </si>
  <si>
    <t>COCKPIT EDUSERVICES - PILOTAGE DES PROGRAMMES</t>
  </si>
  <si>
    <t>Budget 2027</t>
  </si>
  <si>
    <t>V_CAMPUS</t>
  </si>
  <si>
    <t>MARQUE</t>
  </si>
  <si>
    <t>VILLE</t>
  </si>
  <si>
    <t>PROGRAMME_LIB</t>
  </si>
  <si>
    <t>NIVEAU</t>
  </si>
  <si>
    <t>MODALITE</t>
  </si>
  <si>
    <t>EFFECTIF</t>
  </si>
  <si>
    <t>SECTIONS</t>
  </si>
  <si>
    <t>COUT_VARIABLE</t>
  </si>
  <si>
    <t>CONTRIBUTION</t>
  </si>
  <si>
    <t>STRUCTURE_ALLOUEE</t>
  </si>
  <si>
    <t>COUT_COMPLET</t>
  </si>
  <si>
    <t>MARGE_COMPLETE</t>
  </si>
  <si>
    <t>POINT_MORT</t>
  </si>
  <si>
    <t>MARGE_SECURITE</t>
  </si>
  <si>
    <t>DECISION_OUV</t>
  </si>
  <si>
    <t>Structure APRÈS</t>
  </si>
  <si>
    <t>Marge complète APRÈS</t>
  </si>
  <si>
    <t>Impact EBITDA</t>
  </si>
  <si>
    <t>Lecture</t>
  </si>
  <si>
    <t>cohorte</t>
  </si>
  <si>
    <t>INIT</t>
  </si>
  <si>
    <t>ALT</t>
  </si>
  <si>
    <t>Garder</t>
  </si>
  <si>
    <t>Bachelor Management</t>
  </si>
  <si>
    <t>MBWAY</t>
  </si>
  <si>
    <t>Bachelor Communication</t>
  </si>
  <si>
    <t>B1</t>
  </si>
  <si>
    <t>M1</t>
  </si>
  <si>
    <t>Bordeaux</t>
  </si>
  <si>
    <t>BTS2</t>
  </si>
  <si>
    <t>ISCOM</t>
  </si>
  <si>
    <t>IPAC</t>
  </si>
  <si>
    <t>M2</t>
  </si>
  <si>
    <t>Nantes</t>
  </si>
  <si>
    <t>Mastère Communication</t>
  </si>
  <si>
    <t>Rennes</t>
  </si>
  <si>
    <t>B3</t>
  </si>
  <si>
    <t>Lyon</t>
  </si>
  <si>
    <t>Bachelor Commerce</t>
  </si>
  <si>
    <t>B2</t>
  </si>
  <si>
    <t>Bachelor Tourisme</t>
  </si>
  <si>
    <t>Mastère Management</t>
  </si>
  <si>
    <t>TUNON</t>
  </si>
  <si>
    <t>Bachelor Ressources humaines</t>
  </si>
  <si>
    <t>Lille</t>
  </si>
  <si>
    <t>PIGIER</t>
  </si>
  <si>
    <t>BTS1</t>
  </si>
  <si>
    <t>BTS Gestion</t>
  </si>
  <si>
    <t>Toulouse</t>
  </si>
  <si>
    <t>Paris</t>
  </si>
  <si>
    <t>Montpellier</t>
  </si>
  <si>
    <t>Ipac Bachelor Factory Nantes</t>
  </si>
  <si>
    <t>Tunon Lyon</t>
  </si>
  <si>
    <t>Tunon Paris</t>
  </si>
  <si>
    <t>ISCOM Toulouse</t>
  </si>
  <si>
    <t>Tunon</t>
  </si>
  <si>
    <t>MBway Lyon</t>
  </si>
  <si>
    <t>Ipac Bachelor Factory Rennes</t>
  </si>
  <si>
    <t>MBway Bordeaux</t>
  </si>
  <si>
    <t>MBway Paris</t>
  </si>
  <si>
    <t>Pigier Lyon</t>
  </si>
  <si>
    <t>ISCOM Lille</t>
  </si>
  <si>
    <t>Pigier Bordeaux</t>
  </si>
  <si>
    <t>Pigier</t>
  </si>
  <si>
    <t>Ipac Bachelor Factory</t>
  </si>
  <si>
    <t>ISCOM Paris</t>
  </si>
  <si>
    <t>Ipac Bachelor Factory Montpellier</t>
  </si>
  <si>
    <t>MBway Nantes</t>
  </si>
  <si>
    <t>MBway</t>
  </si>
  <si>
    <t>2024</t>
  </si>
  <si>
    <t>Activite</t>
  </si>
  <si>
    <t>Prix / mix</t>
  </si>
  <si>
    <t>Couts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</si>
</sst>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0.0%"/>
    <numFmt numFmtId="165" formatCode="#,##0.00,"/>
    <numFmt numFmtId="166" formatCode="#,##0,"/>
    <numFmt numFmtId="167" formatCode="mm/dd/yy;@"/>
    <numFmt numFmtId="168" formatCode="_(&quot;$&quot;* #,##0_);_(&quot;$&quot;* \(#,##0\);_(&quot;$&quot;* &quot;-&quot;_);_(@_)"/>
    <numFmt numFmtId="169" formatCode="&quot;$&quot;#,##0.00"/>
    <numFmt numFmtId="170" formatCode="#,##0&quot; €&quot;"/>
    <numFmt numFmtId="171" formatCode="#,##0&quot; places libres&quot;"/>
    <numFmt numFmtId="172" formatCode="0.0,,&quot; M€&quot;"/>
    <numFmt numFmtId="173" formatCode="&quot;+&quot;0.0%;&quot;-&quot;0.0%;&quot;—&quot;"/>
    <numFmt numFmtId="174" formatCode="&quot;+&quot;0.00&quot; pt&quot;;&quot;-&quot;0.00&quot; pt&quot;;&quot;—&quot;"/>
    <numFmt numFmtId="175" formatCode="&quot;▲ &quot;0.0%;&quot;▼ &quot;0.0%;&quot;—&quot;"/>
    <numFmt numFmtId="176" formatCode="&quot;▲ &quot;0.00&quot; pt&quot;;&quot;▼ &quot;0.00&quot; pt&quot;;&quot;—&quot;"/>
    <numFmt numFmtId="177" formatCode="#,##0&quot; places libres&quot;;\-#,##0&quot; places libres&quot;;&quot;—&quot;"/>
    <numFmt numFmtId="178" formatCode="&quot;▲ &quot;0.0%;&quot;▼ &quot;0.0%;&quot;&quot;"/>
    <numFmt numFmtId="179" formatCode="&quot;▲ &quot;0.00;&quot;▼ &quot;0.00;&quot;&quot;"/>
    <numFmt numFmtId="180" formatCode="0.00&quot; €&quot;"/>
    <numFmt numFmtId="181" formatCode="&quot;▲ &quot;#,##0;&quot;▼ &quot;#,##0;&quot;—&quot;"/>
    <numFmt numFmtId="182" formatCode="\+#,##0&quot; €&quot;;\-#,##0&quot; €&quot;;&quot;0 €&quot;"/>
    <numFmt numFmtId="183" formatCode="\+0.00%;\-0.00%;&quot;0,00 %&quot;"/>
    <numFmt numFmtId="184" formatCode="\+#,##0&quot; €&quot;"/>
    <numFmt numFmtId="185" formatCode="\-#,##0&quot; €&quot;"/>
    <numFmt numFmtId="186" formatCode="&quot;+&quot;0.0%;&quot;-&quot;0.0%;&quot;&quot;"/>
    <numFmt numFmtId="187" formatCode="#,##0&quot; €&quot;;\(#,##0\)&quot; €&quot;;&quot;-&quot;"/>
  </numFmts>
  <fonts count="7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3"/>
      <name val="Tahoma"/>
      <family val="2"/>
    </font>
    <font>
      <sz val="11"/>
      <color theme="3"/>
      <name val="Aptos Narrow"/>
      <family val="2"/>
      <scheme val="minor"/>
    </font>
    <font>
      <sz val="8"/>
      <color theme="0"/>
      <name val="Tahoma"/>
      <family val="2"/>
    </font>
    <font>
      <b/>
      <sz val="8"/>
      <color theme="3"/>
      <name val="Tahoma"/>
      <family val="2"/>
    </font>
    <font>
      <b/>
      <i/>
      <sz val="8"/>
      <color theme="3"/>
      <name val="Tahoma"/>
      <family val="2"/>
    </font>
    <font>
      <u/>
      <sz val="8"/>
      <color theme="3"/>
      <name val="Tahoma"/>
      <family val="2"/>
    </font>
    <font>
      <sz val="8"/>
      <name val="Tahoma"/>
      <family val="2"/>
    </font>
    <font>
      <sz val="11"/>
      <color rgb="FF9C6500"/>
      <name val="Aptos Narrow"/>
      <family val="2"/>
      <scheme val="minor"/>
    </font>
    <font>
      <sz val="11"/>
      <color theme="3"/>
      <name val="Tahoma"/>
      <family val="2"/>
    </font>
    <font>
      <sz val="10"/>
      <color theme="3"/>
      <name val="Webdings"/>
      <family val="1"/>
      <charset val="2"/>
    </font>
    <font>
      <b/>
      <sz val="18"/>
      <color theme="3"/>
      <name val="Aptos Display"/>
      <family val="2"/>
      <scheme val="major"/>
    </font>
    <font>
      <sz val="8"/>
      <color rgb="FFFF0000"/>
      <name val="Webdings"/>
      <family val="1"/>
      <charset val="2"/>
    </font>
    <font>
      <sz val="14"/>
      <color rgb="FFFF0000"/>
      <name val="Webdings"/>
      <family val="1"/>
      <charset val="2"/>
    </font>
    <font>
      <sz val="8"/>
      <color theme="1"/>
      <name val="Webdings"/>
      <family val="1"/>
      <charset val="2"/>
    </font>
    <font>
      <sz val="14"/>
      <color rgb="FF00B050"/>
      <name val="Webdings"/>
      <family val="1"/>
      <charset val="2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202733"/>
      <name val="Arial"/>
      <family val="2"/>
    </font>
    <font>
      <b/>
      <sz val="18"/>
      <color rgb="FF202733"/>
      <name val="Fira Sans Medium"/>
      <family val="2"/>
    </font>
    <font>
      <b/>
      <sz val="8.5"/>
      <color rgb="FF69778B"/>
      <name val="Arial"/>
      <family val="2"/>
    </font>
    <font>
      <b/>
      <sz val="9"/>
      <color rgb="FF202733"/>
      <name val="Fira Sans Medium"/>
      <family val="2"/>
    </font>
    <font>
      <i/>
      <sz val="7.5"/>
      <color rgb="FF69778B"/>
      <name val="Arial"/>
      <family val="2"/>
    </font>
    <font>
      <b/>
      <sz val="8"/>
      <color rgb="FFFFFFFF"/>
      <name val="Fira Sans Medium"/>
      <family val="2"/>
    </font>
    <font>
      <sz val="8.5"/>
      <color rgb="FF202733"/>
      <name val="Arial"/>
      <family val="2"/>
    </font>
    <font>
      <b/>
      <sz val="9"/>
      <color rgb="FF69778B"/>
      <name val="Arial"/>
      <family val="2"/>
    </font>
    <font>
      <sz val="11"/>
      <color rgb="FFF3F6FA"/>
      <name val="Aptos Narrow"/>
      <family val="2"/>
      <scheme val="minor"/>
    </font>
    <font>
      <b/>
      <sz val="8.5"/>
      <color rgb="FF202733"/>
      <name val="Arial"/>
      <family val="2"/>
    </font>
    <font>
      <b/>
      <sz val="10"/>
      <color rgb="FF202733"/>
      <name val="Fira Sans Medium"/>
      <family val="2"/>
    </font>
    <font>
      <sz val="8.5"/>
      <color rgb="FF69778B"/>
      <name val="Arial"/>
      <family val="2"/>
    </font>
    <font>
      <b/>
      <sz val="15"/>
      <color rgb="FFFFFFFF"/>
      <name val="Fira Sans Medium"/>
      <family val="2"/>
    </font>
    <font>
      <sz val="8"/>
      <color rgb="FFB8C6DA"/>
      <name val="Arial"/>
      <family val="2"/>
    </font>
    <font>
      <b/>
      <sz val="14"/>
      <color rgb="FF202733"/>
      <name val="Fira Sans Medium"/>
      <family val="2"/>
    </font>
    <font>
      <i/>
      <sz val="8.5"/>
      <color rgb="FF69778B"/>
      <name val="Arial"/>
      <family val="2"/>
    </font>
    <font>
      <sz val="9"/>
      <color rgb="FF202733"/>
      <name val="Arial"/>
      <family val="2"/>
    </font>
    <font>
      <b/>
      <sz val="11"/>
      <color rgb="FF1E9E89"/>
      <name val="Arial"/>
      <family val="2"/>
    </font>
    <font>
      <b/>
      <sz val="13"/>
      <color rgb="FF202733"/>
      <name val="Fira Sans Medium"/>
      <family val="2"/>
    </font>
    <font>
      <b/>
      <sz val="11"/>
      <color rgb="FF2A78D6"/>
      <name val="Arial"/>
      <family val="2"/>
    </font>
    <font>
      <b/>
      <sz val="9"/>
      <color rgb="FF2A78D6"/>
      <name val="Arial"/>
      <family val="2"/>
    </font>
    <font>
      <b/>
      <sz val="9"/>
      <color rgb="FF1E9E89"/>
      <name val="Arial"/>
      <family val="2"/>
    </font>
    <font>
      <b/>
      <sz val="9"/>
      <color rgb="FFD64545"/>
      <name val="Arial"/>
      <family val="2"/>
    </font>
    <font>
      <sz val="8"/>
      <name val="Aptos Narrow"/>
      <family val="2"/>
      <scheme val="minor"/>
    </font>
    <font>
      <sz val="8"/>
      <color rgb="FF69778B"/>
      <name val="Arial"/>
      <family val="2"/>
    </font>
    <font>
      <b/>
      <sz val="20"/>
      <color theme="4" tint="-0.499984740745262"/>
      <name val="Montserrat ExtraBold"/>
    </font>
    <font>
      <b/>
      <sz val="18"/>
      <color theme="4" tint="-0.499984740745262"/>
      <name val="Montserrat ExtraBold"/>
    </font>
    <font>
      <sz val="11"/>
      <name val="Aptos Narrow"/>
      <family val="2"/>
      <scheme val="minor"/>
    </font>
    <font>
      <b/>
      <sz val="14"/>
      <color theme="1"/>
      <name val="Aptos Narrow"/>
      <family val="2"/>
    </font>
    <font>
      <b/>
      <sz val="10"/>
      <color rgb="FF007AC3"/>
      <name val="Arial"/>
      <family val="2"/>
    </font>
    <font>
      <sz val="12"/>
      <color theme="1"/>
      <name val="Aptos Narrow"/>
      <family val="2"/>
      <scheme val="minor"/>
    </font>
    <font>
      <b/>
      <sz val="12"/>
      <color rgb="FFFFFFFF"/>
      <name val="Fira Sans Medium"/>
      <family val="2"/>
    </font>
    <font>
      <sz val="12"/>
      <color theme="3"/>
      <name val="Tahoma"/>
      <family val="2"/>
    </font>
    <font>
      <sz val="12"/>
      <color rgb="FFF3F6FA"/>
      <name val="Aptos Narrow"/>
      <family val="2"/>
      <scheme val="minor"/>
    </font>
    <font>
      <sz val="11"/>
      <color rgb="FF202733"/>
      <name val="Arial"/>
      <family val="2"/>
    </font>
    <font>
      <sz val="11"/>
      <color rgb="FF69778B"/>
      <name val="Arial"/>
      <family val="2"/>
    </font>
    <font>
      <b/>
      <sz val="11"/>
      <color rgb="FF202733"/>
      <name val="Fira Sans Medium"/>
      <family val="2"/>
    </font>
    <font>
      <b/>
      <sz val="12"/>
      <color rgb="FF526071"/>
      <name val="Arial"/>
      <family val="2"/>
    </font>
    <font>
      <b/>
      <sz val="12"/>
      <color rgb="FF202733"/>
      <name val="Fira Sans Medium"/>
      <family val="2"/>
    </font>
    <font>
      <b/>
      <sz val="11"/>
      <color theme="0"/>
      <name val="Aptos Narrow"/>
      <family val="2"/>
      <scheme val="minor"/>
    </font>
    <font>
      <b/>
      <sz val="8"/>
      <color theme="0"/>
      <name val="Arial"/>
      <family val="2"/>
    </font>
    <font>
      <b/>
      <i/>
      <sz val="11"/>
      <color theme="0"/>
      <name val="Aptos Narrow"/>
      <family val="2"/>
      <scheme val="minor"/>
    </font>
    <font>
      <b/>
      <sz val="8.5"/>
      <color theme="0"/>
      <name val="Arial"/>
      <family val="2"/>
    </font>
    <font>
      <sz val="12"/>
      <color theme="0"/>
      <name val="Aptos Narrow"/>
      <family val="2"/>
      <scheme val="minor"/>
    </font>
    <font>
      <sz val="7.5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ptos Narrow"/>
      <family val="2"/>
      <scheme val="minor"/>
    </font>
    <font>
      <sz val="10"/>
      <color theme="0"/>
      <name val="Arial"/>
      <family val="2"/>
    </font>
    <font>
      <b/>
      <sz val="16"/>
      <color rgb="FF202733"/>
      <name val="Fira Sans Medium"/>
      <family val="2"/>
    </font>
    <font>
      <b/>
      <sz val="7.5"/>
      <color rgb="FF526071"/>
      <name val="Arial"/>
      <family val="2"/>
    </font>
    <font>
      <sz val="9"/>
      <color rgb="FF7C8798"/>
      <name val="Segoe UI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7.5"/>
      <color rgb="FF69778B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8F8F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FF"/>
      </patternFill>
    </fill>
    <fill>
      <patternFill patternType="solid">
        <fgColor rgb="FFF3F6FA"/>
      </patternFill>
    </fill>
    <fill>
      <patternFill patternType="solid">
        <fgColor rgb="FFEAF2FC"/>
      </patternFill>
    </fill>
    <fill>
      <patternFill patternType="solid">
        <fgColor rgb="FF526071"/>
      </patternFill>
    </fill>
    <fill>
      <patternFill patternType="solid">
        <fgColor rgb="FF172033"/>
      </patternFill>
    </fill>
    <fill>
      <patternFill patternType="solid">
        <fgColor rgb="FFD9E2EF"/>
      </patternFill>
    </fill>
    <fill>
      <patternFill patternType="solid">
        <fgColor rgb="FFFFF1E8"/>
      </patternFill>
    </fill>
    <fill>
      <patternFill patternType="solid">
        <fgColor rgb="FF007AC3"/>
      </patternFill>
    </fill>
    <fill>
      <patternFill patternType="solid">
        <fgColor theme="0"/>
      </patternFill>
    </fill>
    <fill>
      <patternFill patternType="solid">
        <fgColor rgb="FFF3F6FA"/>
        <bgColor indexed="64"/>
      </patternFill>
    </fill>
    <fill>
      <patternFill patternType="solid">
        <fgColor rgb="FF2E5496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1" tint="0.499984740745262"/>
      </bottom>
      <diagonal/>
    </border>
    <border>
      <left/>
      <right/>
      <top/>
      <bottom style="thin">
        <color theme="3" tint="0.79998168889431442"/>
      </bottom>
      <diagonal/>
    </border>
    <border>
      <left/>
      <right/>
      <top/>
      <bottom style="thick">
        <color theme="3" tint="0.39994506668294322"/>
      </bottom>
      <diagonal/>
    </border>
    <border>
      <left style="thin">
        <color theme="0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3" tint="0.79998168889431442"/>
      </top>
      <bottom style="thin">
        <color theme="3" tint="0.79998168889431442"/>
      </bottom>
      <diagonal/>
    </border>
    <border>
      <left/>
      <right/>
      <top/>
      <bottom style="medium">
        <color theme="3"/>
      </bottom>
      <diagonal/>
    </border>
    <border>
      <left style="thin">
        <color rgb="FFE9EDF3"/>
      </left>
      <right/>
      <top style="thin">
        <color rgb="FFE9EDF3"/>
      </top>
      <bottom/>
      <diagonal/>
    </border>
    <border>
      <left/>
      <right style="thin">
        <color rgb="FFE9EDF3"/>
      </right>
      <top style="thin">
        <color rgb="FFE9EDF3"/>
      </top>
      <bottom/>
      <diagonal/>
    </border>
    <border>
      <left style="thin">
        <color rgb="FFE9EDF3"/>
      </left>
      <right/>
      <top/>
      <bottom/>
      <diagonal/>
    </border>
    <border>
      <left/>
      <right style="thin">
        <color rgb="FFE9EDF3"/>
      </right>
      <top/>
      <bottom/>
      <diagonal/>
    </border>
    <border>
      <left style="thin">
        <color rgb="FFE9EDF3"/>
      </left>
      <right/>
      <top/>
      <bottom style="thin">
        <color rgb="FFE9EDF3"/>
      </bottom>
      <diagonal/>
    </border>
    <border>
      <left/>
      <right style="thin">
        <color rgb="FFE9EDF3"/>
      </right>
      <top/>
      <bottom style="thin">
        <color rgb="FFE9EDF3"/>
      </bottom>
      <diagonal/>
    </border>
    <border>
      <left/>
      <right/>
      <top style="thin">
        <color rgb="FFE9EDF3"/>
      </top>
      <bottom/>
      <diagonal/>
    </border>
    <border>
      <left/>
      <right/>
      <top/>
      <bottom style="thin">
        <color rgb="FFE9EDF3"/>
      </bottom>
      <diagonal/>
    </border>
    <border>
      <left style="thin">
        <color rgb="FF526071"/>
      </left>
      <right style="thin">
        <color rgb="FF526071"/>
      </right>
      <top style="thin">
        <color rgb="FF526071"/>
      </top>
      <bottom style="thin">
        <color rgb="FF526071"/>
      </bottom>
      <diagonal/>
    </border>
    <border>
      <left/>
      <right/>
      <top style="medium">
        <color rgb="FF526071"/>
      </top>
      <bottom style="medium">
        <color rgb="FF526071"/>
      </bottom>
      <diagonal/>
    </border>
    <border>
      <left/>
      <right/>
      <top style="medium">
        <color rgb="FF526071"/>
      </top>
      <bottom style="thin">
        <color rgb="FF526071"/>
      </bottom>
      <diagonal/>
    </border>
    <border>
      <left/>
      <right/>
      <top/>
      <bottom style="medium">
        <color rgb="FF52607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D5D7DA"/>
      </bottom>
      <diagonal/>
    </border>
    <border>
      <left style="thin">
        <color rgb="FF007AC3"/>
      </left>
      <right style="thin">
        <color rgb="FF007AC3"/>
      </right>
      <top style="thin">
        <color rgb="FF007AC3"/>
      </top>
      <bottom style="thin">
        <color rgb="FF007AC3"/>
      </bottom>
      <diagonal/>
    </border>
    <border>
      <left/>
      <right/>
      <top style="thin">
        <color rgb="FFB8CFEC"/>
      </top>
      <bottom style="thin">
        <color rgb="FFB8CFE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7">
    <xf numFmtId="0" fontId="0" fillId="0" borderId="0"/>
    <xf numFmtId="0" fontId="13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>
      <alignment horizontal="center"/>
    </xf>
    <xf numFmtId="10" fontId="1" fillId="0" borderId="0" applyFont="0" applyFill="0" applyBorder="0" applyAlignment="0"/>
    <xf numFmtId="165" fontId="3" fillId="9" borderId="1" applyNumberFormat="0" applyProtection="0">
      <alignment horizontal="center" vertical="center" wrapText="1"/>
    </xf>
    <xf numFmtId="9" fontId="1" fillId="0" borderId="0" applyNumberFormat="0" applyFont="0" applyFill="0" applyBorder="0" applyProtection="0">
      <alignment horizontal="center" vertical="center"/>
    </xf>
    <xf numFmtId="9" fontId="1" fillId="0" borderId="0" applyNumberFormat="0" applyFont="0" applyFill="0" applyBorder="0" applyProtection="0">
      <alignment horizontal="left" vertical="center"/>
    </xf>
    <xf numFmtId="9" fontId="1" fillId="0" borderId="0" applyNumberFormat="0" applyFont="0" applyFill="0" applyBorder="0" applyProtection="0">
      <alignment horizontal="center" vertical="center"/>
    </xf>
    <xf numFmtId="9" fontId="1" fillId="0" borderId="0" applyNumberFormat="0" applyFont="0" applyFill="0" applyBorder="0" applyProtection="0">
      <alignment horizontal="left" vertical="center" wrapText="1"/>
    </xf>
    <xf numFmtId="2" fontId="4" fillId="0" borderId="0" applyFont="0" applyFill="0" applyBorder="0" applyAlignment="0" applyProtection="0">
      <alignment horizontal="left"/>
    </xf>
    <xf numFmtId="9" fontId="1" fillId="0" borderId="2" applyNumberFormat="0" applyFont="0" applyFill="0" applyAlignment="0"/>
    <xf numFmtId="166" fontId="1" fillId="0" borderId="0" applyFont="0" applyFill="0" applyBorder="0" applyAlignment="0"/>
    <xf numFmtId="165" fontId="3" fillId="0" borderId="3" applyNumberFormat="0" applyFill="0" applyProtection="0">
      <alignment horizontal="center" vertical="center" wrapText="1"/>
    </xf>
    <xf numFmtId="9" fontId="5" fillId="0" borderId="0" applyNumberFormat="0" applyFill="0" applyAlignment="0"/>
    <xf numFmtId="9" fontId="6" fillId="0" borderId="0" applyNumberFormat="0" applyFill="0" applyBorder="0" applyAlignment="0" applyProtection="0"/>
    <xf numFmtId="9" fontId="7" fillId="0" borderId="0" applyNumberFormat="0" applyFill="0" applyBorder="0" applyAlignment="0" applyProtection="0"/>
    <xf numFmtId="165" fontId="1" fillId="10" borderId="4" applyNumberFormat="0" applyFont="0" applyAlignment="0"/>
    <xf numFmtId="0" fontId="3" fillId="9" borderId="5">
      <alignment horizontal="center" vertical="center" wrapText="1"/>
    </xf>
    <xf numFmtId="167" fontId="1" fillId="0" borderId="0" applyFont="0" applyFill="0" applyBorder="0" applyAlignment="0"/>
    <xf numFmtId="9" fontId="1" fillId="11" borderId="0" applyNumberFormat="0" applyFont="0" applyBorder="0" applyAlignment="0" applyProtection="0"/>
    <xf numFmtId="165" fontId="6" fillId="0" borderId="0" applyNumberFormat="0" applyFill="0" applyBorder="0" applyProtection="0">
      <alignment horizontal="right"/>
    </xf>
    <xf numFmtId="0" fontId="3" fillId="0" borderId="2" applyNumberFormat="0" applyFill="0">
      <alignment horizontal="left" vertical="center"/>
    </xf>
    <xf numFmtId="9" fontId="8" fillId="0" borderId="0" applyNumberFormat="0" applyFill="0" applyBorder="0" applyAlignment="0"/>
    <xf numFmtId="9" fontId="8" fillId="0" borderId="0" applyNumberFormat="0" applyFill="0" applyBorder="0" applyAlignment="0"/>
    <xf numFmtId="0" fontId="1" fillId="0" borderId="0" applyNumberFormat="0" applyFont="0" applyFill="0" applyBorder="0">
      <alignment horizontal="center" vertical="center" wrapText="1"/>
    </xf>
    <xf numFmtId="168" fontId="3" fillId="0" borderId="0"/>
    <xf numFmtId="169" fontId="9" fillId="0" borderId="0" applyBorder="0">
      <alignment horizontal="center"/>
    </xf>
    <xf numFmtId="0" fontId="3" fillId="0" borderId="4" applyNumberFormat="0" applyFill="0" applyAlignment="0"/>
    <xf numFmtId="9" fontId="6" fillId="0" borderId="6" applyNumberFormat="0" applyFill="0"/>
    <xf numFmtId="9" fontId="2" fillId="9" borderId="7" applyNumberFormat="0" applyAlignment="0"/>
    <xf numFmtId="3" fontId="3" fillId="0" borderId="0" applyFill="0" applyBorder="0" applyProtection="0">
      <alignment horizontal="right" vertical="center"/>
    </xf>
    <xf numFmtId="37" fontId="11" fillId="0" borderId="0" applyFill="0" applyBorder="0" applyProtection="0">
      <alignment horizontal="right" vertical="center"/>
    </xf>
    <xf numFmtId="165" fontId="3" fillId="0" borderId="0" applyNumberFormat="0" applyFill="0" applyBorder="0" applyProtection="0">
      <alignment horizontal="left"/>
    </xf>
    <xf numFmtId="0" fontId="3" fillId="0" borderId="0" applyNumberFormat="0" applyFill="0" applyBorder="0" applyProtection="0">
      <alignment horizontal="right" vertical="center" wrapText="1"/>
    </xf>
    <xf numFmtId="9" fontId="1" fillId="12" borderId="0" applyNumberFormat="0" applyFont="0" applyAlignment="0" applyProtection="0"/>
    <xf numFmtId="9" fontId="12" fillId="0" borderId="0" applyNumberFormat="0" applyFill="0" applyBorder="0" applyAlignment="0"/>
    <xf numFmtId="9" fontId="1" fillId="0" borderId="0"/>
    <xf numFmtId="9" fontId="6" fillId="13" borderId="0" applyNumberFormat="0" applyBorder="0" applyProtection="0">
      <alignment horizontal="right" vertical="center"/>
    </xf>
    <xf numFmtId="9" fontId="6" fillId="13" borderId="0" applyNumberFormat="0" applyBorder="0" applyProtection="0">
      <alignment horizontal="left" vertical="center" wrapText="1"/>
    </xf>
    <xf numFmtId="165" fontId="6" fillId="13" borderId="8" applyNumberFormat="0" applyFill="0" applyBorder="0" applyAlignment="0"/>
    <xf numFmtId="0" fontId="4" fillId="0" borderId="0" applyNumberFormat="0" applyFill="0" applyBorder="0" applyProtection="0">
      <alignment horizontal="right"/>
    </xf>
    <xf numFmtId="9" fontId="14" fillId="0" borderId="0" applyFill="0" applyBorder="0" applyProtection="0">
      <alignment horizontal="center" vertical="center"/>
    </xf>
    <xf numFmtId="0" fontId="15" fillId="0" borderId="0">
      <alignment horizontal="center" vertical="center"/>
    </xf>
    <xf numFmtId="1" fontId="16" fillId="0" borderId="0" applyFill="0" applyBorder="0" applyProtection="0">
      <alignment horizontal="center" vertical="center"/>
    </xf>
    <xf numFmtId="0" fontId="15" fillId="0" borderId="9" applyFill="0" applyProtection="0">
      <alignment horizontal="center" vertical="center"/>
    </xf>
    <xf numFmtId="0" fontId="17" fillId="0" borderId="9" applyFill="0" applyProtection="0">
      <alignment horizontal="center"/>
    </xf>
    <xf numFmtId="9" fontId="6" fillId="0" borderId="10" applyNumberFormat="0" applyFill="0">
      <alignment horizontal="left"/>
    </xf>
    <xf numFmtId="0" fontId="3" fillId="0" borderId="2">
      <alignment horizontal="left" vertical="top" wrapText="1"/>
      <protection locked="0"/>
    </xf>
    <xf numFmtId="0" fontId="1" fillId="0" borderId="0"/>
  </cellStyleXfs>
  <cellXfs count="195">
    <xf numFmtId="0" fontId="0" fillId="0" borderId="0" xfId="0"/>
    <xf numFmtId="0" fontId="0" fillId="15" borderId="0" xfId="0" applyFill="1"/>
    <xf numFmtId="3" fontId="26" fillId="15" borderId="0" xfId="0" applyNumberFormat="1" applyFont="1" applyFill="1" applyAlignment="1">
      <alignment horizontal="right" vertical="center"/>
    </xf>
    <xf numFmtId="164" fontId="26" fillId="15" borderId="0" xfId="0" applyNumberFormat="1" applyFont="1" applyFill="1" applyAlignment="1">
      <alignment horizontal="right" vertical="center"/>
    </xf>
    <xf numFmtId="0" fontId="25" fillId="17" borderId="19" xfId="0" applyFont="1" applyFill="1" applyBorder="1" applyAlignment="1">
      <alignment horizontal="left" vertical="center" indent="1"/>
    </xf>
    <xf numFmtId="0" fontId="25" fillId="17" borderId="19" xfId="0" applyFont="1" applyFill="1" applyBorder="1" applyAlignment="1">
      <alignment horizontal="center" vertical="center" wrapText="1"/>
    </xf>
    <xf numFmtId="0" fontId="30" fillId="15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right" vertical="center"/>
    </xf>
    <xf numFmtId="164" fontId="31" fillId="14" borderId="18" xfId="0" applyNumberFormat="1" applyFont="1" applyFill="1" applyBorder="1" applyAlignment="1">
      <alignment horizontal="right" vertical="center"/>
    </xf>
    <xf numFmtId="0" fontId="0" fillId="18" borderId="0" xfId="0" applyFill="1"/>
    <xf numFmtId="0" fontId="32" fillId="18" borderId="0" xfId="0" applyFont="1" applyFill="1" applyAlignment="1">
      <alignment horizontal="left" vertical="center"/>
    </xf>
    <xf numFmtId="0" fontId="33" fillId="18" borderId="0" xfId="0" applyFont="1" applyFill="1" applyAlignment="1">
      <alignment horizontal="left" vertical="center"/>
    </xf>
    <xf numFmtId="0" fontId="34" fillId="15" borderId="0" xfId="0" applyFont="1" applyFill="1" applyAlignment="1">
      <alignment horizontal="left" vertical="center"/>
    </xf>
    <xf numFmtId="0" fontId="35" fillId="15" borderId="0" xfId="0" applyFont="1" applyFill="1" applyAlignment="1">
      <alignment horizontal="left" vertical="center"/>
    </xf>
    <xf numFmtId="0" fontId="20" fillId="19" borderId="18" xfId="0" applyFont="1" applyFill="1" applyBorder="1" applyAlignment="1">
      <alignment horizontal="left" vertical="center" indent="1"/>
    </xf>
    <xf numFmtId="170" fontId="20" fillId="19" borderId="18" xfId="0" applyNumberFormat="1" applyFont="1" applyFill="1" applyBorder="1" applyAlignment="1">
      <alignment horizontal="right" vertical="center"/>
    </xf>
    <xf numFmtId="0" fontId="0" fillId="19" borderId="18" xfId="0" applyFill="1" applyBorder="1"/>
    <xf numFmtId="0" fontId="36" fillId="14" borderId="18" xfId="0" applyFont="1" applyFill="1" applyBorder="1" applyAlignment="1">
      <alignment horizontal="left" vertical="center" indent="1"/>
    </xf>
    <xf numFmtId="170" fontId="36" fillId="14" borderId="18" xfId="0" applyNumberFormat="1" applyFont="1" applyFill="1" applyBorder="1" applyAlignment="1">
      <alignment horizontal="right" vertical="center"/>
    </xf>
    <xf numFmtId="0" fontId="22" fillId="16" borderId="20" xfId="0" applyFont="1" applyFill="1" applyBorder="1" applyAlignment="1">
      <alignment horizontal="left" vertical="center" indent="1"/>
    </xf>
    <xf numFmtId="180" fontId="37" fillId="16" borderId="20" xfId="0" applyNumberFormat="1" applyFont="1" applyFill="1" applyBorder="1" applyAlignment="1">
      <alignment horizontal="right" vertical="center"/>
    </xf>
    <xf numFmtId="0" fontId="24" fillId="16" borderId="20" xfId="0" applyFont="1" applyFill="1" applyBorder="1" applyAlignment="1">
      <alignment horizontal="center" vertical="center"/>
    </xf>
    <xf numFmtId="0" fontId="29" fillId="19" borderId="21" xfId="0" applyFont="1" applyFill="1" applyBorder="1" applyAlignment="1">
      <alignment horizontal="left" vertical="center" indent="1"/>
    </xf>
    <xf numFmtId="3" fontId="29" fillId="19" borderId="21" xfId="0" applyNumberFormat="1" applyFont="1" applyFill="1" applyBorder="1" applyAlignment="1">
      <alignment horizontal="right" vertical="center"/>
    </xf>
    <xf numFmtId="4" fontId="31" fillId="19" borderId="21" xfId="0" applyNumberFormat="1" applyFont="1" applyFill="1" applyBorder="1" applyAlignment="1">
      <alignment horizontal="center" vertical="center"/>
    </xf>
    <xf numFmtId="4" fontId="29" fillId="19" borderId="21" xfId="0" applyNumberFormat="1" applyFont="1" applyFill="1" applyBorder="1" applyAlignment="1">
      <alignment horizontal="right" vertical="center"/>
    </xf>
    <xf numFmtId="0" fontId="26" fillId="15" borderId="0" xfId="0" applyFont="1" applyFill="1" applyAlignment="1">
      <alignment horizontal="left" vertical="center" indent="1"/>
    </xf>
    <xf numFmtId="4" fontId="26" fillId="15" borderId="0" xfId="0" applyNumberFormat="1" applyFont="1" applyFill="1" applyAlignment="1">
      <alignment horizontal="right" vertical="center"/>
    </xf>
    <xf numFmtId="0" fontId="38" fillId="15" borderId="0" xfId="0" applyFont="1" applyFill="1" applyAlignment="1">
      <alignment horizontal="left" vertical="center"/>
    </xf>
    <xf numFmtId="0" fontId="31" fillId="15" borderId="0" xfId="0" applyFont="1" applyFill="1" applyAlignment="1">
      <alignment horizontal="center" vertical="center"/>
    </xf>
    <xf numFmtId="0" fontId="31" fillId="15" borderId="0" xfId="0" applyFont="1" applyFill="1" applyAlignment="1">
      <alignment horizontal="left" vertical="center" indent="1"/>
    </xf>
    <xf numFmtId="170" fontId="26" fillId="15" borderId="0" xfId="0" applyNumberFormat="1" applyFont="1" applyFill="1" applyAlignment="1">
      <alignment horizontal="right" vertical="center"/>
    </xf>
    <xf numFmtId="181" fontId="26" fillId="15" borderId="0" xfId="0" applyNumberFormat="1" applyFont="1" applyFill="1" applyAlignment="1">
      <alignment horizontal="right" vertical="center"/>
    </xf>
    <xf numFmtId="0" fontId="0" fillId="16" borderId="20" xfId="0" applyFill="1" applyBorder="1"/>
    <xf numFmtId="170" fontId="39" fillId="16" borderId="20" xfId="0" applyNumberFormat="1" applyFont="1" applyFill="1" applyBorder="1" applyAlignment="1">
      <alignment horizontal="right" vertical="center"/>
    </xf>
    <xf numFmtId="0" fontId="26" fillId="14" borderId="18" xfId="0" applyFont="1" applyFill="1" applyBorder="1" applyAlignment="1">
      <alignment horizontal="left" vertical="center" indent="1"/>
    </xf>
    <xf numFmtId="0" fontId="0" fillId="14" borderId="18" xfId="0" applyFill="1" applyBorder="1"/>
    <xf numFmtId="170" fontId="26" fillId="14" borderId="18" xfId="0" applyNumberFormat="1" applyFont="1" applyFill="1" applyBorder="1" applyAlignment="1">
      <alignment horizontal="right" vertical="center"/>
    </xf>
    <xf numFmtId="0" fontId="29" fillId="16" borderId="22" xfId="0" applyFont="1" applyFill="1" applyBorder="1" applyAlignment="1">
      <alignment horizontal="left" vertical="center" indent="1"/>
    </xf>
    <xf numFmtId="0" fontId="0" fillId="16" borderId="22" xfId="0" applyFill="1" applyBorder="1"/>
    <xf numFmtId="182" fontId="40" fillId="16" borderId="22" xfId="0" applyNumberFormat="1" applyFont="1" applyFill="1" applyBorder="1" applyAlignment="1">
      <alignment horizontal="right" vertical="center"/>
    </xf>
    <xf numFmtId="183" fontId="31" fillId="16" borderId="22" xfId="0" applyNumberFormat="1" applyFont="1" applyFill="1" applyBorder="1" applyAlignment="1">
      <alignment horizontal="right" vertical="center"/>
    </xf>
    <xf numFmtId="0" fontId="22" fillId="20" borderId="18" xfId="0" applyFont="1" applyFill="1" applyBorder="1" applyAlignment="1">
      <alignment horizontal="left" vertical="center" indent="1"/>
    </xf>
    <xf numFmtId="184" fontId="41" fillId="20" borderId="18" xfId="0" applyNumberFormat="1" applyFont="1" applyFill="1" applyBorder="1" applyAlignment="1">
      <alignment horizontal="right" vertical="center"/>
    </xf>
    <xf numFmtId="185" fontId="42" fillId="20" borderId="18" xfId="0" applyNumberFormat="1" applyFont="1" applyFill="1" applyBorder="1" applyAlignment="1">
      <alignment horizontal="right" vertical="center"/>
    </xf>
    <xf numFmtId="0" fontId="33" fillId="18" borderId="23" xfId="0" applyFont="1" applyFill="1" applyBorder="1" applyAlignment="1">
      <alignment horizontal="left" vertical="center"/>
    </xf>
    <xf numFmtId="0" fontId="0" fillId="18" borderId="23" xfId="0" applyFill="1" applyBorder="1"/>
    <xf numFmtId="0" fontId="0" fillId="0" borderId="23" xfId="0" applyBorder="1"/>
    <xf numFmtId="0" fontId="32" fillId="18" borderId="0" xfId="0" applyFont="1" applyFill="1" applyAlignment="1">
      <alignment horizontal="left" vertical="center" indent="1"/>
    </xf>
    <xf numFmtId="0" fontId="33" fillId="18" borderId="23" xfId="0" applyFont="1" applyFill="1" applyBorder="1" applyAlignment="1">
      <alignment horizontal="left" vertical="center" indent="1"/>
    </xf>
    <xf numFmtId="0" fontId="0" fillId="21" borderId="0" xfId="0" applyFill="1"/>
    <xf numFmtId="0" fontId="0" fillId="21" borderId="0" xfId="0" quotePrefix="1" applyFill="1"/>
    <xf numFmtId="0" fontId="0" fillId="9" borderId="0" xfId="0" applyFill="1"/>
    <xf numFmtId="0" fontId="28" fillId="9" borderId="0" xfId="0" applyFont="1" applyFill="1"/>
    <xf numFmtId="0" fontId="47" fillId="9" borderId="0" xfId="0" applyFont="1" applyFill="1"/>
    <xf numFmtId="0" fontId="2" fillId="9" borderId="0" xfId="0" applyFont="1" applyFill="1"/>
    <xf numFmtId="0" fontId="45" fillId="9" borderId="0" xfId="0" applyFont="1" applyFill="1" applyAlignment="1">
      <alignment horizontal="left" vertical="center"/>
    </xf>
    <xf numFmtId="0" fontId="48" fillId="9" borderId="0" xfId="0" applyFont="1" applyFill="1" applyAlignment="1">
      <alignment horizontal="centerContinuous" vertical="center"/>
    </xf>
    <xf numFmtId="0" fontId="46" fillId="9" borderId="0" xfId="0" applyFont="1" applyFill="1" applyAlignment="1">
      <alignment horizontal="left" vertical="center"/>
    </xf>
    <xf numFmtId="0" fontId="0" fillId="9" borderId="0" xfId="0" quotePrefix="1" applyFill="1"/>
    <xf numFmtId="0" fontId="0" fillId="9" borderId="0" xfId="0" applyFill="1" applyAlignment="1">
      <alignment vertical="center"/>
    </xf>
    <xf numFmtId="0" fontId="49" fillId="9" borderId="25" xfId="0" quotePrefix="1" applyFont="1" applyFill="1" applyBorder="1" applyAlignment="1">
      <alignment horizontal="center" vertical="center"/>
    </xf>
    <xf numFmtId="0" fontId="0" fillId="9" borderId="24" xfId="0" applyFill="1" applyBorder="1" applyAlignment="1">
      <alignment vertical="center"/>
    </xf>
    <xf numFmtId="0" fontId="19" fillId="9" borderId="0" xfId="0" quotePrefix="1" applyFont="1" applyFill="1"/>
    <xf numFmtId="0" fontId="18" fillId="9" borderId="0" xfId="0" quotePrefix="1" applyFont="1" applyFill="1"/>
    <xf numFmtId="0" fontId="0" fillId="9" borderId="14" xfId="0" applyFill="1" applyBorder="1"/>
    <xf numFmtId="0" fontId="0" fillId="9" borderId="16" xfId="0" applyFill="1" applyBorder="1"/>
    <xf numFmtId="0" fontId="23" fillId="9" borderId="17" xfId="0" applyFont="1" applyFill="1" applyBorder="1" applyAlignment="1">
      <alignment horizontal="left" vertical="center" indent="2"/>
    </xf>
    <xf numFmtId="0" fontId="0" fillId="9" borderId="17" xfId="0" applyFill="1" applyBorder="1"/>
    <xf numFmtId="0" fontId="24" fillId="9" borderId="17" xfId="0" applyFont="1" applyFill="1" applyBorder="1" applyAlignment="1">
      <alignment horizontal="right" vertical="center"/>
    </xf>
    <xf numFmtId="0" fontId="0" fillId="9" borderId="13" xfId="0" applyFill="1" applyBorder="1"/>
    <xf numFmtId="0" fontId="0" fillId="9" borderId="15" xfId="0" applyFill="1" applyBorder="1"/>
    <xf numFmtId="0" fontId="0" fillId="9" borderId="18" xfId="0" applyFill="1" applyBorder="1"/>
    <xf numFmtId="3" fontId="26" fillId="9" borderId="0" xfId="0" applyNumberFormat="1" applyFont="1" applyFill="1" applyAlignment="1">
      <alignment horizontal="right" vertical="center"/>
    </xf>
    <xf numFmtId="178" fontId="26" fillId="9" borderId="0" xfId="0" applyNumberFormat="1" applyFont="1" applyFill="1" applyAlignment="1">
      <alignment horizontal="right" vertical="center"/>
    </xf>
    <xf numFmtId="164" fontId="26" fillId="9" borderId="0" xfId="0" applyNumberFormat="1" applyFont="1" applyFill="1" applyAlignment="1">
      <alignment horizontal="right" vertical="center"/>
    </xf>
    <xf numFmtId="179" fontId="26" fillId="9" borderId="0" xfId="0" applyNumberFormat="1" applyFont="1" applyFill="1" applyAlignment="1">
      <alignment horizontal="right" vertical="center"/>
    </xf>
    <xf numFmtId="3" fontId="3" fillId="9" borderId="2" xfId="38" applyFill="1" applyBorder="1">
      <alignment horizontal="right" vertical="center"/>
    </xf>
    <xf numFmtId="164" fontId="3" fillId="9" borderId="2" xfId="10" applyFont="1" applyFill="1" applyBorder="1">
      <alignment horizontal="center"/>
    </xf>
    <xf numFmtId="0" fontId="26" fillId="9" borderId="0" xfId="0" applyFont="1" applyFill="1" applyAlignment="1">
      <alignment horizontal="left" vertical="center"/>
    </xf>
    <xf numFmtId="0" fontId="44" fillId="9" borderId="0" xfId="0" applyFont="1" applyFill="1" applyAlignment="1">
      <alignment horizontal="left" vertical="center"/>
    </xf>
    <xf numFmtId="0" fontId="50" fillId="9" borderId="0" xfId="0" applyFont="1" applyFill="1"/>
    <xf numFmtId="0" fontId="51" fillId="17" borderId="19" xfId="25" quotePrefix="1" applyFont="1" applyFill="1" applyBorder="1" applyAlignment="1">
      <alignment horizontal="left" vertical="center" indent="1"/>
    </xf>
    <xf numFmtId="0" fontId="51" fillId="17" borderId="19" xfId="25" quotePrefix="1" applyFont="1" applyFill="1" applyBorder="1" applyAlignment="1">
      <alignment horizontal="center" vertical="center"/>
    </xf>
    <xf numFmtId="0" fontId="51" fillId="17" borderId="19" xfId="0" applyFont="1" applyFill="1" applyBorder="1" applyAlignment="1">
      <alignment horizontal="center" vertical="center"/>
    </xf>
    <xf numFmtId="0" fontId="51" fillId="9" borderId="19" xfId="0" applyFont="1" applyFill="1" applyBorder="1" applyAlignment="1">
      <alignment horizontal="center" vertical="center"/>
    </xf>
    <xf numFmtId="0" fontId="52" fillId="9" borderId="5" xfId="25" quotePrefix="1" applyFont="1">
      <alignment horizontal="center" vertical="center" wrapText="1"/>
    </xf>
    <xf numFmtId="0" fontId="52" fillId="9" borderId="5" xfId="25" applyFont="1">
      <alignment horizontal="center" vertical="center" wrapText="1"/>
    </xf>
    <xf numFmtId="0" fontId="53" fillId="9" borderId="0" xfId="0" applyFont="1" applyFill="1"/>
    <xf numFmtId="3" fontId="54" fillId="15" borderId="0" xfId="0" quotePrefix="1" applyNumberFormat="1" applyFont="1" applyFill="1" applyAlignment="1">
      <alignment horizontal="left" vertical="center"/>
    </xf>
    <xf numFmtId="3" fontId="54" fillId="15" borderId="0" xfId="0" applyNumberFormat="1" applyFont="1" applyFill="1" applyAlignment="1">
      <alignment horizontal="right" vertical="center"/>
    </xf>
    <xf numFmtId="178" fontId="54" fillId="15" borderId="0" xfId="0" applyNumberFormat="1" applyFont="1" applyFill="1" applyAlignment="1">
      <alignment horizontal="right" vertical="center"/>
    </xf>
    <xf numFmtId="164" fontId="54" fillId="15" borderId="0" xfId="0" applyNumberFormat="1" applyFont="1" applyFill="1" applyAlignment="1">
      <alignment horizontal="right" vertical="center"/>
    </xf>
    <xf numFmtId="179" fontId="54" fillId="15" borderId="0" xfId="0" applyNumberFormat="1" applyFont="1" applyFill="1" applyAlignment="1">
      <alignment horizontal="right" vertical="center"/>
    </xf>
    <xf numFmtId="164" fontId="54" fillId="15" borderId="0" xfId="38" applyNumberFormat="1" applyFont="1" applyFill="1" applyBorder="1">
      <alignment horizontal="right" vertical="center"/>
    </xf>
    <xf numFmtId="0" fontId="56" fillId="9" borderId="11" xfId="0" applyFont="1" applyFill="1" applyBorder="1" applyAlignment="1">
      <alignment horizontal="left" vertical="center" indent="2"/>
    </xf>
    <xf numFmtId="0" fontId="50" fillId="9" borderId="12" xfId="0" applyFont="1" applyFill="1" applyBorder="1"/>
    <xf numFmtId="0" fontId="58" fillId="9" borderId="11" xfId="0" applyFont="1" applyFill="1" applyBorder="1" applyAlignment="1">
      <alignment horizontal="left" vertical="center" indent="2"/>
    </xf>
    <xf numFmtId="0" fontId="58" fillId="9" borderId="17" xfId="0" applyFont="1" applyFill="1" applyBorder="1" applyAlignment="1">
      <alignment horizontal="left" vertical="center" indent="2"/>
    </xf>
    <xf numFmtId="3" fontId="55" fillId="15" borderId="0" xfId="0" quotePrefix="1" applyNumberFormat="1" applyFont="1" applyFill="1" applyAlignment="1">
      <alignment horizontal="left" vertical="center"/>
    </xf>
    <xf numFmtId="186" fontId="55" fillId="15" borderId="0" xfId="0" quotePrefix="1" applyNumberFormat="1" applyFont="1" applyFill="1" applyAlignment="1">
      <alignment horizontal="left" vertical="center"/>
    </xf>
    <xf numFmtId="0" fontId="60" fillId="9" borderId="0" xfId="0" applyFont="1" applyFill="1"/>
    <xf numFmtId="0" fontId="61" fillId="9" borderId="0" xfId="0" quotePrefix="1" applyFont="1" applyFill="1"/>
    <xf numFmtId="0" fontId="59" fillId="9" borderId="0" xfId="0" quotePrefix="1" applyFont="1" applyFill="1"/>
    <xf numFmtId="164" fontId="62" fillId="15" borderId="0" xfId="0" applyNumberFormat="1" applyFont="1" applyFill="1" applyAlignment="1">
      <alignment horizontal="right" vertical="center"/>
    </xf>
    <xf numFmtId="0" fontId="63" fillId="9" borderId="0" xfId="0" applyFont="1" applyFill="1"/>
    <xf numFmtId="0" fontId="57" fillId="22" borderId="11" xfId="56" applyFont="1" applyFill="1" applyBorder="1" applyAlignment="1">
      <alignment horizontal="centerContinuous" vertical="center"/>
    </xf>
    <xf numFmtId="0" fontId="57" fillId="22" borderId="12" xfId="56" applyFont="1" applyFill="1" applyBorder="1" applyAlignment="1">
      <alignment vertical="center"/>
    </xf>
    <xf numFmtId="0" fontId="57" fillId="22" borderId="11" xfId="56" applyFont="1" applyFill="1" applyBorder="1" applyAlignment="1">
      <alignment horizontal="left" vertical="center"/>
    </xf>
    <xf numFmtId="0" fontId="57" fillId="22" borderId="12" xfId="56" applyFont="1" applyFill="1" applyBorder="1" applyAlignment="1">
      <alignment horizontal="centerContinuous" vertical="center"/>
    </xf>
    <xf numFmtId="0" fontId="57" fillId="22" borderId="11" xfId="56" applyFont="1" applyFill="1" applyBorder="1" applyAlignment="1">
      <alignment horizontal="left" vertical="center" indent="1"/>
    </xf>
    <xf numFmtId="0" fontId="57" fillId="22" borderId="12" xfId="56" applyFont="1" applyFill="1" applyBorder="1" applyAlignment="1">
      <alignment horizontal="left" vertical="center" indent="1"/>
    </xf>
    <xf numFmtId="0" fontId="57" fillId="22" borderId="11" xfId="0" applyFont="1" applyFill="1" applyBorder="1" applyAlignment="1">
      <alignment horizontal="left" vertical="center" indent="1"/>
    </xf>
    <xf numFmtId="0" fontId="57" fillId="22" borderId="12" xfId="0" applyFont="1" applyFill="1" applyBorder="1" applyAlignment="1">
      <alignment horizontal="left" vertical="center" indent="1"/>
    </xf>
    <xf numFmtId="172" fontId="21" fillId="22" borderId="13" xfId="56" applyNumberFormat="1" applyFont="1" applyFill="1" applyBorder="1" applyAlignment="1">
      <alignment horizontal="centerContinuous" vertical="center"/>
    </xf>
    <xf numFmtId="172" fontId="21" fillId="22" borderId="14" xfId="56" applyNumberFormat="1" applyFont="1" applyFill="1" applyBorder="1" applyAlignment="1">
      <alignment vertical="center"/>
    </xf>
    <xf numFmtId="172" fontId="21" fillId="22" borderId="14" xfId="56" applyNumberFormat="1" applyFont="1" applyFill="1" applyBorder="1" applyAlignment="1">
      <alignment horizontal="centerContinuous" vertical="center"/>
    </xf>
    <xf numFmtId="164" fontId="21" fillId="22" borderId="13" xfId="56" applyNumberFormat="1" applyFont="1" applyFill="1" applyBorder="1" applyAlignment="1">
      <alignment horizontal="left" vertical="center" indent="1"/>
    </xf>
    <xf numFmtId="164" fontId="21" fillId="22" borderId="14" xfId="56" applyNumberFormat="1" applyFont="1" applyFill="1" applyBorder="1" applyAlignment="1">
      <alignment horizontal="left" vertical="center" indent="1"/>
    </xf>
    <xf numFmtId="3" fontId="21" fillId="22" borderId="13" xfId="56" applyNumberFormat="1" applyFont="1" applyFill="1" applyBorder="1" applyAlignment="1">
      <alignment horizontal="left" vertical="center" indent="1"/>
    </xf>
    <xf numFmtId="3" fontId="21" fillId="22" borderId="14" xfId="56" applyNumberFormat="1" applyFont="1" applyFill="1" applyBorder="1" applyAlignment="1">
      <alignment horizontal="left" vertical="center" indent="1"/>
    </xf>
    <xf numFmtId="170" fontId="21" fillId="22" borderId="13" xfId="56" applyNumberFormat="1" applyFont="1" applyFill="1" applyBorder="1" applyAlignment="1">
      <alignment horizontal="left" vertical="center" indent="1"/>
    </xf>
    <xf numFmtId="170" fontId="21" fillId="22" borderId="14" xfId="56" applyNumberFormat="1" applyFont="1" applyFill="1" applyBorder="1" applyAlignment="1">
      <alignment horizontal="left" vertical="center" indent="1"/>
    </xf>
    <xf numFmtId="164" fontId="21" fillId="22" borderId="13" xfId="0" applyNumberFormat="1" applyFont="1" applyFill="1" applyBorder="1" applyAlignment="1">
      <alignment horizontal="left" vertical="center" indent="1"/>
    </xf>
    <xf numFmtId="164" fontId="21" fillId="22" borderId="14" xfId="0" applyNumberFormat="1" applyFont="1" applyFill="1" applyBorder="1" applyAlignment="1">
      <alignment horizontal="left" vertical="center" indent="1"/>
    </xf>
    <xf numFmtId="175" fontId="27" fillId="22" borderId="15" xfId="56" applyNumberFormat="1" applyFont="1" applyFill="1" applyBorder="1" applyAlignment="1">
      <alignment horizontal="centerContinuous" vertical="center"/>
    </xf>
    <xf numFmtId="173" fontId="22" fillId="22" borderId="16" xfId="56" applyNumberFormat="1" applyFont="1" applyFill="1" applyBorder="1" applyAlignment="1">
      <alignment vertical="center"/>
    </xf>
    <xf numFmtId="173" fontId="22" fillId="22" borderId="16" xfId="56" applyNumberFormat="1" applyFont="1" applyFill="1" applyBorder="1" applyAlignment="1">
      <alignment horizontal="centerContinuous" vertical="center"/>
    </xf>
    <xf numFmtId="176" fontId="27" fillId="22" borderId="15" xfId="56" applyNumberFormat="1" applyFont="1" applyFill="1" applyBorder="1" applyAlignment="1">
      <alignment horizontal="left" vertical="center" indent="1"/>
    </xf>
    <xf numFmtId="174" fontId="22" fillId="22" borderId="16" xfId="56" applyNumberFormat="1" applyFont="1" applyFill="1" applyBorder="1" applyAlignment="1">
      <alignment horizontal="left" vertical="center" indent="1"/>
    </xf>
    <xf numFmtId="175" fontId="27" fillId="22" borderId="15" xfId="56" applyNumberFormat="1" applyFont="1" applyFill="1" applyBorder="1" applyAlignment="1">
      <alignment horizontal="left" vertical="center" indent="1"/>
    </xf>
    <xf numFmtId="173" fontId="22" fillId="22" borderId="16" xfId="56" applyNumberFormat="1" applyFont="1" applyFill="1" applyBorder="1" applyAlignment="1">
      <alignment horizontal="left" vertical="center" indent="1"/>
    </xf>
    <xf numFmtId="177" fontId="27" fillId="22" borderId="15" xfId="0" applyNumberFormat="1" applyFont="1" applyFill="1" applyBorder="1" applyAlignment="1">
      <alignment horizontal="left" vertical="center" indent="1"/>
    </xf>
    <xf numFmtId="171" fontId="22" fillId="22" borderId="16" xfId="0" applyNumberFormat="1" applyFont="1" applyFill="1" applyBorder="1" applyAlignment="1">
      <alignment horizontal="left" vertical="center" indent="1"/>
    </xf>
    <xf numFmtId="172" fontId="21" fillId="22" borderId="13" xfId="56" applyNumberFormat="1" applyFont="1" applyFill="1" applyBorder="1" applyAlignment="1">
      <alignment horizontal="center" vertical="center"/>
    </xf>
    <xf numFmtId="0" fontId="49" fillId="9" borderId="25" xfId="0" quotePrefix="1" applyFont="1" applyFill="1" applyBorder="1" applyAlignment="1">
      <alignment horizontal="centerContinuous" vertical="center"/>
    </xf>
    <xf numFmtId="0" fontId="64" fillId="9" borderId="0" xfId="0" applyFont="1" applyFill="1" applyAlignment="1">
      <alignment horizontal="left" vertical="center" indent="4"/>
    </xf>
    <xf numFmtId="0" fontId="65" fillId="9" borderId="0" xfId="0" applyFont="1" applyFill="1" applyAlignment="1">
      <alignment horizontal="left" vertical="center" indent="4"/>
    </xf>
    <xf numFmtId="0" fontId="2" fillId="21" borderId="0" xfId="0" applyFont="1" applyFill="1" applyAlignment="1">
      <alignment horizontal="left" indent="4"/>
    </xf>
    <xf numFmtId="0" fontId="2" fillId="9" borderId="0" xfId="0" applyFont="1" applyFill="1" applyAlignment="1">
      <alignment horizontal="left" indent="4"/>
    </xf>
    <xf numFmtId="0" fontId="64" fillId="9" borderId="0" xfId="0" applyFont="1" applyFill="1" applyAlignment="1">
      <alignment horizontal="center" vertical="center"/>
    </xf>
    <xf numFmtId="0" fontId="66" fillId="9" borderId="0" xfId="0" applyFont="1" applyFill="1"/>
    <xf numFmtId="0" fontId="67" fillId="9" borderId="0" xfId="56" applyFont="1" applyFill="1" applyAlignment="1">
      <alignment horizontal="center" vertical="center"/>
    </xf>
    <xf numFmtId="0" fontId="0" fillId="23" borderId="0" xfId="0" applyFill="1"/>
    <xf numFmtId="0" fontId="68" fillId="23" borderId="0" xfId="0" applyFont="1" applyFill="1" applyAlignment="1">
      <alignment horizontal="left" vertical="center" indent="2"/>
    </xf>
    <xf numFmtId="0" fontId="23" fillId="23" borderId="0" xfId="0" applyFont="1" applyFill="1" applyAlignment="1">
      <alignment horizontal="left" vertical="center" indent="2"/>
    </xf>
    <xf numFmtId="0" fontId="69" fillId="23" borderId="26" xfId="0" applyFont="1" applyFill="1" applyBorder="1" applyAlignment="1">
      <alignment horizontal="center" vertical="center"/>
    </xf>
    <xf numFmtId="0" fontId="20" fillId="23" borderId="26" xfId="0" quotePrefix="1" applyFont="1" applyFill="1" applyBorder="1" applyAlignment="1">
      <alignment horizontal="left" vertical="center"/>
    </xf>
    <xf numFmtId="0" fontId="70" fillId="23" borderId="26" xfId="0" applyFont="1" applyFill="1" applyBorder="1" applyAlignment="1">
      <alignment horizontal="left" vertical="center"/>
    </xf>
    <xf numFmtId="0" fontId="69" fillId="23" borderId="26" xfId="0" applyFont="1" applyFill="1" applyBorder="1" applyAlignment="1">
      <alignment horizontal="left" vertical="center"/>
    </xf>
    <xf numFmtId="0" fontId="20" fillId="23" borderId="26" xfId="0" applyFont="1" applyFill="1" applyBorder="1" applyAlignment="1">
      <alignment horizontal="left" vertical="center" indent="1"/>
    </xf>
    <xf numFmtId="0" fontId="0" fillId="23" borderId="26" xfId="0" applyFill="1" applyBorder="1"/>
    <xf numFmtId="0" fontId="20" fillId="23" borderId="26" xfId="0" applyFont="1" applyFill="1" applyBorder="1" applyAlignment="1">
      <alignment horizontal="left" vertical="center"/>
    </xf>
    <xf numFmtId="0" fontId="19" fillId="23" borderId="0" xfId="0" quotePrefix="1" applyFont="1" applyFill="1"/>
    <xf numFmtId="0" fontId="18" fillId="23" borderId="0" xfId="0" quotePrefix="1" applyFont="1" applyFill="1"/>
    <xf numFmtId="0" fontId="69" fillId="23" borderId="11" xfId="56" applyFont="1" applyFill="1" applyBorder="1" applyAlignment="1">
      <alignment horizontal="left" vertical="center" indent="1"/>
    </xf>
    <xf numFmtId="0" fontId="69" fillId="23" borderId="17" xfId="56" applyFont="1" applyFill="1" applyBorder="1" applyAlignment="1">
      <alignment horizontal="left" vertical="center" indent="1"/>
    </xf>
    <xf numFmtId="0" fontId="69" fillId="23" borderId="12" xfId="56" applyFont="1" applyFill="1" applyBorder="1" applyAlignment="1">
      <alignment horizontal="left" vertical="center" indent="1"/>
    </xf>
    <xf numFmtId="0" fontId="69" fillId="23" borderId="11" xfId="0" applyFont="1" applyFill="1" applyBorder="1" applyAlignment="1">
      <alignment horizontal="left" vertical="center" indent="1"/>
    </xf>
    <xf numFmtId="0" fontId="69" fillId="23" borderId="12" xfId="0" applyFont="1" applyFill="1" applyBorder="1" applyAlignment="1">
      <alignment horizontal="left" vertical="center" indent="1"/>
    </xf>
    <xf numFmtId="0" fontId="0" fillId="23" borderId="12" xfId="0" applyFill="1" applyBorder="1"/>
    <xf numFmtId="172" fontId="21" fillId="23" borderId="13" xfId="56" applyNumberFormat="1" applyFont="1" applyFill="1" applyBorder="1" applyAlignment="1">
      <alignment horizontal="left" vertical="center" indent="1"/>
    </xf>
    <xf numFmtId="172" fontId="21" fillId="23" borderId="0" xfId="56" applyNumberFormat="1" applyFont="1" applyFill="1" applyAlignment="1">
      <alignment horizontal="left" vertical="center" indent="1"/>
    </xf>
    <xf numFmtId="172" fontId="21" fillId="23" borderId="14" xfId="56" applyNumberFormat="1" applyFont="1" applyFill="1" applyBorder="1" applyAlignment="1">
      <alignment horizontal="left" vertical="center" indent="1"/>
    </xf>
    <xf numFmtId="164" fontId="21" fillId="23" borderId="13" xfId="56" applyNumberFormat="1" applyFont="1" applyFill="1" applyBorder="1" applyAlignment="1">
      <alignment horizontal="left" vertical="center" indent="1"/>
    </xf>
    <xf numFmtId="164" fontId="21" fillId="23" borderId="14" xfId="56" applyNumberFormat="1" applyFont="1" applyFill="1" applyBorder="1" applyAlignment="1">
      <alignment horizontal="left" vertical="center" indent="1"/>
    </xf>
    <xf numFmtId="3" fontId="21" fillId="23" borderId="13" xfId="56" applyNumberFormat="1" applyFont="1" applyFill="1" applyBorder="1" applyAlignment="1">
      <alignment horizontal="left" vertical="center" indent="1"/>
    </xf>
    <xf numFmtId="3" fontId="21" fillId="23" borderId="14" xfId="56" applyNumberFormat="1" applyFont="1" applyFill="1" applyBorder="1" applyAlignment="1">
      <alignment horizontal="left" vertical="center" indent="1"/>
    </xf>
    <xf numFmtId="170" fontId="21" fillId="23" borderId="13" xfId="56" applyNumberFormat="1" applyFont="1" applyFill="1" applyBorder="1" applyAlignment="1">
      <alignment horizontal="left" vertical="center" indent="1"/>
    </xf>
    <xf numFmtId="170" fontId="21" fillId="23" borderId="14" xfId="56" applyNumberFormat="1" applyFont="1" applyFill="1" applyBorder="1" applyAlignment="1">
      <alignment horizontal="left" vertical="center" indent="1"/>
    </xf>
    <xf numFmtId="164" fontId="21" fillId="23" borderId="13" xfId="0" applyNumberFormat="1" applyFont="1" applyFill="1" applyBorder="1" applyAlignment="1">
      <alignment horizontal="left" vertical="center" indent="1"/>
    </xf>
    <xf numFmtId="164" fontId="21" fillId="23" borderId="14" xfId="0" applyNumberFormat="1" applyFont="1" applyFill="1" applyBorder="1" applyAlignment="1">
      <alignment horizontal="left" vertical="center" indent="1"/>
    </xf>
    <xf numFmtId="0" fontId="0" fillId="23" borderId="14" xfId="0" applyFill="1" applyBorder="1"/>
    <xf numFmtId="164" fontId="21" fillId="23" borderId="0" xfId="56" applyNumberFormat="1" applyFont="1" applyFill="1" applyAlignment="1">
      <alignment horizontal="left" vertical="center" indent="1"/>
    </xf>
    <xf numFmtId="3" fontId="21" fillId="23" borderId="0" xfId="56" applyNumberFormat="1" applyFont="1" applyFill="1" applyAlignment="1">
      <alignment horizontal="left" vertical="center" indent="1"/>
    </xf>
    <xf numFmtId="170" fontId="21" fillId="23" borderId="0" xfId="56" applyNumberFormat="1" applyFont="1" applyFill="1" applyAlignment="1">
      <alignment horizontal="left" vertical="center" indent="1"/>
    </xf>
    <xf numFmtId="164" fontId="21" fillId="23" borderId="0" xfId="0" applyNumberFormat="1" applyFont="1" applyFill="1" applyAlignment="1">
      <alignment horizontal="left" vertical="center" indent="1"/>
    </xf>
    <xf numFmtId="0" fontId="3" fillId="9" borderId="5" xfId="25" quotePrefix="1">
      <alignment horizontal="center" vertical="center" wrapText="1"/>
    </xf>
    <xf numFmtId="0" fontId="71" fillId="24" borderId="27" xfId="0" applyFont="1" applyFill="1" applyBorder="1" applyAlignment="1">
      <alignment horizontal="center" vertical="center" wrapText="1"/>
    </xf>
    <xf numFmtId="0" fontId="0" fillId="0" borderId="0" xfId="0" quotePrefix="1"/>
    <xf numFmtId="187" fontId="72" fillId="0" borderId="27" xfId="0" applyNumberFormat="1" applyFont="1" applyBorder="1" applyAlignment="1">
      <alignment horizontal="right" vertical="center"/>
    </xf>
    <xf numFmtId="187" fontId="73" fillId="0" borderId="27" xfId="0" applyNumberFormat="1" applyFont="1" applyBorder="1" applyAlignment="1">
      <alignment horizontal="right" vertical="center"/>
    </xf>
    <xf numFmtId="0" fontId="72" fillId="0" borderId="27" xfId="0" applyFont="1" applyBorder="1" applyAlignment="1">
      <alignment horizontal="left" vertical="center"/>
    </xf>
    <xf numFmtId="0" fontId="74" fillId="15" borderId="0" xfId="56" applyFont="1" applyFill="1" applyAlignment="1">
      <alignment horizontal="center" vertical="center"/>
    </xf>
    <xf numFmtId="178" fontId="26" fillId="15" borderId="0" xfId="0" applyNumberFormat="1" applyFont="1" applyFill="1" applyAlignment="1">
      <alignment horizontal="right" vertical="center"/>
    </xf>
    <xf numFmtId="179" fontId="26" fillId="15" borderId="0" xfId="0" applyNumberFormat="1" applyFont="1" applyFill="1" applyAlignment="1">
      <alignment horizontal="right" vertical="center"/>
    </xf>
    <xf numFmtId="0" fontId="28" fillId="23" borderId="0" xfId="0" applyFont="1" applyFill="1"/>
    <xf numFmtId="0" fontId="74" fillId="15" borderId="0" xfId="0" applyFont="1" applyFill="1" applyAlignment="1">
      <alignment horizontal="center" vertical="center"/>
    </xf>
    <xf numFmtId="0" fontId="26" fillId="15" borderId="0" xfId="0" applyFont="1" applyFill="1" applyAlignment="1">
      <alignment horizontal="left" vertical="center"/>
    </xf>
    <xf numFmtId="0" fontId="44" fillId="15" borderId="0" xfId="0" applyFont="1" applyFill="1" applyAlignment="1">
      <alignment horizontal="left" vertical="center"/>
    </xf>
    <xf numFmtId="3" fontId="3" fillId="0" borderId="2" xfId="38" applyFill="1" applyBorder="1">
      <alignment horizontal="right" vertical="center"/>
    </xf>
    <xf numFmtId="3" fontId="3" fillId="0" borderId="2" xfId="38" quotePrefix="1" applyFill="1" applyBorder="1">
      <alignment horizontal="right" vertical="center"/>
    </xf>
    <xf numFmtId="0" fontId="72" fillId="0" borderId="0" xfId="0" applyFont="1" applyAlignment="1">
      <alignment horizontal="left" vertical="center"/>
    </xf>
    <xf numFmtId="164" fontId="72" fillId="2" borderId="0" xfId="0" applyNumberFormat="1" applyFont="1" applyFill="1" applyAlignment="1">
      <alignment horizontal="center" vertical="center"/>
    </xf>
    <xf numFmtId="187" fontId="72" fillId="0" borderId="0" xfId="0" applyNumberFormat="1" applyFont="1" applyAlignment="1">
      <alignment horizontal="right" vertical="center"/>
    </xf>
  </cellXfs>
  <cellStyles count="57">
    <cellStyle name="%0." xfId="9" xr:uid="{0DAF4F15-CAF0-48EE-9554-4E789157264E}"/>
    <cellStyle name="%0.0" xfId="10" xr:uid="{567618BE-5A60-412A-B50D-1C48BEA1D00A}"/>
    <cellStyle name="%0.00" xfId="11" xr:uid="{0FA633ED-0AAF-4FB8-82AD-8DB81862C10B}"/>
    <cellStyle name="60 % - Accent1" xfId="3" builtinId="32" customBuiltin="1"/>
    <cellStyle name="60 % - Accent2" xfId="4" builtinId="36" customBuiltin="1"/>
    <cellStyle name="60 % - Accent3" xfId="5" builtinId="40" customBuiltin="1"/>
    <cellStyle name="60 % - Accent4" xfId="6" builtinId="44" customBuiltin="1"/>
    <cellStyle name="60 % - Accent5" xfId="7" builtinId="48" customBuiltin="1"/>
    <cellStyle name="60 % - Accent6" xfId="8" builtinId="52" customBuiltin="1"/>
    <cellStyle name="ACT" xfId="12" xr:uid="{929B25C5-DA52-44EB-80F0-6EA184B028EA}"/>
    <cellStyle name="Alighment Center" xfId="13" xr:uid="{A44B6316-3ECE-4513-9919-C351446E53B9}"/>
    <cellStyle name="Alighment Left" xfId="14" xr:uid="{11541B42-75B8-4C27-B044-82FDAD1241A0}"/>
    <cellStyle name="Alignment H&amp;V center" xfId="15" xr:uid="{69B8F8E8-8CBC-4D30-8F2F-4FAB8DCBF41C}"/>
    <cellStyle name="Amounts left nolocked" xfId="16" xr:uid="{28407FF5-F2B4-4873-8659-0922D641F793}"/>
    <cellStyle name="Amounts w/ 2 Decimals" xfId="17" xr:uid="{D7C5C079-15D8-4357-9328-390530FBE90C}"/>
    <cellStyle name="Amounts_Board" xfId="18" xr:uid="{54051937-040D-42F2-A365-91BFE0854521}"/>
    <cellStyle name="Amounts-1000" xfId="19" xr:uid="{F0C5AF86-7CB1-4BFF-9E17-6A6E3311646C}"/>
    <cellStyle name="BDG" xfId="20" xr:uid="{5E4C9425-32F2-4BBB-91F4-83693CD9D647}"/>
    <cellStyle name="Blank_Row" xfId="21" xr:uid="{3C35221B-EF3A-4FEE-9B9B-09B672D8BED7}"/>
    <cellStyle name="Bold" xfId="22" xr:uid="{8637E01A-9234-477F-B9AF-2B56A00F6645}"/>
    <cellStyle name="Bold+Italic" xfId="23" xr:uid="{827E84B8-BCB6-4AED-9293-1217CEB5BE24}"/>
    <cellStyle name="C_Amount_ACT" xfId="24" xr:uid="{4AABF9B3-7D01-4B04-A50E-BAB64660B6DF}"/>
    <cellStyle name="C_Head" xfId="25" xr:uid="{EA3128F7-F50B-4B13-BB8D-5FA820B00D9A}"/>
    <cellStyle name="Date" xfId="26" xr:uid="{A0736CF4-C723-4D68-8938-4B663A2477D0}"/>
    <cellStyle name="Fill light blue" xfId="27" xr:uid="{3F044181-E12A-4A79-9603-0DB135BDC80D}"/>
    <cellStyle name="Formula" xfId="28" xr:uid="{31469566-B57B-493C-84B0-6BF7342DF019}"/>
    <cellStyle name="Head_left" xfId="29" xr:uid="{9B7947C6-451C-4179-8556-C9F288CDA137}"/>
    <cellStyle name="Hyperlink for amounts" xfId="30" xr:uid="{0E69BFBE-EAA0-4F3F-9F50-8BE35850328A}"/>
    <cellStyle name="Hyperlnk row header underlined bold" xfId="31" xr:uid="{D5859D12-A632-4792-A5DF-43C7CEFF2E9E}"/>
    <cellStyle name="Middle Headers Centered" xfId="32" xr:uid="{0451219E-52F2-4193-A0A4-F5D087791A49}"/>
    <cellStyle name="NA Currency" xfId="33" xr:uid="{DDDF32B4-A667-42BA-84D6-31398D6F817C}"/>
    <cellStyle name="NA Currency 2 dec" xfId="34" xr:uid="{80B1EC4C-C47C-4B91-94FF-15FD41079E9E}"/>
    <cellStyle name="Neutre" xfId="2" builtinId="28" customBuiltin="1"/>
    <cellStyle name="Normal" xfId="0" builtinId="0"/>
    <cellStyle name="Normal 2" xfId="56" xr:uid="{6A6553C5-64D5-4BB0-BCD8-3D8D301A28D0}"/>
    <cellStyle name="Placeholder" xfId="35" xr:uid="{6EEDF83A-7011-426C-9064-8A6784CCE7FB}"/>
    <cellStyle name="Placeholder Header Underlined bold" xfId="36" xr:uid="{F174ACC8-AF21-4660-91FA-DE5B9ECAC60C}"/>
    <cellStyle name="Placeholder_column_blank" xfId="37" xr:uid="{DE73F4F1-A8C5-4C78-BD1E-1169E5883FDD}"/>
    <cellStyle name="R_Area_font" xfId="38" xr:uid="{75D5B786-5F6A-40B0-BF0B-85A4EABF0FE2}"/>
    <cellStyle name="R_AREA_FONT_UC" xfId="39" xr:uid="{9BC31809-2E3B-4691-A74C-472E7934EBAE}"/>
    <cellStyle name="R_formula" xfId="40" xr:uid="{33160225-5793-4F3C-A249-89D12A88F467}"/>
    <cellStyle name="R_head_font" xfId="41" xr:uid="{17243EFC-8132-4BE9-A50F-3E4821FB6561}"/>
    <cellStyle name="Row_Grey" xfId="42" xr:uid="{002132D2-8E24-450F-9DBE-9689D4581241}"/>
    <cellStyle name="Status Check" xfId="43" xr:uid="{B8A31753-417D-4AC1-A596-8CF713F29CEF}"/>
    <cellStyle name="Style0" xfId="44" xr:uid="{EB33866A-8C6D-4E8C-B7C4-2BD663704C10}"/>
    <cellStyle name="Subtotal Amounts row fill" xfId="45" xr:uid="{5450DC44-FCE2-438E-B041-DD5C1479303C}"/>
    <cellStyle name="Subtotal head row fill" xfId="46" xr:uid="{B537CA64-D400-4DE0-AD4A-5E8C0499C263}"/>
    <cellStyle name="Subtotal_amounts" xfId="47" xr:uid="{7FA7C401-EF17-41D9-A139-99C43B0A9717}"/>
    <cellStyle name="TGK_TOC_PAGE_COLUMN" xfId="48" xr:uid="{B30B40CB-4038-4B68-9674-01311B532102}"/>
    <cellStyle name="Titre" xfId="1" builtinId="15" customBuiltin="1"/>
    <cellStyle name="Visual Check" xfId="49" xr:uid="{5D5E7275-206D-4B4D-ACC5-849505CD9EB5}"/>
    <cellStyle name="Webdings" xfId="50" xr:uid="{A63BE114-D01F-4B79-98E1-C6834BCC4FBC}"/>
    <cellStyle name="Webdings1" xfId="51" xr:uid="{3F7B57CC-3956-4FDE-82DD-499227798559}"/>
    <cellStyle name="Webdings14" xfId="52" xr:uid="{A753DEA2-B3D0-45D5-8E12-0C285E855C98}"/>
    <cellStyle name="Webdings14Green" xfId="53" xr:uid="{AAAA521C-06E0-4FC0-8720-7CD8840F0ACF}"/>
    <cellStyle name="Work new book placeholder header underlined" xfId="54" xr:uid="{3AAB37B0-EDD0-4E9D-A04C-1C3887AFE695}"/>
    <cellStyle name="WrappedText" xfId="55" xr:uid="{5866BD7A-17D6-4DA3-A30E-3312C69A747C}"/>
  </cellStyles>
  <dxfs count="27">
    <dxf>
      <font>
        <sz val="8.5"/>
        <color rgb="FFD64545"/>
        <name val="Arial"/>
      </font>
    </dxf>
    <dxf>
      <font>
        <sz val="8.5"/>
        <color rgb="FF1E9E89"/>
        <name val="Arial"/>
      </font>
    </dxf>
    <dxf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ont>
        <b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  <dxf>
      <font>
        <b/>
      </font>
      <fill>
        <patternFill patternType="solid">
          <fgColor rgb="FFD9E2EF"/>
          <bgColor rgb="FFD9E2EF"/>
        </patternFill>
      </fill>
      <border>
        <bottom style="thin">
          <color rgb="FFE9EDF3"/>
        </bottom>
      </border>
    </dxf>
    <dxf>
      <fill>
        <patternFill>
          <bgColor rgb="FFFFF1E8"/>
        </patternFill>
      </fill>
      <border>
        <bottom style="thin">
          <color rgb="FFE9EDF3"/>
        </bottom>
      </border>
    </dxf>
    <dxf>
      <font>
        <sz val="9"/>
        <color rgb="FFD64545"/>
        <name val="Arial"/>
      </font>
    </dxf>
    <dxf>
      <font>
        <sz val="9"/>
        <color rgb="FF1E9E89"/>
        <name val="Arial"/>
      </font>
    </dxf>
    <dxf>
      <fill>
        <patternFill>
          <bgColor rgb="FFFFFFFF"/>
        </patternFill>
      </fill>
      <border>
        <bottom style="thin">
          <color rgb="FFE9EDF3"/>
        </bottom>
      </border>
    </dxf>
    <dxf>
      <font>
        <b/>
        <sz val="9"/>
        <color rgb="FF1E9E89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1E9E89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1E9E89"/>
        <name val="Arial"/>
      </font>
    </dxf>
    <dxf>
      <font>
        <sz val="8.5"/>
        <color rgb="FFD64545"/>
        <name val="Arial"/>
      </font>
    </dxf>
    <dxf>
      <font>
        <sz val="8.5"/>
        <color rgb="FF1E9E89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1E9E89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1E9E89"/>
        <name val="Arial"/>
      </font>
    </dxf>
    <dxf>
      <font>
        <b/>
        <color rgb="FF202733"/>
      </font>
      <fill>
        <patternFill>
          <bgColor rgb="FFD9E2EF"/>
        </patternFill>
      </fill>
      <border>
        <top style="medium">
          <color rgb="FF526071"/>
        </top>
        <bottom style="thin">
          <color rgb="FFE9EDF3"/>
        </bottom>
      </border>
    </dxf>
    <dxf>
      <font>
        <b/>
        <color rgb="FF202733"/>
      </font>
      <fill>
        <patternFill>
          <bgColor rgb="FFD9E2EF"/>
        </patternFill>
      </fill>
      <border>
        <top style="medium">
          <color rgb="FF526071"/>
        </top>
        <bottom style="thin">
          <color rgb="FFE9EDF3"/>
        </bottom>
      </border>
    </dxf>
    <dxf>
      <font>
        <color rgb="FF202733"/>
      </font>
      <fill>
        <patternFill>
          <bgColor rgb="FFFFFFFF"/>
        </patternFill>
      </fill>
      <border>
        <bottom style="thin">
          <color rgb="FFE9EDF3"/>
        </bottom>
      </border>
    </dxf>
    <dxf>
      <font>
        <b/>
        <color rgb="FF202733"/>
      </font>
      <fill>
        <patternFill>
          <bgColor rgb="FFEAF2FC"/>
        </patternFill>
      </fill>
      <border>
        <bottom style="thin">
          <color rgb="FFE9EDF3"/>
        </bottom>
      </border>
    </dxf>
    <dxf>
      <font>
        <color rgb="FF202733"/>
      </font>
      <fill>
        <patternFill>
          <bgColor rgb="FFFFFFFF"/>
        </patternFill>
      </fill>
      <border>
        <bottom style="thin">
          <color rgb="FFE9EDF3"/>
        </bottom>
      </border>
    </dxf>
    <dxf>
      <font>
        <b/>
        <color rgb="FF202733"/>
      </font>
      <fill>
        <patternFill>
          <bgColor rgb="FFEAF2FC"/>
        </patternFill>
      </fill>
      <border>
        <bottom style="thin">
          <color rgb="FFE9EDF3"/>
        </bottom>
      </border>
    </dxf>
  </dxfs>
  <tableStyles count="0" defaultTableStyle="TableStyleMedium2" defaultPivotStyle="PivotStyleLight16"/>
  <colors>
    <mruColors>
      <color rgb="FFF3F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96648858070484E-2"/>
          <c:y val="2.2353551959851174E-2"/>
          <c:w val="0.87878275349124646"/>
          <c:h val="0.80611477339225324"/>
        </c:manualLayout>
      </c:layout>
      <c:barChart>
        <c:barDir val="col"/>
        <c:grouping val="clustered"/>
        <c:varyColors val="1"/>
        <c:ser>
          <c:idx val="0"/>
          <c:order val="0"/>
          <c:tx>
            <c:v>2024</c:v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Cockpit!$AK$7:$AK$11</c:f>
              <c:strCache>
                <c:ptCount val="5"/>
                <c:pt idx="0">
                  <c:v>Ipac Bachelor Factory</c:v>
                </c:pt>
                <c:pt idx="1">
                  <c:v>ISCOM</c:v>
                </c:pt>
                <c:pt idx="2">
                  <c:v>MBway</c:v>
                </c:pt>
                <c:pt idx="3">
                  <c:v>Pigier</c:v>
                </c:pt>
                <c:pt idx="4">
                  <c:v>Tunon</c:v>
                </c:pt>
              </c:strCache>
            </c:strRef>
          </c:cat>
          <c:val>
            <c:numRef>
              <c:f>Cockpit!$AL$7:$AL$11</c:f>
              <c:numCache>
                <c:formatCode>General</c:formatCode>
                <c:ptCount val="5"/>
                <c:pt idx="0">
                  <c:v>0.11890000000000001</c:v>
                </c:pt>
                <c:pt idx="1">
                  <c:v>0.15809999999999999</c:v>
                </c:pt>
                <c:pt idx="2">
                  <c:v>0.1651</c:v>
                </c:pt>
                <c:pt idx="3">
                  <c:v>0.19800000000000001</c:v>
                </c:pt>
                <c:pt idx="4">
                  <c:v>6.3E-2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7-41DF-A3BF-1689ECE1102C}"/>
            </c:ext>
          </c:extLst>
        </c:ser>
        <c:ser>
          <c:idx val="1"/>
          <c:order val="1"/>
          <c:tx>
            <c:v>2025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Cockpit!$AK$7:$AK$11</c:f>
              <c:strCache>
                <c:ptCount val="5"/>
                <c:pt idx="0">
                  <c:v>Ipac Bachelor Factory</c:v>
                </c:pt>
                <c:pt idx="1">
                  <c:v>ISCOM</c:v>
                </c:pt>
                <c:pt idx="2">
                  <c:v>MBway</c:v>
                </c:pt>
                <c:pt idx="3">
                  <c:v>Pigier</c:v>
                </c:pt>
                <c:pt idx="4">
                  <c:v>Tunon</c:v>
                </c:pt>
              </c:strCache>
            </c:strRef>
          </c:cat>
          <c:val>
            <c:numRef>
              <c:f>Cockpit!$AM$7:$AM$11</c:f>
              <c:numCache>
                <c:formatCode>General</c:formatCode>
                <c:ptCount val="5"/>
                <c:pt idx="0">
                  <c:v>0.1298</c:v>
                </c:pt>
                <c:pt idx="1">
                  <c:v>0.1643</c:v>
                </c:pt>
                <c:pt idx="2">
                  <c:v>0.17319999999999999</c:v>
                </c:pt>
                <c:pt idx="3">
                  <c:v>0.2039</c:v>
                </c:pt>
                <c:pt idx="4">
                  <c:v>5.3199999999999997E-2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7-41DF-A3BF-1689ECE1102C}"/>
            </c:ext>
          </c:extLst>
        </c:ser>
        <c:ser>
          <c:idx val="2"/>
          <c:order val="2"/>
          <c:tx>
            <c:v>2026</c:v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Cockpit!$AK$7:$AK$11</c:f>
              <c:strCache>
                <c:ptCount val="5"/>
                <c:pt idx="0">
                  <c:v>Ipac Bachelor Factory</c:v>
                </c:pt>
                <c:pt idx="1">
                  <c:v>ISCOM</c:v>
                </c:pt>
                <c:pt idx="2">
                  <c:v>MBway</c:v>
                </c:pt>
                <c:pt idx="3">
                  <c:v>Pigier</c:v>
                </c:pt>
                <c:pt idx="4">
                  <c:v>Tunon</c:v>
                </c:pt>
              </c:strCache>
            </c:strRef>
          </c:cat>
          <c:val>
            <c:numRef>
              <c:f>Cockpit!$AN$7:$AN$11</c:f>
              <c:numCache>
                <c:formatCode>General</c:formatCode>
                <c:ptCount val="5"/>
                <c:pt idx="0">
                  <c:v>0.1416</c:v>
                </c:pt>
                <c:pt idx="1">
                  <c:v>0.17169999999999999</c:v>
                </c:pt>
                <c:pt idx="2">
                  <c:v>0.1825</c:v>
                </c:pt>
                <c:pt idx="3">
                  <c:v>0.2114</c:v>
                </c:pt>
                <c:pt idx="4">
                  <c:v>4.19E-2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27-41DF-A3BF-1689ECE11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36783181192406"/>
          <c:y val="2.2217970619753075E-2"/>
          <c:w val="0.86259616810797912"/>
          <c:h val="0.78232720909886266"/>
        </c:manualLayout>
      </c:layout>
      <c:lineChart>
        <c:grouping val="standard"/>
        <c:varyColors val="1"/>
        <c:ser>
          <c:idx val="0"/>
          <c:order val="0"/>
          <c:tx>
            <c:v>Dépenses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Cockpit!$BB$7:$BB$9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Cockpit!$BC$7:$BC$9</c:f>
              <c:numCache>
                <c:formatCode>General</c:formatCode>
                <c:ptCount val="3"/>
                <c:pt idx="0">
                  <c:v>100</c:v>
                </c:pt>
                <c:pt idx="1">
                  <c:v>110</c:v>
                </c:pt>
                <c:pt idx="2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56-47CE-B504-2EC983C346C0}"/>
            </c:ext>
          </c:extLst>
        </c:ser>
        <c:ser>
          <c:idx val="1"/>
          <c:order val="1"/>
          <c:tx>
            <c:v>Inscrits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Cockpit!$BB$7:$BB$9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Cockpit!$BD$7:$BD$9</c:f>
              <c:numCache>
                <c:formatCode>General</c:formatCode>
                <c:ptCount val="3"/>
                <c:pt idx="0">
                  <c:v>100</c:v>
                </c:pt>
                <c:pt idx="1">
                  <c:v>106.1</c:v>
                </c:pt>
                <c:pt idx="2">
                  <c:v>112.5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56-47CE-B504-2EC983C34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25"/>
          <c:min val="95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Cockpit!$AD$6</c:f>
              <c:strCache>
                <c:ptCount val="1"/>
                <c:pt idx="0">
                  <c:v>ETAPE</c:v>
                </c:pt>
              </c:strCache>
            </c:strRef>
          </c:tx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Cockpit!$AD$7:$AD$11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3-4341-9557-4BB39453159C}"/>
            </c:ext>
          </c:extLst>
        </c:ser>
        <c:ser>
          <c:idx val="1"/>
          <c:order val="1"/>
          <c:tx>
            <c:strRef>
              <c:f>Cockpit!$AE$6</c:f>
              <c:strCache>
                <c:ptCount val="1"/>
                <c:pt idx="0">
                  <c:v>SOCLE</c:v>
                </c:pt>
              </c:strCache>
            </c:strRef>
          </c:tx>
          <c:spPr>
            <a:noFill/>
            <a:ln>
              <a:prstDash val="solid"/>
            </a:ln>
          </c:spPr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Cockpit!$AE$7:$AE$11</c:f>
              <c:numCache>
                <c:formatCode>General</c:formatCode>
                <c:ptCount val="5"/>
                <c:pt idx="0">
                  <c:v>0</c:v>
                </c:pt>
                <c:pt idx="1">
                  <c:v>3467793</c:v>
                </c:pt>
                <c:pt idx="2">
                  <c:v>4624390</c:v>
                </c:pt>
                <c:pt idx="3">
                  <c:v>3845817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3-4341-9557-4BB39453159C}"/>
            </c:ext>
          </c:extLst>
        </c:ser>
        <c:ser>
          <c:idx val="2"/>
          <c:order val="2"/>
          <c:tx>
            <c:strRef>
              <c:f>Cockpit!$AF$6</c:f>
              <c:strCache>
                <c:ptCount val="1"/>
                <c:pt idx="0">
                  <c:v>ANCRE</c:v>
                </c:pt>
              </c:strCache>
            </c:strRef>
          </c:tx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Cockpit!$AF$7:$AF$11</c:f>
              <c:numCache>
                <c:formatCode>General</c:formatCode>
                <c:ptCount val="5"/>
                <c:pt idx="0">
                  <c:v>3467793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3845817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893-4341-9557-4BB39453159C}"/>
            </c:ext>
          </c:extLst>
        </c:ser>
        <c:ser>
          <c:idx val="3"/>
          <c:order val="3"/>
          <c:tx>
            <c:strRef>
              <c:f>Cockpit!$AG$6</c:f>
              <c:strCache>
                <c:ptCount val="1"/>
                <c:pt idx="0">
                  <c:v>HAUSSE</c:v>
                </c:pt>
              </c:strCache>
            </c:strRef>
          </c:tx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Cockpit!$AG$7:$AG$11</c:f>
              <c:numCache>
                <c:formatCode>General</c:formatCode>
                <c:ptCount val="5"/>
                <c:pt idx="0">
                  <c:v>0</c:v>
                </c:pt>
                <c:pt idx="1">
                  <c:v>1157203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893-4341-9557-4BB39453159C}"/>
            </c:ext>
          </c:extLst>
        </c:ser>
        <c:ser>
          <c:idx val="4"/>
          <c:order val="4"/>
          <c:tx>
            <c:strRef>
              <c:f>Cockpit!$AH$6</c:f>
              <c:strCache>
                <c:ptCount val="1"/>
                <c:pt idx="0">
                  <c:v>BAISSE</c:v>
                </c:pt>
              </c:strCache>
            </c:strRef>
          </c:tx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Cockpit!$AH$7:$AH$11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607</c:v>
                </c:pt>
                <c:pt idx="3">
                  <c:v>778573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93-4341-9557-4BB394531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1025078"/>
        <c:axId val="19796973"/>
      </c:barChart>
      <c:catAx>
        <c:axId val="510250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/>
            </a:pPr>
            <a:endParaRPr lang="fr-FR"/>
          </a:p>
        </c:txPr>
        <c:crossAx val="19796973"/>
        <c:crosses val="autoZero"/>
        <c:auto val="1"/>
        <c:lblAlgn val="ctr"/>
        <c:lblOffset val="100"/>
        <c:tickMarkSkip val="1"/>
        <c:noMultiLvlLbl val="1"/>
      </c:catAx>
      <c:valAx>
        <c:axId val="19796973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rgbClr val="868686"/>
              </a:solidFill>
              <a:round/>
            </a:ln>
          </c:spPr>
        </c:majorGridlines>
        <c:numFmt formatCode="0.0,,&quot; M€&quot;" sourceLinked="0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b="1"/>
            </a:pPr>
            <a:endParaRPr lang="fr-FR"/>
          </a:p>
        </c:txPr>
        <c:crossAx val="51025078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  <c:showDLblsOverMax val="1"/>
    <c:extLst/>
  </c:chart>
  <c:spPr>
    <a:ln>
      <a:solidFill>
        <a:schemeClr val="bg1"/>
      </a:solidFill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noFill/>
            <a:ln>
              <a:prstDash val="solid"/>
            </a:ln>
          </c:spPr>
          <c:invertIfNegative val="1"/>
          <c:cat>
            <c:strRef>
              <c:f>'Drill Effect'!$Z$31:$Z$37</c:f>
              <c:strCache>
                <c:ptCount val="7"/>
                <c:pt idx="0">
                  <c:v>EBITDA 2025</c:v>
                </c:pt>
                <c:pt idx="1">
                  <c:v>Effet effectifs</c:v>
                </c:pt>
                <c:pt idx="2">
                  <c:v>Effet prix et mix</c:v>
                </c:pt>
                <c:pt idx="3">
                  <c:v>Effet coût var. unitaire</c:v>
                </c:pt>
                <c:pt idx="4">
                  <c:v>Effet coûts directs</c:v>
                </c:pt>
                <c:pt idx="5">
                  <c:v>Effet siège</c:v>
                </c:pt>
                <c:pt idx="6">
                  <c:v>EBITDA 2026</c:v>
                </c:pt>
              </c:strCache>
            </c:strRef>
          </c:cat>
          <c:val>
            <c:numRef>
              <c:f>'Drill Effect'!$AA$31:$AA$37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B-4BBC-A287-6F0100FDF8F6}"/>
            </c:ext>
          </c:extLst>
        </c:ser>
        <c:ser>
          <c:idx val="1"/>
          <c:order val="1"/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'Drill Effect'!$Z$31:$Z$37</c:f>
              <c:strCache>
                <c:ptCount val="7"/>
                <c:pt idx="0">
                  <c:v>EBITDA 2025</c:v>
                </c:pt>
                <c:pt idx="1">
                  <c:v>Effet effectifs</c:v>
                </c:pt>
                <c:pt idx="2">
                  <c:v>Effet prix et mix</c:v>
                </c:pt>
                <c:pt idx="3">
                  <c:v>Effet coût var. unitaire</c:v>
                </c:pt>
                <c:pt idx="4">
                  <c:v>Effet coûts directs</c:v>
                </c:pt>
                <c:pt idx="5">
                  <c:v>Effet siège</c:v>
                </c:pt>
                <c:pt idx="6">
                  <c:v>EBITDA 2026</c:v>
                </c:pt>
              </c:strCache>
            </c:strRef>
          </c:cat>
          <c:val>
            <c:numRef>
              <c:f>'Drill Effect'!$AB$31:$AB$37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82B-4BBC-A287-6F0100FDF8F6}"/>
            </c:ext>
          </c:extLst>
        </c:ser>
        <c:ser>
          <c:idx val="2"/>
          <c:order val="2"/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'Drill Effect'!$Z$31:$Z$37</c:f>
              <c:strCache>
                <c:ptCount val="7"/>
                <c:pt idx="0">
                  <c:v>EBITDA 2025</c:v>
                </c:pt>
                <c:pt idx="1">
                  <c:v>Effet effectifs</c:v>
                </c:pt>
                <c:pt idx="2">
                  <c:v>Effet prix et mix</c:v>
                </c:pt>
                <c:pt idx="3">
                  <c:v>Effet coût var. unitaire</c:v>
                </c:pt>
                <c:pt idx="4">
                  <c:v>Effet coûts directs</c:v>
                </c:pt>
                <c:pt idx="5">
                  <c:v>Effet siège</c:v>
                </c:pt>
                <c:pt idx="6">
                  <c:v>EBITDA 2026</c:v>
                </c:pt>
              </c:strCache>
            </c:strRef>
          </c:cat>
          <c:val>
            <c:numRef>
              <c:f>'Drill Effect'!$AC$31:$AC$37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82B-4BBC-A287-6F0100FDF8F6}"/>
            </c:ext>
          </c:extLst>
        </c:ser>
        <c:ser>
          <c:idx val="3"/>
          <c:order val="3"/>
          <c:spPr>
            <a:solidFill>
              <a:srgbClr val="D64545"/>
            </a:solidFill>
            <a:ln>
              <a:noFill/>
              <a:prstDash val="solid"/>
            </a:ln>
          </c:spPr>
          <c:invertIfNegative val="1"/>
          <c:cat>
            <c:strRef>
              <c:f>'Drill Effect'!$Z$31:$Z$37</c:f>
              <c:strCache>
                <c:ptCount val="7"/>
                <c:pt idx="0">
                  <c:v>EBITDA 2025</c:v>
                </c:pt>
                <c:pt idx="1">
                  <c:v>Effet effectifs</c:v>
                </c:pt>
                <c:pt idx="2">
                  <c:v>Effet prix et mix</c:v>
                </c:pt>
                <c:pt idx="3">
                  <c:v>Effet coût var. unitaire</c:v>
                </c:pt>
                <c:pt idx="4">
                  <c:v>Effet coûts directs</c:v>
                </c:pt>
                <c:pt idx="5">
                  <c:v>Effet siège</c:v>
                </c:pt>
                <c:pt idx="6">
                  <c:v>EBITDA 2026</c:v>
                </c:pt>
              </c:strCache>
            </c:strRef>
          </c:cat>
          <c:val>
            <c:numRef>
              <c:f>'Drill Effect'!$AD$31:$AD$37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82B-4BBC-A287-6F0100FD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'Drill P&amp;L'!$F$34</c:f>
              <c:strCache>
                <c:ptCount val="1"/>
                <c:pt idx="0">
                  <c:v>Montant 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'Drill P&amp;L'!$K$38:$K$50</c:f>
            </c:multiLvlStrRef>
          </c:cat>
          <c:val>
            <c:numRef>
              <c:f>'Drill P&amp;L'!$F$38:$F$50</c:f>
              <c:numCache>
                <c:formatCode>#.##0" €"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0-47D7-BBD6-D4C3F0EE9DAE}"/>
            </c:ext>
          </c:extLst>
        </c:ser>
        <c:ser>
          <c:idx val="1"/>
          <c:order val="1"/>
          <c:tx>
            <c:strRef>
              <c:f>'Drill P&amp;L'!$G$34</c:f>
              <c:strCache>
                <c:ptCount val="1"/>
                <c:pt idx="0">
                  <c:v>Montant 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'Drill P&amp;L'!$K$38:$K$50</c:f>
            </c:multiLvlStrRef>
          </c:cat>
          <c:val>
            <c:numRef>
              <c:f>'Drill P&amp;L'!$G$38:$G$50</c:f>
              <c:numCache>
                <c:formatCode>#.##0" €"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60-47D7-BBD6-D4C3F0EE9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3850494"/>
        <c:axId val="49537000"/>
      </c:barChart>
      <c:catAx>
        <c:axId val="93850494"/>
        <c:scaling>
          <c:orientation val="maxMin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37000"/>
        <c:crosses val="max"/>
        <c:auto val="1"/>
        <c:lblAlgn val="ctr"/>
        <c:lblOffset val="100"/>
        <c:noMultiLvlLbl val="1"/>
      </c:catAx>
      <c:valAx>
        <c:axId val="495370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 k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8504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942973</xdr:colOff>
      <xdr:row>13</xdr:row>
      <xdr:rowOff>3402</xdr:rowOff>
    </xdr:from>
    <xdr:ext cx="5191126" cy="392225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0B832D-903A-4C90-8D6E-81BF79C34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864054</xdr:colOff>
      <xdr:row>12</xdr:row>
      <xdr:rowOff>58509</xdr:rowOff>
    </xdr:from>
    <xdr:ext cx="4629151" cy="3982812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54F9B5-7CBF-4A3F-A10E-700265742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2</xdr:col>
      <xdr:colOff>28575</xdr:colOff>
      <xdr:row>0</xdr:row>
      <xdr:rowOff>109537</xdr:rowOff>
    </xdr:from>
    <xdr:to>
      <xdr:col>3</xdr:col>
      <xdr:colOff>283242</xdr:colOff>
      <xdr:row>1</xdr:row>
      <xdr:rowOff>466627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EA2C891-C011-4A41-B339-83D6A0B224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79" b="34332"/>
        <a:stretch>
          <a:fillRect/>
        </a:stretch>
      </xdr:blipFill>
      <xdr:spPr bwMode="auto">
        <a:xfrm>
          <a:off x="381000" y="109537"/>
          <a:ext cx="1573200" cy="540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61232</xdr:colOff>
      <xdr:row>13</xdr:row>
      <xdr:rowOff>54428</xdr:rowOff>
    </xdr:from>
    <xdr:to>
      <xdr:col>6</xdr:col>
      <xdr:colOff>680357</xdr:colOff>
      <xdr:row>33</xdr:row>
      <xdr:rowOff>170089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0CAFD-645A-4F97-92BC-982F23258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1</xdr:row>
      <xdr:rowOff>28575</xdr:rowOff>
    </xdr:from>
    <xdr:to>
      <xdr:col>3</xdr:col>
      <xdr:colOff>858825</xdr:colOff>
      <xdr:row>2</xdr:row>
      <xdr:rowOff>240070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14F119A-4641-41A7-AB47-67E77E5F48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79" b="34332"/>
        <a:stretch>
          <a:fillRect/>
        </a:stretch>
      </xdr:blipFill>
      <xdr:spPr bwMode="auto">
        <a:xfrm>
          <a:off x="752475" y="128588"/>
          <a:ext cx="1573200" cy="540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819150</xdr:colOff>
      <xdr:row>9</xdr:row>
      <xdr:rowOff>161925</xdr:rowOff>
    </xdr:from>
    <xdr:ext cx="8229600" cy="348615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AB84007-E8DA-4636-9E26-740921907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2</xdr:col>
      <xdr:colOff>61912</xdr:colOff>
      <xdr:row>2</xdr:row>
      <xdr:rowOff>0</xdr:rowOff>
    </xdr:from>
    <xdr:to>
      <xdr:col>2</xdr:col>
      <xdr:colOff>1635112</xdr:colOff>
      <xdr:row>4</xdr:row>
      <xdr:rowOff>111482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8AB113F-5A92-4D56-B77A-0C8548D7A9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79" b="34332"/>
        <a:stretch>
          <a:fillRect/>
        </a:stretch>
      </xdr:blipFill>
      <xdr:spPr bwMode="auto">
        <a:xfrm>
          <a:off x="238125" y="100013"/>
          <a:ext cx="1573200" cy="540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166687</xdr:colOff>
      <xdr:row>1</xdr:row>
      <xdr:rowOff>71438</xdr:rowOff>
    </xdr:from>
    <xdr:to>
      <xdr:col>3</xdr:col>
      <xdr:colOff>920737</xdr:colOff>
      <xdr:row>3</xdr:row>
      <xdr:rowOff>106720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1D74C7E-0E38-4B47-8AD1-90F4DF08BA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79" b="34332"/>
        <a:stretch>
          <a:fillRect/>
        </a:stretch>
      </xdr:blipFill>
      <xdr:spPr bwMode="auto">
        <a:xfrm>
          <a:off x="166687" y="71438"/>
          <a:ext cx="1573200" cy="540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161925</xdr:colOff>
      <xdr:row>9</xdr:row>
      <xdr:rowOff>9525</xdr:rowOff>
    </xdr:from>
    <xdr:to>
      <xdr:col>8</xdr:col>
      <xdr:colOff>900112</xdr:colOff>
      <xdr:row>31</xdr:row>
      <xdr:rowOff>71438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5FA1BE8-0B83-4285-9FCE-C9C3D00BA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6153DD-182D-49E6-8517-8AEDFF76EFCB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drawing" Target="../drawings/drawing1.xml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6" Type="http://schemas.openxmlformats.org/officeDocument/2006/relationships/drawing" Target="../drawings/drawing2.xml"/><Relationship Id="rId5" Type="http://schemas.openxmlformats.org/officeDocument/2006/relationships/customProperty" Target="../customProperty10.bin"/><Relationship Id="rId4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3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6" Type="http://schemas.openxmlformats.org/officeDocument/2006/relationships/drawing" Target="../drawings/drawing3.xml"/><Relationship Id="rId5" Type="http://schemas.openxmlformats.org/officeDocument/2006/relationships/customProperty" Target="../customProperty15.bin"/><Relationship Id="rId4" Type="http://schemas.openxmlformats.org/officeDocument/2006/relationships/customProperty" Target="../customProperty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customProperty" Target="../customProperty16.bin"/><Relationship Id="rId6" Type="http://schemas.openxmlformats.org/officeDocument/2006/relationships/drawing" Target="../drawings/drawing4.xml"/><Relationship Id="rId5" Type="http://schemas.openxmlformats.org/officeDocument/2006/relationships/customProperty" Target="../customProperty20.bin"/><Relationship Id="rId4" Type="http://schemas.openxmlformats.org/officeDocument/2006/relationships/customProperty" Target="../customProperty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6A94-C0EE-44BE-A92F-202501E2FEF1}">
  <dimension ref="A1:BJ66"/>
  <sheetViews>
    <sheetView topLeftCell="A22" zoomScale="90" zoomScaleNormal="90" workbookViewId="0"/>
  </sheetViews>
  <sheetFormatPr baseColWidth="10" defaultRowHeight="14.25" x14ac:dyDescent="0.45"/>
  <cols>
    <col min="1" max="1" width="2.46484375" style="52" customWidth="1"/>
    <col min="2" max="2" width="2.46484375" style="55" customWidth="1"/>
    <col min="3" max="3" width="18.46484375" style="52" customWidth="1"/>
    <col min="4" max="4" width="16.73046875" style="52" customWidth="1"/>
    <col min="5" max="5" width="13.3984375" style="52" customWidth="1"/>
    <col min="6" max="10" width="15.59765625" style="52" customWidth="1"/>
    <col min="11" max="11" width="20.9296875" style="52" customWidth="1"/>
    <col min="12" max="17" width="15.59765625" style="52" customWidth="1"/>
    <col min="18" max="18" width="15.59765625" style="52" hidden="1" customWidth="1"/>
    <col min="19" max="19" width="11.1328125" style="52" hidden="1" customWidth="1"/>
    <col min="20" max="20" width="11.3984375" style="52" hidden="1" customWidth="1"/>
    <col min="21" max="21" width="11.53125" style="52" hidden="1" customWidth="1"/>
    <col min="22" max="22" width="9.265625" style="52" hidden="1" customWidth="1"/>
    <col min="23" max="23" width="12.59765625" style="52" hidden="1" customWidth="1"/>
    <col min="24" max="24" width="15.53125" style="52" hidden="1" customWidth="1"/>
    <col min="25" max="25" width="9.9296875" style="52" hidden="1" customWidth="1"/>
    <col min="26" max="26" width="11.265625" style="52" hidden="1" customWidth="1"/>
    <col min="27" max="27" width="13.9296875" style="52" hidden="1" customWidth="1"/>
    <col min="28" max="28" width="17.265625" style="52" hidden="1" customWidth="1"/>
    <col min="29" max="29" width="4.59765625" style="52" bestFit="1" customWidth="1"/>
    <col min="30" max="30" width="9.265625" style="52" hidden="1" customWidth="1"/>
    <col min="31" max="48" width="0" style="52" hidden="1" customWidth="1"/>
    <col min="49" max="53" width="10.6640625" style="52"/>
    <col min="54" max="54" width="9.53125" style="52" bestFit="1" customWidth="1"/>
    <col min="55" max="55" width="13.9296875" style="52" bestFit="1" customWidth="1"/>
    <col min="56" max="56" width="12.86328125" style="52" bestFit="1" customWidth="1"/>
    <col min="57" max="57" width="4.59765625" style="52" bestFit="1" customWidth="1"/>
    <col min="58" max="58" width="9.265625" style="52" bestFit="1" customWidth="1"/>
    <col min="59" max="59" width="9.9296875" style="52" bestFit="1" customWidth="1"/>
    <col min="60" max="60" width="8.86328125" style="52" bestFit="1" customWidth="1"/>
    <col min="61" max="16384" width="10.6640625" style="52"/>
  </cols>
  <sheetData>
    <row r="1" spans="1:62" ht="14.25" customHeight="1" x14ac:dyDescent="0.45">
      <c r="B1" s="136"/>
      <c r="N1" s="54"/>
      <c r="P1" s="55"/>
      <c r="R1" s="54"/>
      <c r="S1" s="54"/>
      <c r="T1" s="54"/>
    </row>
    <row r="2" spans="1:62" ht="46.5" customHeight="1" x14ac:dyDescent="0.45">
      <c r="B2" s="137"/>
      <c r="C2" s="56"/>
      <c r="D2" s="57"/>
      <c r="E2" s="58" t="s">
        <v>122</v>
      </c>
      <c r="F2" s="56"/>
      <c r="G2" s="56"/>
    </row>
    <row r="3" spans="1:62" customFormat="1" ht="3.75" customHeight="1" x14ac:dyDescent="0.45">
      <c r="A3" s="50"/>
      <c r="B3" s="138"/>
      <c r="C3" s="50"/>
      <c r="D3" s="50"/>
      <c r="E3" s="50"/>
      <c r="F3" s="50"/>
      <c r="G3" s="50"/>
      <c r="H3" s="50"/>
      <c r="I3" s="50"/>
      <c r="J3" s="51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</row>
    <row r="4" spans="1:62" ht="15.75" customHeight="1" x14ac:dyDescent="0.45">
      <c r="B4" s="139"/>
      <c r="J4" s="59"/>
    </row>
    <row r="5" spans="1:62" s="60" customFormat="1" ht="19.5" customHeight="1" x14ac:dyDescent="0.45">
      <c r="B5" s="139"/>
      <c r="D5" s="61" t="s">
        <v>29</v>
      </c>
      <c r="E5" s="61"/>
      <c r="F5" s="61" t="s">
        <v>39</v>
      </c>
      <c r="G5" s="61"/>
      <c r="H5" s="52"/>
      <c r="I5" s="52"/>
      <c r="J5" s="61" t="s">
        <v>30</v>
      </c>
      <c r="K5" s="61" t="s">
        <v>31</v>
      </c>
      <c r="L5" s="52"/>
      <c r="M5" s="61" t="s">
        <v>40</v>
      </c>
      <c r="N5" s="135" t="s">
        <v>0</v>
      </c>
      <c r="O5" s="135"/>
      <c r="P5" s="52"/>
      <c r="Q5" s="52"/>
      <c r="R5" s="62"/>
      <c r="S5" s="62"/>
      <c r="T5" s="62"/>
      <c r="U5" s="62"/>
      <c r="AD5" s="60" t="s">
        <v>43</v>
      </c>
    </row>
    <row r="6" spans="1:62" ht="8.25" customHeight="1" x14ac:dyDescent="0.45">
      <c r="B6" s="139"/>
      <c r="AD6" s="63" t="s">
        <v>44</v>
      </c>
      <c r="AE6" s="64" t="s">
        <v>45</v>
      </c>
      <c r="AF6" s="64" t="s">
        <v>46</v>
      </c>
      <c r="AG6" s="64" t="s">
        <v>47</v>
      </c>
      <c r="AH6" s="64" t="s">
        <v>48</v>
      </c>
      <c r="AI6" s="64"/>
      <c r="AK6" s="63" t="s">
        <v>38</v>
      </c>
      <c r="AL6" s="64" t="s">
        <v>33</v>
      </c>
      <c r="AM6" s="64" t="s">
        <v>34</v>
      </c>
      <c r="AN6" s="64" t="s">
        <v>35</v>
      </c>
      <c r="AO6" s="64"/>
      <c r="AP6" s="64"/>
      <c r="AQ6" s="64"/>
      <c r="AR6" s="64"/>
      <c r="AS6" s="64"/>
      <c r="AT6" s="64"/>
      <c r="AU6" s="64"/>
      <c r="AV6" s="64"/>
      <c r="AW6" s="64"/>
      <c r="BB6" s="103" t="s">
        <v>32</v>
      </c>
      <c r="BC6" s="103" t="s">
        <v>36</v>
      </c>
      <c r="BD6" s="103" t="s">
        <v>37</v>
      </c>
      <c r="BE6" s="103"/>
      <c r="BF6" s="103"/>
      <c r="BG6" s="64"/>
      <c r="BH6" s="64"/>
    </row>
    <row r="7" spans="1:62" ht="3.75" customHeight="1" x14ac:dyDescent="0.45">
      <c r="AD7" s="64" t="s">
        <v>62</v>
      </c>
      <c r="AE7" s="64">
        <v>0</v>
      </c>
      <c r="AF7" s="64">
        <v>3467793</v>
      </c>
      <c r="AG7" s="64">
        <v>0</v>
      </c>
      <c r="AH7" s="64">
        <v>0</v>
      </c>
      <c r="AI7" s="64"/>
      <c r="AK7" s="64" t="s">
        <v>194</v>
      </c>
      <c r="AL7" s="64">
        <v>0.11890000000000001</v>
      </c>
      <c r="AM7" s="64">
        <v>0.1298</v>
      </c>
      <c r="AN7" s="64">
        <v>0.1416</v>
      </c>
      <c r="AO7" s="64"/>
      <c r="AP7" s="64"/>
      <c r="AQ7" s="64"/>
      <c r="AR7" s="64"/>
      <c r="AS7" s="64"/>
      <c r="AT7" s="64"/>
      <c r="AU7" s="64"/>
      <c r="AW7" s="63"/>
      <c r="BB7" s="103" t="s">
        <v>199</v>
      </c>
      <c r="BC7" s="103">
        <v>100</v>
      </c>
      <c r="BD7" s="103">
        <v>100</v>
      </c>
      <c r="BE7" s="103"/>
      <c r="BF7" s="103"/>
      <c r="BG7" s="64"/>
      <c r="BH7" s="64"/>
      <c r="BJ7" s="52">
        <f>IF($AE7="","",$AE7)</f>
        <v>0</v>
      </c>
    </row>
    <row r="8" spans="1:62" s="81" customFormat="1" ht="15.75" customHeight="1" x14ac:dyDescent="0.5">
      <c r="B8" s="105"/>
      <c r="C8" s="106" t="s">
        <v>124</v>
      </c>
      <c r="D8" s="107"/>
      <c r="E8" s="108" t="s">
        <v>19</v>
      </c>
      <c r="F8" s="107"/>
      <c r="G8" s="108" t="s">
        <v>20</v>
      </c>
      <c r="H8" s="109"/>
      <c r="I8" s="110" t="s">
        <v>21</v>
      </c>
      <c r="J8" s="111"/>
      <c r="K8" s="110" t="s">
        <v>22</v>
      </c>
      <c r="L8" s="111"/>
      <c r="M8" s="110" t="s">
        <v>23</v>
      </c>
      <c r="N8" s="111"/>
      <c r="O8" s="112" t="s">
        <v>24</v>
      </c>
      <c r="P8" s="113"/>
      <c r="R8" s="96"/>
      <c r="AD8" s="81" t="s">
        <v>200</v>
      </c>
      <c r="AE8" s="81">
        <v>3467793</v>
      </c>
      <c r="AF8" s="81">
        <v>0</v>
      </c>
      <c r="AG8" s="81">
        <v>1157203</v>
      </c>
      <c r="AH8" s="81">
        <v>0</v>
      </c>
      <c r="AK8" s="81" t="s">
        <v>160</v>
      </c>
      <c r="AL8" s="81">
        <v>0.15809999999999999</v>
      </c>
      <c r="AM8" s="81">
        <v>0.1643</v>
      </c>
      <c r="AN8" s="81">
        <v>0.17169999999999999</v>
      </c>
      <c r="BB8" s="105" t="s">
        <v>104</v>
      </c>
      <c r="BC8" s="105">
        <v>110</v>
      </c>
      <c r="BD8" s="105">
        <v>106.1</v>
      </c>
      <c r="BE8" s="105"/>
      <c r="BF8" s="105"/>
      <c r="BJ8" s="81">
        <f>IF($AE8="","",$AE8)</f>
        <v>3467793</v>
      </c>
    </row>
    <row r="9" spans="1:62" ht="29.25" customHeight="1" x14ac:dyDescent="0.45">
      <c r="C9" s="114" t="s">
        <v>125</v>
      </c>
      <c r="D9" s="115"/>
      <c r="E9" s="114">
        <f>F38</f>
        <v>23098985</v>
      </c>
      <c r="F9" s="115"/>
      <c r="G9" s="134">
        <f>H38</f>
        <v>3845816.9077559998</v>
      </c>
      <c r="H9" s="116"/>
      <c r="I9" s="117">
        <f t="shared" ref="I9:K9" si="0">K38</f>
        <v>0.16649289601928396</v>
      </c>
      <c r="J9" s="118"/>
      <c r="K9" s="119">
        <f t="shared" si="0"/>
        <v>1229</v>
      </c>
      <c r="L9" s="120"/>
      <c r="M9" s="121">
        <f>U38/M38</f>
        <v>353.27420667209111</v>
      </c>
      <c r="N9" s="122"/>
      <c r="O9" s="123">
        <f>N38</f>
        <v>0.76174168297455969</v>
      </c>
      <c r="P9" s="124"/>
      <c r="R9" s="65"/>
      <c r="AD9" s="52" t="s">
        <v>201</v>
      </c>
      <c r="AE9" s="52">
        <v>4624390</v>
      </c>
      <c r="AF9" s="52">
        <v>0</v>
      </c>
      <c r="AG9" s="52">
        <v>0</v>
      </c>
      <c r="AH9" s="52">
        <v>607</v>
      </c>
      <c r="AK9" s="52" t="s">
        <v>198</v>
      </c>
      <c r="AL9" s="52">
        <v>0.1651</v>
      </c>
      <c r="AM9" s="52">
        <v>0.17319999999999999</v>
      </c>
      <c r="AN9" s="52">
        <v>0.1825</v>
      </c>
      <c r="BB9" s="55" t="s">
        <v>105</v>
      </c>
      <c r="BC9" s="55">
        <v>121</v>
      </c>
      <c r="BD9" s="55">
        <v>112.5</v>
      </c>
      <c r="BE9" s="55"/>
      <c r="BF9" s="55"/>
      <c r="BJ9" s="52">
        <f>IF($AE9="","",$AE9)</f>
        <v>4624390</v>
      </c>
    </row>
    <row r="10" spans="1:62" ht="15.75" customHeight="1" x14ac:dyDescent="0.45">
      <c r="C10" s="125" t="s">
        <v>126</v>
      </c>
      <c r="D10" s="126"/>
      <c r="E10" s="125">
        <f>G38</f>
        <v>6.1594244527608866E-2</v>
      </c>
      <c r="F10" s="126"/>
      <c r="G10" s="125">
        <f>I38</f>
        <v>0.10900984795396218</v>
      </c>
      <c r="H10" s="127"/>
      <c r="I10" s="128">
        <f>L38</f>
        <v>0.71183868615052881</v>
      </c>
      <c r="J10" s="129"/>
      <c r="K10" s="130">
        <f>AA38</f>
        <v>6.0396893874029335E-2</v>
      </c>
      <c r="L10" s="131"/>
      <c r="M10" s="130">
        <f>IF(OR(V38=0,Y38=0),"",M9/(V38/Y38)-1)</f>
        <v>3.7351737596854173E-2</v>
      </c>
      <c r="N10" s="131"/>
      <c r="O10" s="132">
        <f>Q38-P38</f>
        <v>974</v>
      </c>
      <c r="P10" s="133"/>
      <c r="R10" s="66"/>
      <c r="AD10" s="52" t="s">
        <v>202</v>
      </c>
      <c r="AE10" s="52">
        <v>3845817</v>
      </c>
      <c r="AF10" s="52">
        <v>0</v>
      </c>
      <c r="AG10" s="52">
        <v>0</v>
      </c>
      <c r="AH10" s="52">
        <v>778573</v>
      </c>
      <c r="AK10" s="52" t="s">
        <v>193</v>
      </c>
      <c r="AL10" s="52">
        <v>0.19800000000000001</v>
      </c>
      <c r="AM10" s="52">
        <v>0.2039</v>
      </c>
      <c r="AN10" s="52">
        <v>0.2114</v>
      </c>
      <c r="BB10" s="55"/>
      <c r="BC10" s="55"/>
      <c r="BD10" s="55"/>
      <c r="BE10" s="55"/>
      <c r="BF10" s="55"/>
      <c r="BJ10" s="52">
        <f>IF($AE10="","",$AE10)</f>
        <v>3845817</v>
      </c>
    </row>
    <row r="11" spans="1:62" ht="6" customHeight="1" x14ac:dyDescent="0.45">
      <c r="AD11" s="52" t="s">
        <v>63</v>
      </c>
      <c r="AE11" s="52">
        <v>0</v>
      </c>
      <c r="AF11" s="52">
        <v>3845817</v>
      </c>
      <c r="AG11" s="52">
        <v>0</v>
      </c>
      <c r="AH11" s="52">
        <v>0</v>
      </c>
      <c r="AK11" s="52" t="s">
        <v>185</v>
      </c>
      <c r="AL11" s="52">
        <v>6.3E-2</v>
      </c>
      <c r="AM11" s="52">
        <v>5.3199999999999997E-2</v>
      </c>
      <c r="AN11" s="52">
        <v>4.19E-2</v>
      </c>
      <c r="BB11" s="55"/>
      <c r="BC11" s="55"/>
      <c r="BD11" s="55"/>
      <c r="BE11" s="55"/>
      <c r="BF11" s="55"/>
      <c r="BJ11" s="52">
        <f>IF($AE11="","",$AE11)</f>
        <v>0</v>
      </c>
    </row>
    <row r="12" spans="1:62" ht="30" customHeight="1" x14ac:dyDescent="0.45">
      <c r="C12" s="97" t="s">
        <v>41</v>
      </c>
      <c r="D12" s="67"/>
      <c r="E12" s="67"/>
      <c r="F12" s="68"/>
      <c r="G12" s="69"/>
      <c r="H12" s="69"/>
      <c r="I12" s="98" t="s">
        <v>42</v>
      </c>
      <c r="J12" s="95"/>
      <c r="K12" s="69"/>
      <c r="L12" s="69"/>
      <c r="M12" s="69"/>
      <c r="N12" s="98" t="s">
        <v>123</v>
      </c>
      <c r="O12" s="69"/>
      <c r="P12" s="69"/>
      <c r="Q12" s="69"/>
      <c r="R12" s="69"/>
      <c r="BB12" s="55"/>
      <c r="BC12" s="55"/>
      <c r="BD12" s="55"/>
      <c r="BE12" s="55"/>
      <c r="BF12" s="55"/>
    </row>
    <row r="13" spans="1:62" ht="6" customHeight="1" x14ac:dyDescent="0.45">
      <c r="C13" s="70"/>
      <c r="BB13" s="55"/>
      <c r="BC13" s="55"/>
      <c r="BD13" s="55"/>
      <c r="BE13" s="55"/>
      <c r="BF13" s="55"/>
    </row>
    <row r="14" spans="1:62" x14ac:dyDescent="0.45">
      <c r="C14" s="70"/>
      <c r="BB14" s="55"/>
      <c r="BC14" s="55"/>
      <c r="BD14" s="55"/>
      <c r="BE14" s="55"/>
      <c r="BF14" s="55"/>
    </row>
    <row r="15" spans="1:62" x14ac:dyDescent="0.45">
      <c r="C15" s="70"/>
      <c r="BB15" s="55"/>
      <c r="BC15" s="55"/>
      <c r="BD15" s="55"/>
      <c r="BE15" s="55"/>
      <c r="BF15" s="55"/>
    </row>
    <row r="16" spans="1:62" x14ac:dyDescent="0.45">
      <c r="C16" s="70"/>
      <c r="BB16" s="55"/>
      <c r="BC16" s="55"/>
      <c r="BD16" s="55"/>
      <c r="BE16" s="55"/>
      <c r="BF16" s="55"/>
    </row>
    <row r="17" spans="3:58" x14ac:dyDescent="0.45">
      <c r="C17" s="70"/>
      <c r="BB17" s="55"/>
      <c r="BC17" s="55"/>
      <c r="BD17" s="55"/>
      <c r="BE17" s="55"/>
      <c r="BF17" s="55"/>
    </row>
    <row r="18" spans="3:58" x14ac:dyDescent="0.45">
      <c r="C18" s="70"/>
      <c r="BB18" s="55"/>
      <c r="BC18" s="55"/>
      <c r="BD18" s="55"/>
      <c r="BE18" s="55"/>
      <c r="BF18" s="55"/>
    </row>
    <row r="19" spans="3:58" x14ac:dyDescent="0.45">
      <c r="C19" s="70"/>
      <c r="BB19" s="55"/>
      <c r="BC19" s="55"/>
      <c r="BD19" s="55"/>
      <c r="BE19" s="55"/>
      <c r="BF19" s="55"/>
    </row>
    <row r="20" spans="3:58" x14ac:dyDescent="0.45">
      <c r="C20" s="70"/>
      <c r="BB20" s="55"/>
      <c r="BC20" s="55"/>
      <c r="BD20" s="55"/>
      <c r="BE20" s="55"/>
      <c r="BF20" s="55"/>
    </row>
    <row r="21" spans="3:58" x14ac:dyDescent="0.45">
      <c r="C21" s="70"/>
      <c r="BB21" s="55"/>
      <c r="BC21" s="55"/>
      <c r="BD21" s="55"/>
      <c r="BE21" s="55"/>
      <c r="BF21" s="55"/>
    </row>
    <row r="22" spans="3:58" x14ac:dyDescent="0.45">
      <c r="C22" s="70"/>
      <c r="BB22" s="55"/>
      <c r="BC22" s="55"/>
      <c r="BD22" s="55"/>
      <c r="BE22" s="55"/>
      <c r="BF22" s="55"/>
    </row>
    <row r="23" spans="3:58" x14ac:dyDescent="0.45">
      <c r="C23" s="70"/>
      <c r="BB23" s="55"/>
      <c r="BC23" s="55"/>
      <c r="BD23" s="55"/>
      <c r="BE23" s="55"/>
      <c r="BF23" s="55"/>
    </row>
    <row r="24" spans="3:58" x14ac:dyDescent="0.45">
      <c r="C24" s="70"/>
      <c r="BB24" s="55"/>
      <c r="BC24" s="55"/>
      <c r="BD24" s="55"/>
      <c r="BE24" s="55"/>
      <c r="BF24" s="55"/>
    </row>
    <row r="25" spans="3:58" x14ac:dyDescent="0.45">
      <c r="C25" s="70"/>
      <c r="BB25" s="55"/>
      <c r="BC25" s="55"/>
      <c r="BD25" s="55"/>
      <c r="BE25" s="55"/>
      <c r="BF25" s="55"/>
    </row>
    <row r="26" spans="3:58" x14ac:dyDescent="0.45">
      <c r="C26" s="70"/>
      <c r="BB26" s="55"/>
      <c r="BC26" s="55"/>
      <c r="BD26" s="55"/>
      <c r="BE26" s="55"/>
      <c r="BF26" s="55"/>
    </row>
    <row r="27" spans="3:58" x14ac:dyDescent="0.45">
      <c r="C27" s="70"/>
    </row>
    <row r="28" spans="3:58" x14ac:dyDescent="0.45">
      <c r="C28" s="70"/>
    </row>
    <row r="29" spans="3:58" x14ac:dyDescent="0.45">
      <c r="C29" s="70"/>
    </row>
    <row r="30" spans="3:58" x14ac:dyDescent="0.45">
      <c r="C30" s="70"/>
    </row>
    <row r="31" spans="3:58" x14ac:dyDescent="0.45">
      <c r="C31" s="70"/>
    </row>
    <row r="32" spans="3:58" x14ac:dyDescent="0.45">
      <c r="C32" s="71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</row>
    <row r="36" spans="2:31" x14ac:dyDescent="0.45">
      <c r="R36" s="53"/>
    </row>
    <row r="37" spans="2:31" s="81" customFormat="1" ht="30" customHeight="1" thickBot="1" x14ac:dyDescent="0.55000000000000004">
      <c r="B37" s="105"/>
      <c r="C37" s="82"/>
      <c r="D37" s="82"/>
      <c r="E37" s="82"/>
      <c r="F37" s="83" t="s">
        <v>2</v>
      </c>
      <c r="G37" s="83" t="s">
        <v>8</v>
      </c>
      <c r="H37" s="83" t="s">
        <v>1</v>
      </c>
      <c r="I37" s="83" t="s">
        <v>11</v>
      </c>
      <c r="J37" s="83" t="s">
        <v>12</v>
      </c>
      <c r="K37" s="83" t="s">
        <v>13</v>
      </c>
      <c r="L37" s="83" t="s">
        <v>14</v>
      </c>
      <c r="M37" s="83" t="s">
        <v>15</v>
      </c>
      <c r="N37" s="83" t="s">
        <v>16</v>
      </c>
      <c r="O37" s="83" t="s">
        <v>17</v>
      </c>
      <c r="P37" s="84" t="s">
        <v>6</v>
      </c>
      <c r="Q37" s="84" t="s">
        <v>5</v>
      </c>
      <c r="R37" s="85" t="s">
        <v>7</v>
      </c>
      <c r="S37" s="86" t="s">
        <v>3</v>
      </c>
      <c r="T37" s="86" t="s">
        <v>4</v>
      </c>
      <c r="U37" s="86" t="s">
        <v>9</v>
      </c>
      <c r="V37" s="86" t="s">
        <v>10</v>
      </c>
      <c r="W37" s="86" t="s">
        <v>18</v>
      </c>
      <c r="X37" s="86" t="s">
        <v>25</v>
      </c>
      <c r="Y37" s="86" t="s">
        <v>26</v>
      </c>
      <c r="Z37" s="86" t="s">
        <v>27</v>
      </c>
      <c r="AA37" s="86" t="s">
        <v>28</v>
      </c>
      <c r="AB37" s="87"/>
      <c r="AC37" s="88"/>
      <c r="AD37" s="88"/>
      <c r="AE37" s="88"/>
    </row>
    <row r="38" spans="2:31" ht="18" customHeight="1" thickTop="1" x14ac:dyDescent="0.45">
      <c r="B38" s="141">
        <v>2</v>
      </c>
      <c r="C38" s="89" t="s">
        <v>0</v>
      </c>
      <c r="D38" s="99" t="s">
        <v>120</v>
      </c>
      <c r="E38" s="100" t="s">
        <v>119</v>
      </c>
      <c r="F38" s="90">
        <v>23098985</v>
      </c>
      <c r="G38" s="91">
        <f t="shared" ref="G38:G57" si="1">IFERROR((F38-T38)/T38, "")</f>
        <v>6.1594244527608866E-2</v>
      </c>
      <c r="H38" s="90">
        <v>3845816.9077559998</v>
      </c>
      <c r="I38" s="91">
        <f t="shared" ref="I38:I57" si="2">IFERROR((H38-S38)/S38, "")</f>
        <v>0.10900984795396218</v>
      </c>
      <c r="J38" s="92">
        <v>0.99998399999999998</v>
      </c>
      <c r="K38" s="92">
        <f t="shared" ref="K38:K57" si="3">IFERROR(H38/F38, "")</f>
        <v>0.16649289601928396</v>
      </c>
      <c r="L38" s="93">
        <f t="shared" ref="L38:L57" si="4">IFERROR((K38-W38)*100, "")</f>
        <v>0.71183868615052881</v>
      </c>
      <c r="M38" s="90">
        <v>1229</v>
      </c>
      <c r="N38" s="94">
        <f t="shared" ref="N38:N57" si="5">IFERROR(P38/Q38, "")</f>
        <v>0.76174168297455969</v>
      </c>
      <c r="O38" s="94">
        <f t="shared" ref="O38:O57" si="6">IFERROR(R38/P38, "")</f>
        <v>0.86384071933204876</v>
      </c>
      <c r="P38" s="90">
        <v>3114</v>
      </c>
      <c r="Q38" s="90">
        <v>4088</v>
      </c>
      <c r="R38" s="73">
        <v>2690</v>
      </c>
      <c r="S38" s="77">
        <v>3467793.2886270001</v>
      </c>
      <c r="T38" s="77">
        <v>21758770</v>
      </c>
      <c r="U38" s="77">
        <v>434174</v>
      </c>
      <c r="V38" s="77">
        <v>394702</v>
      </c>
      <c r="W38" s="78">
        <f t="shared" ref="W38:W57" si="7">IFERROR(S38/T38, "")</f>
        <v>0.15937450915777868</v>
      </c>
      <c r="X38" s="77">
        <v>4088</v>
      </c>
      <c r="Y38" s="77">
        <v>1159</v>
      </c>
      <c r="Z38" s="77">
        <v>2933</v>
      </c>
      <c r="AA38" s="77">
        <f t="shared" ref="AA38:AA57" si="8">IFERROR((M38-Y38)/Y38, "")</f>
        <v>6.0396893874029335E-2</v>
      </c>
      <c r="AB38" s="77">
        <f t="shared" ref="AB38:AB57" si="9">IFERROR((U38-T38)/T38, "")</f>
        <v>-0.9800460228220621</v>
      </c>
      <c r="AC38" s="53"/>
      <c r="AD38" s="53"/>
      <c r="AE38" s="53"/>
    </row>
    <row r="39" spans="2:31" ht="18" customHeight="1" x14ac:dyDescent="0.45">
      <c r="B39" s="141">
        <v>3</v>
      </c>
      <c r="C39" s="89" t="s">
        <v>194</v>
      </c>
      <c r="D39" s="99" t="s">
        <v>120</v>
      </c>
      <c r="E39" s="100" t="s">
        <v>119</v>
      </c>
      <c r="F39" s="90">
        <v>2582800</v>
      </c>
      <c r="G39" s="91">
        <f t="shared" si="1"/>
        <v>5.8797968327887938E-2</v>
      </c>
      <c r="H39" s="90">
        <v>365679.75182599999</v>
      </c>
      <c r="I39" s="91">
        <f t="shared" si="2"/>
        <v>0.15487155173153105</v>
      </c>
      <c r="J39" s="92">
        <v>9.5085000000000003E-2</v>
      </c>
      <c r="K39" s="92">
        <f t="shared" si="3"/>
        <v>0.14158268229286045</v>
      </c>
      <c r="L39" s="93">
        <f t="shared" si="4"/>
        <v>1.1778241151910118</v>
      </c>
      <c r="M39" s="90">
        <v>130</v>
      </c>
      <c r="N39" s="92">
        <f t="shared" si="5"/>
        <v>0.65798611111111116</v>
      </c>
      <c r="O39" s="92">
        <f t="shared" si="6"/>
        <v>1</v>
      </c>
      <c r="P39" s="90">
        <v>379</v>
      </c>
      <c r="Q39" s="90">
        <v>576</v>
      </c>
      <c r="R39" s="73">
        <v>379</v>
      </c>
      <c r="S39" s="53">
        <v>316641.05958599999</v>
      </c>
      <c r="T39" s="53">
        <v>2439370</v>
      </c>
      <c r="U39" s="53">
        <v>51871</v>
      </c>
      <c r="V39" s="53">
        <v>47155</v>
      </c>
      <c r="W39" s="53">
        <f t="shared" si="7"/>
        <v>0.12980444114095033</v>
      </c>
      <c r="X39" s="53">
        <v>576</v>
      </c>
      <c r="Y39" s="53">
        <v>123</v>
      </c>
      <c r="Z39" s="53">
        <v>358</v>
      </c>
      <c r="AA39" s="53">
        <f t="shared" si="8"/>
        <v>5.6910569105691054E-2</v>
      </c>
      <c r="AB39" s="53">
        <f t="shared" si="9"/>
        <v>-0.97873590312252756</v>
      </c>
      <c r="AC39" s="53"/>
      <c r="AD39" s="53"/>
      <c r="AE39" s="53"/>
    </row>
    <row r="40" spans="2:31" ht="18" customHeight="1" x14ac:dyDescent="0.45">
      <c r="B40" s="142">
        <v>4</v>
      </c>
      <c r="C40" s="89" t="s">
        <v>196</v>
      </c>
      <c r="D40" s="99" t="s">
        <v>120</v>
      </c>
      <c r="E40" s="100" t="s">
        <v>119</v>
      </c>
      <c r="F40" s="90">
        <v>781650</v>
      </c>
      <c r="G40" s="91">
        <f t="shared" si="1"/>
        <v>5.404749383065658E-2</v>
      </c>
      <c r="H40" s="90">
        <v>107890.617776</v>
      </c>
      <c r="I40" s="91">
        <f t="shared" si="2"/>
        <v>0.15230752462080818</v>
      </c>
      <c r="J40" s="92">
        <v>2.8053999999999999E-2</v>
      </c>
      <c r="K40" s="92">
        <f t="shared" si="3"/>
        <v>0.13802931974157231</v>
      </c>
      <c r="L40" s="93">
        <f t="shared" si="4"/>
        <v>1.1770091679487811</v>
      </c>
      <c r="M40" s="90">
        <v>40</v>
      </c>
      <c r="N40" s="92">
        <f t="shared" si="5"/>
        <v>0.609375</v>
      </c>
      <c r="O40" s="92">
        <f t="shared" si="6"/>
        <v>1</v>
      </c>
      <c r="P40" s="90">
        <v>117</v>
      </c>
      <c r="Q40" s="90">
        <v>192</v>
      </c>
      <c r="R40" s="73">
        <v>117</v>
      </c>
      <c r="S40" s="53">
        <v>93630.055754000001</v>
      </c>
      <c r="T40" s="53">
        <v>741570</v>
      </c>
      <c r="U40" s="53">
        <v>15178</v>
      </c>
      <c r="V40" s="53">
        <v>13798</v>
      </c>
      <c r="W40" s="53">
        <f t="shared" si="7"/>
        <v>0.12625922806208451</v>
      </c>
      <c r="X40" s="53">
        <v>192</v>
      </c>
      <c r="Y40" s="53">
        <v>38</v>
      </c>
      <c r="Z40" s="53">
        <v>111</v>
      </c>
      <c r="AA40" s="53">
        <f t="shared" si="8"/>
        <v>5.2631578947368418E-2</v>
      </c>
      <c r="AB40" s="53">
        <f t="shared" si="9"/>
        <v>-0.97953261323947838</v>
      </c>
      <c r="AC40" s="53"/>
      <c r="AD40" s="53"/>
      <c r="AE40" s="53"/>
    </row>
    <row r="41" spans="2:31" ht="18" customHeight="1" x14ac:dyDescent="0.45">
      <c r="B41" s="142">
        <v>4</v>
      </c>
      <c r="C41" s="89" t="s">
        <v>181</v>
      </c>
      <c r="D41" s="99" t="s">
        <v>120</v>
      </c>
      <c r="E41" s="100" t="s">
        <v>119</v>
      </c>
      <c r="F41" s="90">
        <v>1019500</v>
      </c>
      <c r="G41" s="91">
        <f t="shared" si="1"/>
        <v>6.6166089748282322E-2</v>
      </c>
      <c r="H41" s="90">
        <v>149898.51602899999</v>
      </c>
      <c r="I41" s="91">
        <f t="shared" si="2"/>
        <v>0.15858242921255322</v>
      </c>
      <c r="J41" s="92">
        <v>3.8976999999999998E-2</v>
      </c>
      <c r="K41" s="92">
        <f t="shared" si="3"/>
        <v>0.14703140365767534</v>
      </c>
      <c r="L41" s="93">
        <f t="shared" si="4"/>
        <v>1.172821524798312</v>
      </c>
      <c r="M41" s="90">
        <v>50</v>
      </c>
      <c r="N41" s="92">
        <f t="shared" si="5"/>
        <v>0.75520833333333337</v>
      </c>
      <c r="O41" s="92">
        <f t="shared" si="6"/>
        <v>1</v>
      </c>
      <c r="P41" s="90">
        <v>145</v>
      </c>
      <c r="Q41" s="90">
        <v>192</v>
      </c>
      <c r="R41" s="73">
        <v>145</v>
      </c>
      <c r="S41" s="53">
        <v>129380.96785299999</v>
      </c>
      <c r="T41" s="53">
        <v>956230</v>
      </c>
      <c r="U41" s="53">
        <v>21760</v>
      </c>
      <c r="V41" s="53">
        <v>19782</v>
      </c>
      <c r="W41" s="53">
        <f t="shared" si="7"/>
        <v>0.13530318840969222</v>
      </c>
      <c r="X41" s="53">
        <v>192</v>
      </c>
      <c r="Y41" s="53">
        <v>47</v>
      </c>
      <c r="Z41" s="53">
        <v>136</v>
      </c>
      <c r="AA41" s="53">
        <f t="shared" si="8"/>
        <v>6.3829787234042548E-2</v>
      </c>
      <c r="AB41" s="53">
        <f t="shared" si="9"/>
        <v>-0.97724396850130202</v>
      </c>
      <c r="AC41" s="53"/>
      <c r="AD41" s="53"/>
      <c r="AE41" s="53"/>
    </row>
    <row r="42" spans="2:31" ht="18" customHeight="1" x14ac:dyDescent="0.45">
      <c r="B42" s="142">
        <v>4</v>
      </c>
      <c r="C42" s="89" t="s">
        <v>187</v>
      </c>
      <c r="D42" s="99" t="s">
        <v>120</v>
      </c>
      <c r="E42" s="100" t="s">
        <v>119</v>
      </c>
      <c r="F42" s="90">
        <v>781650</v>
      </c>
      <c r="G42" s="91">
        <f t="shared" si="1"/>
        <v>5.404749383065658E-2</v>
      </c>
      <c r="H42" s="90">
        <v>107890.618021</v>
      </c>
      <c r="I42" s="91">
        <f t="shared" si="2"/>
        <v>0.15230777060897929</v>
      </c>
      <c r="J42" s="92">
        <v>2.8053999999999999E-2</v>
      </c>
      <c r="K42" s="92">
        <f t="shared" si="3"/>
        <v>0.13802932005501184</v>
      </c>
      <c r="L42" s="93">
        <f t="shared" si="4"/>
        <v>1.1770118659324313</v>
      </c>
      <c r="M42" s="90">
        <v>40</v>
      </c>
      <c r="N42" s="92">
        <f t="shared" si="5"/>
        <v>0.609375</v>
      </c>
      <c r="O42" s="92">
        <f t="shared" si="6"/>
        <v>1</v>
      </c>
      <c r="P42" s="90">
        <v>117</v>
      </c>
      <c r="Q42" s="90">
        <v>192</v>
      </c>
      <c r="R42" s="73">
        <v>117</v>
      </c>
      <c r="S42" s="53">
        <v>93630.035978999993</v>
      </c>
      <c r="T42" s="53">
        <v>741570</v>
      </c>
      <c r="U42" s="53">
        <v>14933</v>
      </c>
      <c r="V42" s="53">
        <v>13575</v>
      </c>
      <c r="W42" s="53">
        <f t="shared" si="7"/>
        <v>0.12625920139568753</v>
      </c>
      <c r="X42" s="53">
        <v>192</v>
      </c>
      <c r="Y42" s="53">
        <v>38</v>
      </c>
      <c r="Z42" s="53">
        <v>111</v>
      </c>
      <c r="AA42" s="53">
        <f t="shared" si="8"/>
        <v>5.2631578947368418E-2</v>
      </c>
      <c r="AB42" s="53">
        <f t="shared" si="9"/>
        <v>-0.97986299337891236</v>
      </c>
      <c r="AC42" s="53"/>
      <c r="AD42" s="53"/>
      <c r="AE42" s="53"/>
    </row>
    <row r="43" spans="2:31" ht="18" customHeight="1" x14ac:dyDescent="0.45">
      <c r="B43" s="142">
        <v>3</v>
      </c>
      <c r="C43" s="89" t="s">
        <v>160</v>
      </c>
      <c r="D43" s="99" t="s">
        <v>120</v>
      </c>
      <c r="E43" s="100" t="s">
        <v>119</v>
      </c>
      <c r="F43" s="90">
        <v>6292550</v>
      </c>
      <c r="G43" s="91">
        <f t="shared" si="1"/>
        <v>6.3865219449516467E-2</v>
      </c>
      <c r="H43" s="90">
        <v>1080136.2555720001</v>
      </c>
      <c r="I43" s="91">
        <f t="shared" si="2"/>
        <v>0.11139199175897782</v>
      </c>
      <c r="J43" s="92">
        <v>0.28085500000000002</v>
      </c>
      <c r="K43" s="92">
        <f t="shared" si="3"/>
        <v>0.17165318600122367</v>
      </c>
      <c r="L43" s="93">
        <f t="shared" si="4"/>
        <v>0.73404540861969625</v>
      </c>
      <c r="M43" s="90">
        <v>338</v>
      </c>
      <c r="N43" s="92">
        <f t="shared" si="5"/>
        <v>0.8001930501930502</v>
      </c>
      <c r="O43" s="92">
        <f t="shared" si="6"/>
        <v>0.79613992762364294</v>
      </c>
      <c r="P43" s="90">
        <v>829</v>
      </c>
      <c r="Q43" s="90">
        <v>1036</v>
      </c>
      <c r="R43" s="73">
        <v>660</v>
      </c>
      <c r="S43" s="53">
        <v>971876.94673099997</v>
      </c>
      <c r="T43" s="53">
        <v>5914800</v>
      </c>
      <c r="U43" s="53">
        <v>108103</v>
      </c>
      <c r="V43" s="53">
        <v>98275</v>
      </c>
      <c r="W43" s="53">
        <f t="shared" si="7"/>
        <v>0.16431273191502671</v>
      </c>
      <c r="X43" s="53">
        <v>1036</v>
      </c>
      <c r="Y43" s="53">
        <v>318</v>
      </c>
      <c r="Z43" s="53">
        <v>779</v>
      </c>
      <c r="AA43" s="53">
        <f t="shared" si="8"/>
        <v>6.2893081761006289E-2</v>
      </c>
      <c r="AB43" s="53">
        <f t="shared" si="9"/>
        <v>-0.98172330425373644</v>
      </c>
      <c r="AC43" s="53"/>
      <c r="AD43" s="53"/>
      <c r="AE43" s="53"/>
    </row>
    <row r="44" spans="2:31" ht="18" customHeight="1" x14ac:dyDescent="0.45">
      <c r="B44" s="142">
        <v>4</v>
      </c>
      <c r="C44" s="89" t="s">
        <v>191</v>
      </c>
      <c r="D44" s="99" t="s">
        <v>120</v>
      </c>
      <c r="E44" s="100" t="s">
        <v>119</v>
      </c>
      <c r="F44" s="90">
        <v>1755850</v>
      </c>
      <c r="G44" s="91">
        <f t="shared" si="1"/>
        <v>6.5442961165048538E-2</v>
      </c>
      <c r="H44" s="90">
        <v>289771.28690200002</v>
      </c>
      <c r="I44" s="91">
        <f t="shared" si="2"/>
        <v>0.11541305256339748</v>
      </c>
      <c r="J44" s="92">
        <v>7.5344999999999995E-2</v>
      </c>
      <c r="K44" s="92">
        <f t="shared" si="3"/>
        <v>0.16503191440157189</v>
      </c>
      <c r="L44" s="93">
        <f t="shared" si="4"/>
        <v>0.73933686066689763</v>
      </c>
      <c r="M44" s="90">
        <v>100</v>
      </c>
      <c r="N44" s="92">
        <f t="shared" si="5"/>
        <v>0.82432432432432434</v>
      </c>
      <c r="O44" s="92">
        <f t="shared" si="6"/>
        <v>0.79508196721311475</v>
      </c>
      <c r="P44" s="90">
        <v>244</v>
      </c>
      <c r="Q44" s="90">
        <v>296</v>
      </c>
      <c r="R44" s="73">
        <v>194</v>
      </c>
      <c r="S44" s="53">
        <v>259788.32347</v>
      </c>
      <c r="T44" s="53">
        <v>1648000</v>
      </c>
      <c r="U44" s="53">
        <v>25220</v>
      </c>
      <c r="V44" s="53">
        <v>22927</v>
      </c>
      <c r="W44" s="53">
        <f t="shared" si="7"/>
        <v>0.15763854579490291</v>
      </c>
      <c r="X44" s="53">
        <v>296</v>
      </c>
      <c r="Y44" s="53">
        <v>94</v>
      </c>
      <c r="Z44" s="53">
        <v>229</v>
      </c>
      <c r="AA44" s="53">
        <f t="shared" si="8"/>
        <v>6.3829787234042548E-2</v>
      </c>
      <c r="AB44" s="53">
        <f t="shared" si="9"/>
        <v>-0.98469660194174757</v>
      </c>
      <c r="AC44" s="53"/>
      <c r="AD44" s="53"/>
      <c r="AE44" s="53"/>
    </row>
    <row r="45" spans="2:31" ht="18" customHeight="1" x14ac:dyDescent="0.45">
      <c r="B45" s="142">
        <v>4</v>
      </c>
      <c r="C45" s="89" t="s">
        <v>195</v>
      </c>
      <c r="D45" s="99" t="s">
        <v>120</v>
      </c>
      <c r="E45" s="100" t="s">
        <v>119</v>
      </c>
      <c r="F45" s="90">
        <v>2908720</v>
      </c>
      <c r="G45" s="91">
        <f t="shared" si="1"/>
        <v>5.9843759109193727E-2</v>
      </c>
      <c r="H45" s="90">
        <v>526580.91309599997</v>
      </c>
      <c r="I45" s="91">
        <f t="shared" si="2"/>
        <v>0.10465008608898496</v>
      </c>
      <c r="J45" s="92">
        <v>0.13692199999999999</v>
      </c>
      <c r="K45" s="92">
        <f t="shared" si="3"/>
        <v>0.1810352708737864</v>
      </c>
      <c r="L45" s="93">
        <f t="shared" si="4"/>
        <v>0.73430723844550849</v>
      </c>
      <c r="M45" s="90">
        <v>144</v>
      </c>
      <c r="N45" s="92">
        <f t="shared" si="5"/>
        <v>0.79729729729729726</v>
      </c>
      <c r="O45" s="92">
        <f t="shared" si="6"/>
        <v>0.79661016949152541</v>
      </c>
      <c r="P45" s="90">
        <v>354</v>
      </c>
      <c r="Q45" s="90">
        <v>444</v>
      </c>
      <c r="R45" s="73">
        <v>282</v>
      </c>
      <c r="S45" s="53">
        <v>476694.76491000003</v>
      </c>
      <c r="T45" s="53">
        <v>2744480</v>
      </c>
      <c r="U45" s="53">
        <v>60800</v>
      </c>
      <c r="V45" s="53">
        <v>55272</v>
      </c>
      <c r="W45" s="53">
        <f t="shared" si="7"/>
        <v>0.17369219848933132</v>
      </c>
      <c r="X45" s="53">
        <v>444</v>
      </c>
      <c r="Y45" s="53">
        <v>136</v>
      </c>
      <c r="Z45" s="53">
        <v>334</v>
      </c>
      <c r="AA45" s="53">
        <f t="shared" si="8"/>
        <v>5.8823529411764705E-2</v>
      </c>
      <c r="AB45" s="53">
        <f t="shared" si="9"/>
        <v>-0.97784644085582695</v>
      </c>
      <c r="AC45" s="53"/>
      <c r="AD45" s="53"/>
      <c r="AE45" s="53"/>
    </row>
    <row r="46" spans="2:31" ht="18" customHeight="1" x14ac:dyDescent="0.45">
      <c r="B46" s="142">
        <v>4</v>
      </c>
      <c r="C46" s="89" t="s">
        <v>184</v>
      </c>
      <c r="D46" s="99" t="s">
        <v>120</v>
      </c>
      <c r="E46" s="100" t="s">
        <v>119</v>
      </c>
      <c r="F46" s="90">
        <v>1627980</v>
      </c>
      <c r="G46" s="91">
        <f t="shared" si="1"/>
        <v>6.9407220558095534E-2</v>
      </c>
      <c r="H46" s="90">
        <v>263784.055574</v>
      </c>
      <c r="I46" s="91">
        <f t="shared" si="2"/>
        <v>0.12060721304235077</v>
      </c>
      <c r="J46" s="92">
        <v>6.8587999999999996E-2</v>
      </c>
      <c r="K46" s="92">
        <f t="shared" si="3"/>
        <v>0.16203150872492292</v>
      </c>
      <c r="L46" s="93">
        <f t="shared" si="4"/>
        <v>0.74031399516032437</v>
      </c>
      <c r="M46" s="90">
        <v>94</v>
      </c>
      <c r="N46" s="92">
        <f t="shared" si="5"/>
        <v>0.78040540540540537</v>
      </c>
      <c r="O46" s="92">
        <f t="shared" si="6"/>
        <v>0.79653679653679654</v>
      </c>
      <c r="P46" s="90">
        <v>231</v>
      </c>
      <c r="Q46" s="90">
        <v>296</v>
      </c>
      <c r="R46" s="73">
        <v>184</v>
      </c>
      <c r="S46" s="53">
        <v>235393.858351</v>
      </c>
      <c r="T46" s="53">
        <v>1522320</v>
      </c>
      <c r="U46" s="53">
        <v>22083</v>
      </c>
      <c r="V46" s="53">
        <v>20076</v>
      </c>
      <c r="W46" s="53">
        <f t="shared" si="7"/>
        <v>0.15462836877331967</v>
      </c>
      <c r="X46" s="53">
        <v>296</v>
      </c>
      <c r="Y46" s="53">
        <v>88</v>
      </c>
      <c r="Z46" s="53">
        <v>216</v>
      </c>
      <c r="AA46" s="53">
        <f t="shared" si="8"/>
        <v>6.8181818181818177E-2</v>
      </c>
      <c r="AB46" s="53">
        <f t="shared" si="9"/>
        <v>-0.98549385148983126</v>
      </c>
      <c r="AC46" s="53"/>
      <c r="AD46" s="53"/>
      <c r="AE46" s="53"/>
    </row>
    <row r="47" spans="2:31" ht="18" customHeight="1" x14ac:dyDescent="0.45">
      <c r="B47" s="142">
        <v>3</v>
      </c>
      <c r="C47" s="89" t="s">
        <v>198</v>
      </c>
      <c r="D47" s="99" t="s">
        <v>120</v>
      </c>
      <c r="E47" s="100" t="s">
        <v>119</v>
      </c>
      <c r="F47" s="90">
        <v>9567455</v>
      </c>
      <c r="G47" s="91">
        <f t="shared" si="1"/>
        <v>5.9237301270980029E-2</v>
      </c>
      <c r="H47" s="90">
        <v>1746010.1279750001</v>
      </c>
      <c r="I47" s="91">
        <f t="shared" si="2"/>
        <v>0.11613046706748152</v>
      </c>
      <c r="J47" s="92">
        <v>0.45399499999999998</v>
      </c>
      <c r="K47" s="92">
        <f t="shared" si="3"/>
        <v>0.1824947311458481</v>
      </c>
      <c r="L47" s="93">
        <f t="shared" si="4"/>
        <v>0.93024098010228151</v>
      </c>
      <c r="M47" s="90">
        <v>510</v>
      </c>
      <c r="N47" s="92">
        <f t="shared" si="5"/>
        <v>0.85081743869209814</v>
      </c>
      <c r="O47" s="92">
        <f t="shared" si="6"/>
        <v>0.79583666933546837</v>
      </c>
      <c r="P47" s="90">
        <v>1249</v>
      </c>
      <c r="Q47" s="90">
        <v>1468</v>
      </c>
      <c r="R47" s="73">
        <v>994</v>
      </c>
      <c r="S47" s="53">
        <v>1564342.3233149999</v>
      </c>
      <c r="T47" s="53">
        <v>9032400</v>
      </c>
      <c r="U47" s="53">
        <v>166530</v>
      </c>
      <c r="V47" s="53">
        <v>151390</v>
      </c>
      <c r="W47" s="53">
        <f t="shared" si="7"/>
        <v>0.17319232134482529</v>
      </c>
      <c r="X47" s="53">
        <v>1468</v>
      </c>
      <c r="Y47" s="53">
        <v>482</v>
      </c>
      <c r="Z47" s="53">
        <v>1179</v>
      </c>
      <c r="AA47" s="53">
        <f t="shared" si="8"/>
        <v>5.8091286307053944E-2</v>
      </c>
      <c r="AB47" s="53">
        <f t="shared" si="9"/>
        <v>-0.98156303972366143</v>
      </c>
      <c r="AC47" s="53"/>
      <c r="AD47" s="53"/>
      <c r="AE47" s="53"/>
    </row>
    <row r="48" spans="2:31" ht="18" customHeight="1" x14ac:dyDescent="0.45">
      <c r="B48" s="142">
        <v>4</v>
      </c>
      <c r="C48" s="89" t="s">
        <v>188</v>
      </c>
      <c r="D48" s="99" t="s">
        <v>120</v>
      </c>
      <c r="E48" s="100" t="s">
        <v>119</v>
      </c>
      <c r="F48" s="90">
        <v>1773610</v>
      </c>
      <c r="G48" s="91">
        <f t="shared" si="1"/>
        <v>6.404576282880034E-2</v>
      </c>
      <c r="H48" s="90">
        <v>305136.21656199999</v>
      </c>
      <c r="I48" s="91">
        <f t="shared" si="2"/>
        <v>0.12517803700266905</v>
      </c>
      <c r="J48" s="92">
        <v>7.9339999999999994E-2</v>
      </c>
      <c r="K48" s="92">
        <f t="shared" si="3"/>
        <v>0.17204245384385519</v>
      </c>
      <c r="L48" s="93">
        <f t="shared" si="4"/>
        <v>0.93472731532732167</v>
      </c>
      <c r="M48" s="90">
        <v>102</v>
      </c>
      <c r="N48" s="92">
        <f t="shared" si="5"/>
        <v>0.84121621621621623</v>
      </c>
      <c r="O48" s="92">
        <f t="shared" si="6"/>
        <v>0.79518072289156627</v>
      </c>
      <c r="P48" s="90">
        <v>249</v>
      </c>
      <c r="Q48" s="90">
        <v>296</v>
      </c>
      <c r="R48" s="73">
        <v>198</v>
      </c>
      <c r="S48" s="53">
        <v>271189.27541</v>
      </c>
      <c r="T48" s="53">
        <v>1666855</v>
      </c>
      <c r="U48" s="53">
        <v>24923</v>
      </c>
      <c r="V48" s="53">
        <v>22657</v>
      </c>
      <c r="W48" s="53">
        <f t="shared" si="7"/>
        <v>0.16269518069058198</v>
      </c>
      <c r="X48" s="53">
        <v>296</v>
      </c>
      <c r="Y48" s="53">
        <v>96</v>
      </c>
      <c r="Z48" s="53">
        <v>234</v>
      </c>
      <c r="AA48" s="53">
        <f t="shared" si="8"/>
        <v>6.25E-2</v>
      </c>
      <c r="AB48" s="53">
        <f t="shared" si="9"/>
        <v>-0.98504788958847656</v>
      </c>
      <c r="AC48" s="53"/>
      <c r="AD48" s="53"/>
      <c r="AE48" s="53"/>
    </row>
    <row r="49" spans="2:31" ht="18" customHeight="1" x14ac:dyDescent="0.45">
      <c r="B49" s="142">
        <v>4</v>
      </c>
      <c r="C49" s="89" t="s">
        <v>186</v>
      </c>
      <c r="D49" s="99" t="s">
        <v>120</v>
      </c>
      <c r="E49" s="100" t="s">
        <v>119</v>
      </c>
      <c r="F49" s="90">
        <v>2496705</v>
      </c>
      <c r="G49" s="91">
        <f t="shared" si="1"/>
        <v>6.5745074561880917E-2</v>
      </c>
      <c r="H49" s="90">
        <v>456976.67065300001</v>
      </c>
      <c r="I49" s="91">
        <f t="shared" si="2"/>
        <v>0.12288696361440038</v>
      </c>
      <c r="J49" s="92">
        <v>0.118823</v>
      </c>
      <c r="K49" s="92">
        <f t="shared" si="3"/>
        <v>0.18303190431108202</v>
      </c>
      <c r="L49" s="93">
        <f t="shared" si="4"/>
        <v>0.93141955585181735</v>
      </c>
      <c r="M49" s="90">
        <v>132</v>
      </c>
      <c r="N49" s="92">
        <f t="shared" si="5"/>
        <v>0.85263157894736841</v>
      </c>
      <c r="O49" s="92">
        <f t="shared" si="6"/>
        <v>0.79629629629629628</v>
      </c>
      <c r="P49" s="90">
        <v>324</v>
      </c>
      <c r="Q49" s="90">
        <v>380</v>
      </c>
      <c r="R49" s="73">
        <v>258</v>
      </c>
      <c r="S49" s="53">
        <v>406965.87052900001</v>
      </c>
      <c r="T49" s="53">
        <v>2342685</v>
      </c>
      <c r="U49" s="53">
        <v>41783</v>
      </c>
      <c r="V49" s="53">
        <v>37985</v>
      </c>
      <c r="W49" s="53">
        <f t="shared" si="7"/>
        <v>0.17371770875256384</v>
      </c>
      <c r="X49" s="53">
        <v>380</v>
      </c>
      <c r="Y49" s="53">
        <v>124</v>
      </c>
      <c r="Z49" s="53">
        <v>304</v>
      </c>
      <c r="AA49" s="53">
        <f t="shared" si="8"/>
        <v>6.4516129032258063E-2</v>
      </c>
      <c r="AB49" s="53">
        <f t="shared" si="9"/>
        <v>-0.98216448220738173</v>
      </c>
      <c r="AC49" s="53"/>
      <c r="AD49" s="53"/>
      <c r="AE49" s="53"/>
    </row>
    <row r="50" spans="2:31" ht="18" customHeight="1" x14ac:dyDescent="0.45">
      <c r="B50" s="142">
        <v>4</v>
      </c>
      <c r="C50" s="89" t="s">
        <v>197</v>
      </c>
      <c r="D50" s="99" t="s">
        <v>120</v>
      </c>
      <c r="E50" s="100" t="s">
        <v>119</v>
      </c>
      <c r="F50" s="90">
        <v>2158300</v>
      </c>
      <c r="G50" s="91">
        <f t="shared" si="1"/>
        <v>5.372364836495367E-2</v>
      </c>
      <c r="H50" s="90">
        <v>384274.75400999998</v>
      </c>
      <c r="I50" s="91">
        <f t="shared" si="2"/>
        <v>0.1119844559392074</v>
      </c>
      <c r="J50" s="92">
        <v>9.9918000000000007E-2</v>
      </c>
      <c r="K50" s="92">
        <f t="shared" si="3"/>
        <v>0.17804510680164942</v>
      </c>
      <c r="L50" s="93">
        <f t="shared" si="4"/>
        <v>0.93284143060678171</v>
      </c>
      <c r="M50" s="90">
        <v>120</v>
      </c>
      <c r="N50" s="92">
        <f t="shared" si="5"/>
        <v>0.84482758620689657</v>
      </c>
      <c r="O50" s="92">
        <f t="shared" si="6"/>
        <v>0.79591836734693877</v>
      </c>
      <c r="P50" s="90">
        <v>294</v>
      </c>
      <c r="Q50" s="90">
        <v>348</v>
      </c>
      <c r="R50" s="73">
        <v>234</v>
      </c>
      <c r="S50" s="53">
        <v>345575.65257099998</v>
      </c>
      <c r="T50" s="53">
        <v>2048260</v>
      </c>
      <c r="U50" s="53">
        <v>31533</v>
      </c>
      <c r="V50" s="53">
        <v>28666</v>
      </c>
      <c r="W50" s="53">
        <f t="shared" si="7"/>
        <v>0.1687166924955816</v>
      </c>
      <c r="X50" s="53">
        <v>348</v>
      </c>
      <c r="Y50" s="53">
        <v>114</v>
      </c>
      <c r="Z50" s="53">
        <v>279</v>
      </c>
      <c r="AA50" s="53">
        <f t="shared" si="8"/>
        <v>5.2631578947368418E-2</v>
      </c>
      <c r="AB50" s="53">
        <f t="shared" si="9"/>
        <v>-0.98460498178942124</v>
      </c>
      <c r="AC50" s="53"/>
      <c r="AD50" s="53"/>
      <c r="AE50" s="53"/>
    </row>
    <row r="51" spans="2:31" ht="18" customHeight="1" x14ac:dyDescent="0.45">
      <c r="B51" s="142">
        <v>4</v>
      </c>
      <c r="C51" s="89" t="s">
        <v>189</v>
      </c>
      <c r="D51" s="99" t="s">
        <v>120</v>
      </c>
      <c r="E51" s="100" t="s">
        <v>119</v>
      </c>
      <c r="F51" s="90">
        <v>3138840</v>
      </c>
      <c r="G51" s="91">
        <f t="shared" si="1"/>
        <v>5.5214146439857462E-2</v>
      </c>
      <c r="H51" s="90">
        <v>599622.48675000004</v>
      </c>
      <c r="I51" s="91">
        <f t="shared" si="2"/>
        <v>0.10915594514246693</v>
      </c>
      <c r="J51" s="92">
        <v>0.155914</v>
      </c>
      <c r="K51" s="92">
        <f t="shared" si="3"/>
        <v>0.19103314815345798</v>
      </c>
      <c r="L51" s="93">
        <f t="shared" si="4"/>
        <v>0.92905525759013063</v>
      </c>
      <c r="M51" s="90">
        <v>156</v>
      </c>
      <c r="N51" s="92">
        <f t="shared" si="5"/>
        <v>0.86036036036036034</v>
      </c>
      <c r="O51" s="92">
        <f t="shared" si="6"/>
        <v>0.79581151832460728</v>
      </c>
      <c r="P51" s="90">
        <v>382</v>
      </c>
      <c r="Q51" s="90">
        <v>444</v>
      </c>
      <c r="R51" s="73">
        <v>304</v>
      </c>
      <c r="S51" s="53">
        <v>540611.52480500005</v>
      </c>
      <c r="T51" s="53">
        <v>2974600</v>
      </c>
      <c r="U51" s="53">
        <v>68291</v>
      </c>
      <c r="V51" s="53">
        <v>62082</v>
      </c>
      <c r="W51" s="53">
        <f t="shared" si="7"/>
        <v>0.18174259557755668</v>
      </c>
      <c r="X51" s="53">
        <v>444</v>
      </c>
      <c r="Y51" s="53">
        <v>148</v>
      </c>
      <c r="Z51" s="53">
        <v>362</v>
      </c>
      <c r="AA51" s="53">
        <f t="shared" si="8"/>
        <v>5.4054054054054057E-2</v>
      </c>
      <c r="AB51" s="53">
        <f t="shared" si="9"/>
        <v>-0.97704195522087001</v>
      </c>
      <c r="AC51" s="53"/>
      <c r="AD51" s="53"/>
      <c r="AE51" s="53"/>
    </row>
    <row r="52" spans="2:31" ht="18" customHeight="1" x14ac:dyDescent="0.45">
      <c r="B52" s="142">
        <v>3</v>
      </c>
      <c r="C52" s="89" t="s">
        <v>193</v>
      </c>
      <c r="D52" s="99" t="s">
        <v>120</v>
      </c>
      <c r="E52" s="100" t="s">
        <v>119</v>
      </c>
      <c r="F52" s="90">
        <v>2706480</v>
      </c>
      <c r="G52" s="91">
        <f t="shared" si="1"/>
        <v>6.6546868904205136E-2</v>
      </c>
      <c r="H52" s="90">
        <v>572262.78380900004</v>
      </c>
      <c r="I52" s="91">
        <f t="shared" si="2"/>
        <v>0.10603486660722318</v>
      </c>
      <c r="J52" s="92">
        <v>0.14879899999999999</v>
      </c>
      <c r="K52" s="92">
        <f t="shared" si="3"/>
        <v>0.2114417190627679</v>
      </c>
      <c r="L52" s="93">
        <f t="shared" si="4"/>
        <v>0.75489574232724677</v>
      </c>
      <c r="M52" s="90">
        <v>164</v>
      </c>
      <c r="N52" s="92">
        <f t="shared" si="5"/>
        <v>0.64423076923076927</v>
      </c>
      <c r="O52" s="92">
        <f t="shared" si="6"/>
        <v>1</v>
      </c>
      <c r="P52" s="90">
        <v>402</v>
      </c>
      <c r="Q52" s="90">
        <v>624</v>
      </c>
      <c r="R52" s="73">
        <v>402</v>
      </c>
      <c r="S52" s="53">
        <v>517400.310864</v>
      </c>
      <c r="T52" s="53">
        <v>2537610</v>
      </c>
      <c r="U52" s="53">
        <v>58580</v>
      </c>
      <c r="V52" s="53">
        <v>53255</v>
      </c>
      <c r="W52" s="53">
        <f t="shared" si="7"/>
        <v>0.20389276163949543</v>
      </c>
      <c r="X52" s="53">
        <v>624</v>
      </c>
      <c r="Y52" s="53">
        <v>154</v>
      </c>
      <c r="Z52" s="53">
        <v>377</v>
      </c>
      <c r="AA52" s="53">
        <f t="shared" si="8"/>
        <v>6.4935064935064929E-2</v>
      </c>
      <c r="AB52" s="53">
        <f t="shared" si="9"/>
        <v>-0.97691528643093306</v>
      </c>
      <c r="AC52" s="53"/>
      <c r="AD52" s="53"/>
      <c r="AE52" s="53"/>
    </row>
    <row r="53" spans="2:31" ht="18" customHeight="1" x14ac:dyDescent="0.45">
      <c r="B53" s="142">
        <v>4</v>
      </c>
      <c r="C53" s="89" t="s">
        <v>192</v>
      </c>
      <c r="D53" s="99" t="s">
        <v>120</v>
      </c>
      <c r="E53" s="100" t="s">
        <v>119</v>
      </c>
      <c r="F53" s="90">
        <v>1132650</v>
      </c>
      <c r="G53" s="91">
        <f t="shared" si="1"/>
        <v>6.0265663175040021E-2</v>
      </c>
      <c r="H53" s="90">
        <v>232243.36315300001</v>
      </c>
      <c r="I53" s="91">
        <f t="shared" si="2"/>
        <v>0.10082966673293736</v>
      </c>
      <c r="J53" s="92">
        <v>6.0387000000000003E-2</v>
      </c>
      <c r="K53" s="92">
        <f t="shared" si="3"/>
        <v>0.20504424416456982</v>
      </c>
      <c r="L53" s="93">
        <f t="shared" si="4"/>
        <v>0.75555880270764819</v>
      </c>
      <c r="M53" s="90">
        <v>72</v>
      </c>
      <c r="N53" s="92">
        <f t="shared" si="5"/>
        <v>0.5641025641025641</v>
      </c>
      <c r="O53" s="92">
        <f t="shared" si="6"/>
        <v>1</v>
      </c>
      <c r="P53" s="90">
        <v>176</v>
      </c>
      <c r="Q53" s="90">
        <v>312</v>
      </c>
      <c r="R53" s="73">
        <v>176</v>
      </c>
      <c r="S53" s="53">
        <v>210971.20669200001</v>
      </c>
      <c r="T53" s="53">
        <v>1068270</v>
      </c>
      <c r="U53" s="53">
        <v>21968</v>
      </c>
      <c r="V53" s="53">
        <v>19971</v>
      </c>
      <c r="W53" s="53">
        <f t="shared" si="7"/>
        <v>0.19748865613749333</v>
      </c>
      <c r="X53" s="53">
        <v>312</v>
      </c>
      <c r="Y53" s="53">
        <v>68</v>
      </c>
      <c r="Z53" s="53">
        <v>166</v>
      </c>
      <c r="AA53" s="53">
        <f t="shared" si="8"/>
        <v>5.8823529411764705E-2</v>
      </c>
      <c r="AB53" s="53">
        <f t="shared" si="9"/>
        <v>-0.97943591039718425</v>
      </c>
      <c r="AC53" s="53"/>
      <c r="AD53" s="53"/>
      <c r="AE53" s="53"/>
    </row>
    <row r="54" spans="2:31" ht="18" customHeight="1" x14ac:dyDescent="0.45">
      <c r="B54" s="142">
        <v>4</v>
      </c>
      <c r="C54" s="89" t="s">
        <v>190</v>
      </c>
      <c r="D54" s="99" t="s">
        <v>120</v>
      </c>
      <c r="E54" s="100" t="s">
        <v>119</v>
      </c>
      <c r="F54" s="90">
        <v>1573830</v>
      </c>
      <c r="G54" s="91">
        <f t="shared" si="1"/>
        <v>7.1113561190738694E-2</v>
      </c>
      <c r="H54" s="90">
        <v>340019.42065599997</v>
      </c>
      <c r="I54" s="91">
        <f t="shared" si="2"/>
        <v>0.10961855785456187</v>
      </c>
      <c r="J54" s="92">
        <v>8.8412000000000004E-2</v>
      </c>
      <c r="K54" s="92">
        <f t="shared" si="3"/>
        <v>0.2160458376419308</v>
      </c>
      <c r="L54" s="93">
        <f t="shared" si="4"/>
        <v>0.74970305775345358</v>
      </c>
      <c r="M54" s="90">
        <v>92</v>
      </c>
      <c r="N54" s="92">
        <f t="shared" si="5"/>
        <v>0.72435897435897434</v>
      </c>
      <c r="O54" s="92">
        <f t="shared" si="6"/>
        <v>1</v>
      </c>
      <c r="P54" s="90">
        <v>226</v>
      </c>
      <c r="Q54" s="90">
        <v>312</v>
      </c>
      <c r="R54" s="73">
        <v>226</v>
      </c>
      <c r="S54" s="53">
        <v>306429.10417200002</v>
      </c>
      <c r="T54" s="53">
        <v>1469340</v>
      </c>
      <c r="U54" s="53">
        <v>36612</v>
      </c>
      <c r="V54" s="53">
        <v>33284</v>
      </c>
      <c r="W54" s="53">
        <f t="shared" si="7"/>
        <v>0.20854880706439627</v>
      </c>
      <c r="X54" s="53">
        <v>312</v>
      </c>
      <c r="Y54" s="53">
        <v>86</v>
      </c>
      <c r="Z54" s="53">
        <v>211</v>
      </c>
      <c r="AA54" s="53">
        <f t="shared" si="8"/>
        <v>6.9767441860465115E-2</v>
      </c>
      <c r="AB54" s="53">
        <f t="shared" si="9"/>
        <v>-0.9750826901874311</v>
      </c>
      <c r="AC54" s="53"/>
      <c r="AD54" s="53"/>
      <c r="AE54" s="53"/>
    </row>
    <row r="55" spans="2:31" ht="18" customHeight="1" x14ac:dyDescent="0.45">
      <c r="B55" s="142">
        <v>3</v>
      </c>
      <c r="C55" s="89" t="s">
        <v>185</v>
      </c>
      <c r="D55" s="99" t="s">
        <v>120</v>
      </c>
      <c r="E55" s="100" t="s">
        <v>119</v>
      </c>
      <c r="F55" s="90">
        <v>1949700</v>
      </c>
      <c r="G55" s="91">
        <f t="shared" si="1"/>
        <v>6.2744264386048104E-2</v>
      </c>
      <c r="H55" s="90">
        <v>81727.988574000003</v>
      </c>
      <c r="I55" s="91">
        <f t="shared" si="2"/>
        <v>-0.16204481124896888</v>
      </c>
      <c r="J55" s="92">
        <v>2.1250000000000002E-2</v>
      </c>
      <c r="K55" s="92">
        <f t="shared" si="3"/>
        <v>4.1918237971995696E-2</v>
      </c>
      <c r="L55" s="93">
        <f t="shared" si="4"/>
        <v>-1.1244947334258015</v>
      </c>
      <c r="M55" s="90">
        <v>87</v>
      </c>
      <c r="N55" s="92">
        <f t="shared" si="5"/>
        <v>0.6640625</v>
      </c>
      <c r="O55" s="92">
        <f t="shared" si="6"/>
        <v>1</v>
      </c>
      <c r="P55" s="90">
        <v>255</v>
      </c>
      <c r="Q55" s="90">
        <v>384</v>
      </c>
      <c r="R55" s="73">
        <v>255</v>
      </c>
      <c r="S55" s="53">
        <v>97532.648130999994</v>
      </c>
      <c r="T55" s="53">
        <v>1834590</v>
      </c>
      <c r="U55" s="53">
        <v>49090</v>
      </c>
      <c r="V55" s="53">
        <v>44627</v>
      </c>
      <c r="W55" s="53">
        <f t="shared" si="7"/>
        <v>5.3163185306253712E-2</v>
      </c>
      <c r="X55" s="53">
        <v>384</v>
      </c>
      <c r="Y55" s="53">
        <v>82</v>
      </c>
      <c r="Z55" s="53">
        <v>240</v>
      </c>
      <c r="AA55" s="53">
        <f t="shared" si="8"/>
        <v>6.097560975609756E-2</v>
      </c>
      <c r="AB55" s="53">
        <f t="shared" si="9"/>
        <v>-0.97324197777160015</v>
      </c>
      <c r="AC55" s="53"/>
      <c r="AD55" s="53"/>
      <c r="AE55" s="53"/>
    </row>
    <row r="56" spans="2:31" ht="18" customHeight="1" x14ac:dyDescent="0.45">
      <c r="B56" s="142">
        <v>4</v>
      </c>
      <c r="C56" s="89" t="s">
        <v>182</v>
      </c>
      <c r="D56" s="99" t="s">
        <v>120</v>
      </c>
      <c r="E56" s="100" t="s">
        <v>119</v>
      </c>
      <c r="F56" s="90">
        <v>863550</v>
      </c>
      <c r="G56" s="91">
        <f t="shared" si="1"/>
        <v>5.4048116005712403E-2</v>
      </c>
      <c r="H56" s="90">
        <v>32830.609501999999</v>
      </c>
      <c r="I56" s="91">
        <f t="shared" si="2"/>
        <v>-0.18679540053536764</v>
      </c>
      <c r="J56" s="92">
        <v>8.5360000000000002E-3</v>
      </c>
      <c r="K56" s="92">
        <f t="shared" si="3"/>
        <v>3.8018191768861093E-2</v>
      </c>
      <c r="L56" s="93">
        <f t="shared" si="4"/>
        <v>-1.1259694059986538</v>
      </c>
      <c r="M56" s="90">
        <v>40</v>
      </c>
      <c r="N56" s="92">
        <f t="shared" si="5"/>
        <v>0.609375</v>
      </c>
      <c r="O56" s="92">
        <f t="shared" si="6"/>
        <v>1</v>
      </c>
      <c r="P56" s="90">
        <v>117</v>
      </c>
      <c r="Q56" s="90">
        <v>192</v>
      </c>
      <c r="R56" s="73">
        <v>117</v>
      </c>
      <c r="S56" s="53">
        <v>40371.893522999999</v>
      </c>
      <c r="T56" s="53">
        <v>819270</v>
      </c>
      <c r="U56" s="53">
        <v>18850</v>
      </c>
      <c r="V56" s="53">
        <v>17136</v>
      </c>
      <c r="W56" s="53">
        <f t="shared" si="7"/>
        <v>4.927788582884763E-2</v>
      </c>
      <c r="X56" s="53">
        <v>192</v>
      </c>
      <c r="Y56" s="53">
        <v>38</v>
      </c>
      <c r="Z56" s="53">
        <v>111</v>
      </c>
      <c r="AA56" s="53">
        <f t="shared" si="8"/>
        <v>5.2631578947368418E-2</v>
      </c>
      <c r="AB56" s="53">
        <f t="shared" si="9"/>
        <v>-0.97699171213397296</v>
      </c>
      <c r="AC56" s="53"/>
      <c r="AD56" s="53"/>
      <c r="AE56" s="53"/>
    </row>
    <row r="57" spans="2:31" x14ac:dyDescent="0.45">
      <c r="B57" s="140">
        <v>4</v>
      </c>
      <c r="C57" s="89" t="s">
        <v>183</v>
      </c>
      <c r="D57" s="99" t="s">
        <v>120</v>
      </c>
      <c r="E57" s="100" t="s">
        <v>119</v>
      </c>
      <c r="F57" s="90">
        <v>1086150</v>
      </c>
      <c r="G57" s="91">
        <f t="shared" si="1"/>
        <v>6.9761257534570381E-2</v>
      </c>
      <c r="H57" s="90">
        <v>48897.379072000003</v>
      </c>
      <c r="I57" s="91">
        <f t="shared" si="2"/>
        <v>-0.14456379368447822</v>
      </c>
      <c r="J57" s="92">
        <v>1.2714E-2</v>
      </c>
      <c r="K57" s="92">
        <f t="shared" si="3"/>
        <v>4.5018992838926485E-2</v>
      </c>
      <c r="L57" s="93">
        <f t="shared" si="4"/>
        <v>-1.1279272346433797</v>
      </c>
      <c r="M57" s="90">
        <v>47</v>
      </c>
      <c r="N57" s="92">
        <f t="shared" si="5"/>
        <v>0.71875</v>
      </c>
      <c r="O57" s="92">
        <f t="shared" si="6"/>
        <v>1</v>
      </c>
      <c r="P57" s="90">
        <v>138</v>
      </c>
      <c r="Q57" s="90">
        <v>192</v>
      </c>
      <c r="R57" s="73">
        <v>138</v>
      </c>
      <c r="S57" s="52">
        <v>57160.754608000003</v>
      </c>
      <c r="T57" s="52">
        <v>1015320</v>
      </c>
      <c r="U57" s="52">
        <v>30240</v>
      </c>
      <c r="V57" s="52">
        <v>27491</v>
      </c>
      <c r="W57" s="52">
        <f t="shared" si="7"/>
        <v>5.6298265185360283E-2</v>
      </c>
      <c r="X57" s="52">
        <v>192</v>
      </c>
      <c r="Y57" s="52">
        <v>44</v>
      </c>
      <c r="Z57" s="52">
        <v>129</v>
      </c>
      <c r="AA57" s="52">
        <f t="shared" si="8"/>
        <v>6.8181818181818177E-2</v>
      </c>
      <c r="AB57" s="52">
        <f t="shared" si="9"/>
        <v>-0.97021628649095848</v>
      </c>
    </row>
    <row r="58" spans="2:31" x14ac:dyDescent="0.45">
      <c r="B58" s="140"/>
      <c r="C58" s="79"/>
      <c r="D58" s="80"/>
      <c r="E58" s="80"/>
      <c r="F58" s="73"/>
      <c r="G58" s="74"/>
      <c r="H58" s="73"/>
      <c r="I58" s="74"/>
      <c r="J58" s="75"/>
      <c r="K58" s="75"/>
      <c r="L58" s="76"/>
      <c r="M58" s="73"/>
      <c r="N58" s="75"/>
      <c r="O58" s="75"/>
      <c r="P58" s="73"/>
      <c r="Q58" s="73"/>
      <c r="R58" s="73"/>
    </row>
    <row r="59" spans="2:31" x14ac:dyDescent="0.45">
      <c r="B59" s="140"/>
      <c r="C59" s="79"/>
      <c r="D59" s="80"/>
      <c r="E59" s="80"/>
      <c r="F59" s="73"/>
      <c r="G59" s="74"/>
      <c r="H59" s="73"/>
      <c r="I59" s="74"/>
      <c r="J59" s="75"/>
      <c r="K59" s="75"/>
      <c r="L59" s="76"/>
      <c r="M59" s="73"/>
      <c r="N59" s="75"/>
      <c r="O59" s="75"/>
      <c r="P59" s="73"/>
      <c r="Q59" s="73"/>
      <c r="R59" s="73"/>
    </row>
    <row r="60" spans="2:31" x14ac:dyDescent="0.45">
      <c r="B60" s="140"/>
      <c r="C60" s="79"/>
      <c r="D60" s="80"/>
      <c r="E60" s="80"/>
      <c r="F60" s="73"/>
      <c r="G60" s="74"/>
      <c r="H60" s="73"/>
      <c r="I60" s="74"/>
      <c r="J60" s="75"/>
      <c r="K60" s="75"/>
      <c r="L60" s="76"/>
      <c r="M60" s="73"/>
      <c r="N60" s="75"/>
      <c r="O60" s="75"/>
      <c r="P60" s="73"/>
      <c r="Q60" s="73"/>
      <c r="R60" s="73"/>
    </row>
    <row r="61" spans="2:31" x14ac:dyDescent="0.45">
      <c r="B61" s="140"/>
      <c r="C61" s="79"/>
      <c r="D61" s="80"/>
      <c r="E61" s="80"/>
      <c r="F61" s="73"/>
      <c r="G61" s="74"/>
      <c r="H61" s="73"/>
      <c r="I61" s="74"/>
      <c r="J61" s="75"/>
      <c r="K61" s="75"/>
      <c r="L61" s="76"/>
      <c r="M61" s="73"/>
      <c r="N61" s="75"/>
      <c r="O61" s="75"/>
      <c r="P61" s="73"/>
      <c r="Q61" s="73"/>
      <c r="R61" s="73"/>
    </row>
    <row r="62" spans="2:31" x14ac:dyDescent="0.45">
      <c r="B62" s="140"/>
      <c r="C62" s="79"/>
      <c r="D62" s="80"/>
      <c r="E62" s="80"/>
      <c r="F62" s="73"/>
      <c r="G62" s="74"/>
      <c r="H62" s="73"/>
      <c r="I62" s="74"/>
      <c r="J62" s="75"/>
      <c r="K62" s="75"/>
      <c r="L62" s="76"/>
      <c r="M62" s="73"/>
      <c r="N62" s="75"/>
      <c r="O62" s="75"/>
      <c r="P62" s="73"/>
      <c r="Q62" s="73"/>
      <c r="R62" s="73"/>
    </row>
    <row r="63" spans="2:31" x14ac:dyDescent="0.45">
      <c r="B63" s="140"/>
      <c r="C63" s="79"/>
      <c r="D63" s="80"/>
      <c r="E63" s="80"/>
      <c r="F63" s="73"/>
      <c r="G63" s="74"/>
      <c r="H63" s="73"/>
      <c r="I63" s="74"/>
      <c r="J63" s="75"/>
      <c r="K63" s="75"/>
      <c r="L63" s="76"/>
      <c r="M63" s="73"/>
      <c r="N63" s="75"/>
      <c r="O63" s="75"/>
      <c r="P63" s="73"/>
      <c r="Q63" s="73"/>
      <c r="R63" s="73"/>
    </row>
    <row r="64" spans="2:31" x14ac:dyDescent="0.45">
      <c r="B64" s="140"/>
      <c r="C64" s="79"/>
      <c r="D64" s="80"/>
      <c r="E64" s="80"/>
      <c r="F64" s="73"/>
      <c r="G64" s="74"/>
      <c r="H64" s="73"/>
      <c r="I64" s="74"/>
      <c r="J64" s="75"/>
      <c r="K64" s="75"/>
      <c r="L64" s="76"/>
      <c r="M64" s="73"/>
      <c r="N64" s="75"/>
      <c r="O64" s="75"/>
      <c r="P64" s="73"/>
      <c r="Q64" s="73"/>
      <c r="R64" s="73"/>
    </row>
    <row r="65" spans="2:18" x14ac:dyDescent="0.45">
      <c r="B65" s="140"/>
      <c r="C65" s="79"/>
      <c r="D65" s="80"/>
      <c r="E65" s="80"/>
      <c r="F65" s="73"/>
      <c r="G65" s="74"/>
      <c r="H65" s="73"/>
      <c r="I65" s="74"/>
      <c r="J65" s="75"/>
      <c r="K65" s="75"/>
      <c r="L65" s="76"/>
      <c r="M65" s="73"/>
      <c r="N65" s="75"/>
      <c r="O65" s="75"/>
      <c r="P65" s="73"/>
      <c r="Q65" s="73"/>
      <c r="R65" s="73"/>
    </row>
    <row r="66" spans="2:18" x14ac:dyDescent="0.45">
      <c r="B66" s="140"/>
      <c r="C66" s="79"/>
      <c r="D66" s="80"/>
      <c r="E66" s="80"/>
      <c r="F66" s="73"/>
      <c r="G66" s="74"/>
      <c r="H66" s="73"/>
      <c r="I66" s="74"/>
      <c r="J66" s="75"/>
      <c r="K66" s="75"/>
      <c r="L66" s="76"/>
      <c r="M66" s="73"/>
      <c r="N66" s="75"/>
      <c r="O66" s="75"/>
      <c r="P66" s="73"/>
      <c r="Q66" s="73"/>
      <c r="R66" s="73"/>
    </row>
  </sheetData>
  <conditionalFormatting sqref="C38:O38">
    <cfRule type="expression" dxfId="26" priority="120">
      <formula>$B39=3</formula>
    </cfRule>
    <cfRule type="expression" dxfId="25" priority="121">
      <formula>$B39=4</formula>
    </cfRule>
  </conditionalFormatting>
  <conditionalFormatting sqref="C39:O39">
    <cfRule type="expression" dxfId="24" priority="122">
      <formula>#REF!=3</formula>
    </cfRule>
    <cfRule type="expression" dxfId="23" priority="123">
      <formula>#REF!=4</formula>
    </cfRule>
  </conditionalFormatting>
  <conditionalFormatting sqref="C38:R38">
    <cfRule type="expression" dxfId="22" priority="115">
      <formula>$B39=2</formula>
    </cfRule>
  </conditionalFormatting>
  <conditionalFormatting sqref="C39:R39">
    <cfRule type="expression" dxfId="21" priority="116">
      <formula>#REF!=2</formula>
    </cfRule>
  </conditionalFormatting>
  <conditionalFormatting sqref="E10">
    <cfRule type="cellIs" dxfId="20" priority="1" operator="greaterThan">
      <formula>0</formula>
    </cfRule>
    <cfRule type="cellIs" dxfId="19" priority="2" operator="lessThan">
      <formula>0</formula>
    </cfRule>
  </conditionalFormatting>
  <conditionalFormatting sqref="G10">
    <cfRule type="cellIs" dxfId="18" priority="3" operator="greaterThan">
      <formula>0</formula>
    </cfRule>
    <cfRule type="cellIs" dxfId="17" priority="4" operator="lessThan">
      <formula>0</formula>
    </cfRule>
  </conditionalFormatting>
  <conditionalFormatting sqref="G38:G66 I38:I66 L38:L66">
    <cfRule type="cellIs" dxfId="16" priority="14" operator="greaterThan">
      <formula>0</formula>
    </cfRule>
    <cfRule type="cellIs" dxfId="15" priority="15" operator="lessThan">
      <formula>0</formula>
    </cfRule>
  </conditionalFormatting>
  <conditionalFormatting sqref="I10">
    <cfRule type="cellIs" dxfId="14" priority="5" operator="greaterThan">
      <formula>0</formula>
    </cfRule>
    <cfRule type="cellIs" dxfId="13" priority="6" operator="lessThan">
      <formula>0</formula>
    </cfRule>
  </conditionalFormatting>
  <conditionalFormatting sqref="J38:J57">
    <cfRule type="dataBar" priority="13">
      <dataBar>
        <cfvo type="num" val="0"/>
        <cfvo type="num" val="1"/>
        <color rgb="FFB8CFEC"/>
      </dataBar>
    </cfRule>
  </conditionalFormatting>
  <conditionalFormatting sqref="J58:J66">
    <cfRule type="dataBar" priority="25">
      <dataBar>
        <cfvo type="num" val="0"/>
        <cfvo type="num" val="1"/>
        <color rgb="FFB8CFEC"/>
      </dataBar>
    </cfRule>
  </conditionalFormatting>
  <conditionalFormatting sqref="K10">
    <cfRule type="cellIs" dxfId="12" priority="7" operator="greaterThan">
      <formula>0</formula>
    </cfRule>
    <cfRule type="cellIs" dxfId="11" priority="8" operator="lessThan">
      <formula>0</formula>
    </cfRule>
  </conditionalFormatting>
  <conditionalFormatting sqref="K38:K57">
    <cfRule type="colorScale" priority="11">
      <colorScale>
        <cfvo type="num" val="0.02"/>
        <cfvo type="num" val="0.12"/>
        <cfvo type="num" val="0.22"/>
        <color rgb="FFF7CFCF"/>
        <color rgb="FFFDF0CE"/>
        <color rgb="FFCDE9DF"/>
      </colorScale>
    </cfRule>
  </conditionalFormatting>
  <conditionalFormatting sqref="K58:K66">
    <cfRule type="colorScale" priority="23">
      <colorScale>
        <cfvo type="num" val="0.02"/>
        <cfvo type="num" val="0.12"/>
        <cfvo type="num" val="0.22"/>
        <color rgb="FFF7CFCF"/>
        <color rgb="FFFDF0CE"/>
        <color rgb="FFCDE9DF"/>
      </colorScale>
    </cfRule>
  </conditionalFormatting>
  <conditionalFormatting sqref="M10">
    <cfRule type="cellIs" dxfId="10" priority="9" operator="greaterThan">
      <formula>0</formula>
    </cfRule>
    <cfRule type="cellIs" dxfId="9" priority="10" operator="lessThan">
      <formula>0</formula>
    </cfRule>
  </conditionalFormatting>
  <conditionalFormatting sqref="N38:N57">
    <cfRule type="colorScale" priority="12">
      <colorScale>
        <cfvo type="num" val="0.55000000000000004"/>
        <cfvo type="num" val="0.75"/>
        <cfvo type="num" val="0.95"/>
        <color rgb="FFF7CFCF"/>
        <color rgb="FFFDF0CE"/>
        <color rgb="FFCDE9DF"/>
      </colorScale>
    </cfRule>
  </conditionalFormatting>
  <conditionalFormatting sqref="N58:N66">
    <cfRule type="colorScale" priority="24">
      <colorScale>
        <cfvo type="num" val="0.55000000000000004"/>
        <cfvo type="num" val="0.75"/>
        <cfvo type="num" val="0.95"/>
        <color rgb="FFF7CFCF"/>
        <color rgb="FFFDF0CE"/>
        <color rgb="FFCDE9DF"/>
      </colorScale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5BC5-EDBF-4AAC-9998-6F9C73DC2FF9}">
  <dimension ref="B1:BJ86"/>
  <sheetViews>
    <sheetView tabSelected="1" topLeftCell="I1" workbookViewId="0">
      <selection activeCell="R13" sqref="R13"/>
    </sheetView>
  </sheetViews>
  <sheetFormatPr baseColWidth="10" defaultRowHeight="14.25" x14ac:dyDescent="0.45"/>
  <cols>
    <col min="1" max="2" width="2.46484375" style="143" customWidth="1"/>
    <col min="3" max="10" width="15.59765625" style="143" customWidth="1"/>
    <col min="11" max="11" width="20.9296875" style="143" customWidth="1"/>
    <col min="12" max="18" width="15.59765625" style="143" customWidth="1"/>
    <col min="19" max="19" width="15.06640625" style="143" customWidth="1"/>
    <col min="20" max="20" width="14.265625" style="143" customWidth="1"/>
    <col min="21" max="21" width="15.06640625" style="143" customWidth="1"/>
    <col min="22" max="22" width="21.73046875" style="143" customWidth="1"/>
    <col min="23" max="23" width="12.59765625" style="143" customWidth="1"/>
    <col min="24" max="24" width="15.53125" style="143" customWidth="1"/>
    <col min="25" max="25" width="9.9296875" style="143" customWidth="1"/>
    <col min="26" max="26" width="11.265625" style="143" customWidth="1"/>
    <col min="27" max="27" width="13.9296875" style="143" customWidth="1"/>
    <col min="28" max="28" width="17.265625" style="143" customWidth="1"/>
    <col min="29" max="29" width="4.59765625" style="143" bestFit="1" customWidth="1"/>
    <col min="30" max="30" width="9.265625" style="143" customWidth="1"/>
    <col min="31" max="48" width="10.6640625" style="143" customWidth="1"/>
    <col min="49" max="53" width="10.6640625" style="143"/>
    <col min="54" max="54" width="9.53125" style="143" bestFit="1" customWidth="1"/>
    <col min="55" max="55" width="13.9296875" style="143" bestFit="1" customWidth="1"/>
    <col min="56" max="56" width="12.86328125" style="143" bestFit="1" customWidth="1"/>
    <col min="57" max="57" width="4.59765625" style="143" bestFit="1" customWidth="1"/>
    <col min="58" max="58" width="9.265625" style="143" bestFit="1" customWidth="1"/>
    <col min="59" max="59" width="9.9296875" style="143" bestFit="1" customWidth="1"/>
    <col min="60" max="60" width="8.86328125" style="143" bestFit="1" customWidth="1"/>
    <col min="61" max="16384" width="10.6640625" style="143"/>
  </cols>
  <sheetData>
    <row r="1" spans="3:62" ht="8" customHeight="1" x14ac:dyDescent="0.45"/>
    <row r="2" spans="3:62" ht="26" customHeight="1" x14ac:dyDescent="0.45">
      <c r="G2" s="144" t="s">
        <v>127</v>
      </c>
      <c r="H2" s="144"/>
      <c r="I2" s="144"/>
      <c r="J2" s="144"/>
      <c r="K2" s="144"/>
    </row>
    <row r="3" spans="3:62" ht="20.25" customHeight="1" x14ac:dyDescent="0.45">
      <c r="G3" s="145"/>
      <c r="H3" s="145"/>
      <c r="I3" s="145"/>
      <c r="J3" s="145"/>
      <c r="K3" s="145"/>
    </row>
    <row r="4" spans="3:62" ht="10.5" customHeight="1" x14ac:dyDescent="0.45"/>
    <row r="5" spans="3:62" ht="10.5" customHeight="1" x14ac:dyDescent="0.45"/>
    <row r="6" spans="3:62" ht="20" customHeight="1" x14ac:dyDescent="0.45">
      <c r="C6" s="146" t="s">
        <v>29</v>
      </c>
      <c r="D6" s="146"/>
      <c r="E6" s="146"/>
      <c r="F6" s="147" t="s">
        <v>128</v>
      </c>
      <c r="G6" s="148"/>
      <c r="H6" s="149"/>
      <c r="I6" s="150"/>
      <c r="J6" s="150" t="s">
        <v>30</v>
      </c>
      <c r="K6" s="150" t="s">
        <v>129</v>
      </c>
      <c r="L6" s="151"/>
      <c r="M6" s="149" t="s">
        <v>40</v>
      </c>
      <c r="N6" s="147" t="s">
        <v>0</v>
      </c>
      <c r="O6" s="152"/>
      <c r="P6" s="151"/>
      <c r="Q6" s="151"/>
      <c r="R6" s="151"/>
    </row>
    <row r="7" spans="3:62" ht="17.25" customHeight="1" x14ac:dyDescent="0.45">
      <c r="AD7" s="153"/>
      <c r="AE7" s="154"/>
      <c r="AF7" s="154"/>
      <c r="AG7" s="154"/>
      <c r="AH7" s="154"/>
      <c r="AI7" s="154"/>
      <c r="AK7" s="153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BB7" s="154"/>
      <c r="BC7" s="154"/>
      <c r="BD7" s="154"/>
      <c r="BE7" s="154"/>
      <c r="BF7" s="154"/>
      <c r="BG7" s="154"/>
      <c r="BH7" s="154"/>
    </row>
    <row r="8" spans="3:62" ht="10.050000000000001" customHeight="1" x14ac:dyDescent="0.45">
      <c r="AD8" s="154"/>
      <c r="AE8" s="154"/>
      <c r="AF8" s="154"/>
      <c r="AG8" s="154"/>
      <c r="AH8" s="154"/>
      <c r="AI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W8" s="153"/>
      <c r="BB8" s="154"/>
      <c r="BC8" s="154"/>
      <c r="BD8" s="154"/>
      <c r="BE8" s="154"/>
      <c r="BF8" s="154"/>
      <c r="BG8" s="154"/>
      <c r="BH8" s="154"/>
      <c r="BJ8" s="143" t="str">
        <f>IF($AE8="","",$AE8)</f>
        <v/>
      </c>
    </row>
    <row r="9" spans="3:62" ht="13.05" customHeight="1" x14ac:dyDescent="0.45">
      <c r="C9" s="155"/>
      <c r="D9" s="156"/>
      <c r="E9" s="156"/>
      <c r="F9" s="157"/>
      <c r="G9" s="155"/>
      <c r="H9" s="157"/>
      <c r="I9" s="155"/>
      <c r="J9" s="157"/>
      <c r="K9" s="155"/>
      <c r="L9" s="157"/>
      <c r="M9" s="155"/>
      <c r="N9" s="157"/>
      <c r="O9" s="158"/>
      <c r="P9" s="159"/>
      <c r="Q9" s="158"/>
      <c r="R9" s="160"/>
    </row>
    <row r="10" spans="3:62" ht="26" customHeight="1" x14ac:dyDescent="0.45">
      <c r="C10" s="161"/>
      <c r="D10" s="162"/>
      <c r="E10" s="162"/>
      <c r="F10" s="163"/>
      <c r="G10" s="161"/>
      <c r="H10" s="163"/>
      <c r="I10" s="164"/>
      <c r="J10" s="165"/>
      <c r="K10" s="166"/>
      <c r="L10" s="167"/>
      <c r="M10" s="168"/>
      <c r="N10" s="169"/>
      <c r="O10" s="170"/>
      <c r="P10" s="171"/>
      <c r="Q10" s="170"/>
      <c r="R10" s="172"/>
    </row>
    <row r="11" spans="3:62" ht="26" customHeight="1" x14ac:dyDescent="0.45">
      <c r="C11" s="162"/>
      <c r="D11" s="162"/>
      <c r="E11" s="162"/>
      <c r="F11" s="162"/>
      <c r="G11" s="162"/>
      <c r="H11" s="162"/>
      <c r="I11" s="173"/>
      <c r="J11" s="173"/>
      <c r="K11" s="174"/>
      <c r="L11" s="174"/>
      <c r="M11" s="175"/>
      <c r="N11" s="175"/>
      <c r="O11" s="176"/>
      <c r="P11" s="176"/>
      <c r="Q11" s="176"/>
    </row>
    <row r="12" spans="3:62" ht="19.5" customHeight="1" thickBot="1" x14ac:dyDescent="0.5">
      <c r="C12" s="177" t="s">
        <v>130</v>
      </c>
      <c r="D12" s="177" t="s">
        <v>131</v>
      </c>
      <c r="E12" s="177" t="s">
        <v>132</v>
      </c>
      <c r="F12" s="177" t="s">
        <v>133</v>
      </c>
      <c r="G12" s="177" t="s">
        <v>134</v>
      </c>
      <c r="H12" s="177" t="s">
        <v>135</v>
      </c>
      <c r="I12" s="177" t="s">
        <v>136</v>
      </c>
      <c r="J12" s="177" t="s">
        <v>2</v>
      </c>
      <c r="K12" s="177" t="s">
        <v>137</v>
      </c>
      <c r="L12" s="177" t="s">
        <v>138</v>
      </c>
      <c r="M12" s="177" t="s">
        <v>139</v>
      </c>
      <c r="N12" s="177" t="s">
        <v>140</v>
      </c>
      <c r="O12" s="177" t="s">
        <v>141</v>
      </c>
      <c r="P12" s="177" t="s">
        <v>142</v>
      </c>
      <c r="Q12" s="177" t="s">
        <v>143</v>
      </c>
      <c r="R12" s="177" t="s">
        <v>144</v>
      </c>
      <c r="S12" s="178" t="s">
        <v>145</v>
      </c>
      <c r="T12" s="178" t="s">
        <v>146</v>
      </c>
      <c r="U12" s="178" t="s">
        <v>147</v>
      </c>
      <c r="V12" s="178" t="s">
        <v>148</v>
      </c>
      <c r="W12" s="179"/>
      <c r="X12" s="179"/>
      <c r="Y12" s="179"/>
      <c r="Z12" s="179"/>
      <c r="AA12" s="179"/>
    </row>
    <row r="13" spans="3:62" ht="14.65" thickTop="1" x14ac:dyDescent="0.45">
      <c r="C13" s="191" t="s">
        <v>161</v>
      </c>
      <c r="D13" s="191" t="s">
        <v>180</v>
      </c>
      <c r="E13" s="191" t="s">
        <v>168</v>
      </c>
      <c r="F13" s="191" t="s">
        <v>156</v>
      </c>
      <c r="G13" s="191" t="s">
        <v>151</v>
      </c>
      <c r="H13" s="190">
        <v>44.737599000000003</v>
      </c>
      <c r="I13" s="190">
        <v>2</v>
      </c>
      <c r="J13" s="190">
        <v>302351.04362700001</v>
      </c>
      <c r="K13" s="190">
        <v>57673.164470000003</v>
      </c>
      <c r="L13" s="190">
        <v>244677.87915699999</v>
      </c>
      <c r="M13" s="190">
        <v>189069.17931800001</v>
      </c>
      <c r="N13" s="190">
        <v>246742.343788</v>
      </c>
      <c r="O13" s="190">
        <v>55608.699839000001</v>
      </c>
      <c r="P13" s="190">
        <v>35</v>
      </c>
      <c r="Q13" s="190">
        <v>0.227274</v>
      </c>
      <c r="R13" s="191" t="s">
        <v>152</v>
      </c>
      <c r="S13" s="180">
        <f t="shared" ref="S13:S72" si="0">IF(OR($C13="",COUNT($H13:$Q13)=0),"",IF($R13="Fermer","",$M13*((1-$I$74)*IF(SUMPRODUCT(($C$13:$C$72=$C13)*($D$13:$D$72=$D13)*($R$13:$R$72&lt;&gt;"Fermer"),$M$13:$M$72)=0,0,SUMPRODUCT(($C$13:$C$72=$C13)*($D$13:$D$72=$D13)*1,$M$13:$M$72)/SUMPRODUCT(($C$13:$C$72=$C13)*($D$13:$D$72=$D13)*($R$13:$R$72&lt;&gt;"Fermer"),$M$13:$M$72))+$I$74*IF(SUMPRODUCT(($R$13:$R$72&lt;&gt;"Fermer")*1,$M$13:$M$72)=0,0,SUM($M$13:$M$72)/SUMPRODUCT(($R$13:$R$72&lt;&gt;"Fermer")*1,$M$13:$M$72)))))</f>
      </c>
      <c r="T13" s="181">
        <f t="shared" ref="T13:T72" si="1">IF(OR($C13="",COUNT($H13:$Q13)=0),"",IF($R13="Fermer","",$J13-$K13-$S13))</f>
        <v>55608.699838999979</v>
      </c>
      <c r="U13" s="180">
        <f t="shared" ref="U13:U72" si="2">IF(OR($C13="",COUNT($H13:$Q13)=0),"",IF($R13="Fermer",-$L13,0))</f>
        <v>0</v>
      </c>
      <c r="V13" s="182" t="str">
        <f t="shared" ref="V13:V72" si="3">IF(OR($C13="",COUNT($H13:$Q13)=0),"",IF($R13="Fermer","Fermer = perdre "&amp;TEXT($L13,"#,##0")&amp;" € de contribution. Le fixe, lui, reste.",IF(AND($O13&gt;=0,$T13&lt;0),"BASCULE : saine avant, en déficit après les fermetures décidées.",IF(AND($O13&lt;0,$L13&gt;0),"Déficit au coût complet mais contribution positive : ne pas fermer, c'est un artefact d'allocation.",IF($O13&lt;0,"Contribution négative : vrai point dur.","Rentable. Point mort "&amp;TEXT($P13,"#,##0")&amp;" étudiants, marge de sécurité "&amp;TEXT($Q13,"0%")&amp;".")))))</f>
      </c>
      <c r="W13"/>
      <c r="X13"/>
      <c r="Y13"/>
      <c r="Z13"/>
      <c r="AA13"/>
    </row>
    <row r="14" spans="3:62" x14ac:dyDescent="0.45">
      <c r="C14" s="191" t="s">
        <v>161</v>
      </c>
      <c r="D14" s="191" t="s">
        <v>180</v>
      </c>
      <c r="E14" s="191" t="s">
        <v>168</v>
      </c>
      <c r="F14" s="191" t="s">
        <v>169</v>
      </c>
      <c r="G14" s="191" t="s">
        <v>151</v>
      </c>
      <c r="H14" s="190">
        <v>39.200000000000003</v>
      </c>
      <c r="I14" s="190">
        <v>2</v>
      </c>
      <c r="J14" s="190">
        <v>261398.1734</v>
      </c>
      <c r="K14" s="190">
        <v>39248.517136000002</v>
      </c>
      <c r="L14" s="190">
        <v>222149.65626399999</v>
      </c>
      <c r="M14" s="190">
        <v>189069.17931800001</v>
      </c>
      <c r="N14" s="190">
        <v>228317.69645399999</v>
      </c>
      <c r="O14" s="190">
        <v>33080.476946000002</v>
      </c>
      <c r="P14" s="190">
        <v>34</v>
      </c>
      <c r="Q14" s="190">
        <v>0.14891099999999999</v>
      </c>
      <c r="R14" s="191" t="s">
        <v>149</v>
      </c>
      <c r="S14" s="180">
        <f t="shared" si="0"/>
        <v>189069.17931800001</v>
      </c>
      <c r="T14" s="181">
        <f t="shared" si="1"/>
        <v>33080.476945999981</v>
      </c>
      <c r="U14" s="180">
        <f t="shared" si="2"/>
        <v>0</v>
      </c>
      <c r="V14" s="182" t="str">
        <f t="shared" si="3"/>
        <v>Rentable. Point mort 34,0 étudiants, marge de sécurité 15%.</v>
      </c>
    </row>
    <row r="15" spans="3:62" x14ac:dyDescent="0.45">
      <c r="C15" s="191" t="s">
        <v>161</v>
      </c>
      <c r="D15" s="191" t="s">
        <v>180</v>
      </c>
      <c r="E15" s="191" t="s">
        <v>168</v>
      </c>
      <c r="F15" s="191" t="s">
        <v>166</v>
      </c>
      <c r="G15" s="191" t="s">
        <v>151</v>
      </c>
      <c r="H15" s="190">
        <v>38.195</v>
      </c>
      <c r="I15" s="190">
        <v>2</v>
      </c>
      <c r="J15" s="190">
        <v>254696.511046</v>
      </c>
      <c r="K15" s="190">
        <v>38879.652754000002</v>
      </c>
      <c r="L15" s="190">
        <v>215816.85829199999</v>
      </c>
      <c r="M15" s="190">
        <v>189069.17931800001</v>
      </c>
      <c r="N15" s="190">
        <v>227948.83207199999</v>
      </c>
      <c r="O15" s="190">
        <v>26747.678973999999</v>
      </c>
      <c r="P15" s="190">
        <v>34</v>
      </c>
      <c r="Q15" s="190">
        <v>0.12393700000000001</v>
      </c>
      <c r="R15" s="191" t="s">
        <v>149</v>
      </c>
      <c r="S15" s="180">
        <f t="shared" si="0"/>
        <v>189069.17931800001</v>
      </c>
      <c r="T15" s="181">
        <f t="shared" si="1"/>
        <v>26747.67897399998</v>
      </c>
      <c r="U15" s="180">
        <f t="shared" si="2"/>
        <v>0</v>
      </c>
      <c r="V15" s="182" t="str">
        <f t="shared" si="3"/>
        <v>Rentable. Point mort 34,0 étudiants, marge de sécurité 12%.</v>
      </c>
    </row>
    <row r="16" spans="3:62" x14ac:dyDescent="0.45">
      <c r="C16" s="191" t="s">
        <v>161</v>
      </c>
      <c r="D16" s="191" t="s">
        <v>163</v>
      </c>
      <c r="E16" s="191" t="s">
        <v>168</v>
      </c>
      <c r="F16" s="191" t="s">
        <v>156</v>
      </c>
      <c r="G16" s="191" t="s">
        <v>151</v>
      </c>
      <c r="H16" s="190">
        <v>55.832531000000003</v>
      </c>
      <c r="I16" s="190">
        <v>2</v>
      </c>
      <c r="J16" s="190">
        <v>396929.37514999998</v>
      </c>
      <c r="K16" s="190">
        <v>68859.087983000005</v>
      </c>
      <c r="L16" s="190">
        <v>328070.287167</v>
      </c>
      <c r="M16" s="190">
        <v>251610.86646399999</v>
      </c>
      <c r="N16" s="190">
        <v>320469.954447</v>
      </c>
      <c r="O16" s="190">
        <v>76459.420702999996</v>
      </c>
      <c r="P16" s="190">
        <v>43</v>
      </c>
      <c r="Q16" s="190">
        <v>0.23305899999999999</v>
      </c>
      <c r="R16" s="191" t="s">
        <v>152</v>
      </c>
      <c r="S16" s="180">
        <f t="shared" si="0"/>
        <v>251610.86646399999</v>
      </c>
      <c r="T16" s="181">
        <f t="shared" si="1"/>
        <v>76459.420703000011</v>
      </c>
      <c r="U16" s="180">
        <f t="shared" si="2"/>
        <v>0</v>
      </c>
      <c r="V16" s="182" t="str">
        <f t="shared" si="3"/>
        <v>Rentable. Point mort 43,0 étudiants, marge de sécurité 23%.</v>
      </c>
    </row>
    <row r="17" spans="3:22" x14ac:dyDescent="0.45">
      <c r="C17" s="191" t="s">
        <v>161</v>
      </c>
      <c r="D17" s="191" t="s">
        <v>163</v>
      </c>
      <c r="E17" s="191" t="s">
        <v>168</v>
      </c>
      <c r="F17" s="191" t="s">
        <v>169</v>
      </c>
      <c r="G17" s="191" t="s">
        <v>151</v>
      </c>
      <c r="H17" s="190">
        <v>48.25</v>
      </c>
      <c r="I17" s="190">
        <v>2</v>
      </c>
      <c r="J17" s="190">
        <v>338680.50124999997</v>
      </c>
      <c r="K17" s="190">
        <v>42574.655943999998</v>
      </c>
      <c r="L17" s="190">
        <v>296105.84530599997</v>
      </c>
      <c r="M17" s="190">
        <v>251610.86646399999</v>
      </c>
      <c r="N17" s="190">
        <v>294185.52240800002</v>
      </c>
      <c r="O17" s="190">
        <v>44494.978841999997</v>
      </c>
      <c r="P17" s="190">
        <v>41</v>
      </c>
      <c r="Q17" s="190">
        <v>0.15026800000000001</v>
      </c>
      <c r="R17" s="191" t="s">
        <v>149</v>
      </c>
      <c r="S17" s="180">
        <f t="shared" si="0"/>
        <v>251610.86646399999</v>
      </c>
      <c r="T17" s="181">
        <f t="shared" si="1"/>
        <v>44494.978841999982</v>
      </c>
      <c r="U17" s="180">
        <f t="shared" si="2"/>
        <v>0</v>
      </c>
      <c r="V17" s="182" t="str">
        <f t="shared" si="3"/>
        <v>Rentable. Point mort 41,0 étudiants, marge de sécurité 15%.</v>
      </c>
    </row>
    <row r="18" spans="3:22" x14ac:dyDescent="0.45">
      <c r="C18" s="191" t="s">
        <v>161</v>
      </c>
      <c r="D18" s="191" t="s">
        <v>163</v>
      </c>
      <c r="E18" s="191" t="s">
        <v>168</v>
      </c>
      <c r="F18" s="191" t="s">
        <v>166</v>
      </c>
      <c r="G18" s="191" t="s">
        <v>151</v>
      </c>
      <c r="H18" s="190">
        <v>47.24</v>
      </c>
      <c r="I18" s="190">
        <v>2</v>
      </c>
      <c r="J18" s="190">
        <v>331591.02340000001</v>
      </c>
      <c r="K18" s="190">
        <v>42203.842024999998</v>
      </c>
      <c r="L18" s="190">
        <v>289387.18137499999</v>
      </c>
      <c r="M18" s="190">
        <v>251610.86646399999</v>
      </c>
      <c r="N18" s="190">
        <v>293814.70848899998</v>
      </c>
      <c r="O18" s="190">
        <v>37776.314911000001</v>
      </c>
      <c r="P18" s="190">
        <v>42</v>
      </c>
      <c r="Q18" s="190">
        <v>0.13053999999999999</v>
      </c>
      <c r="R18" s="191" t="s">
        <v>149</v>
      </c>
      <c r="S18" s="180">
        <f t="shared" si="0"/>
        <v>251610.86646399999</v>
      </c>
      <c r="T18" s="181">
        <f t="shared" si="1"/>
        <v>37776.314910999994</v>
      </c>
      <c r="U18" s="180">
        <f t="shared" si="2"/>
        <v>0</v>
      </c>
      <c r="V18" s="182" t="str">
        <f t="shared" si="3"/>
        <v>Rentable. Point mort 42,0 étudiants, marge de sécurité 13%.</v>
      </c>
    </row>
    <row r="19" spans="3:22" x14ac:dyDescent="0.45">
      <c r="C19" s="191" t="s">
        <v>161</v>
      </c>
      <c r="D19" s="191" t="s">
        <v>165</v>
      </c>
      <c r="E19" s="191" t="s">
        <v>168</v>
      </c>
      <c r="F19" s="191" t="s">
        <v>156</v>
      </c>
      <c r="G19" s="191" t="s">
        <v>151</v>
      </c>
      <c r="H19" s="190">
        <v>44.726591999999997</v>
      </c>
      <c r="I19" s="190">
        <v>2</v>
      </c>
      <c r="J19" s="190">
        <v>302276.65479</v>
      </c>
      <c r="K19" s="190">
        <v>57406.009447999997</v>
      </c>
      <c r="L19" s="190">
        <v>244870.645342</v>
      </c>
      <c r="M19" s="190">
        <v>189150.52601900001</v>
      </c>
      <c r="N19" s="190">
        <v>246556.53546700001</v>
      </c>
      <c r="O19" s="190">
        <v>55720.119322999999</v>
      </c>
      <c r="P19" s="190">
        <v>35</v>
      </c>
      <c r="Q19" s="190">
        <v>0.22755</v>
      </c>
      <c r="R19" s="191" t="s">
        <v>152</v>
      </c>
      <c r="S19" s="180">
        <f t="shared" si="0"/>
        <v>189150.52601900001</v>
      </c>
      <c r="T19" s="181">
        <f t="shared" si="1"/>
        <v>55720.119322999992</v>
      </c>
      <c r="U19" s="180">
        <f t="shared" si="2"/>
        <v>0</v>
      </c>
      <c r="V19" s="182" t="str">
        <f t="shared" si="3"/>
        <v>Rentable. Point mort 35,0 étudiants, marge de sécurité 23%.</v>
      </c>
    </row>
    <row r="20" spans="3:22" x14ac:dyDescent="0.45">
      <c r="C20" s="191" t="s">
        <v>161</v>
      </c>
      <c r="D20" s="191" t="s">
        <v>165</v>
      </c>
      <c r="E20" s="191" t="s">
        <v>168</v>
      </c>
      <c r="F20" s="191" t="s">
        <v>169</v>
      </c>
      <c r="G20" s="191" t="s">
        <v>151</v>
      </c>
      <c r="H20" s="190">
        <v>39.200000000000003</v>
      </c>
      <c r="I20" s="190">
        <v>2</v>
      </c>
      <c r="J20" s="190">
        <v>261398.1734</v>
      </c>
      <c r="K20" s="190">
        <v>39249.817059000001</v>
      </c>
      <c r="L20" s="190">
        <v>222148.35634100001</v>
      </c>
      <c r="M20" s="190">
        <v>189150.52601900001</v>
      </c>
      <c r="N20" s="190">
        <v>228400.34307800001</v>
      </c>
      <c r="O20" s="190">
        <v>32997.830322000002</v>
      </c>
      <c r="P20" s="190">
        <v>34</v>
      </c>
      <c r="Q20" s="190">
        <v>0.14854000000000001</v>
      </c>
      <c r="R20" s="191" t="s">
        <v>149</v>
      </c>
      <c r="S20" s="180">
        <f t="shared" si="0"/>
        <v>189150.52601900001</v>
      </c>
      <c r="T20" s="181">
        <f t="shared" si="1"/>
        <v>32997.830321999994</v>
      </c>
      <c r="U20" s="180">
        <f t="shared" si="2"/>
        <v>0</v>
      </c>
      <c r="V20" s="182" t="str">
        <f t="shared" si="3"/>
        <v>Rentable. Point mort 34,0 étudiants, marge de sécurité 15%.</v>
      </c>
    </row>
    <row r="21" spans="3:22" x14ac:dyDescent="0.45">
      <c r="C21" s="191" t="s">
        <v>161</v>
      </c>
      <c r="D21" s="191" t="s">
        <v>165</v>
      </c>
      <c r="E21" s="191" t="s">
        <v>168</v>
      </c>
      <c r="F21" s="191" t="s">
        <v>166</v>
      </c>
      <c r="G21" s="191" t="s">
        <v>151</v>
      </c>
      <c r="H21" s="190">
        <v>38.195</v>
      </c>
      <c r="I21" s="190">
        <v>2</v>
      </c>
      <c r="J21" s="190">
        <v>254696.511046</v>
      </c>
      <c r="K21" s="190">
        <v>38880.952677000001</v>
      </c>
      <c r="L21" s="190">
        <v>215815.55836900001</v>
      </c>
      <c r="M21" s="190">
        <v>189150.52601900001</v>
      </c>
      <c r="N21" s="190">
        <v>228031.47869600001</v>
      </c>
      <c r="O21" s="190">
        <v>26665.032350000001</v>
      </c>
      <c r="P21" s="190">
        <v>34</v>
      </c>
      <c r="Q21" s="190">
        <v>0.123555</v>
      </c>
      <c r="R21" s="191" t="s">
        <v>149</v>
      </c>
      <c r="S21" s="180">
        <f t="shared" si="0"/>
        <v>189150.52601900001</v>
      </c>
      <c r="T21" s="181">
        <f t="shared" si="1"/>
        <v>26665.032349999994</v>
      </c>
      <c r="U21" s="180">
        <f t="shared" si="2"/>
        <v>0</v>
      </c>
      <c r="V21" s="182" t="str">
        <f t="shared" si="3"/>
        <v>Rentable. Point mort 34,0 étudiants, marge de sécurité 12%.</v>
      </c>
    </row>
    <row r="22" spans="3:22" x14ac:dyDescent="0.45">
      <c r="C22" s="191" t="s">
        <v>160</v>
      </c>
      <c r="D22" s="191" t="s">
        <v>174</v>
      </c>
      <c r="E22" s="191" t="s">
        <v>155</v>
      </c>
      <c r="F22" s="191" t="s">
        <v>156</v>
      </c>
      <c r="G22" s="191" t="s">
        <v>150</v>
      </c>
      <c r="H22" s="190">
        <v>54.601405999999997</v>
      </c>
      <c r="I22" s="190">
        <v>2</v>
      </c>
      <c r="J22" s="190">
        <v>407572.863954</v>
      </c>
      <c r="K22" s="190">
        <v>64563.805877999999</v>
      </c>
      <c r="L22" s="190">
        <v>343009.05807600002</v>
      </c>
      <c r="M22" s="190">
        <v>272607.80797999998</v>
      </c>
      <c r="N22" s="190">
        <v>337171.61385800003</v>
      </c>
      <c r="O22" s="190">
        <v>70401.250096000003</v>
      </c>
      <c r="P22" s="190">
        <v>44</v>
      </c>
      <c r="Q22" s="190">
        <v>0.20524700000000001</v>
      </c>
      <c r="R22" s="191" t="s">
        <v>152</v>
      </c>
      <c r="S22" s="180">
        <f t="shared" si="0"/>
        <v>272607.80797999998</v>
      </c>
      <c r="T22" s="181">
        <f t="shared" si="1"/>
        <v>70401.250096000032</v>
      </c>
      <c r="U22" s="180">
        <f t="shared" si="2"/>
        <v>0</v>
      </c>
      <c r="V22" s="182" t="str">
        <f t="shared" si="3"/>
        <v>Rentable. Point mort 44,0 étudiants, marge de sécurité 21%.</v>
      </c>
    </row>
    <row r="23" spans="3:22" x14ac:dyDescent="0.45">
      <c r="C23" s="191" t="s">
        <v>160</v>
      </c>
      <c r="D23" s="191" t="s">
        <v>174</v>
      </c>
      <c r="E23" s="191" t="s">
        <v>155</v>
      </c>
      <c r="F23" s="191" t="s">
        <v>169</v>
      </c>
      <c r="G23" s="191" t="s">
        <v>151</v>
      </c>
      <c r="H23" s="190">
        <v>48.25</v>
      </c>
      <c r="I23" s="190">
        <v>2</v>
      </c>
      <c r="J23" s="190">
        <v>332098.86832499999</v>
      </c>
      <c r="K23" s="190">
        <v>42543.283038000001</v>
      </c>
      <c r="L23" s="190">
        <v>289555.58528699999</v>
      </c>
      <c r="M23" s="190">
        <v>257434.941219</v>
      </c>
      <c r="N23" s="190">
        <v>299978.22425700002</v>
      </c>
      <c r="O23" s="190">
        <v>32120.644068000001</v>
      </c>
      <c r="P23" s="190">
        <v>43</v>
      </c>
      <c r="Q23" s="190">
        <v>0.110931</v>
      </c>
      <c r="R23" s="191" t="s">
        <v>149</v>
      </c>
      <c r="S23" s="180">
        <f t="shared" si="0"/>
        <v>257434.941219</v>
      </c>
      <c r="T23" s="181">
        <f t="shared" si="1"/>
        <v>32120.644067999994</v>
      </c>
      <c r="U23" s="180">
        <f t="shared" si="2"/>
        <v>0</v>
      </c>
      <c r="V23" s="182" t="str">
        <f t="shared" si="3"/>
        <v>Rentable. Point mort 43,0 étudiants, marge de sécurité 11%.</v>
      </c>
    </row>
    <row r="24" spans="3:22" x14ac:dyDescent="0.45">
      <c r="C24" s="191" t="s">
        <v>160</v>
      </c>
      <c r="D24" s="191" t="s">
        <v>174</v>
      </c>
      <c r="E24" s="191" t="s">
        <v>155</v>
      </c>
      <c r="F24" s="191" t="s">
        <v>166</v>
      </c>
      <c r="G24" s="191" t="s">
        <v>151</v>
      </c>
      <c r="H24" s="190">
        <v>47.24</v>
      </c>
      <c r="I24" s="190">
        <v>2</v>
      </c>
      <c r="J24" s="190">
        <v>325147.16144400003</v>
      </c>
      <c r="K24" s="190">
        <v>42173.097800000003</v>
      </c>
      <c r="L24" s="190">
        <v>282974.06364399998</v>
      </c>
      <c r="M24" s="190">
        <v>257434.941219</v>
      </c>
      <c r="N24" s="190">
        <v>299608.03901900002</v>
      </c>
      <c r="O24" s="190">
        <v>25539.122425000001</v>
      </c>
      <c r="P24" s="190">
        <v>43</v>
      </c>
      <c r="Q24" s="190">
        <v>9.0253E-2</v>
      </c>
      <c r="R24" s="191" t="s">
        <v>149</v>
      </c>
      <c r="S24" s="180">
        <f t="shared" si="0"/>
        <v>257434.941219</v>
      </c>
      <c r="T24" s="181">
        <f t="shared" si="1"/>
        <v>25539.122425000038</v>
      </c>
      <c r="U24" s="180">
        <f t="shared" si="2"/>
        <v>0</v>
      </c>
      <c r="V24" s="182" t="str">
        <f t="shared" si="3"/>
        <v>Rentable. Point mort 43,0 étudiants, marge de sécurité 9%.</v>
      </c>
    </row>
    <row r="25" spans="3:22" x14ac:dyDescent="0.45">
      <c r="C25" s="191" t="s">
        <v>160</v>
      </c>
      <c r="D25" s="191" t="s">
        <v>174</v>
      </c>
      <c r="E25" s="191" t="s">
        <v>164</v>
      </c>
      <c r="F25" s="191" t="s">
        <v>157</v>
      </c>
      <c r="G25" s="191" t="s">
        <v>151</v>
      </c>
      <c r="H25" s="190">
        <v>55.745235999999998</v>
      </c>
      <c r="I25" s="190">
        <v>2</v>
      </c>
      <c r="J25" s="190">
        <v>416110.99700099998</v>
      </c>
      <c r="K25" s="190">
        <v>55942.329597000004</v>
      </c>
      <c r="L25" s="190">
        <v>360168.66740400001</v>
      </c>
      <c r="M25" s="190">
        <v>249848.507839</v>
      </c>
      <c r="N25" s="190">
        <v>305790.837436</v>
      </c>
      <c r="O25" s="190">
        <v>110320.15956499999</v>
      </c>
      <c r="P25" s="190">
        <v>39</v>
      </c>
      <c r="Q25" s="190">
        <v>0.30630200000000002</v>
      </c>
      <c r="R25" s="191" t="s">
        <v>152</v>
      </c>
      <c r="S25" s="180">
        <f t="shared" si="0"/>
        <v>249848.507839</v>
      </c>
      <c r="T25" s="181">
        <f t="shared" si="1"/>
        <v>110320.15956499995</v>
      </c>
      <c r="U25" s="180">
        <f t="shared" si="2"/>
        <v>0</v>
      </c>
      <c r="V25" s="182" t="str">
        <f t="shared" si="3"/>
        <v>Rentable. Point mort 39,0 étudiants, marge de sécurité 31%.</v>
      </c>
    </row>
    <row r="26" spans="3:22" x14ac:dyDescent="0.45">
      <c r="C26" s="191" t="s">
        <v>160</v>
      </c>
      <c r="D26" s="191" t="s">
        <v>174</v>
      </c>
      <c r="E26" s="191" t="s">
        <v>164</v>
      </c>
      <c r="F26" s="191" t="s">
        <v>162</v>
      </c>
      <c r="G26" s="191" t="s">
        <v>151</v>
      </c>
      <c r="H26" s="190">
        <v>49.25</v>
      </c>
      <c r="I26" s="190">
        <v>2</v>
      </c>
      <c r="J26" s="190">
        <v>363194.728313</v>
      </c>
      <c r="K26" s="190">
        <v>39802.07458</v>
      </c>
      <c r="L26" s="190">
        <v>323392.65373299998</v>
      </c>
      <c r="M26" s="190">
        <v>249848.507839</v>
      </c>
      <c r="N26" s="190">
        <v>289650.58241899998</v>
      </c>
      <c r="O26" s="190">
        <v>73544.145894000001</v>
      </c>
      <c r="P26" s="190">
        <v>39</v>
      </c>
      <c r="Q26" s="190">
        <v>0.22741500000000001</v>
      </c>
      <c r="R26" s="191" t="s">
        <v>149</v>
      </c>
      <c r="S26" s="180">
        <f t="shared" si="0"/>
        <v>249848.507839</v>
      </c>
      <c r="T26" s="181">
        <f t="shared" si="1"/>
        <v>73544.145893999987</v>
      </c>
      <c r="U26" s="180">
        <f t="shared" si="2"/>
        <v>0</v>
      </c>
      <c r="V26" s="182" t="str">
        <f t="shared" si="3"/>
        <v>Rentable. Point mort 39,0 étudiants, marge de sécurité 23%.</v>
      </c>
    </row>
    <row r="27" spans="3:22" x14ac:dyDescent="0.45">
      <c r="C27" s="191" t="s">
        <v>160</v>
      </c>
      <c r="D27" s="191" t="s">
        <v>179</v>
      </c>
      <c r="E27" s="191" t="s">
        <v>155</v>
      </c>
      <c r="F27" s="191" t="s">
        <v>156</v>
      </c>
      <c r="G27" s="191" t="s">
        <v>150</v>
      </c>
      <c r="H27" s="190">
        <v>78.323408000000001</v>
      </c>
      <c r="I27" s="190">
        <v>3</v>
      </c>
      <c r="J27" s="190">
        <v>667159.88587200001</v>
      </c>
      <c r="K27" s="190">
        <v>107867.733052</v>
      </c>
      <c r="L27" s="190">
        <v>559292.15281999996</v>
      </c>
      <c r="M27" s="190">
        <v>446438.83383999998</v>
      </c>
      <c r="N27" s="190">
        <v>554306.56689200003</v>
      </c>
      <c r="O27" s="190">
        <v>112853.31898</v>
      </c>
      <c r="P27" s="190">
        <v>63</v>
      </c>
      <c r="Q27" s="190">
        <v>0.20177899999999999</v>
      </c>
      <c r="R27" s="191" t="s">
        <v>152</v>
      </c>
      <c r="S27" s="180">
        <f t="shared" si="0"/>
        <v>446438.83383999998</v>
      </c>
      <c r="T27" s="181">
        <f t="shared" si="1"/>
        <v>112853.31897999998</v>
      </c>
      <c r="U27" s="180">
        <f t="shared" si="2"/>
        <v>0</v>
      </c>
      <c r="V27" s="182" t="str">
        <f t="shared" si="3"/>
        <v>Rentable. Point mort 63,0 étudiants, marge de sécurité 20%.</v>
      </c>
    </row>
    <row r="28" spans="3:22" x14ac:dyDescent="0.45">
      <c r="C28" s="191" t="s">
        <v>160</v>
      </c>
      <c r="D28" s="191" t="s">
        <v>179</v>
      </c>
      <c r="E28" s="191" t="s">
        <v>155</v>
      </c>
      <c r="F28" s="191" t="s">
        <v>169</v>
      </c>
      <c r="G28" s="191" t="s">
        <v>151</v>
      </c>
      <c r="H28" s="190">
        <v>70.36</v>
      </c>
      <c r="I28" s="190">
        <v>3</v>
      </c>
      <c r="J28" s="190">
        <v>553462.06070399994</v>
      </c>
      <c r="K28" s="190">
        <v>63127.821412999998</v>
      </c>
      <c r="L28" s="190">
        <v>490334.23929100001</v>
      </c>
      <c r="M28" s="190">
        <v>420425.74325599999</v>
      </c>
      <c r="N28" s="190">
        <v>483553.56466899998</v>
      </c>
      <c r="O28" s="190">
        <v>69908.496035000004</v>
      </c>
      <c r="P28" s="190">
        <v>61</v>
      </c>
      <c r="Q28" s="190">
        <v>0.14257400000000001</v>
      </c>
      <c r="R28" s="191" t="s">
        <v>149</v>
      </c>
      <c r="S28" s="180">
        <f t="shared" si="0"/>
        <v>420425.74325599999</v>
      </c>
      <c r="T28" s="181">
        <f t="shared" si="1"/>
        <v>69908.49603499996</v>
      </c>
      <c r="U28" s="180">
        <f t="shared" si="2"/>
        <v>0</v>
      </c>
      <c r="V28" s="182" t="str">
        <f t="shared" si="3"/>
        <v>Rentable. Point mort 61,0 étudiants, marge de sécurité 14%.</v>
      </c>
    </row>
    <row r="29" spans="3:22" x14ac:dyDescent="0.45">
      <c r="C29" s="191" t="s">
        <v>160</v>
      </c>
      <c r="D29" s="191" t="s">
        <v>179</v>
      </c>
      <c r="E29" s="191" t="s">
        <v>155</v>
      </c>
      <c r="F29" s="191" t="s">
        <v>166</v>
      </c>
      <c r="G29" s="191" t="s">
        <v>151</v>
      </c>
      <c r="H29" s="190">
        <v>69.349999999999994</v>
      </c>
      <c r="I29" s="190">
        <v>3</v>
      </c>
      <c r="J29" s="190">
        <v>545517.25283999997</v>
      </c>
      <c r="K29" s="190">
        <v>62757.022940000003</v>
      </c>
      <c r="L29" s="190">
        <v>482760.22989999998</v>
      </c>
      <c r="M29" s="190">
        <v>420425.74325599999</v>
      </c>
      <c r="N29" s="190">
        <v>483182.76619599998</v>
      </c>
      <c r="O29" s="190">
        <v>62334.486643999997</v>
      </c>
      <c r="P29" s="190">
        <v>61</v>
      </c>
      <c r="Q29" s="190">
        <v>0.12912199999999999</v>
      </c>
      <c r="R29" s="191" t="s">
        <v>149</v>
      </c>
      <c r="S29" s="180">
        <f t="shared" si="0"/>
        <v>420425.74325599999</v>
      </c>
      <c r="T29" s="181">
        <f t="shared" si="1"/>
        <v>62334.48664399999</v>
      </c>
      <c r="U29" s="180">
        <f t="shared" si="2"/>
        <v>0</v>
      </c>
      <c r="V29" s="182" t="str">
        <f t="shared" si="3"/>
        <v>Rentable. Point mort 61,0 étudiants, marge de sécurité 13%.</v>
      </c>
    </row>
    <row r="30" spans="3:22" x14ac:dyDescent="0.45">
      <c r="C30" s="191" t="s">
        <v>160</v>
      </c>
      <c r="D30" s="191" t="s">
        <v>179</v>
      </c>
      <c r="E30" s="191" t="s">
        <v>164</v>
      </c>
      <c r="F30" s="191" t="s">
        <v>157</v>
      </c>
      <c r="G30" s="191" t="s">
        <v>151</v>
      </c>
      <c r="H30" s="190">
        <v>79.958934999999997</v>
      </c>
      <c r="I30" s="190">
        <v>3</v>
      </c>
      <c r="J30" s="190">
        <v>681091.32775499998</v>
      </c>
      <c r="K30" s="190">
        <v>95162.302578999996</v>
      </c>
      <c r="L30" s="190">
        <v>585929.02517599997</v>
      </c>
      <c r="M30" s="190">
        <v>407419.19796399999</v>
      </c>
      <c r="N30" s="190">
        <v>502581.500543</v>
      </c>
      <c r="O30" s="190">
        <v>178509.827212</v>
      </c>
      <c r="P30" s="190">
        <v>56</v>
      </c>
      <c r="Q30" s="190">
        <v>0.30466199999999999</v>
      </c>
      <c r="R30" s="191" t="s">
        <v>152</v>
      </c>
      <c r="S30" s="180">
        <f t="shared" si="0"/>
        <v>407419.19796399999</v>
      </c>
      <c r="T30" s="181">
        <f t="shared" si="1"/>
        <v>178509.82721199997</v>
      </c>
      <c r="U30" s="180">
        <f t="shared" si="2"/>
        <v>0</v>
      </c>
      <c r="V30" s="182" t="str">
        <f t="shared" si="3"/>
        <v>Rentable. Point mort 56,0 étudiants, marge de sécurité 30%.</v>
      </c>
    </row>
    <row r="31" spans="3:22" x14ac:dyDescent="0.45">
      <c r="C31" s="191" t="s">
        <v>160</v>
      </c>
      <c r="D31" s="191" t="s">
        <v>179</v>
      </c>
      <c r="E31" s="191" t="s">
        <v>164</v>
      </c>
      <c r="F31" s="191" t="s">
        <v>162</v>
      </c>
      <c r="G31" s="191" t="s">
        <v>151</v>
      </c>
      <c r="H31" s="190">
        <v>71.36</v>
      </c>
      <c r="I31" s="190">
        <v>3</v>
      </c>
      <c r="J31" s="190">
        <v>601423.07903999998</v>
      </c>
      <c r="K31" s="190">
        <v>58833.599091999997</v>
      </c>
      <c r="L31" s="190">
        <v>542589.47994800005</v>
      </c>
      <c r="M31" s="190">
        <v>407419.19796399999</v>
      </c>
      <c r="N31" s="190">
        <v>466252.79705599998</v>
      </c>
      <c r="O31" s="190">
        <v>135170.281984</v>
      </c>
      <c r="P31" s="190">
        <v>54</v>
      </c>
      <c r="Q31" s="190">
        <v>0.24912100000000001</v>
      </c>
      <c r="R31" s="191" t="s">
        <v>149</v>
      </c>
      <c r="S31" s="180">
        <f t="shared" si="0"/>
        <v>407419.19796399999</v>
      </c>
      <c r="T31" s="181">
        <f t="shared" si="1"/>
        <v>135170.28198399994</v>
      </c>
      <c r="U31" s="180">
        <f t="shared" si="2"/>
        <v>0</v>
      </c>
      <c r="V31" s="182" t="str">
        <f t="shared" si="3"/>
        <v>Rentable. Point mort 54,0 étudiants, marge de sécurité 25%.</v>
      </c>
    </row>
    <row r="32" spans="3:22" x14ac:dyDescent="0.45">
      <c r="C32" s="191" t="s">
        <v>160</v>
      </c>
      <c r="D32" s="191" t="s">
        <v>178</v>
      </c>
      <c r="E32" s="191" t="s">
        <v>155</v>
      </c>
      <c r="F32" s="191" t="s">
        <v>156</v>
      </c>
      <c r="G32" s="191" t="s">
        <v>150</v>
      </c>
      <c r="H32" s="190">
        <v>51.351967000000002</v>
      </c>
      <c r="I32" s="190">
        <v>2</v>
      </c>
      <c r="J32" s="190">
        <v>375588.90286199999</v>
      </c>
      <c r="K32" s="190">
        <v>61697.521888000003</v>
      </c>
      <c r="L32" s="190">
        <v>313891.38097400003</v>
      </c>
      <c r="M32" s="190">
        <v>251976.225278</v>
      </c>
      <c r="N32" s="190">
        <v>313673.74716600002</v>
      </c>
      <c r="O32" s="190">
        <v>61915.155696000002</v>
      </c>
      <c r="P32" s="190">
        <v>42</v>
      </c>
      <c r="Q32" s="190">
        <v>0.19725100000000001</v>
      </c>
      <c r="R32" s="191" t="s">
        <v>152</v>
      </c>
      <c r="S32" s="180">
        <f t="shared" si="0"/>
        <v>251976.225278</v>
      </c>
      <c r="T32" s="181">
        <f t="shared" si="1"/>
        <v>61915.155695999973</v>
      </c>
      <c r="U32" s="180">
        <f t="shared" si="2"/>
        <v>0</v>
      </c>
      <c r="V32" s="182" t="str">
        <f t="shared" si="3"/>
        <v>Rentable. Point mort 42,0 étudiants, marge de sécurité 20%.</v>
      </c>
    </row>
    <row r="33" spans="2:31" x14ac:dyDescent="0.45">
      <c r="C33" s="191" t="s">
        <v>160</v>
      </c>
      <c r="D33" s="191" t="s">
        <v>178</v>
      </c>
      <c r="E33" s="191" t="s">
        <v>155</v>
      </c>
      <c r="F33" s="191" t="s">
        <v>169</v>
      </c>
      <c r="G33" s="191" t="s">
        <v>151</v>
      </c>
      <c r="H33" s="190">
        <v>46.234999999999999</v>
      </c>
      <c r="I33" s="190">
        <v>2</v>
      </c>
      <c r="J33" s="190">
        <v>311735.38183199998</v>
      </c>
      <c r="K33" s="190">
        <v>41805.952992999999</v>
      </c>
      <c r="L33" s="190">
        <v>269929.428839</v>
      </c>
      <c r="M33" s="190">
        <v>237708.67500700001</v>
      </c>
      <c r="N33" s="190">
        <v>279514.62800000003</v>
      </c>
      <c r="O33" s="190">
        <v>32220.753831999999</v>
      </c>
      <c r="P33" s="190">
        <v>41</v>
      </c>
      <c r="Q33" s="190">
        <v>0.119368</v>
      </c>
      <c r="R33" s="191" t="s">
        <v>149</v>
      </c>
      <c r="S33" s="180">
        <f t="shared" si="0"/>
        <v>237708.67500700001</v>
      </c>
      <c r="T33" s="181">
        <f t="shared" si="1"/>
        <v>32220.753831999988</v>
      </c>
      <c r="U33" s="180">
        <f t="shared" si="2"/>
        <v>0</v>
      </c>
      <c r="V33" s="182" t="str">
        <f t="shared" si="3"/>
        <v>Rentable. Point mort 41,0 étudiants, marge de sécurité 12%.</v>
      </c>
    </row>
    <row r="34" spans="2:31" x14ac:dyDescent="0.45">
      <c r="C34" s="191" t="s">
        <v>160</v>
      </c>
      <c r="D34" s="191" t="s">
        <v>178</v>
      </c>
      <c r="E34" s="191" t="s">
        <v>155</v>
      </c>
      <c r="F34" s="191" t="s">
        <v>166</v>
      </c>
      <c r="G34" s="191" t="s">
        <v>151</v>
      </c>
      <c r="H34" s="190">
        <v>45.23</v>
      </c>
      <c r="I34" s="190">
        <v>2</v>
      </c>
      <c r="J34" s="190">
        <v>304959.25857599999</v>
      </c>
      <c r="K34" s="190">
        <v>41437.612657999998</v>
      </c>
      <c r="L34" s="190">
        <v>263521.64591800002</v>
      </c>
      <c r="M34" s="190">
        <v>237708.67500700001</v>
      </c>
      <c r="N34" s="190">
        <v>279146.28766500001</v>
      </c>
      <c r="O34" s="190">
        <v>25812.970911</v>
      </c>
      <c r="P34" s="190">
        <v>41</v>
      </c>
      <c r="Q34" s="190">
        <v>9.7953999999999999E-2</v>
      </c>
      <c r="R34" s="191" t="s">
        <v>149</v>
      </c>
      <c r="S34" s="180">
        <f t="shared" si="0"/>
        <v>237708.67500700001</v>
      </c>
      <c r="T34" s="181">
        <f t="shared" si="1"/>
        <v>25812.970911000011</v>
      </c>
      <c r="U34" s="180">
        <f t="shared" si="2"/>
        <v>0</v>
      </c>
      <c r="V34" s="182" t="str">
        <f t="shared" si="3"/>
        <v>Rentable. Point mort 41,0 étudiants, marge de sécurité 10%.</v>
      </c>
    </row>
    <row r="35" spans="2:31" x14ac:dyDescent="0.45">
      <c r="C35" s="191" t="s">
        <v>160</v>
      </c>
      <c r="D35" s="191" t="s">
        <v>178</v>
      </c>
      <c r="E35" s="191" t="s">
        <v>164</v>
      </c>
      <c r="F35" s="191" t="s">
        <v>157</v>
      </c>
      <c r="G35" s="191" t="s">
        <v>151</v>
      </c>
      <c r="H35" s="190">
        <v>52.429389999999998</v>
      </c>
      <c r="I35" s="190">
        <v>2</v>
      </c>
      <c r="J35" s="190">
        <v>383469.18761299999</v>
      </c>
      <c r="K35" s="190">
        <v>53017.032225000003</v>
      </c>
      <c r="L35" s="190">
        <v>330452.15538800001</v>
      </c>
      <c r="M35" s="190">
        <v>230574.89987200001</v>
      </c>
      <c r="N35" s="190">
        <v>283591.93209700001</v>
      </c>
      <c r="O35" s="190">
        <v>99877.255516000005</v>
      </c>
      <c r="P35" s="190">
        <v>37</v>
      </c>
      <c r="Q35" s="190">
        <v>0.30224499999999999</v>
      </c>
      <c r="R35" s="191" t="s">
        <v>152</v>
      </c>
      <c r="S35" s="180">
        <f t="shared" si="0"/>
        <v>230574.89987200001</v>
      </c>
      <c r="T35" s="181">
        <f t="shared" si="1"/>
        <v>99877.255515999947</v>
      </c>
      <c r="U35" s="180">
        <f t="shared" si="2"/>
        <v>0</v>
      </c>
      <c r="V35" s="182" t="str">
        <f t="shared" si="3"/>
        <v>Rentable. Point mort 37,0 étudiants, marge de sécurité 30%.</v>
      </c>
    </row>
    <row r="36" spans="2:31" x14ac:dyDescent="0.45">
      <c r="C36" s="191" t="s">
        <v>160</v>
      </c>
      <c r="D36" s="191" t="s">
        <v>178</v>
      </c>
      <c r="E36" s="191" t="s">
        <v>164</v>
      </c>
      <c r="F36" s="191" t="s">
        <v>162</v>
      </c>
      <c r="G36" s="191" t="s">
        <v>151</v>
      </c>
      <c r="H36" s="190">
        <v>46.234999999999999</v>
      </c>
      <c r="I36" s="190">
        <v>2</v>
      </c>
      <c r="J36" s="190">
        <v>334002.19481999998</v>
      </c>
      <c r="K36" s="190">
        <v>38698.298542999997</v>
      </c>
      <c r="L36" s="190">
        <v>295303.89627700002</v>
      </c>
      <c r="M36" s="190">
        <v>230574.89987200001</v>
      </c>
      <c r="N36" s="190">
        <v>269273.19841499999</v>
      </c>
      <c r="O36" s="190">
        <v>64728.996404999998</v>
      </c>
      <c r="P36" s="190">
        <v>37</v>
      </c>
      <c r="Q36" s="190">
        <v>0.219195</v>
      </c>
      <c r="R36" s="191" t="s">
        <v>149</v>
      </c>
      <c r="S36" s="180">
        <f t="shared" si="0"/>
        <v>230574.89987200001</v>
      </c>
      <c r="T36" s="181">
        <f t="shared" si="1"/>
        <v>64728.996404999954</v>
      </c>
      <c r="U36" s="180">
        <f t="shared" si="2"/>
        <v>0</v>
      </c>
      <c r="V36" s="182" t="str">
        <f t="shared" si="3"/>
        <v>Rentable. Point mort 37,0 étudiants, marge de sécurité 22%.</v>
      </c>
    </row>
    <row r="37" spans="2:31" x14ac:dyDescent="0.45">
      <c r="C37" s="191" t="s">
        <v>154</v>
      </c>
      <c r="D37" s="191" t="s">
        <v>158</v>
      </c>
      <c r="E37" s="191" t="s">
        <v>153</v>
      </c>
      <c r="F37" s="191" t="s">
        <v>156</v>
      </c>
      <c r="G37" s="191" t="s">
        <v>150</v>
      </c>
      <c r="H37" s="190">
        <v>55.746749999999999</v>
      </c>
      <c r="I37" s="190">
        <v>2</v>
      </c>
      <c r="J37" s="190">
        <v>411986.15422000003</v>
      </c>
      <c r="K37" s="190">
        <v>64817.753139</v>
      </c>
      <c r="L37" s="190">
        <v>347168.40108099999</v>
      </c>
      <c r="M37" s="190">
        <v>272596.591357</v>
      </c>
      <c r="N37" s="190">
        <v>337414.34449599998</v>
      </c>
      <c r="O37" s="190">
        <v>74571.809724000006</v>
      </c>
      <c r="P37" s="190">
        <v>44</v>
      </c>
      <c r="Q37" s="190">
        <v>0.21480099999999999</v>
      </c>
      <c r="R37" s="191" t="s">
        <v>152</v>
      </c>
      <c r="S37" s="180">
        <f t="shared" si="0"/>
        <v>272596.591357</v>
      </c>
      <c r="T37" s="181">
        <f t="shared" si="1"/>
        <v>74571.80972400005</v>
      </c>
      <c r="U37" s="180">
        <f t="shared" si="2"/>
        <v>0</v>
      </c>
      <c r="V37" s="182" t="str">
        <f t="shared" si="3"/>
        <v>Rentable. Point mort 44,0 étudiants, marge de sécurité 21%.</v>
      </c>
    </row>
    <row r="38" spans="2:31" x14ac:dyDescent="0.45">
      <c r="B38" s="183"/>
      <c r="C38" s="191" t="s">
        <v>154</v>
      </c>
      <c r="D38" s="191" t="s">
        <v>158</v>
      </c>
      <c r="E38" s="191" t="s">
        <v>153</v>
      </c>
      <c r="F38" s="191" t="s">
        <v>169</v>
      </c>
      <c r="G38" s="191" t="s">
        <v>151</v>
      </c>
      <c r="H38" s="190">
        <v>49.255000000000003</v>
      </c>
      <c r="I38" s="190">
        <v>2</v>
      </c>
      <c r="J38" s="190">
        <v>335605.30624599999</v>
      </c>
      <c r="K38" s="190">
        <v>42904.864464999999</v>
      </c>
      <c r="L38" s="190">
        <v>292700.441781</v>
      </c>
      <c r="M38" s="190">
        <v>257654.62445999999</v>
      </c>
      <c r="N38" s="190">
        <v>300559.48892500001</v>
      </c>
      <c r="O38" s="190">
        <v>35045.817321000002</v>
      </c>
      <c r="P38" s="190">
        <v>44</v>
      </c>
      <c r="Q38" s="190">
        <v>0.11973300000000001</v>
      </c>
      <c r="R38" s="191" t="s">
        <v>149</v>
      </c>
      <c r="S38" s="180">
        <f t="shared" si="0"/>
        <v>257654.62445999999</v>
      </c>
      <c r="T38" s="181">
        <f t="shared" si="1"/>
        <v>35045.81732100001</v>
      </c>
      <c r="U38" s="180">
        <f t="shared" si="2"/>
        <v>0</v>
      </c>
      <c r="V38" s="182" t="str">
        <f t="shared" si="3"/>
        <v>Rentable. Point mort 44,0 étudiants, marge de sécurité 12%.</v>
      </c>
      <c r="W38" s="186"/>
      <c r="X38" s="186"/>
      <c r="Y38" s="186"/>
      <c r="Z38" s="186"/>
      <c r="AA38" s="186"/>
      <c r="AB38" s="186"/>
      <c r="AC38" s="186"/>
      <c r="AD38" s="186"/>
      <c r="AE38" s="186"/>
    </row>
    <row r="39" spans="2:31" x14ac:dyDescent="0.45">
      <c r="B39" s="183"/>
      <c r="C39" s="191" t="s">
        <v>154</v>
      </c>
      <c r="D39" s="191" t="s">
        <v>158</v>
      </c>
      <c r="E39" s="191" t="s">
        <v>153</v>
      </c>
      <c r="F39" s="191" t="s">
        <v>166</v>
      </c>
      <c r="G39" s="191" t="s">
        <v>151</v>
      </c>
      <c r="H39" s="190">
        <v>48.244999999999997</v>
      </c>
      <c r="I39" s="190">
        <v>2</v>
      </c>
      <c r="J39" s="190">
        <v>328723.54075400002</v>
      </c>
      <c r="K39" s="190">
        <v>42534.913884000001</v>
      </c>
      <c r="L39" s="190">
        <v>286188.62686999998</v>
      </c>
      <c r="M39" s="190">
        <v>257654.62445999999</v>
      </c>
      <c r="N39" s="190">
        <v>300189.538344</v>
      </c>
      <c r="O39" s="190">
        <v>28534.002410000001</v>
      </c>
      <c r="P39" s="190">
        <v>44</v>
      </c>
      <c r="Q39" s="190">
        <v>9.9704000000000001E-2</v>
      </c>
      <c r="R39" s="191" t="s">
        <v>149</v>
      </c>
      <c r="S39" s="180">
        <f t="shared" si="0"/>
        <v>257654.62445999999</v>
      </c>
      <c r="T39" s="181">
        <f t="shared" si="1"/>
        <v>28534.002410000045</v>
      </c>
      <c r="U39" s="180">
        <f t="shared" si="2"/>
        <v>0</v>
      </c>
      <c r="V39" s="182" t="str">
        <f t="shared" si="3"/>
        <v>Rentable. Point mort 44,0 étudiants, marge de sécurité 10%.</v>
      </c>
      <c r="W39" s="186"/>
      <c r="X39" s="186"/>
      <c r="Y39" s="186"/>
      <c r="Z39" s="186"/>
      <c r="AA39" s="186"/>
      <c r="AB39" s="186"/>
      <c r="AC39" s="186"/>
      <c r="AD39" s="186"/>
      <c r="AE39" s="186"/>
    </row>
    <row r="40" spans="2:31" x14ac:dyDescent="0.45">
      <c r="B40" s="183"/>
      <c r="C40" s="191" t="s">
        <v>154</v>
      </c>
      <c r="D40" s="191" t="s">
        <v>158</v>
      </c>
      <c r="E40" s="191" t="s">
        <v>171</v>
      </c>
      <c r="F40" s="191" t="s">
        <v>157</v>
      </c>
      <c r="G40" s="191" t="s">
        <v>151</v>
      </c>
      <c r="H40" s="190">
        <v>56.910060000000001</v>
      </c>
      <c r="I40" s="190">
        <v>2</v>
      </c>
      <c r="J40" s="190">
        <v>420583.38388899999</v>
      </c>
      <c r="K40" s="190">
        <v>56198.899563999999</v>
      </c>
      <c r="L40" s="190">
        <v>364384.48432500003</v>
      </c>
      <c r="M40" s="190">
        <v>250183.64101200001</v>
      </c>
      <c r="N40" s="190">
        <v>306382.540576</v>
      </c>
      <c r="O40" s="190">
        <v>114200.843313</v>
      </c>
      <c r="P40" s="190">
        <v>40</v>
      </c>
      <c r="Q40" s="190">
        <v>0.31340800000000002</v>
      </c>
      <c r="R40" s="191" t="s">
        <v>152</v>
      </c>
      <c r="S40" s="180">
        <f t="shared" si="0"/>
        <v>250183.64101200001</v>
      </c>
      <c r="T40" s="181">
        <f t="shared" si="1"/>
        <v>114200.84331299996</v>
      </c>
      <c r="U40" s="180">
        <f t="shared" si="2"/>
        <v>0</v>
      </c>
      <c r="V40" s="182" t="str">
        <f t="shared" si="3"/>
        <v>Rentable. Point mort 40,0 étudiants, marge de sécurité 31%.</v>
      </c>
      <c r="W40" s="186"/>
      <c r="X40" s="186"/>
      <c r="Y40" s="186"/>
      <c r="Z40" s="186"/>
      <c r="AA40" s="186"/>
      <c r="AB40" s="186"/>
      <c r="AC40" s="186"/>
      <c r="AD40" s="186"/>
      <c r="AE40" s="186"/>
    </row>
    <row r="41" spans="2:31" x14ac:dyDescent="0.45">
      <c r="B41" s="183"/>
      <c r="C41" s="191" t="s">
        <v>154</v>
      </c>
      <c r="D41" s="191" t="s">
        <v>158</v>
      </c>
      <c r="E41" s="191" t="s">
        <v>171</v>
      </c>
      <c r="F41" s="191" t="s">
        <v>162</v>
      </c>
      <c r="G41" s="191" t="s">
        <v>151</v>
      </c>
      <c r="H41" s="190">
        <v>50.255000000000003</v>
      </c>
      <c r="I41" s="190">
        <v>2</v>
      </c>
      <c r="J41" s="190">
        <v>366877.43083500001</v>
      </c>
      <c r="K41" s="190">
        <v>40163.535499999998</v>
      </c>
      <c r="L41" s="190">
        <v>326713.89533500001</v>
      </c>
      <c r="M41" s="190">
        <v>250183.64101200001</v>
      </c>
      <c r="N41" s="190">
        <v>290347.17651199998</v>
      </c>
      <c r="O41" s="190">
        <v>76530.254323000001</v>
      </c>
      <c r="P41" s="190">
        <v>39</v>
      </c>
      <c r="Q41" s="190">
        <v>0.23424300000000001</v>
      </c>
      <c r="R41" s="191" t="s">
        <v>149</v>
      </c>
      <c r="S41" s="180">
        <f t="shared" si="0"/>
        <v>250183.64101200001</v>
      </c>
      <c r="T41" s="181">
        <f t="shared" si="1"/>
        <v>76530.254323000001</v>
      </c>
      <c r="U41" s="180">
        <f t="shared" si="2"/>
        <v>0</v>
      </c>
      <c r="V41" s="182" t="str">
        <f t="shared" si="3"/>
        <v>Rentable. Point mort 39,0 étudiants, marge de sécurité 23%.</v>
      </c>
      <c r="W41" s="186"/>
      <c r="X41" s="186"/>
      <c r="Y41" s="186"/>
      <c r="Z41" s="186"/>
      <c r="AA41" s="186"/>
      <c r="AB41" s="186"/>
      <c r="AC41" s="186"/>
      <c r="AD41" s="186"/>
      <c r="AE41" s="186"/>
    </row>
    <row r="42" spans="2:31" x14ac:dyDescent="0.45">
      <c r="B42" s="183"/>
      <c r="C42" s="191" t="s">
        <v>154</v>
      </c>
      <c r="D42" s="191" t="s">
        <v>167</v>
      </c>
      <c r="E42" s="191" t="s">
        <v>153</v>
      </c>
      <c r="F42" s="191" t="s">
        <v>156</v>
      </c>
      <c r="G42" s="191" t="s">
        <v>150</v>
      </c>
      <c r="H42" s="190">
        <v>72.005854999999997</v>
      </c>
      <c r="I42" s="190">
        <v>3</v>
      </c>
      <c r="J42" s="190">
        <v>575499.95553100004</v>
      </c>
      <c r="K42" s="190">
        <v>95349.323827</v>
      </c>
      <c r="L42" s="190">
        <v>480150.631704</v>
      </c>
      <c r="M42" s="190">
        <v>440324.41278499999</v>
      </c>
      <c r="N42" s="190">
        <v>535673.73661200004</v>
      </c>
      <c r="O42" s="190">
        <v>39826.218918999999</v>
      </c>
      <c r="P42" s="190">
        <v>67</v>
      </c>
      <c r="Q42" s="190">
        <v>8.2946000000000006E-2</v>
      </c>
      <c r="R42" s="191" t="s">
        <v>152</v>
      </c>
      <c r="S42" s="180">
        <f t="shared" si="0"/>
        <v>440324.41278499999</v>
      </c>
      <c r="T42" s="181">
        <f t="shared" si="1"/>
        <v>39826.218919000064</v>
      </c>
      <c r="U42" s="180">
        <f t="shared" si="2"/>
        <v>0</v>
      </c>
      <c r="V42" s="182" t="str">
        <f t="shared" si="3"/>
        <v>Rentable. Point mort 67,0 étudiants, marge de sécurité 8%.</v>
      </c>
      <c r="W42" s="186"/>
      <c r="X42" s="186"/>
      <c r="Y42" s="186"/>
      <c r="Z42" s="186"/>
      <c r="AA42" s="186"/>
      <c r="AB42" s="186"/>
      <c r="AC42" s="186"/>
      <c r="AD42" s="186"/>
      <c r="AE42" s="186"/>
    </row>
    <row r="43" spans="2:31" x14ac:dyDescent="0.45">
      <c r="B43" s="183"/>
      <c r="C43" s="191" t="s">
        <v>154</v>
      </c>
      <c r="D43" s="191" t="s">
        <v>167</v>
      </c>
      <c r="E43" s="191" t="s">
        <v>153</v>
      </c>
      <c r="F43" s="191" t="s">
        <v>169</v>
      </c>
      <c r="G43" s="191" t="s">
        <v>151</v>
      </c>
      <c r="H43" s="190">
        <v>64.33</v>
      </c>
      <c r="I43" s="190">
        <v>2</v>
      </c>
      <c r="J43" s="190">
        <v>474470.93274000002</v>
      </c>
      <c r="K43" s="190">
        <v>48451.760935999999</v>
      </c>
      <c r="L43" s="190">
        <v>426019.17180399998</v>
      </c>
      <c r="M43" s="190">
        <v>277141.79123099998</v>
      </c>
      <c r="N43" s="190">
        <v>325593.55216700002</v>
      </c>
      <c r="O43" s="190">
        <v>148877.380573</v>
      </c>
      <c r="P43" s="190">
        <v>42</v>
      </c>
      <c r="Q43" s="190">
        <v>0.34946199999999999</v>
      </c>
      <c r="R43" s="191" t="s">
        <v>149</v>
      </c>
      <c r="S43" s="180">
        <f t="shared" si="0"/>
        <v>277141.79123099998</v>
      </c>
      <c r="T43" s="181">
        <f t="shared" si="1"/>
        <v>148877.38057300006</v>
      </c>
      <c r="U43" s="180">
        <f t="shared" si="2"/>
        <v>0</v>
      </c>
      <c r="V43" s="182" t="str">
        <f t="shared" si="3"/>
        <v>Rentable. Point mort 42,0 étudiants, marge de sécurité 35%.</v>
      </c>
      <c r="W43" s="186"/>
      <c r="X43" s="186"/>
      <c r="Y43" s="186"/>
      <c r="Z43" s="186"/>
      <c r="AA43" s="186"/>
      <c r="AB43" s="186"/>
      <c r="AC43" s="186"/>
      <c r="AD43" s="186"/>
      <c r="AE43" s="186"/>
    </row>
    <row r="44" spans="2:31" x14ac:dyDescent="0.45">
      <c r="B44" s="183"/>
      <c r="C44" s="191" t="s">
        <v>154</v>
      </c>
      <c r="D44" s="191" t="s">
        <v>167</v>
      </c>
      <c r="E44" s="191" t="s">
        <v>153</v>
      </c>
      <c r="F44" s="191" t="s">
        <v>166</v>
      </c>
      <c r="G44" s="191" t="s">
        <v>151</v>
      </c>
      <c r="H44" s="190">
        <v>63.32</v>
      </c>
      <c r="I44" s="190">
        <v>2</v>
      </c>
      <c r="J44" s="190">
        <v>467021.59895999997</v>
      </c>
      <c r="K44" s="190">
        <v>48081.353611999999</v>
      </c>
      <c r="L44" s="190">
        <v>418940.24534800003</v>
      </c>
      <c r="M44" s="190">
        <v>277141.79123099998</v>
      </c>
      <c r="N44" s="190">
        <v>325223.14484299999</v>
      </c>
      <c r="O44" s="190">
        <v>141798.45411699999</v>
      </c>
      <c r="P44" s="190">
        <v>42</v>
      </c>
      <c r="Q44" s="190">
        <v>0.33846999999999999</v>
      </c>
      <c r="R44" s="191" t="s">
        <v>149</v>
      </c>
      <c r="S44" s="180">
        <f t="shared" si="0"/>
        <v>277141.79123099998</v>
      </c>
      <c r="T44" s="181">
        <f t="shared" si="1"/>
        <v>141798.45411699999</v>
      </c>
      <c r="U44" s="180">
        <f t="shared" si="2"/>
        <v>0</v>
      </c>
      <c r="V44" s="182" t="str">
        <f t="shared" si="3"/>
        <v>Rentable. Point mort 42,0 étudiants, marge de sécurité 34%.</v>
      </c>
      <c r="W44" s="186"/>
      <c r="X44" s="186"/>
      <c r="Y44" s="186"/>
      <c r="Z44" s="186"/>
      <c r="AA44" s="186"/>
      <c r="AB44" s="186"/>
      <c r="AC44" s="186"/>
      <c r="AD44" s="186"/>
      <c r="AE44" s="186"/>
    </row>
    <row r="45" spans="2:31" x14ac:dyDescent="0.45">
      <c r="B45" s="183"/>
      <c r="C45" s="191" t="s">
        <v>154</v>
      </c>
      <c r="D45" s="191" t="s">
        <v>167</v>
      </c>
      <c r="E45" s="191" t="s">
        <v>171</v>
      </c>
      <c r="F45" s="191" t="s">
        <v>157</v>
      </c>
      <c r="G45" s="191" t="s">
        <v>151</v>
      </c>
      <c r="H45" s="190">
        <v>73.512347000000005</v>
      </c>
      <c r="I45" s="190">
        <v>3</v>
      </c>
      <c r="J45" s="190">
        <v>587540.44972499995</v>
      </c>
      <c r="K45" s="190">
        <v>82384.620114999998</v>
      </c>
      <c r="L45" s="190">
        <v>505155.82961000002</v>
      </c>
      <c r="M45" s="190">
        <v>403406.82387999998</v>
      </c>
      <c r="N45" s="190">
        <v>485791.44399499998</v>
      </c>
      <c r="O45" s="190">
        <v>101749.00573</v>
      </c>
      <c r="P45" s="190">
        <v>59</v>
      </c>
      <c r="Q45" s="190">
        <v>0.20142199999999999</v>
      </c>
      <c r="R45" s="191" t="s">
        <v>152</v>
      </c>
      <c r="S45" s="180">
        <f t="shared" si="0"/>
        <v>403406.82387999998</v>
      </c>
      <c r="T45" s="181">
        <f t="shared" si="1"/>
        <v>101749.00572999998</v>
      </c>
      <c r="U45" s="180">
        <f t="shared" si="2"/>
        <v>0</v>
      </c>
      <c r="V45" s="182" t="str">
        <f t="shared" si="3"/>
        <v>Rentable. Point mort 59,0 étudiants, marge de sécurité 20%.</v>
      </c>
      <c r="W45" s="186"/>
      <c r="X45" s="186"/>
      <c r="Y45" s="186"/>
      <c r="Z45" s="186"/>
      <c r="AA45" s="186"/>
      <c r="AB45" s="186"/>
      <c r="AC45" s="186"/>
      <c r="AD45" s="186"/>
      <c r="AE45" s="186"/>
    </row>
    <row r="46" spans="2:31" x14ac:dyDescent="0.45">
      <c r="B46" s="183"/>
      <c r="C46" s="191" t="s">
        <v>154</v>
      </c>
      <c r="D46" s="191" t="s">
        <v>167</v>
      </c>
      <c r="E46" s="191" t="s">
        <v>171</v>
      </c>
      <c r="F46" s="191" t="s">
        <v>162</v>
      </c>
      <c r="G46" s="191" t="s">
        <v>151</v>
      </c>
      <c r="H46" s="190">
        <v>65.33</v>
      </c>
      <c r="I46" s="190">
        <v>3</v>
      </c>
      <c r="J46" s="190">
        <v>516264.11865000002</v>
      </c>
      <c r="K46" s="190">
        <v>56587.607732999997</v>
      </c>
      <c r="L46" s="190">
        <v>459676.51091700001</v>
      </c>
      <c r="M46" s="190">
        <v>403406.82387999998</v>
      </c>
      <c r="N46" s="190">
        <v>459994.43161299999</v>
      </c>
      <c r="O46" s="190">
        <v>56269.687037000003</v>
      </c>
      <c r="P46" s="190">
        <v>58</v>
      </c>
      <c r="Q46" s="190">
        <v>0.12241200000000001</v>
      </c>
      <c r="R46" s="191" t="s">
        <v>149</v>
      </c>
      <c r="S46" s="180">
        <f t="shared" si="0"/>
        <v>403406.82387999998</v>
      </c>
      <c r="T46" s="181">
        <f t="shared" si="1"/>
        <v>56269.687037000025</v>
      </c>
      <c r="U46" s="180">
        <f t="shared" si="2"/>
        <v>0</v>
      </c>
      <c r="V46" s="182" t="str">
        <f t="shared" si="3"/>
        <v>Rentable. Point mort 58,0 étudiants, marge de sécurité 12%.</v>
      </c>
      <c r="W46" s="186"/>
      <c r="X46" s="186"/>
      <c r="Y46" s="186"/>
      <c r="Z46" s="186"/>
      <c r="AA46" s="186"/>
      <c r="AB46" s="186"/>
      <c r="AC46" s="186"/>
      <c r="AD46" s="186"/>
      <c r="AE46" s="186"/>
    </row>
    <row r="47" spans="2:31" x14ac:dyDescent="0.45">
      <c r="B47" s="183"/>
      <c r="C47" s="191" t="s">
        <v>154</v>
      </c>
      <c r="D47" s="191" t="s">
        <v>163</v>
      </c>
      <c r="E47" s="191" t="s">
        <v>153</v>
      </c>
      <c r="F47" s="191" t="s">
        <v>156</v>
      </c>
      <c r="G47" s="191" t="s">
        <v>150</v>
      </c>
      <c r="H47" s="190">
        <v>65.539302000000006</v>
      </c>
      <c r="I47" s="190">
        <v>2</v>
      </c>
      <c r="J47" s="190">
        <v>499153.87796200003</v>
      </c>
      <c r="K47" s="190">
        <v>72608.000014999998</v>
      </c>
      <c r="L47" s="190">
        <v>426545.87794699997</v>
      </c>
      <c r="M47" s="190">
        <v>276632.92946999997</v>
      </c>
      <c r="N47" s="190">
        <v>349240.92948499997</v>
      </c>
      <c r="O47" s="190">
        <v>149912.948477</v>
      </c>
      <c r="P47" s="190">
        <v>43</v>
      </c>
      <c r="Q47" s="190">
        <v>0.35145799999999999</v>
      </c>
      <c r="R47" s="191" t="s">
        <v>152</v>
      </c>
      <c r="S47" s="180">
        <f t="shared" si="0"/>
        <v>276632.92946999997</v>
      </c>
      <c r="T47" s="181">
        <f t="shared" si="1"/>
        <v>149912.94847700006</v>
      </c>
      <c r="U47" s="180">
        <f t="shared" si="2"/>
        <v>0</v>
      </c>
      <c r="V47" s="182" t="str">
        <f t="shared" si="3"/>
        <v>Rentable. Point mort 43,0 étudiants, marge de sécurité 35%.</v>
      </c>
      <c r="W47" s="186"/>
      <c r="X47" s="186"/>
      <c r="Y47" s="186"/>
      <c r="Z47" s="186"/>
      <c r="AA47" s="186"/>
      <c r="AB47" s="186"/>
      <c r="AC47" s="186"/>
      <c r="AD47" s="186"/>
      <c r="AE47" s="186"/>
    </row>
    <row r="48" spans="2:31" x14ac:dyDescent="0.45">
      <c r="B48" s="183"/>
      <c r="C48" s="191" t="s">
        <v>154</v>
      </c>
      <c r="D48" s="191" t="s">
        <v>163</v>
      </c>
      <c r="E48" s="191" t="s">
        <v>153</v>
      </c>
      <c r="F48" s="191" t="s">
        <v>169</v>
      </c>
      <c r="G48" s="191" t="s">
        <v>151</v>
      </c>
      <c r="H48" s="190">
        <v>58.3</v>
      </c>
      <c r="I48" s="190">
        <v>2</v>
      </c>
      <c r="J48" s="190">
        <v>409520.18800000002</v>
      </c>
      <c r="K48" s="190">
        <v>46756.304091999998</v>
      </c>
      <c r="L48" s="190">
        <v>362763.88390800002</v>
      </c>
      <c r="M48" s="190">
        <v>261017.124916</v>
      </c>
      <c r="N48" s="190">
        <v>307773.42900800001</v>
      </c>
      <c r="O48" s="190">
        <v>101746.758992</v>
      </c>
      <c r="P48" s="190">
        <v>42</v>
      </c>
      <c r="Q48" s="190">
        <v>0.28047699999999998</v>
      </c>
      <c r="R48" s="191" t="s">
        <v>149</v>
      </c>
      <c r="S48" s="180">
        <f t="shared" si="0"/>
        <v>261017.124916</v>
      </c>
      <c r="T48" s="181">
        <f t="shared" si="1"/>
        <v>101746.75899200002</v>
      </c>
      <c r="U48" s="180">
        <f t="shared" si="2"/>
        <v>0</v>
      </c>
      <c r="V48" s="182" t="str">
        <f t="shared" si="3"/>
        <v>Rentable. Point mort 42,0 étudiants, marge de sécurité 28%.</v>
      </c>
      <c r="W48" s="186"/>
      <c r="X48" s="186"/>
      <c r="Y48" s="186"/>
      <c r="Z48" s="186"/>
      <c r="AA48" s="186"/>
      <c r="AB48" s="186"/>
      <c r="AC48" s="186"/>
      <c r="AD48" s="186"/>
      <c r="AE48" s="186"/>
    </row>
    <row r="49" spans="2:31" x14ac:dyDescent="0.45">
      <c r="B49" s="183"/>
      <c r="C49" s="191" t="s">
        <v>154</v>
      </c>
      <c r="D49" s="191" t="s">
        <v>163</v>
      </c>
      <c r="E49" s="191" t="s">
        <v>153</v>
      </c>
      <c r="F49" s="191" t="s">
        <v>166</v>
      </c>
      <c r="G49" s="191" t="s">
        <v>151</v>
      </c>
      <c r="H49" s="190">
        <v>57.29</v>
      </c>
      <c r="I49" s="190">
        <v>2</v>
      </c>
      <c r="J49" s="190">
        <v>402425.58439999999</v>
      </c>
      <c r="K49" s="190">
        <v>46386.177649999998</v>
      </c>
      <c r="L49" s="190">
        <v>356039.40675000002</v>
      </c>
      <c r="M49" s="190">
        <v>261017.124916</v>
      </c>
      <c r="N49" s="190">
        <v>307403.30256600003</v>
      </c>
      <c r="O49" s="190">
        <v>95022.281833999994</v>
      </c>
      <c r="P49" s="190">
        <v>43</v>
      </c>
      <c r="Q49" s="190">
        <v>0.26688699999999999</v>
      </c>
      <c r="R49" s="191" t="s">
        <v>149</v>
      </c>
      <c r="S49" s="180">
        <f t="shared" si="0"/>
        <v>261017.124916</v>
      </c>
      <c r="T49" s="181">
        <f t="shared" si="1"/>
        <v>95022.281833999965</v>
      </c>
      <c r="U49" s="180">
        <f t="shared" si="2"/>
        <v>0</v>
      </c>
      <c r="V49" s="182" t="str">
        <f t="shared" si="3"/>
        <v>Rentable. Point mort 43,0 étudiants, marge de sécurité 27%.</v>
      </c>
      <c r="W49" s="186"/>
      <c r="X49" s="186"/>
      <c r="Y49" s="186"/>
      <c r="Z49" s="186"/>
      <c r="AA49" s="186"/>
      <c r="AB49" s="186"/>
      <c r="AC49" s="186"/>
      <c r="AD49" s="186"/>
      <c r="AE49" s="186"/>
    </row>
    <row r="50" spans="2:31" x14ac:dyDescent="0.45">
      <c r="B50" s="183"/>
      <c r="C50" s="191" t="s">
        <v>154</v>
      </c>
      <c r="D50" s="191" t="s">
        <v>163</v>
      </c>
      <c r="E50" s="191" t="s">
        <v>171</v>
      </c>
      <c r="F50" s="191" t="s">
        <v>157</v>
      </c>
      <c r="G50" s="191" t="s">
        <v>151</v>
      </c>
      <c r="H50" s="190">
        <v>66.913655000000006</v>
      </c>
      <c r="I50" s="190">
        <v>3</v>
      </c>
      <c r="J50" s="190">
        <v>509621.08784599998</v>
      </c>
      <c r="K50" s="190">
        <v>75052.104072999995</v>
      </c>
      <c r="L50" s="190">
        <v>434568.98377300001</v>
      </c>
      <c r="M50" s="190">
        <v>379815.30051799997</v>
      </c>
      <c r="N50" s="190">
        <v>454867.404591</v>
      </c>
      <c r="O50" s="190">
        <v>54753.683255000004</v>
      </c>
      <c r="P50" s="190">
        <v>59</v>
      </c>
      <c r="Q50" s="190">
        <v>0.125996</v>
      </c>
      <c r="R50" s="191" t="s">
        <v>152</v>
      </c>
      <c r="S50" s="180">
        <f t="shared" si="0"/>
        <v>379815.30051799997</v>
      </c>
      <c r="T50" s="181">
        <f t="shared" si="1"/>
        <v>54753.683254999982</v>
      </c>
      <c r="U50" s="180">
        <f t="shared" si="2"/>
        <v>0</v>
      </c>
      <c r="V50" s="182" t="str">
        <f t="shared" si="3"/>
        <v>Rentable. Point mort 59,0 étudiants, marge de sécurité 13%.</v>
      </c>
      <c r="W50" s="186"/>
      <c r="X50" s="186"/>
      <c r="Y50" s="186"/>
      <c r="Z50" s="186"/>
      <c r="AA50" s="186"/>
      <c r="AB50" s="186"/>
      <c r="AC50" s="186"/>
      <c r="AD50" s="186"/>
      <c r="AE50" s="186"/>
    </row>
    <row r="51" spans="2:31" x14ac:dyDescent="0.45">
      <c r="B51" s="183"/>
      <c r="C51" s="191" t="s">
        <v>154</v>
      </c>
      <c r="D51" s="191" t="s">
        <v>163</v>
      </c>
      <c r="E51" s="191" t="s">
        <v>171</v>
      </c>
      <c r="F51" s="191" t="s">
        <v>162</v>
      </c>
      <c r="G51" s="191" t="s">
        <v>151</v>
      </c>
      <c r="H51" s="190">
        <v>59.3</v>
      </c>
      <c r="I51" s="190">
        <v>3</v>
      </c>
      <c r="J51" s="190">
        <v>446297.73</v>
      </c>
      <c r="K51" s="190">
        <v>55057.350154</v>
      </c>
      <c r="L51" s="190">
        <v>391240.379846</v>
      </c>
      <c r="M51" s="190">
        <v>379815.30051799997</v>
      </c>
      <c r="N51" s="190">
        <v>434872.65067200002</v>
      </c>
      <c r="O51" s="190">
        <v>11425.079328</v>
      </c>
      <c r="P51" s="190">
        <v>58</v>
      </c>
      <c r="Q51" s="190">
        <v>2.9203E-2</v>
      </c>
      <c r="R51" s="191" t="s">
        <v>149</v>
      </c>
      <c r="S51" s="180">
        <f t="shared" si="0"/>
        <v>379815.30051799997</v>
      </c>
      <c r="T51" s="181">
        <f t="shared" si="1"/>
        <v>11425.079328000022</v>
      </c>
      <c r="U51" s="180">
        <f t="shared" si="2"/>
        <v>0</v>
      </c>
      <c r="V51" s="182" t="str">
        <f t="shared" si="3"/>
        <v>Rentable. Point mort 58,0 étudiants, marge de sécurité 3%.</v>
      </c>
      <c r="W51" s="186"/>
      <c r="X51" s="186"/>
      <c r="Y51" s="186"/>
      <c r="Z51" s="186"/>
      <c r="AA51" s="186"/>
      <c r="AB51" s="186"/>
      <c r="AC51" s="186"/>
      <c r="AD51" s="186"/>
      <c r="AE51" s="186"/>
    </row>
    <row r="52" spans="2:31" x14ac:dyDescent="0.45">
      <c r="B52" s="183"/>
      <c r="C52" s="191" t="s">
        <v>154</v>
      </c>
      <c r="D52" s="191" t="s">
        <v>179</v>
      </c>
      <c r="E52" s="191" t="s">
        <v>153</v>
      </c>
      <c r="F52" s="191" t="s">
        <v>156</v>
      </c>
      <c r="G52" s="191" t="s">
        <v>150</v>
      </c>
      <c r="H52" s="190">
        <v>84.920597000000001</v>
      </c>
      <c r="I52" s="190">
        <v>3</v>
      </c>
      <c r="J52" s="190">
        <v>723458.26742199995</v>
      </c>
      <c r="K52" s="190">
        <v>114274.723769</v>
      </c>
      <c r="L52" s="190">
        <v>609183.54365300003</v>
      </c>
      <c r="M52" s="190">
        <v>476513.680803</v>
      </c>
      <c r="N52" s="190">
        <v>590788.40457200003</v>
      </c>
      <c r="O52" s="190">
        <v>132669.86285</v>
      </c>
      <c r="P52" s="190">
        <v>67</v>
      </c>
      <c r="Q52" s="190">
        <v>0.21778400000000001</v>
      </c>
      <c r="R52" s="191" t="s">
        <v>152</v>
      </c>
      <c r="S52" s="180">
        <f t="shared" si="0"/>
        <v>476513.680803</v>
      </c>
      <c r="T52" s="181">
        <f t="shared" si="1"/>
        <v>132669.86284999992</v>
      </c>
      <c r="U52" s="180">
        <f t="shared" si="2"/>
        <v>0</v>
      </c>
      <c r="V52" s="182" t="str">
        <f t="shared" si="3"/>
        <v>Rentable. Point mort 67,0 étudiants, marge de sécurité 22%.</v>
      </c>
      <c r="W52" s="186"/>
      <c r="X52" s="186"/>
      <c r="Y52" s="186"/>
      <c r="Z52" s="186"/>
      <c r="AA52" s="186"/>
      <c r="AB52" s="186"/>
      <c r="AC52" s="186"/>
      <c r="AD52" s="186"/>
      <c r="AE52" s="186"/>
    </row>
    <row r="53" spans="2:31" x14ac:dyDescent="0.45">
      <c r="B53" s="183"/>
      <c r="C53" s="191" t="s">
        <v>154</v>
      </c>
      <c r="D53" s="191" t="s">
        <v>179</v>
      </c>
      <c r="E53" s="191" t="s">
        <v>153</v>
      </c>
      <c r="F53" s="191" t="s">
        <v>169</v>
      </c>
      <c r="G53" s="191" t="s">
        <v>151</v>
      </c>
      <c r="H53" s="190">
        <v>76.39</v>
      </c>
      <c r="I53" s="190">
        <v>3</v>
      </c>
      <c r="J53" s="190">
        <v>600981.76364799996</v>
      </c>
      <c r="K53" s="190">
        <v>65326.772702000002</v>
      </c>
      <c r="L53" s="190">
        <v>535654.99094599998</v>
      </c>
      <c r="M53" s="190">
        <v>449753.72503500001</v>
      </c>
      <c r="N53" s="190">
        <v>515080.497737</v>
      </c>
      <c r="O53" s="190">
        <v>85901.265910999995</v>
      </c>
      <c r="P53" s="190">
        <v>65</v>
      </c>
      <c r="Q53" s="190">
        <v>0.16036700000000001</v>
      </c>
      <c r="R53" s="191" t="s">
        <v>149</v>
      </c>
      <c r="S53" s="180">
        <f t="shared" si="0"/>
        <v>449753.72503500001</v>
      </c>
      <c r="T53" s="181">
        <f t="shared" si="1"/>
        <v>85901.265910999966</v>
      </c>
      <c r="U53" s="180">
        <f t="shared" si="2"/>
        <v>0</v>
      </c>
      <c r="V53" s="182" t="str">
        <f t="shared" si="3"/>
        <v>Rentable. Point mort 65,0 étudiants, marge de sécurité 16%.</v>
      </c>
      <c r="W53" s="186"/>
      <c r="X53" s="186"/>
      <c r="Y53" s="186"/>
      <c r="Z53" s="186"/>
      <c r="AA53" s="186"/>
      <c r="AB53" s="186"/>
      <c r="AC53" s="186"/>
      <c r="AD53" s="186"/>
      <c r="AE53" s="186"/>
    </row>
    <row r="54" spans="2:31" x14ac:dyDescent="0.45">
      <c r="B54" s="183"/>
      <c r="C54" s="191" t="s">
        <v>154</v>
      </c>
      <c r="D54" s="191" t="s">
        <v>179</v>
      </c>
      <c r="E54" s="191" t="s">
        <v>153</v>
      </c>
      <c r="F54" s="191" t="s">
        <v>166</v>
      </c>
      <c r="G54" s="191" t="s">
        <v>151</v>
      </c>
      <c r="H54" s="190">
        <v>74.38</v>
      </c>
      <c r="I54" s="190">
        <v>3</v>
      </c>
      <c r="J54" s="190">
        <v>585168.524416</v>
      </c>
      <c r="K54" s="190">
        <v>64589.014377</v>
      </c>
      <c r="L54" s="190">
        <v>520579.51003900002</v>
      </c>
      <c r="M54" s="190">
        <v>449753.72503500001</v>
      </c>
      <c r="N54" s="190">
        <v>514342.739412</v>
      </c>
      <c r="O54" s="190">
        <v>70825.785004000005</v>
      </c>
      <c r="P54" s="190">
        <v>65</v>
      </c>
      <c r="Q54" s="190">
        <v>0.13605200000000001</v>
      </c>
      <c r="R54" s="191" t="s">
        <v>149</v>
      </c>
      <c r="S54" s="180">
        <f t="shared" si="0"/>
        <v>449753.72503500001</v>
      </c>
      <c r="T54" s="181">
        <f t="shared" si="1"/>
        <v>70825.785004000005</v>
      </c>
      <c r="U54" s="180">
        <f t="shared" si="2"/>
        <v>0</v>
      </c>
      <c r="V54" s="182" t="str">
        <f t="shared" si="3"/>
        <v>Rentable. Point mort 65,0 étudiants, marge de sécurité 14%.</v>
      </c>
      <c r="W54" s="186"/>
      <c r="X54" s="186"/>
      <c r="Y54" s="186"/>
      <c r="Z54" s="186"/>
      <c r="AA54" s="186"/>
      <c r="AB54" s="186"/>
      <c r="AC54" s="186"/>
      <c r="AD54" s="186"/>
      <c r="AE54" s="186"/>
    </row>
    <row r="55" spans="2:31" x14ac:dyDescent="0.45">
      <c r="B55" s="183"/>
      <c r="C55" s="191" t="s">
        <v>154</v>
      </c>
      <c r="D55" s="191" t="s">
        <v>179</v>
      </c>
      <c r="E55" s="191" t="s">
        <v>171</v>
      </c>
      <c r="F55" s="191" t="s">
        <v>157</v>
      </c>
      <c r="G55" s="191" t="s">
        <v>151</v>
      </c>
      <c r="H55" s="190">
        <v>86.701859999999996</v>
      </c>
      <c r="I55" s="190">
        <v>3</v>
      </c>
      <c r="J55" s="190">
        <v>738633.26017200004</v>
      </c>
      <c r="K55" s="190">
        <v>101709.488322</v>
      </c>
      <c r="L55" s="190">
        <v>636923.77185000002</v>
      </c>
      <c r="M55" s="190">
        <v>436373.74715100002</v>
      </c>
      <c r="N55" s="190">
        <v>538083.23547299998</v>
      </c>
      <c r="O55" s="190">
        <v>200550.024699</v>
      </c>
      <c r="P55" s="190">
        <v>60</v>
      </c>
      <c r="Q55" s="190">
        <v>0.31487300000000001</v>
      </c>
      <c r="R55" s="191" t="s">
        <v>152</v>
      </c>
      <c r="S55" s="180">
        <f t="shared" si="0"/>
        <v>436373.74715100002</v>
      </c>
      <c r="T55" s="181">
        <f t="shared" si="1"/>
        <v>200550.024699</v>
      </c>
      <c r="U55" s="180">
        <f t="shared" si="2"/>
        <v>0</v>
      </c>
      <c r="V55" s="182" t="str">
        <f t="shared" si="3"/>
        <v>Rentable. Point mort 60,0 étudiants, marge de sécurité 31%.</v>
      </c>
      <c r="W55" s="186"/>
      <c r="X55" s="186"/>
      <c r="Y55" s="186"/>
      <c r="Z55" s="186"/>
      <c r="AA55" s="186"/>
      <c r="AB55" s="186"/>
      <c r="AC55" s="186"/>
      <c r="AD55" s="186"/>
      <c r="AE55" s="186"/>
    </row>
    <row r="56" spans="2:31" x14ac:dyDescent="0.45">
      <c r="B56" s="183"/>
      <c r="C56" s="191" t="s">
        <v>154</v>
      </c>
      <c r="D56" s="191" t="s">
        <v>179</v>
      </c>
      <c r="E56" s="191" t="s">
        <v>171</v>
      </c>
      <c r="F56" s="191" t="s">
        <v>162</v>
      </c>
      <c r="G56" s="191" t="s">
        <v>151</v>
      </c>
      <c r="H56" s="190">
        <v>76.39</v>
      </c>
      <c r="I56" s="190">
        <v>3</v>
      </c>
      <c r="J56" s="190">
        <v>643909.03248000005</v>
      </c>
      <c r="K56" s="190">
        <v>60665.278156</v>
      </c>
      <c r="L56" s="190">
        <v>583243.75432399998</v>
      </c>
      <c r="M56" s="190">
        <v>436373.74715100002</v>
      </c>
      <c r="N56" s="190">
        <v>497039.02530699997</v>
      </c>
      <c r="O56" s="190">
        <v>146870.00717299999</v>
      </c>
      <c r="P56" s="190">
        <v>58</v>
      </c>
      <c r="Q56" s="190">
        <v>0.25181599999999998</v>
      </c>
      <c r="R56" s="191" t="s">
        <v>149</v>
      </c>
      <c r="S56" s="180">
        <f t="shared" si="0"/>
        <v>436373.74715100002</v>
      </c>
      <c r="T56" s="181">
        <f t="shared" si="1"/>
        <v>146870.00717300008</v>
      </c>
      <c r="U56" s="180">
        <f t="shared" si="2"/>
        <v>0</v>
      </c>
      <c r="V56" s="182" t="str">
        <f t="shared" si="3"/>
        <v>Rentable. Point mort 58,0 étudiants, marge de sécurité 25%.</v>
      </c>
      <c r="W56" s="186"/>
      <c r="X56" s="186"/>
      <c r="Y56" s="186"/>
      <c r="Z56" s="186"/>
      <c r="AA56" s="186"/>
      <c r="AB56" s="186"/>
      <c r="AC56" s="186"/>
      <c r="AD56" s="186"/>
      <c r="AE56" s="186"/>
    </row>
    <row r="57" spans="2:31" x14ac:dyDescent="0.45">
      <c r="B57" s="187"/>
      <c r="C57" s="191" t="s">
        <v>175</v>
      </c>
      <c r="D57" s="191" t="s">
        <v>158</v>
      </c>
      <c r="E57" s="191" t="s">
        <v>177</v>
      </c>
      <c r="F57" s="191" t="s">
        <v>176</v>
      </c>
      <c r="G57" s="191" t="s">
        <v>151</v>
      </c>
      <c r="H57" s="190">
        <v>40.090820000000001</v>
      </c>
      <c r="I57" s="190">
        <v>2</v>
      </c>
      <c r="J57" s="190">
        <v>237545.73377399999</v>
      </c>
      <c r="K57" s="190">
        <v>48181.358397000004</v>
      </c>
      <c r="L57" s="190">
        <v>189364.37537699999</v>
      </c>
      <c r="M57" s="190">
        <v>161601.85762600001</v>
      </c>
      <c r="N57" s="190">
        <v>209783.21602299999</v>
      </c>
      <c r="O57" s="190">
        <v>27762.517750999999</v>
      </c>
      <c r="P57" s="190">
        <v>35</v>
      </c>
      <c r="Q57" s="190">
        <v>0.14660899999999999</v>
      </c>
      <c r="R57" s="191" t="s">
        <v>152</v>
      </c>
      <c r="S57" s="180">
        <f t="shared" si="0"/>
        <v>161601.85762600001</v>
      </c>
      <c r="T57" s="181">
        <f t="shared" si="1"/>
        <v>27762.517750999978</v>
      </c>
      <c r="U57" s="180">
        <f t="shared" si="2"/>
        <v>0</v>
      </c>
      <c r="V57" s="182" t="str">
        <f t="shared" si="3"/>
        <v>Rentable. Point mort 35,0 étudiants, marge de sécurité 15%.</v>
      </c>
      <c r="W57" s="186"/>
      <c r="X57" s="186"/>
      <c r="Y57" s="186"/>
      <c r="Z57" s="186"/>
      <c r="AA57" s="186"/>
      <c r="AB57" s="186"/>
      <c r="AC57" s="186"/>
      <c r="AD57" s="186"/>
      <c r="AE57" s="186"/>
    </row>
    <row r="58" spans="2:31" x14ac:dyDescent="0.45">
      <c r="B58" s="187"/>
      <c r="C58" s="191" t="s">
        <v>175</v>
      </c>
      <c r="D58" s="191" t="s">
        <v>158</v>
      </c>
      <c r="E58" s="191" t="s">
        <v>177</v>
      </c>
      <c r="F58" s="191" t="s">
        <v>159</v>
      </c>
      <c r="G58" s="191" t="s">
        <v>151</v>
      </c>
      <c r="H58" s="190">
        <v>35.18</v>
      </c>
      <c r="I58" s="190">
        <v>2</v>
      </c>
      <c r="J58" s="190">
        <v>205281.991236</v>
      </c>
      <c r="K58" s="190">
        <v>34872.264814000002</v>
      </c>
      <c r="L58" s="190">
        <v>170409.72642200001</v>
      </c>
      <c r="M58" s="190">
        <v>161601.85762600001</v>
      </c>
      <c r="N58" s="190">
        <v>196474.12244000001</v>
      </c>
      <c r="O58" s="190">
        <v>8807.8687960000007</v>
      </c>
      <c r="P58" s="190">
        <v>34</v>
      </c>
      <c r="Q58" s="190">
        <v>5.1686999999999997E-2</v>
      </c>
      <c r="R58" s="191" t="s">
        <v>149</v>
      </c>
      <c r="S58" s="180">
        <f t="shared" si="0"/>
        <v>161601.85762600001</v>
      </c>
      <c r="T58" s="181">
        <f t="shared" si="1"/>
        <v>8807.8687959999952</v>
      </c>
      <c r="U58" s="180">
        <f t="shared" si="2"/>
        <v>0</v>
      </c>
      <c r="V58" s="182" t="str">
        <f t="shared" si="3"/>
        <v>Rentable. Point mort 34,0 étudiants, marge de sécurité 5%.</v>
      </c>
      <c r="W58" s="186"/>
      <c r="X58" s="186"/>
      <c r="Y58" s="186"/>
      <c r="Z58" s="186"/>
      <c r="AA58" s="186"/>
      <c r="AB58" s="186"/>
      <c r="AC58" s="186"/>
      <c r="AD58" s="186"/>
      <c r="AE58" s="186"/>
    </row>
    <row r="59" spans="2:31" x14ac:dyDescent="0.45">
      <c r="B59" s="187"/>
      <c r="C59" s="191" t="s">
        <v>175</v>
      </c>
      <c r="D59" s="191" t="s">
        <v>158</v>
      </c>
      <c r="E59" s="191" t="s">
        <v>173</v>
      </c>
      <c r="F59" s="191" t="s">
        <v>156</v>
      </c>
      <c r="G59" s="191" t="s">
        <v>151</v>
      </c>
      <c r="H59" s="190">
        <v>40.090820000000001</v>
      </c>
      <c r="I59" s="190">
        <v>2</v>
      </c>
      <c r="J59" s="190">
        <v>276535.32710300002</v>
      </c>
      <c r="K59" s="190">
        <v>40477.971331000001</v>
      </c>
      <c r="L59" s="190">
        <v>236057.35577200001</v>
      </c>
      <c r="M59" s="190">
        <v>146510.45522900001</v>
      </c>
      <c r="N59" s="190">
        <v>186988.42655999999</v>
      </c>
      <c r="O59" s="190">
        <v>89546.900542999996</v>
      </c>
      <c r="P59" s="190">
        <v>25</v>
      </c>
      <c r="Q59" s="190">
        <v>0.37934400000000001</v>
      </c>
      <c r="R59" s="191" t="s">
        <v>152</v>
      </c>
      <c r="S59" s="180">
        <f t="shared" si="0"/>
        <v>146510.45522900001</v>
      </c>
      <c r="T59" s="181">
        <f t="shared" si="1"/>
        <v>89546.900542999996</v>
      </c>
      <c r="U59" s="180">
        <f t="shared" si="2"/>
        <v>0</v>
      </c>
      <c r="V59" s="182" t="str">
        <f t="shared" si="3"/>
        <v>Rentable. Point mort 25,0 étudiants, marge de sécurité 38%.</v>
      </c>
      <c r="W59" s="186"/>
      <c r="X59" s="186"/>
      <c r="Y59" s="186"/>
      <c r="Z59" s="186"/>
      <c r="AA59" s="186"/>
      <c r="AB59" s="186"/>
      <c r="AC59" s="186"/>
      <c r="AD59" s="186"/>
      <c r="AE59" s="186"/>
    </row>
    <row r="60" spans="2:31" x14ac:dyDescent="0.45">
      <c r="B60" s="187"/>
      <c r="C60" s="191" t="s">
        <v>175</v>
      </c>
      <c r="D60" s="191" t="s">
        <v>158</v>
      </c>
      <c r="E60" s="191" t="s">
        <v>173</v>
      </c>
      <c r="F60" s="191" t="s">
        <v>169</v>
      </c>
      <c r="G60" s="191" t="s">
        <v>151</v>
      </c>
      <c r="H60" s="190">
        <v>35.18</v>
      </c>
      <c r="I60" s="190">
        <v>2</v>
      </c>
      <c r="J60" s="190">
        <v>239495.65644200001</v>
      </c>
      <c r="K60" s="190">
        <v>27168.877747999999</v>
      </c>
      <c r="L60" s="190">
        <v>212326.77869400001</v>
      </c>
      <c r="M60" s="190">
        <v>146510.45522900001</v>
      </c>
      <c r="N60" s="190">
        <v>173679.33297700001</v>
      </c>
      <c r="O60" s="190">
        <v>65816.323464999994</v>
      </c>
      <c r="P60" s="190">
        <v>25</v>
      </c>
      <c r="Q60" s="190">
        <v>0.309977</v>
      </c>
      <c r="R60" s="191" t="s">
        <v>149</v>
      </c>
      <c r="S60" s="180">
        <f t="shared" si="0"/>
        <v>146510.45522900001</v>
      </c>
      <c r="T60" s="181">
        <f t="shared" si="1"/>
        <v>65816.323464999994</v>
      </c>
      <c r="U60" s="180">
        <f t="shared" si="2"/>
        <v>0</v>
      </c>
      <c r="V60" s="182" t="str">
        <f t="shared" si="3"/>
        <v>Rentable. Point mort 25,0 étudiants, marge de sécurité 31%.</v>
      </c>
    </row>
    <row r="61" spans="2:31" x14ac:dyDescent="0.45">
      <c r="B61" s="187"/>
      <c r="C61" s="191" t="s">
        <v>175</v>
      </c>
      <c r="D61" s="191" t="s">
        <v>158</v>
      </c>
      <c r="E61" s="191" t="s">
        <v>173</v>
      </c>
      <c r="F61" s="191" t="s">
        <v>166</v>
      </c>
      <c r="G61" s="191" t="s">
        <v>151</v>
      </c>
      <c r="H61" s="190">
        <v>34.174999999999997</v>
      </c>
      <c r="I61" s="190">
        <v>2</v>
      </c>
      <c r="J61" s="190">
        <v>232653.89593299999</v>
      </c>
      <c r="K61" s="190">
        <v>26872.922272</v>
      </c>
      <c r="L61" s="190">
        <v>205780.973661</v>
      </c>
      <c r="M61" s="190">
        <v>146510.45522900001</v>
      </c>
      <c r="N61" s="190">
        <v>173383.37750100001</v>
      </c>
      <c r="O61" s="190">
        <v>59270.518431999997</v>
      </c>
      <c r="P61" s="190">
        <v>25</v>
      </c>
      <c r="Q61" s="190">
        <v>0.28802800000000001</v>
      </c>
      <c r="R61" s="191" t="s">
        <v>149</v>
      </c>
      <c r="S61" s="180">
        <f t="shared" si="0"/>
        <v>146510.45522900001</v>
      </c>
      <c r="T61" s="181">
        <f t="shared" si="1"/>
        <v>59270.518431999983</v>
      </c>
      <c r="U61" s="180">
        <f t="shared" si="2"/>
        <v>0</v>
      </c>
      <c r="V61" s="182" t="str">
        <f t="shared" si="3"/>
        <v>Rentable. Point mort 25,0 étudiants, marge de sécurité 29%.</v>
      </c>
    </row>
    <row r="62" spans="2:31" x14ac:dyDescent="0.45">
      <c r="B62" s="187"/>
      <c r="C62" s="191" t="s">
        <v>175</v>
      </c>
      <c r="D62" s="191" t="s">
        <v>167</v>
      </c>
      <c r="E62" s="191" t="s">
        <v>173</v>
      </c>
      <c r="F62" s="191" t="s">
        <v>166</v>
      </c>
      <c r="G62" s="191" t="s">
        <v>151</v>
      </c>
      <c r="H62" s="190">
        <v>44.225000000000001</v>
      </c>
      <c r="I62" s="190">
        <v>2</v>
      </c>
      <c r="J62" s="190">
        <v>325902.140288</v>
      </c>
      <c r="K62" s="190">
        <v>29821.975709999999</v>
      </c>
      <c r="L62" s="190">
        <v>296080.16457800003</v>
      </c>
      <c r="M62" s="190">
        <v>208315.56480200001</v>
      </c>
      <c r="N62" s="190">
        <v>238137.54051200001</v>
      </c>
      <c r="O62" s="190">
        <v>87764.599776000003</v>
      </c>
      <c r="P62" s="190">
        <v>32</v>
      </c>
      <c r="Q62" s="190">
        <v>0.29642200000000002</v>
      </c>
      <c r="R62" s="191" t="s">
        <v>149</v>
      </c>
      <c r="S62" s="180">
        <f t="shared" si="0"/>
        <v>208315.56480200001</v>
      </c>
      <c r="T62" s="181">
        <f t="shared" si="1"/>
        <v>87764.599775999959</v>
      </c>
      <c r="U62" s="180">
        <f t="shared" si="2"/>
        <v>0</v>
      </c>
      <c r="V62" s="182" t="str">
        <f t="shared" si="3"/>
        <v>Rentable. Point mort 32,0 étudiants, marge de sécurité 30%.</v>
      </c>
    </row>
    <row r="63" spans="2:31" x14ac:dyDescent="0.45">
      <c r="B63" s="187"/>
      <c r="C63" s="191" t="s">
        <v>175</v>
      </c>
      <c r="D63" s="191" t="s">
        <v>167</v>
      </c>
      <c r="E63" s="191" t="s">
        <v>173</v>
      </c>
      <c r="F63" s="191" t="s">
        <v>169</v>
      </c>
      <c r="G63" s="191" t="s">
        <v>151</v>
      </c>
      <c r="H63" s="190">
        <v>45.23</v>
      </c>
      <c r="I63" s="190">
        <v>2</v>
      </c>
      <c r="J63" s="190">
        <v>333308.16970500001</v>
      </c>
      <c r="K63" s="190">
        <v>30117.76439</v>
      </c>
      <c r="L63" s="190">
        <v>303190.40531499998</v>
      </c>
      <c r="M63" s="190">
        <v>208315.56480200001</v>
      </c>
      <c r="N63" s="190">
        <v>238433.329192</v>
      </c>
      <c r="O63" s="190">
        <v>94874.840513000003</v>
      </c>
      <c r="P63" s="190">
        <v>32</v>
      </c>
      <c r="Q63" s="190">
        <v>0.31292199999999998</v>
      </c>
      <c r="R63" s="191" t="s">
        <v>149</v>
      </c>
      <c r="S63" s="180">
        <f t="shared" si="0"/>
        <v>208315.56480200001</v>
      </c>
      <c r="T63" s="181">
        <f t="shared" si="1"/>
        <v>94874.840512999974</v>
      </c>
      <c r="U63" s="180">
        <f t="shared" si="2"/>
        <v>0</v>
      </c>
      <c r="V63" s="182" t="str">
        <f t="shared" si="3"/>
        <v>Rentable. Point mort 32,0 étudiants, marge de sécurité 31%.</v>
      </c>
    </row>
    <row r="64" spans="2:31" x14ac:dyDescent="0.45">
      <c r="B64" s="187"/>
      <c r="C64" s="191" t="s">
        <v>175</v>
      </c>
      <c r="D64" s="191" t="s">
        <v>167</v>
      </c>
      <c r="E64" s="191" t="s">
        <v>177</v>
      </c>
      <c r="F64" s="191" t="s">
        <v>176</v>
      </c>
      <c r="G64" s="191" t="s">
        <v>151</v>
      </c>
      <c r="H64" s="190">
        <v>51.131265999999997</v>
      </c>
      <c r="I64" s="190">
        <v>2</v>
      </c>
      <c r="J64" s="190">
        <v>327569.54114699998</v>
      </c>
      <c r="K64" s="190">
        <v>59328.221999000001</v>
      </c>
      <c r="L64" s="190">
        <v>268241.31914799998</v>
      </c>
      <c r="M64" s="190">
        <v>228242.02259000001</v>
      </c>
      <c r="N64" s="190">
        <v>287570.24458900001</v>
      </c>
      <c r="O64" s="190">
        <v>39999.296558000002</v>
      </c>
      <c r="P64" s="190">
        <v>44</v>
      </c>
      <c r="Q64" s="190">
        <v>0.149117</v>
      </c>
      <c r="R64" s="191" t="s">
        <v>152</v>
      </c>
      <c r="S64" s="180">
        <f t="shared" si="0"/>
        <v>228242.02259000001</v>
      </c>
      <c r="T64" s="181">
        <f t="shared" si="1"/>
        <v>39999.296557999973</v>
      </c>
      <c r="U64" s="180">
        <f t="shared" si="2"/>
        <v>0</v>
      </c>
      <c r="V64" s="182" t="str">
        <f t="shared" si="3"/>
        <v>Rentable. Point mort 44,0 étudiants, marge de sécurité 15%.</v>
      </c>
    </row>
    <row r="65" spans="2:22" x14ac:dyDescent="0.45">
      <c r="B65" s="187"/>
      <c r="C65" s="191" t="s">
        <v>175</v>
      </c>
      <c r="D65" s="191" t="s">
        <v>167</v>
      </c>
      <c r="E65" s="191" t="s">
        <v>177</v>
      </c>
      <c r="F65" s="191" t="s">
        <v>159</v>
      </c>
      <c r="G65" s="191" t="s">
        <v>151</v>
      </c>
      <c r="H65" s="190">
        <v>45.23</v>
      </c>
      <c r="I65" s="190">
        <v>2</v>
      </c>
      <c r="J65" s="190">
        <v>285692.71688999998</v>
      </c>
      <c r="K65" s="190">
        <v>37821.151456</v>
      </c>
      <c r="L65" s="190">
        <v>247871.56543399999</v>
      </c>
      <c r="M65" s="190">
        <v>228242.02259000001</v>
      </c>
      <c r="N65" s="190">
        <v>266063.174046</v>
      </c>
      <c r="O65" s="190">
        <v>19629.542844</v>
      </c>
      <c r="P65" s="190">
        <v>42</v>
      </c>
      <c r="Q65" s="190">
        <v>7.9193E-2</v>
      </c>
      <c r="R65" s="191" t="s">
        <v>149</v>
      </c>
      <c r="S65" s="180">
        <f t="shared" si="0"/>
        <v>228242.02259000001</v>
      </c>
      <c r="T65" s="181">
        <f t="shared" si="1"/>
        <v>19629.542843999981</v>
      </c>
      <c r="U65" s="180">
        <f t="shared" si="2"/>
        <v>0</v>
      </c>
      <c r="V65" s="182" t="str">
        <f t="shared" si="3"/>
        <v>Rentable. Point mort 42,0 étudiants, marge de sécurité 8%.</v>
      </c>
    </row>
    <row r="66" spans="2:22" x14ac:dyDescent="0.45">
      <c r="B66" s="187"/>
      <c r="C66" s="191" t="s">
        <v>175</v>
      </c>
      <c r="D66" s="191" t="s">
        <v>167</v>
      </c>
      <c r="E66" s="191" t="s">
        <v>173</v>
      </c>
      <c r="F66" s="191" t="s">
        <v>156</v>
      </c>
      <c r="G66" s="191" t="s">
        <v>151</v>
      </c>
      <c r="H66" s="190">
        <v>51.131265999999997</v>
      </c>
      <c r="I66" s="190">
        <v>2</v>
      </c>
      <c r="J66" s="190">
        <v>381397.495681</v>
      </c>
      <c r="K66" s="190">
        <v>51624.834932999998</v>
      </c>
      <c r="L66" s="190">
        <v>329772.66074800002</v>
      </c>
      <c r="M66" s="190">
        <v>208315.56480200001</v>
      </c>
      <c r="N66" s="190">
        <v>259940.39973500001</v>
      </c>
      <c r="O66" s="190">
        <v>121457.095946</v>
      </c>
      <c r="P66" s="190">
        <v>33</v>
      </c>
      <c r="Q66" s="190">
        <v>0.36830600000000002</v>
      </c>
      <c r="R66" s="191" t="s">
        <v>152</v>
      </c>
      <c r="S66" s="180">
        <f t="shared" si="0"/>
        <v>208315.56480200001</v>
      </c>
      <c r="T66" s="181">
        <f t="shared" si="1"/>
        <v>121457.09594600002</v>
      </c>
      <c r="U66" s="180">
        <f t="shared" si="2"/>
        <v>0</v>
      </c>
      <c r="V66" s="182" t="str">
        <f t="shared" si="3"/>
        <v>Rentable. Point mort 33,0 étudiants, marge de sécurité 37%.</v>
      </c>
    </row>
    <row r="67" spans="2:22" x14ac:dyDescent="0.45">
      <c r="B67" s="187"/>
      <c r="C67" s="191" t="s">
        <v>172</v>
      </c>
      <c r="D67" s="191" t="s">
        <v>167</v>
      </c>
      <c r="E67" s="191" t="s">
        <v>170</v>
      </c>
      <c r="F67" s="191" t="s">
        <v>156</v>
      </c>
      <c r="G67" s="191" t="s">
        <v>151</v>
      </c>
      <c r="H67" s="190">
        <v>44.464880999999998</v>
      </c>
      <c r="I67" s="190">
        <v>2</v>
      </c>
      <c r="J67" s="190">
        <v>331813.87202499999</v>
      </c>
      <c r="K67" s="190">
        <v>61575.362713000002</v>
      </c>
      <c r="L67" s="190">
        <v>270238.50931200001</v>
      </c>
      <c r="M67" s="190">
        <v>242508.271652</v>
      </c>
      <c r="N67" s="190">
        <v>304083.63436500001</v>
      </c>
      <c r="O67" s="190">
        <v>27730.237659999999</v>
      </c>
      <c r="P67" s="190">
        <v>40</v>
      </c>
      <c r="Q67" s="190">
        <v>0.102614</v>
      </c>
      <c r="R67" s="191" t="s">
        <v>152</v>
      </c>
      <c r="S67" s="180">
        <f t="shared" si="0"/>
        <v>242508.271652</v>
      </c>
      <c r="T67" s="181">
        <f t="shared" si="1"/>
        <v>27730.237660000013</v>
      </c>
      <c r="U67" s="180">
        <f t="shared" si="2"/>
        <v>0</v>
      </c>
      <c r="V67" s="182" t="str">
        <f t="shared" si="3"/>
        <v>Rentable. Point mort 40,0 étudiants, marge de sécurité 10%.</v>
      </c>
    </row>
    <row r="68" spans="2:22" x14ac:dyDescent="0.45">
      <c r="B68" s="187"/>
      <c r="C68" s="191" t="s">
        <v>172</v>
      </c>
      <c r="D68" s="191" t="s">
        <v>167</v>
      </c>
      <c r="E68" s="191" t="s">
        <v>170</v>
      </c>
      <c r="F68" s="191" t="s">
        <v>169</v>
      </c>
      <c r="G68" s="191" t="s">
        <v>151</v>
      </c>
      <c r="H68" s="190">
        <v>39.200000000000003</v>
      </c>
      <c r="I68" s="190">
        <v>2</v>
      </c>
      <c r="J68" s="190">
        <v>288997.32539999997</v>
      </c>
      <c r="K68" s="190">
        <v>39280.701438999997</v>
      </c>
      <c r="L68" s="190">
        <v>249716.623961</v>
      </c>
      <c r="M68" s="190">
        <v>242508.271652</v>
      </c>
      <c r="N68" s="190">
        <v>281788.97309099999</v>
      </c>
      <c r="O68" s="190">
        <v>7208.3523089999999</v>
      </c>
      <c r="P68" s="190">
        <v>39</v>
      </c>
      <c r="Q68" s="190">
        <v>2.8867E-2</v>
      </c>
      <c r="R68" s="191" t="s">
        <v>149</v>
      </c>
      <c r="S68" s="180">
        <f t="shared" si="0"/>
        <v>242508.271652</v>
      </c>
      <c r="T68" s="181">
        <f t="shared" si="1"/>
        <v>7208.3523089999799</v>
      </c>
      <c r="U68" s="180">
        <f t="shared" si="2"/>
        <v>0</v>
      </c>
      <c r="V68" s="182" t="str">
        <f t="shared" si="3"/>
        <v>Rentable. Point mort 39,0 étudiants, marge de sécurité 3%.</v>
      </c>
    </row>
    <row r="69" spans="2:22" x14ac:dyDescent="0.45">
      <c r="B69" s="187"/>
      <c r="C69" s="191" t="s">
        <v>172</v>
      </c>
      <c r="D69" s="191" t="s">
        <v>167</v>
      </c>
      <c r="E69" s="191" t="s">
        <v>170</v>
      </c>
      <c r="F69" s="191" t="s">
        <v>166</v>
      </c>
      <c r="G69" s="191" t="s">
        <v>151</v>
      </c>
      <c r="H69" s="190">
        <v>38.195</v>
      </c>
      <c r="I69" s="190">
        <v>2</v>
      </c>
      <c r="J69" s="190">
        <v>281588.08274599997</v>
      </c>
      <c r="K69" s="190">
        <v>38911.030207999996</v>
      </c>
      <c r="L69" s="190">
        <v>242677.05253799999</v>
      </c>
      <c r="M69" s="190">
        <v>242508.271652</v>
      </c>
      <c r="N69" s="190">
        <v>281419.30186000001</v>
      </c>
      <c r="O69" s="190">
        <v>168.78088600000001</v>
      </c>
      <c r="P69" s="190">
        <v>39</v>
      </c>
      <c r="Q69" s="190">
        <v>6.96E-4</v>
      </c>
      <c r="R69" s="191" t="s">
        <v>149</v>
      </c>
      <c r="S69" s="180">
        <f t="shared" si="0"/>
        <v>242508.271652</v>
      </c>
      <c r="T69" s="181">
        <f t="shared" si="1"/>
        <v>168.78088599999319</v>
      </c>
      <c r="U69" s="180">
        <f t="shared" si="2"/>
        <v>0</v>
      </c>
      <c r="V69" s="182" t="str">
        <f t="shared" si="3"/>
        <v>Rentable. Point mort 39,0 étudiants, marge de sécurité 0%.</v>
      </c>
    </row>
    <row r="70" spans="2:22" x14ac:dyDescent="0.45">
      <c r="B70" s="187"/>
      <c r="C70" s="191" t="s">
        <v>172</v>
      </c>
      <c r="D70" s="191" t="s">
        <v>179</v>
      </c>
      <c r="E70" s="191" t="s">
        <v>170</v>
      </c>
      <c r="F70" s="191" t="s">
        <v>156</v>
      </c>
      <c r="G70" s="191" t="s">
        <v>151</v>
      </c>
      <c r="H70" s="190">
        <v>52.095305000000003</v>
      </c>
      <c r="I70" s="190">
        <v>2</v>
      </c>
      <c r="J70" s="190">
        <v>414359.42944699997</v>
      </c>
      <c r="K70" s="190">
        <v>76706.249695000006</v>
      </c>
      <c r="L70" s="190">
        <v>337653.17975200003</v>
      </c>
      <c r="M70" s="190">
        <v>307967.04776500002</v>
      </c>
      <c r="N70" s="190">
        <v>384673.29745999997</v>
      </c>
      <c r="O70" s="190">
        <v>29686.131987000001</v>
      </c>
      <c r="P70" s="190">
        <v>48</v>
      </c>
      <c r="Q70" s="190">
        <v>8.7919999999999998E-2</v>
      </c>
      <c r="R70" s="191" t="s">
        <v>152</v>
      </c>
      <c r="S70" s="180">
        <f t="shared" si="0"/>
        <v>307967.04776500002</v>
      </c>
      <c r="T70" s="181">
        <f t="shared" si="1"/>
        <v>29686.131986999942</v>
      </c>
      <c r="U70" s="180">
        <f t="shared" si="2"/>
        <v>0</v>
      </c>
      <c r="V70" s="182" t="str">
        <f t="shared" si="3"/>
        <v>Rentable. Point mort 48,0 étudiants, marge de sécurité 9%.</v>
      </c>
    </row>
    <row r="71" spans="2:22" x14ac:dyDescent="0.45">
      <c r="B71" s="187"/>
      <c r="C71" s="191" t="s">
        <v>172</v>
      </c>
      <c r="D71" s="191" t="s">
        <v>179</v>
      </c>
      <c r="E71" s="191" t="s">
        <v>170</v>
      </c>
      <c r="F71" s="191" t="s">
        <v>169</v>
      </c>
      <c r="G71" s="191" t="s">
        <v>151</v>
      </c>
      <c r="H71" s="190">
        <v>46.234999999999999</v>
      </c>
      <c r="I71" s="190">
        <v>2</v>
      </c>
      <c r="J71" s="190">
        <v>363586.15890799998</v>
      </c>
      <c r="K71" s="190">
        <v>41888.824590999997</v>
      </c>
      <c r="L71" s="190">
        <v>321697.334317</v>
      </c>
      <c r="M71" s="190">
        <v>307967.04776500002</v>
      </c>
      <c r="N71" s="190">
        <v>349855.87235600001</v>
      </c>
      <c r="O71" s="190">
        <v>13730.286552</v>
      </c>
      <c r="P71" s="190">
        <v>45</v>
      </c>
      <c r="Q71" s="190">
        <v>4.2680999999999997E-2</v>
      </c>
      <c r="R71" s="191" t="s">
        <v>149</v>
      </c>
      <c r="S71" s="180">
        <f t="shared" si="0"/>
        <v>307967.04776500002</v>
      </c>
      <c r="T71" s="181">
        <f t="shared" si="1"/>
        <v>13730.286551999976</v>
      </c>
      <c r="U71" s="180">
        <f t="shared" si="2"/>
        <v>0</v>
      </c>
      <c r="V71" s="182" t="str">
        <f t="shared" si="3"/>
        <v>Rentable. Point mort 45,0 étudiants, marge de sécurité 4%.</v>
      </c>
    </row>
    <row r="72" spans="2:22" x14ac:dyDescent="0.45">
      <c r="B72" s="187"/>
      <c r="C72" s="191" t="s">
        <v>172</v>
      </c>
      <c r="D72" s="191" t="s">
        <v>179</v>
      </c>
      <c r="E72" s="191" t="s">
        <v>170</v>
      </c>
      <c r="F72" s="191" t="s">
        <v>166</v>
      </c>
      <c r="G72" s="191" t="s">
        <v>151</v>
      </c>
      <c r="H72" s="190">
        <v>45.23</v>
      </c>
      <c r="I72" s="190">
        <v>2</v>
      </c>
      <c r="J72" s="190">
        <v>355682.96674399998</v>
      </c>
      <c r="K72" s="190">
        <v>41518.731360999998</v>
      </c>
      <c r="L72" s="190">
        <v>314164.23538299999</v>
      </c>
      <c r="M72" s="190">
        <v>307967.04776500002</v>
      </c>
      <c r="N72" s="190">
        <v>349485.77912600001</v>
      </c>
      <c r="O72" s="190">
        <v>6197.1876179999999</v>
      </c>
      <c r="P72" s="190">
        <v>45</v>
      </c>
      <c r="Q72" s="190">
        <v>1.9726E-2</v>
      </c>
      <c r="R72" s="191" t="s">
        <v>149</v>
      </c>
      <c r="S72" s="180">
        <f t="shared" si="0"/>
        <v>307967.04776500002</v>
      </c>
      <c r="T72" s="181">
        <f t="shared" si="1"/>
        <v>6197.1876179999672</v>
      </c>
      <c r="U72" s="180">
        <f t="shared" si="2"/>
        <v>0</v>
      </c>
      <c r="V72" s="182" t="str">
        <f t="shared" si="3"/>
        <v>Rentable. Point mort 45,0 étudiants, marge de sécurité 2%.</v>
      </c>
    </row>
    <row r="73" spans="2:22" x14ac:dyDescent="0.45">
      <c r="B73" s="187"/>
      <c r="C73" s="188"/>
      <c r="D73" s="189"/>
      <c r="E73" s="189"/>
      <c r="F73" s="2"/>
      <c r="G73" s="184"/>
      <c r="H73" s="2"/>
      <c r="I73" s="184"/>
      <c r="J73" s="3"/>
      <c r="K73" s="3"/>
      <c r="L73" s="185"/>
      <c r="M73" s="2"/>
      <c r="N73" s="3"/>
      <c r="O73" s="3"/>
      <c r="P73" s="2"/>
      <c r="Q73" s="2"/>
      <c r="R73" s="2"/>
    </row>
    <row r="74" spans="2:22">
      <c r="C74" s="192" t="inlineStr">
        <is>
          <t>Part du siège dans la structure allouée</t>
        </is>
      </c>
      <c r="I74" s="193">
        <v>0.22</v>
      </c>
      <c r="J74" s="192" t="inlineStr">
        <is>
          <t>&lt;- elle se réalloue sur TOUT le groupe. Le reste, murs et permanents, ne sort pas du campus.</t>
        </is>
      </c>
    </row>
    <row r="75" spans="2:22">
      <c r="C75" s="192" t="inlineStr">
        <is>
          <t>Contrôle d'enveloppe — doit rester à 0 €</t>
        </is>
      </c>
      <c r="S75" s="194">
        <f>SUMPRODUCT(($R$13:$R$72&lt;&gt;"Fermer")*1,$S$13:$S$72)-SUM($M$13:$M$72)</f>
      </c>
    </row>
    <row r="76" spans="2:22" x14ac:dyDescent="0.45">
      <c r="B76" s="187"/>
      <c r="C76" s="188"/>
      <c r="D76" s="189"/>
      <c r="E76" s="189"/>
      <c r="F76" s="2"/>
      <c r="G76" s="184"/>
      <c r="H76" s="2"/>
      <c r="I76" s="184"/>
      <c r="J76" s="3"/>
      <c r="K76" s="3"/>
      <c r="L76" s="185"/>
      <c r="M76" s="2"/>
      <c r="N76" s="3"/>
      <c r="O76" s="3"/>
      <c r="P76" s="2"/>
      <c r="Q76" s="2"/>
      <c r="R76" s="2"/>
    </row>
    <row r="77" spans="2:22" x14ac:dyDescent="0.45">
      <c r="B77" s="187"/>
      <c r="C77" s="188"/>
      <c r="D77" s="189"/>
      <c r="E77" s="189"/>
      <c r="F77" s="2"/>
      <c r="G77" s="184"/>
      <c r="H77" s="2"/>
      <c r="I77" s="184"/>
      <c r="J77" s="3"/>
      <c r="K77" s="3"/>
      <c r="L77" s="185"/>
      <c r="M77" s="2"/>
      <c r="N77" s="3"/>
      <c r="O77" s="3"/>
      <c r="P77" s="2"/>
      <c r="Q77" s="2"/>
      <c r="R77" s="2"/>
    </row>
    <row r="78" spans="2:22" x14ac:dyDescent="0.45">
      <c r="B78" s="187"/>
      <c r="C78" s="188"/>
      <c r="D78" s="189"/>
      <c r="E78" s="189"/>
      <c r="F78" s="2"/>
      <c r="G78" s="184"/>
      <c r="H78" s="2"/>
      <c r="I78" s="184"/>
      <c r="J78" s="3"/>
      <c r="K78" s="3"/>
      <c r="L78" s="185"/>
      <c r="M78" s="2"/>
      <c r="N78" s="3"/>
      <c r="O78" s="3"/>
      <c r="P78" s="2"/>
      <c r="Q78" s="2"/>
      <c r="R78" s="2"/>
    </row>
    <row r="79" spans="2:22" x14ac:dyDescent="0.45">
      <c r="B79" s="187"/>
      <c r="C79" s="188"/>
      <c r="D79" s="189"/>
      <c r="E79" s="189"/>
      <c r="F79" s="2"/>
      <c r="G79" s="184"/>
      <c r="H79" s="2"/>
      <c r="I79" s="184"/>
      <c r="J79" s="3"/>
      <c r="K79" s="3"/>
      <c r="L79" s="185"/>
      <c r="M79" s="2"/>
      <c r="N79" s="3"/>
      <c r="O79" s="3"/>
      <c r="P79" s="2"/>
      <c r="Q79" s="2"/>
      <c r="R79" s="2"/>
    </row>
    <row r="80" spans="2:22" x14ac:dyDescent="0.45">
      <c r="B80" s="187"/>
      <c r="C80" s="188"/>
      <c r="D80" s="189"/>
      <c r="E80" s="189"/>
      <c r="F80" s="2"/>
      <c r="G80" s="184"/>
      <c r="H80" s="2"/>
      <c r="I80" s="184"/>
      <c r="J80" s="3"/>
      <c r="K80" s="3"/>
      <c r="L80" s="185"/>
      <c r="M80" s="2"/>
      <c r="N80" s="3"/>
      <c r="O80" s="3"/>
      <c r="P80" s="2"/>
      <c r="Q80" s="2"/>
      <c r="R80" s="2"/>
    </row>
    <row r="81" spans="2:18" x14ac:dyDescent="0.45">
      <c r="B81" s="187"/>
      <c r="C81" s="188"/>
      <c r="D81" s="189"/>
      <c r="E81" s="189"/>
      <c r="F81" s="2"/>
      <c r="G81" s="184"/>
      <c r="H81" s="2"/>
      <c r="I81" s="184"/>
      <c r="J81" s="3"/>
      <c r="K81" s="3"/>
      <c r="L81" s="185"/>
      <c r="M81" s="2"/>
      <c r="N81" s="3"/>
      <c r="O81" s="3"/>
      <c r="P81" s="2"/>
      <c r="Q81" s="2"/>
      <c r="R81" s="2"/>
    </row>
    <row r="82" spans="2:18" x14ac:dyDescent="0.45">
      <c r="B82" s="187"/>
      <c r="C82" s="188"/>
      <c r="D82" s="189"/>
      <c r="E82" s="189"/>
      <c r="F82" s="2"/>
      <c r="G82" s="184"/>
      <c r="H82" s="2"/>
      <c r="I82" s="184"/>
      <c r="J82" s="3"/>
      <c r="K82" s="3"/>
      <c r="L82" s="185"/>
      <c r="M82" s="2"/>
      <c r="N82" s="3"/>
      <c r="O82" s="3"/>
      <c r="P82" s="2"/>
      <c r="Q82" s="2"/>
      <c r="R82" s="2"/>
    </row>
    <row r="83" spans="2:18" x14ac:dyDescent="0.45">
      <c r="B83" s="187"/>
      <c r="C83" s="188"/>
      <c r="D83" s="189"/>
      <c r="E83" s="189"/>
      <c r="F83" s="2"/>
      <c r="G83" s="184"/>
      <c r="H83" s="2"/>
      <c r="I83" s="184"/>
      <c r="J83" s="3"/>
      <c r="K83" s="3"/>
      <c r="L83" s="185"/>
      <c r="M83" s="2"/>
      <c r="N83" s="3"/>
      <c r="O83" s="3"/>
      <c r="P83" s="2"/>
      <c r="Q83" s="2"/>
      <c r="R83" s="2"/>
    </row>
    <row r="84" spans="2:18" x14ac:dyDescent="0.45">
      <c r="B84" s="187"/>
      <c r="C84" s="188"/>
      <c r="D84" s="189"/>
      <c r="E84" s="189"/>
      <c r="F84" s="2"/>
      <c r="G84" s="184"/>
      <c r="H84" s="2"/>
      <c r="I84" s="184"/>
      <c r="J84" s="3"/>
      <c r="K84" s="3"/>
      <c r="L84" s="185"/>
      <c r="M84" s="2"/>
      <c r="N84" s="3"/>
      <c r="O84" s="3"/>
      <c r="P84" s="2"/>
      <c r="Q84" s="2"/>
      <c r="R84" s="2"/>
    </row>
    <row r="85" spans="2:18" x14ac:dyDescent="0.45">
      <c r="B85" s="187"/>
      <c r="C85" s="188"/>
      <c r="D85" s="189"/>
      <c r="E85" s="189"/>
      <c r="F85" s="2"/>
      <c r="G85" s="184"/>
      <c r="H85" s="2"/>
      <c r="I85" s="184"/>
      <c r="J85" s="3"/>
      <c r="K85" s="3"/>
      <c r="L85" s="185"/>
      <c r="M85" s="2"/>
      <c r="N85" s="3"/>
      <c r="O85" s="3"/>
      <c r="P85" s="2"/>
      <c r="Q85" s="2"/>
      <c r="R85" s="2"/>
    </row>
    <row r="86" spans="2:18" x14ac:dyDescent="0.45">
      <c r="B86" s="187"/>
      <c r="C86" s="188"/>
      <c r="D86" s="189"/>
      <c r="E86" s="189"/>
      <c r="F86" s="2"/>
      <c r="G86" s="184"/>
      <c r="H86" s="2"/>
      <c r="I86" s="184"/>
      <c r="J86" s="3"/>
      <c r="K86" s="3"/>
      <c r="L86" s="185"/>
      <c r="M86" s="2"/>
      <c r="N86" s="3"/>
      <c r="O86" s="3"/>
      <c r="P86" s="2"/>
      <c r="Q86" s="2"/>
      <c r="R86" s="2"/>
    </row>
  </sheetData>
  <conditionalFormatting sqref="T13:T72">
    <cfRule type="colorScale" priority="1">
      <colorScale>
        <cfvo type="num" val="0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354C-EB32-4A06-B6D4-0252FB49EF82}">
  <dimension ref="B1:CE83"/>
  <sheetViews>
    <sheetView showGridLines="0" showRowColHeaders="0" zoomScale="90" zoomScaleNormal="90" workbookViewId="0">
      <selection activeCell="C11" sqref="C11"/>
    </sheetView>
  </sheetViews>
  <sheetFormatPr baseColWidth="10" defaultColWidth="9.06640625" defaultRowHeight="14.25" x14ac:dyDescent="0.45"/>
  <cols>
    <col min="1" max="1" width="1.3984375" customWidth="1"/>
    <col min="2" max="2" width="2.46484375" customWidth="1"/>
    <col min="3" max="3" width="26" customWidth="1"/>
    <col min="4" max="5" width="11" customWidth="1"/>
    <col min="6" max="6" width="12" customWidth="1"/>
    <col min="7" max="8" width="13" customWidth="1"/>
    <col min="9" max="10" width="15" customWidth="1"/>
    <col min="11" max="11" width="19" customWidth="1"/>
    <col min="12" max="13" width="14" customWidth="1"/>
    <col min="14" max="15" width="12" customWidth="1"/>
    <col min="16" max="17" width="13" customWidth="1"/>
    <col min="19" max="19" width="3" customWidth="1"/>
    <col min="20" max="24" width="15" customWidth="1"/>
  </cols>
  <sheetData>
    <row r="1" spans="2:83" ht="6.4" customHeight="1" x14ac:dyDescent="0.45"/>
    <row r="2" spans="2:83" ht="8" customHeight="1" x14ac:dyDescent="0.4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</row>
    <row r="3" spans="2:83" ht="8" customHeight="1" x14ac:dyDescent="0.4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</row>
    <row r="4" spans="2:83" ht="26" customHeight="1" x14ac:dyDescent="0.45">
      <c r="B4" s="48"/>
      <c r="C4" s="48"/>
      <c r="D4" s="48" t="s">
        <v>72</v>
      </c>
      <c r="E4" s="10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</row>
    <row r="5" spans="2:83" s="47" customFormat="1" ht="15" customHeight="1" thickBot="1" x14ac:dyDescent="0.5">
      <c r="B5" s="49"/>
      <c r="C5" s="49"/>
      <c r="D5" s="49" t="s">
        <v>80</v>
      </c>
      <c r="E5" s="4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</row>
    <row r="6" spans="2:83" ht="10.050000000000001" customHeight="1" x14ac:dyDescent="0.4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2:83" ht="24" customHeight="1" x14ac:dyDescent="0.45">
      <c r="B7" s="1"/>
      <c r="C7" s="12" t="e">
        <f>"L'EBITDA passe de "&amp;TEXT(D13,"#,##0 €")&amp;" à "&amp;TEXT(D19,"#,##0 €")&amp;", soit "&amp;TEXT(D19-D13,"+#,##0 €;-#,##0 €")&amp;"  ("&amp;TEXT(D19/D13-1,"+0.0%;-0.0%")&amp;")"</f>
        <v>#DIV/0!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2:83" ht="14" customHeight="1" x14ac:dyDescent="0.45">
      <c r="B8" s="1"/>
      <c r="C8" s="13" t="s">
        <v>73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2:83" ht="8" customHeight="1" x14ac:dyDescent="0.4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spans="2:83" ht="15" customHeight="1" x14ac:dyDescent="0.4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2:83" ht="15" customHeight="1" x14ac:dyDescent="0.45">
      <c r="B11" s="1"/>
      <c r="C11" s="6" t="s">
        <v>74</v>
      </c>
      <c r="D11" s="1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spans="2:83" ht="22.5" customHeight="1" x14ac:dyDescent="0.45">
      <c r="B12" s="1"/>
      <c r="C12" s="4" t="s">
        <v>70</v>
      </c>
      <c r="D12" s="5" t="s">
        <v>71</v>
      </c>
      <c r="E12" s="5" t="s">
        <v>108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spans="2:83" ht="15" customHeight="1" x14ac:dyDescent="0.45">
      <c r="B13" s="1"/>
      <c r="C13" s="14" t="s">
        <v>62</v>
      </c>
      <c r="D13" s="15">
        <f>P44</f>
        <v>0</v>
      </c>
      <c r="E13" s="1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</row>
    <row r="14" spans="2:83" ht="15" customHeight="1" x14ac:dyDescent="0.45">
      <c r="B14" s="1"/>
      <c r="C14" s="17" t="s">
        <v>64</v>
      </c>
      <c r="D14" s="18">
        <f>T44</f>
        <v>0</v>
      </c>
      <c r="E14" s="8" t="str">
        <f>IFERROR(IF(D14&gt;0,D14/SUMIF(D14:D18,"&gt;0"),D14/SUMIF(D14:D18,"&lt;0")),"")</f>
        <v/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2:83" ht="15" customHeight="1" x14ac:dyDescent="0.45">
      <c r="B15" s="1"/>
      <c r="C15" s="17" t="s">
        <v>65</v>
      </c>
      <c r="D15" s="18">
        <f>U44</f>
        <v>0</v>
      </c>
      <c r="E15" s="8" t="str">
        <f>IFERROR(IF(D15&gt;0,D15/SUMIF(D14:D18,"&gt;0"),D15/SUMIF(D14:D18,"&lt;0")),"")</f>
        <v/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</row>
    <row r="16" spans="2:83" ht="15" customHeight="1" x14ac:dyDescent="0.45">
      <c r="B16" s="1"/>
      <c r="C16" s="17" t="s">
        <v>66</v>
      </c>
      <c r="D16" s="18">
        <f>V44</f>
        <v>0</v>
      </c>
      <c r="E16" s="8" t="str">
        <f>IFERROR(IF(D16&gt;0,D16/SUMIF(D14:D18,"&gt;0"),D16/SUMIF(D14:D18,"&lt;0")),"")</f>
        <v/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</row>
    <row r="17" spans="2:83" ht="15" customHeight="1" x14ac:dyDescent="0.45">
      <c r="B17" s="1"/>
      <c r="C17" s="17" t="s">
        <v>67</v>
      </c>
      <c r="D17" s="18">
        <f>W44</f>
        <v>0</v>
      </c>
      <c r="E17" s="8" t="str">
        <f>IFERROR(IF(D17&gt;0,D17/SUMIF(D14:D18,"&gt;0"),D17/SUMIF(D14:D18,"&lt;0")),"")</f>
        <v/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</row>
    <row r="18" spans="2:83" ht="15" customHeight="1" x14ac:dyDescent="0.45">
      <c r="B18" s="1"/>
      <c r="C18" s="17" t="s">
        <v>68</v>
      </c>
      <c r="D18" s="18">
        <f>X44</f>
        <v>0</v>
      </c>
      <c r="E18" s="8" t="str">
        <f>IFERROR(IF(D18&gt;0,D18/SUMIF(D14:D18,"&gt;0"),D18/SUMIF(D14:D18,"&lt;0")),"")</f>
        <v/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2:83" ht="15" customHeight="1" x14ac:dyDescent="0.45">
      <c r="B19" s="1"/>
      <c r="C19" s="14" t="s">
        <v>63</v>
      </c>
      <c r="D19" s="15">
        <f>Q44</f>
        <v>0</v>
      </c>
      <c r="E19" s="1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spans="2:83" ht="15" customHeight="1" x14ac:dyDescent="0.45">
      <c r="B20" s="1"/>
      <c r="C20" s="42" t="s">
        <v>109</v>
      </c>
      <c r="D20" s="43">
        <f>SUMIF($D$14:$D$18,"&gt;0")</f>
        <v>0</v>
      </c>
      <c r="E20" s="44">
        <f>SUMIF(D14:D18,"&lt;0")</f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2:83" ht="15" customHeight="1" thickBot="1" x14ac:dyDescent="0.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 spans="2:83" ht="15" customHeight="1" thickBot="1" x14ac:dyDescent="0.5">
      <c r="B22" s="1"/>
      <c r="C22" s="19" t="s">
        <v>75</v>
      </c>
      <c r="D22" s="20">
        <f>SUM(D14:D18)-(D19-D13)</f>
        <v>0</v>
      </c>
      <c r="E22" s="21" t="s">
        <v>76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2:83" ht="15" customHeight="1" x14ac:dyDescent="0.4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2:83" ht="15" customHeight="1" x14ac:dyDescent="0.4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2:83" ht="15" customHeight="1" x14ac:dyDescent="0.4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2:83" ht="15" customHeight="1" x14ac:dyDescent="0.4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2:83" ht="15" customHeight="1" x14ac:dyDescent="0.4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2:83" ht="15" customHeight="1" x14ac:dyDescent="0.4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2:83" x14ac:dyDescent="0.4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2:83" ht="20" hidden="1" customHeight="1" x14ac:dyDescent="0.4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2:83" hidden="1" x14ac:dyDescent="0.4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 t="s">
        <v>62</v>
      </c>
      <c r="AA31" s="1">
        <v>0</v>
      </c>
      <c r="AB31" s="1">
        <f>D13</f>
        <v>0</v>
      </c>
      <c r="AC31" s="1">
        <v>0</v>
      </c>
      <c r="AD31" s="1"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2:83" hidden="1" x14ac:dyDescent="0.4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 t="s">
        <v>64</v>
      </c>
      <c r="AA32" s="1">
        <f>MIN(D13,D13+SUM(D14:D14))</f>
        <v>0</v>
      </c>
      <c r="AB32" s="1">
        <v>0</v>
      </c>
      <c r="AC32" s="1">
        <f>MAX(D14,0)</f>
        <v>0</v>
      </c>
      <c r="AD32" s="1">
        <f>MAX(-D14,0)</f>
        <v>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2:83" hidden="1" x14ac:dyDescent="0.4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65</v>
      </c>
      <c r="AA33" s="1">
        <f>MIN(D13+SUM(D14:D14),D13+SUM(D14:D15))</f>
        <v>0</v>
      </c>
      <c r="AB33" s="1">
        <v>0</v>
      </c>
      <c r="AC33" s="1">
        <f>MAX(D15,0)</f>
        <v>0</v>
      </c>
      <c r="AD33" s="1">
        <f>MAX(-D15,0)</f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2:83" hidden="1" x14ac:dyDescent="0.4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 t="s">
        <v>66</v>
      </c>
      <c r="AA34" s="1">
        <f>MIN(D13+SUM(D14:D15),D13+SUM(D14:D16))</f>
        <v>0</v>
      </c>
      <c r="AB34" s="1">
        <v>0</v>
      </c>
      <c r="AC34" s="1">
        <f>MAX(D16,0)</f>
        <v>0</v>
      </c>
      <c r="AD34" s="1">
        <f>MAX(-D16,0)</f>
        <v>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2:83" hidden="1" x14ac:dyDescent="0.4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 t="s">
        <v>67</v>
      </c>
      <c r="AA35" s="1">
        <f>MIN(D13+SUM(D14:D16),D13+SUM(D14:D17))</f>
        <v>0</v>
      </c>
      <c r="AB35" s="1">
        <v>0</v>
      </c>
      <c r="AC35" s="1">
        <f>MAX(D17,0)</f>
        <v>0</v>
      </c>
      <c r="AD35" s="1">
        <f>MAX(-D17,0)</f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2:83" hidden="1" x14ac:dyDescent="0.4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 t="s">
        <v>68</v>
      </c>
      <c r="AA36" s="1">
        <f>MIN(D13+SUM(D14:D17),D13+SUM(D14:D18))</f>
        <v>0</v>
      </c>
      <c r="AB36" s="1">
        <v>0</v>
      </c>
      <c r="AC36" s="1">
        <f>MAX(D18,0)</f>
        <v>0</v>
      </c>
      <c r="AD36" s="1">
        <f>MAX(-D18,0)</f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2:83" hidden="1" x14ac:dyDescent="0.4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 t="s">
        <v>63</v>
      </c>
      <c r="AA37" s="1">
        <v>0</v>
      </c>
      <c r="AB37" s="1">
        <f>D19</f>
        <v>0</v>
      </c>
      <c r="AC37" s="1">
        <v>0</v>
      </c>
      <c r="AD37" s="1"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2:83" hidden="1" x14ac:dyDescent="0.4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2:83" hidden="1" x14ac:dyDescent="0.4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2:83" x14ac:dyDescent="0.4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2:83" x14ac:dyDescent="0.4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spans="2:83" x14ac:dyDescent="0.45">
      <c r="B42" s="1"/>
      <c r="C42" s="6" t="s">
        <v>79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7"/>
      <c r="R42" s="1"/>
      <c r="S42" s="1"/>
      <c r="T42" s="6" t="s">
        <v>78</v>
      </c>
      <c r="U42" s="1"/>
      <c r="V42" s="1"/>
      <c r="W42" s="1"/>
      <c r="X42" s="7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2:83" ht="20" customHeight="1" thickBot="1" x14ac:dyDescent="0.5">
      <c r="B43" s="1"/>
      <c r="C43" s="4" t="s">
        <v>49</v>
      </c>
      <c r="D43" s="5" t="s">
        <v>50</v>
      </c>
      <c r="E43" s="5" t="s">
        <v>51</v>
      </c>
      <c r="F43" s="5" t="s">
        <v>52</v>
      </c>
      <c r="G43" s="5" t="s">
        <v>53</v>
      </c>
      <c r="H43" s="5" t="s">
        <v>54</v>
      </c>
      <c r="I43" s="5" t="s">
        <v>55</v>
      </c>
      <c r="J43" s="5" t="s">
        <v>56</v>
      </c>
      <c r="K43" s="5" t="s">
        <v>57</v>
      </c>
      <c r="L43" s="5" t="s">
        <v>58</v>
      </c>
      <c r="M43" s="5" t="s">
        <v>59</v>
      </c>
      <c r="N43" s="5" t="s">
        <v>60</v>
      </c>
      <c r="O43" s="5" t="s">
        <v>61</v>
      </c>
      <c r="P43" s="5" t="s">
        <v>62</v>
      </c>
      <c r="Q43" s="5" t="s">
        <v>63</v>
      </c>
      <c r="R43" s="1"/>
      <c r="S43" s="1"/>
      <c r="T43" s="4" t="s">
        <v>64</v>
      </c>
      <c r="U43" s="5" t="s">
        <v>65</v>
      </c>
      <c r="V43" s="5" t="s">
        <v>66</v>
      </c>
      <c r="W43" s="5" t="s">
        <v>67</v>
      </c>
      <c r="X43" s="5" t="s">
        <v>68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spans="2:83" x14ac:dyDescent="0.45">
      <c r="B44" s="1"/>
      <c r="C44" s="22" t="s">
        <v>69</v>
      </c>
      <c r="D44" s="23">
        <f>SUM(D45:D74)</f>
        <v>0</v>
      </c>
      <c r="E44" s="23">
        <f>SUM(E45:E74)</f>
        <v>0</v>
      </c>
      <c r="F44" s="23">
        <f>SUM(F45:F74)</f>
        <v>0</v>
      </c>
      <c r="G44" s="24" t="s">
        <v>77</v>
      </c>
      <c r="H44" s="25"/>
      <c r="I44" s="25"/>
      <c r="J44" s="25"/>
      <c r="K44" s="25"/>
      <c r="L44" s="23">
        <f t="shared" ref="L44:Q44" si="0">SUM(L45:L74)</f>
        <v>0</v>
      </c>
      <c r="M44" s="23">
        <f t="shared" si="0"/>
        <v>0</v>
      </c>
      <c r="N44" s="23">
        <f t="shared" si="0"/>
        <v>0</v>
      </c>
      <c r="O44" s="23">
        <f t="shared" si="0"/>
        <v>0</v>
      </c>
      <c r="P44" s="23">
        <f t="shared" si="0"/>
        <v>0</v>
      </c>
      <c r="Q44" s="23">
        <f t="shared" si="0"/>
        <v>0</v>
      </c>
      <c r="R44" s="1"/>
      <c r="S44" s="1"/>
      <c r="T44" s="23">
        <f>SUM(T45:T74)</f>
        <v>0</v>
      </c>
      <c r="U44" s="23">
        <f>SUM(U45:U74)</f>
        <v>0</v>
      </c>
      <c r="V44" s="23">
        <f>SUM(V45:V74)</f>
        <v>0</v>
      </c>
      <c r="W44" s="23">
        <f>SUM(W45:W74)</f>
        <v>0</v>
      </c>
      <c r="X44" s="23">
        <f>SUM(X45:X74)</f>
        <v>0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2:83" ht="15.5" customHeight="1" x14ac:dyDescent="0.45">
      <c r="B45" s="1"/>
      <c r="C45" s="26"/>
      <c r="D45" s="2"/>
      <c r="E45" s="2"/>
      <c r="F45" s="2"/>
      <c r="G45" s="27"/>
      <c r="H45" s="27"/>
      <c r="I45" s="27"/>
      <c r="J45" s="27"/>
      <c r="K45" s="27"/>
      <c r="L45" s="2"/>
      <c r="M45" s="2"/>
      <c r="N45" s="2"/>
      <c r="O45" s="2"/>
      <c r="P45" s="2"/>
      <c r="Q45" s="2"/>
      <c r="R45" s="1"/>
      <c r="S45" s="1"/>
      <c r="T45" s="2" t="str">
        <f>IF(OR(F45="",K45=""),"",F45*K45)</f>
        <v/>
      </c>
      <c r="U45" s="2" t="str">
        <f>IF(OR(H45="",G45="",E45=""),"",(H45-G45)*E45)</f>
        <v/>
      </c>
      <c r="V45" s="2" t="str">
        <f>IF(OR(J45="",I45="",E45=""),"",-(J45-I45)*E45)</f>
        <v/>
      </c>
      <c r="W45" s="2" t="str">
        <f>IF(OR(M45="",L45=""),"",-(M45-L45))</f>
        <v/>
      </c>
      <c r="X45" s="2" t="str">
        <f>IF(OR(O45="",N45=""),"",-(O45-N45))</f>
        <v/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spans="2:83" ht="15.5" customHeight="1" x14ac:dyDescent="0.45">
      <c r="B46" s="1"/>
      <c r="C46" s="26"/>
      <c r="D46" s="2"/>
      <c r="E46" s="2"/>
      <c r="F46" s="2"/>
      <c r="G46" s="27"/>
      <c r="H46" s="27"/>
      <c r="I46" s="27"/>
      <c r="J46" s="27"/>
      <c r="K46" s="27"/>
      <c r="L46" s="2"/>
      <c r="M46" s="2"/>
      <c r="N46" s="2"/>
      <c r="O46" s="2"/>
      <c r="P46" s="2"/>
      <c r="Q46" s="2"/>
      <c r="R46" s="1"/>
      <c r="S46" s="1"/>
      <c r="T46" s="2" t="str">
        <f t="shared" ref="T46:T58" si="1">IF(OR(F46="",K46=""),"",F46*K46)</f>
        <v/>
      </c>
      <c r="U46" s="2" t="str">
        <f t="shared" ref="U46:U58" si="2">IF(OR(H46="",G46="",E46=""),"",(H46-G46)*E46)</f>
        <v/>
      </c>
      <c r="V46" s="2" t="str">
        <f t="shared" ref="V46:V58" si="3">IF(OR(J46="",I46="",E46=""),"",-(J46-I46)*E46)</f>
        <v/>
      </c>
      <c r="W46" s="2" t="str">
        <f t="shared" ref="W46:W58" si="4">IF(OR(M46="",L46=""),"",-(M46-L46))</f>
        <v/>
      </c>
      <c r="X46" s="2" t="str">
        <f t="shared" ref="X46:X58" si="5">IF(OR(O46="",N46=""),"",-(O46-N46))</f>
        <v/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2:83" ht="15.5" customHeight="1" x14ac:dyDescent="0.45">
      <c r="B47" s="1"/>
      <c r="C47" s="26"/>
      <c r="D47" s="2"/>
      <c r="E47" s="2"/>
      <c r="F47" s="2"/>
      <c r="G47" s="27"/>
      <c r="H47" s="27"/>
      <c r="I47" s="27"/>
      <c r="J47" s="27"/>
      <c r="K47" s="27"/>
      <c r="L47" s="2"/>
      <c r="M47" s="2"/>
      <c r="N47" s="2"/>
      <c r="O47" s="2"/>
      <c r="P47" s="2"/>
      <c r="Q47" s="2"/>
      <c r="R47" s="1"/>
      <c r="S47" s="1"/>
      <c r="T47" s="2" t="str">
        <f t="shared" si="1"/>
        <v/>
      </c>
      <c r="U47" s="2" t="str">
        <f t="shared" si="2"/>
        <v/>
      </c>
      <c r="V47" s="2" t="str">
        <f t="shared" si="3"/>
        <v/>
      </c>
      <c r="W47" s="2" t="str">
        <f t="shared" si="4"/>
        <v/>
      </c>
      <c r="X47" s="2" t="str">
        <f t="shared" si="5"/>
        <v/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spans="2:83" ht="15.5" customHeight="1" x14ac:dyDescent="0.45">
      <c r="B48" s="1"/>
      <c r="C48" s="26"/>
      <c r="D48" s="2"/>
      <c r="E48" s="2"/>
      <c r="F48" s="2"/>
      <c r="G48" s="27"/>
      <c r="H48" s="27"/>
      <c r="I48" s="27"/>
      <c r="J48" s="27"/>
      <c r="K48" s="27"/>
      <c r="L48" s="2"/>
      <c r="M48" s="2"/>
      <c r="N48" s="2"/>
      <c r="O48" s="2"/>
      <c r="P48" s="2"/>
      <c r="Q48" s="2"/>
      <c r="R48" s="1"/>
      <c r="S48" s="1"/>
      <c r="T48" s="2" t="str">
        <f t="shared" si="1"/>
        <v/>
      </c>
      <c r="U48" s="2" t="str">
        <f t="shared" si="2"/>
        <v/>
      </c>
      <c r="V48" s="2" t="str">
        <f t="shared" si="3"/>
        <v/>
      </c>
      <c r="W48" s="2" t="str">
        <f t="shared" si="4"/>
        <v/>
      </c>
      <c r="X48" s="2" t="str">
        <f t="shared" si="5"/>
        <v/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2:83" ht="15.5" customHeight="1" x14ac:dyDescent="0.45">
      <c r="B49" s="1"/>
      <c r="C49" s="26"/>
      <c r="D49" s="2"/>
      <c r="E49" s="2"/>
      <c r="F49" s="2"/>
      <c r="G49" s="27"/>
      <c r="H49" s="27"/>
      <c r="I49" s="27"/>
      <c r="J49" s="27"/>
      <c r="K49" s="27"/>
      <c r="L49" s="2"/>
      <c r="M49" s="2"/>
      <c r="N49" s="2"/>
      <c r="O49" s="2"/>
      <c r="P49" s="2"/>
      <c r="Q49" s="2"/>
      <c r="R49" s="1"/>
      <c r="S49" s="1"/>
      <c r="T49" s="2" t="str">
        <f t="shared" si="1"/>
        <v/>
      </c>
      <c r="U49" s="2" t="str">
        <f t="shared" si="2"/>
        <v/>
      </c>
      <c r="V49" s="2" t="str">
        <f t="shared" si="3"/>
        <v/>
      </c>
      <c r="W49" s="2" t="str">
        <f t="shared" si="4"/>
        <v/>
      </c>
      <c r="X49" s="2" t="str">
        <f t="shared" si="5"/>
        <v/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spans="2:83" ht="15.5" customHeight="1" x14ac:dyDescent="0.45">
      <c r="B50" s="1"/>
      <c r="C50" s="26"/>
      <c r="D50" s="2"/>
      <c r="E50" s="2"/>
      <c r="F50" s="2"/>
      <c r="G50" s="27"/>
      <c r="H50" s="27"/>
      <c r="I50" s="27"/>
      <c r="J50" s="27"/>
      <c r="K50" s="27"/>
      <c r="L50" s="2"/>
      <c r="M50" s="2"/>
      <c r="N50" s="2"/>
      <c r="O50" s="2"/>
      <c r="P50" s="2"/>
      <c r="Q50" s="2"/>
      <c r="R50" s="1"/>
      <c r="S50" s="1"/>
      <c r="T50" s="2" t="str">
        <f t="shared" si="1"/>
        <v/>
      </c>
      <c r="U50" s="2" t="str">
        <f t="shared" si="2"/>
        <v/>
      </c>
      <c r="V50" s="2" t="str">
        <f t="shared" si="3"/>
        <v/>
      </c>
      <c r="W50" s="2" t="str">
        <f t="shared" si="4"/>
        <v/>
      </c>
      <c r="X50" s="2" t="str">
        <f t="shared" si="5"/>
        <v/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spans="2:83" ht="15.5" customHeight="1" x14ac:dyDescent="0.45">
      <c r="B51" s="1"/>
      <c r="C51" s="26"/>
      <c r="D51" s="2"/>
      <c r="E51" s="2"/>
      <c r="F51" s="2"/>
      <c r="G51" s="27"/>
      <c r="H51" s="27"/>
      <c r="I51" s="27"/>
      <c r="J51" s="27"/>
      <c r="K51" s="27"/>
      <c r="L51" s="2"/>
      <c r="M51" s="2"/>
      <c r="N51" s="2"/>
      <c r="O51" s="2"/>
      <c r="P51" s="2"/>
      <c r="Q51" s="2"/>
      <c r="R51" s="1"/>
      <c r="S51" s="1"/>
      <c r="T51" s="2" t="str">
        <f t="shared" si="1"/>
        <v/>
      </c>
      <c r="U51" s="2" t="str">
        <f t="shared" si="2"/>
        <v/>
      </c>
      <c r="V51" s="2" t="str">
        <f t="shared" si="3"/>
        <v/>
      </c>
      <c r="W51" s="2" t="str">
        <f t="shared" si="4"/>
        <v/>
      </c>
      <c r="X51" s="2" t="str">
        <f t="shared" si="5"/>
        <v/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spans="2:83" ht="15.5" customHeight="1" x14ac:dyDescent="0.45">
      <c r="B52" s="1"/>
      <c r="C52" s="26"/>
      <c r="D52" s="2"/>
      <c r="E52" s="2"/>
      <c r="F52" s="2"/>
      <c r="G52" s="27"/>
      <c r="H52" s="27"/>
      <c r="I52" s="27"/>
      <c r="J52" s="27"/>
      <c r="K52" s="27"/>
      <c r="L52" s="2"/>
      <c r="M52" s="2"/>
      <c r="N52" s="2"/>
      <c r="O52" s="2"/>
      <c r="P52" s="2"/>
      <c r="Q52" s="2"/>
      <c r="R52" s="1"/>
      <c r="S52" s="1"/>
      <c r="T52" s="2" t="str">
        <f t="shared" si="1"/>
        <v/>
      </c>
      <c r="U52" s="2" t="str">
        <f t="shared" si="2"/>
        <v/>
      </c>
      <c r="V52" s="2" t="str">
        <f t="shared" si="3"/>
        <v/>
      </c>
      <c r="W52" s="2" t="str">
        <f t="shared" si="4"/>
        <v/>
      </c>
      <c r="X52" s="2" t="str">
        <f t="shared" si="5"/>
        <v/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2:83" ht="15.5" customHeight="1" x14ac:dyDescent="0.45">
      <c r="B53" s="1"/>
      <c r="C53" s="26"/>
      <c r="D53" s="2"/>
      <c r="E53" s="2"/>
      <c r="F53" s="2"/>
      <c r="G53" s="27"/>
      <c r="H53" s="27"/>
      <c r="I53" s="27"/>
      <c r="J53" s="27"/>
      <c r="K53" s="27"/>
      <c r="L53" s="2"/>
      <c r="M53" s="2"/>
      <c r="N53" s="2"/>
      <c r="O53" s="2"/>
      <c r="P53" s="2"/>
      <c r="Q53" s="2"/>
      <c r="R53" s="1"/>
      <c r="S53" s="1"/>
      <c r="T53" s="2" t="str">
        <f t="shared" si="1"/>
        <v/>
      </c>
      <c r="U53" s="2" t="str">
        <f t="shared" si="2"/>
        <v/>
      </c>
      <c r="V53" s="2" t="str">
        <f t="shared" si="3"/>
        <v/>
      </c>
      <c r="W53" s="2" t="str">
        <f t="shared" si="4"/>
        <v/>
      </c>
      <c r="X53" s="2" t="str">
        <f t="shared" si="5"/>
        <v/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2:83" ht="15.5" customHeight="1" x14ac:dyDescent="0.45">
      <c r="B54" s="1"/>
      <c r="C54" s="26"/>
      <c r="D54" s="2"/>
      <c r="E54" s="2"/>
      <c r="F54" s="2"/>
      <c r="G54" s="27"/>
      <c r="H54" s="27"/>
      <c r="I54" s="27"/>
      <c r="J54" s="27"/>
      <c r="K54" s="27"/>
      <c r="L54" s="2"/>
      <c r="M54" s="2"/>
      <c r="N54" s="2"/>
      <c r="O54" s="2"/>
      <c r="P54" s="2"/>
      <c r="Q54" s="2"/>
      <c r="R54" s="1"/>
      <c r="S54" s="1"/>
      <c r="T54" s="2" t="str">
        <f t="shared" si="1"/>
        <v/>
      </c>
      <c r="U54" s="2" t="str">
        <f t="shared" si="2"/>
        <v/>
      </c>
      <c r="V54" s="2" t="str">
        <f t="shared" si="3"/>
        <v/>
      </c>
      <c r="W54" s="2" t="str">
        <f t="shared" si="4"/>
        <v/>
      </c>
      <c r="X54" s="2" t="str">
        <f t="shared" si="5"/>
        <v/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2:83" ht="15.5" customHeight="1" x14ac:dyDescent="0.45">
      <c r="B55" s="1"/>
      <c r="C55" s="26"/>
      <c r="D55" s="2"/>
      <c r="E55" s="2"/>
      <c r="F55" s="2"/>
      <c r="G55" s="27"/>
      <c r="H55" s="27"/>
      <c r="I55" s="27"/>
      <c r="J55" s="27"/>
      <c r="K55" s="27"/>
      <c r="L55" s="2"/>
      <c r="M55" s="2"/>
      <c r="N55" s="2"/>
      <c r="O55" s="2"/>
      <c r="P55" s="2"/>
      <c r="Q55" s="2"/>
      <c r="R55" s="1"/>
      <c r="S55" s="1"/>
      <c r="T55" s="2" t="str">
        <f t="shared" si="1"/>
        <v/>
      </c>
      <c r="U55" s="2" t="str">
        <f t="shared" si="2"/>
        <v/>
      </c>
      <c r="V55" s="2" t="str">
        <f t="shared" si="3"/>
        <v/>
      </c>
      <c r="W55" s="2" t="str">
        <f t="shared" si="4"/>
        <v/>
      </c>
      <c r="X55" s="2" t="str">
        <f t="shared" si="5"/>
        <v/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spans="2:83" ht="15.5" customHeight="1" x14ac:dyDescent="0.45">
      <c r="B56" s="1"/>
      <c r="C56" s="26"/>
      <c r="D56" s="2"/>
      <c r="E56" s="2"/>
      <c r="F56" s="2"/>
      <c r="G56" s="27"/>
      <c r="H56" s="27"/>
      <c r="I56" s="27"/>
      <c r="J56" s="27"/>
      <c r="K56" s="27"/>
      <c r="L56" s="2"/>
      <c r="M56" s="2"/>
      <c r="N56" s="2"/>
      <c r="O56" s="2"/>
      <c r="P56" s="2"/>
      <c r="Q56" s="2"/>
      <c r="R56" s="1"/>
      <c r="S56" s="1"/>
      <c r="T56" s="2" t="str">
        <f t="shared" si="1"/>
        <v/>
      </c>
      <c r="U56" s="2" t="str">
        <f t="shared" si="2"/>
        <v/>
      </c>
      <c r="V56" s="2" t="str">
        <f t="shared" si="3"/>
        <v/>
      </c>
      <c r="W56" s="2" t="str">
        <f t="shared" si="4"/>
        <v/>
      </c>
      <c r="X56" s="2" t="str">
        <f t="shared" si="5"/>
        <v/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2:83" ht="15.5" customHeight="1" x14ac:dyDescent="0.45">
      <c r="B57" s="1"/>
      <c r="C57" s="26"/>
      <c r="D57" s="2"/>
      <c r="E57" s="2"/>
      <c r="F57" s="2"/>
      <c r="G57" s="27"/>
      <c r="H57" s="27"/>
      <c r="I57" s="27"/>
      <c r="J57" s="27"/>
      <c r="K57" s="27"/>
      <c r="L57" s="2"/>
      <c r="M57" s="2"/>
      <c r="N57" s="2"/>
      <c r="O57" s="2"/>
      <c r="P57" s="2"/>
      <c r="Q57" s="2"/>
      <c r="R57" s="1"/>
      <c r="S57" s="1"/>
      <c r="T57" s="2" t="str">
        <f t="shared" si="1"/>
        <v/>
      </c>
      <c r="U57" s="2" t="str">
        <f t="shared" si="2"/>
        <v/>
      </c>
      <c r="V57" s="2" t="str">
        <f t="shared" si="3"/>
        <v/>
      </c>
      <c r="W57" s="2" t="str">
        <f t="shared" si="4"/>
        <v/>
      </c>
      <c r="X57" s="2" t="str">
        <f t="shared" si="5"/>
        <v/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spans="2:83" ht="15.5" customHeight="1" x14ac:dyDescent="0.45">
      <c r="B58" s="1"/>
      <c r="C58" s="26"/>
      <c r="D58" s="2"/>
      <c r="E58" s="2"/>
      <c r="F58" s="2"/>
      <c r="G58" s="27"/>
      <c r="H58" s="27"/>
      <c r="I58" s="27"/>
      <c r="J58" s="27"/>
      <c r="K58" s="27"/>
      <c r="L58" s="2"/>
      <c r="M58" s="2"/>
      <c r="N58" s="2"/>
      <c r="O58" s="2"/>
      <c r="P58" s="2"/>
      <c r="Q58" s="2"/>
      <c r="R58" s="1"/>
      <c r="S58" s="1"/>
      <c r="T58" s="2" t="str">
        <f t="shared" si="1"/>
        <v/>
      </c>
      <c r="U58" s="2" t="str">
        <f t="shared" si="2"/>
        <v/>
      </c>
      <c r="V58" s="2" t="str">
        <f t="shared" si="3"/>
        <v/>
      </c>
      <c r="W58" s="2" t="str">
        <f t="shared" si="4"/>
        <v/>
      </c>
      <c r="X58" s="2" t="str">
        <f t="shared" si="5"/>
        <v/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2:83" ht="15.5" customHeight="1" x14ac:dyDescent="0.45">
      <c r="B59" s="1"/>
      <c r="C59" s="26"/>
      <c r="D59" s="2"/>
      <c r="E59" s="2"/>
      <c r="F59" s="2"/>
      <c r="G59" s="27"/>
      <c r="H59" s="27"/>
      <c r="I59" s="27"/>
      <c r="J59" s="27"/>
      <c r="K59" s="27"/>
      <c r="L59" s="2"/>
      <c r="M59" s="2"/>
      <c r="N59" s="2"/>
      <c r="O59" s="2"/>
      <c r="P59" s="2"/>
      <c r="Q59" s="2"/>
      <c r="R59" s="1"/>
      <c r="S59" s="1"/>
      <c r="T59" s="2"/>
      <c r="U59" s="2"/>
      <c r="V59" s="2"/>
      <c r="W59" s="2"/>
      <c r="X59" s="2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spans="2:83" ht="15.5" customHeight="1" x14ac:dyDescent="0.45">
      <c r="B60" s="1"/>
      <c r="C60" s="26"/>
      <c r="D60" s="2"/>
      <c r="E60" s="2"/>
      <c r="F60" s="2"/>
      <c r="G60" s="27"/>
      <c r="H60" s="27"/>
      <c r="I60" s="27"/>
      <c r="J60" s="27"/>
      <c r="K60" s="27"/>
      <c r="L60" s="2"/>
      <c r="M60" s="2"/>
      <c r="N60" s="2"/>
      <c r="O60" s="2"/>
      <c r="P60" s="2"/>
      <c r="Q60" s="2"/>
      <c r="R60" s="1"/>
      <c r="S60" s="1"/>
      <c r="T60" s="2"/>
      <c r="U60" s="2"/>
      <c r="V60" s="2"/>
      <c r="W60" s="2"/>
      <c r="X60" s="2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2:83" ht="15.5" customHeight="1" x14ac:dyDescent="0.45">
      <c r="B61" s="1"/>
      <c r="C61" s="26"/>
      <c r="D61" s="2"/>
      <c r="E61" s="2"/>
      <c r="F61" s="2"/>
      <c r="G61" s="27"/>
      <c r="H61" s="27"/>
      <c r="I61" s="27"/>
      <c r="J61" s="27"/>
      <c r="K61" s="27"/>
      <c r="L61" s="2"/>
      <c r="M61" s="2"/>
      <c r="N61" s="2"/>
      <c r="O61" s="2"/>
      <c r="P61" s="2"/>
      <c r="Q61" s="2"/>
      <c r="R61" s="1"/>
      <c r="S61" s="1"/>
      <c r="T61" s="2"/>
      <c r="U61" s="2"/>
      <c r="V61" s="2"/>
      <c r="W61" s="2"/>
      <c r="X61" s="2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spans="2:83" ht="15.5" customHeight="1" x14ac:dyDescent="0.45">
      <c r="B62" s="1"/>
      <c r="C62" s="26"/>
      <c r="D62" s="2"/>
      <c r="E62" s="2"/>
      <c r="F62" s="2"/>
      <c r="G62" s="27"/>
      <c r="H62" s="27"/>
      <c r="I62" s="27"/>
      <c r="J62" s="27"/>
      <c r="K62" s="27"/>
      <c r="L62" s="2"/>
      <c r="M62" s="2"/>
      <c r="N62" s="2"/>
      <c r="O62" s="2"/>
      <c r="P62" s="2"/>
      <c r="Q62" s="2"/>
      <c r="R62" s="1"/>
      <c r="S62" s="1"/>
      <c r="T62" s="2"/>
      <c r="U62" s="2"/>
      <c r="V62" s="2"/>
      <c r="W62" s="2"/>
      <c r="X62" s="2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spans="2:83" ht="15.5" customHeight="1" x14ac:dyDescent="0.45">
      <c r="B63" s="1"/>
      <c r="C63" s="26"/>
      <c r="D63" s="2"/>
      <c r="E63" s="2"/>
      <c r="F63" s="2"/>
      <c r="G63" s="27"/>
      <c r="H63" s="27"/>
      <c r="I63" s="27"/>
      <c r="J63" s="27"/>
      <c r="K63" s="27"/>
      <c r="L63" s="2"/>
      <c r="M63" s="2"/>
      <c r="N63" s="2"/>
      <c r="O63" s="2"/>
      <c r="P63" s="2"/>
      <c r="Q63" s="2"/>
      <c r="R63" s="1"/>
      <c r="S63" s="1"/>
      <c r="T63" s="2"/>
      <c r="U63" s="2"/>
      <c r="V63" s="2"/>
      <c r="W63" s="2"/>
      <c r="X63" s="2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2:83" ht="15.5" customHeight="1" x14ac:dyDescent="0.45">
      <c r="B64" s="1"/>
      <c r="C64" s="26"/>
      <c r="D64" s="2"/>
      <c r="E64" s="2"/>
      <c r="F64" s="2"/>
      <c r="G64" s="27"/>
      <c r="H64" s="27"/>
      <c r="I64" s="27"/>
      <c r="J64" s="27"/>
      <c r="K64" s="27"/>
      <c r="L64" s="2"/>
      <c r="M64" s="2"/>
      <c r="N64" s="2"/>
      <c r="O64" s="2"/>
      <c r="P64" s="2"/>
      <c r="Q64" s="2"/>
      <c r="R64" s="1"/>
      <c r="S64" s="1"/>
      <c r="T64" s="2"/>
      <c r="U64" s="2"/>
      <c r="V64" s="2"/>
      <c r="W64" s="2"/>
      <c r="X64" s="2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spans="2:83" ht="15.5" customHeight="1" x14ac:dyDescent="0.45">
      <c r="B65" s="1"/>
      <c r="C65" s="26"/>
      <c r="D65" s="2"/>
      <c r="E65" s="2"/>
      <c r="F65" s="2"/>
      <c r="G65" s="27"/>
      <c r="H65" s="27"/>
      <c r="I65" s="27"/>
      <c r="J65" s="27"/>
      <c r="K65" s="27"/>
      <c r="L65" s="2"/>
      <c r="M65" s="2"/>
      <c r="N65" s="2"/>
      <c r="O65" s="2"/>
      <c r="P65" s="2"/>
      <c r="Q65" s="2"/>
      <c r="R65" s="1"/>
      <c r="S65" s="1"/>
      <c r="T65" s="2"/>
      <c r="U65" s="2"/>
      <c r="V65" s="2"/>
      <c r="W65" s="2"/>
      <c r="X65" s="2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spans="2:83" ht="15.5" customHeight="1" x14ac:dyDescent="0.45">
      <c r="B66" s="1"/>
      <c r="C66" s="26"/>
      <c r="D66" s="2"/>
      <c r="E66" s="2"/>
      <c r="F66" s="2"/>
      <c r="G66" s="27"/>
      <c r="H66" s="27"/>
      <c r="I66" s="27"/>
      <c r="J66" s="27"/>
      <c r="K66" s="27"/>
      <c r="L66" s="2"/>
      <c r="M66" s="2"/>
      <c r="N66" s="2"/>
      <c r="O66" s="2"/>
      <c r="P66" s="2"/>
      <c r="Q66" s="2"/>
      <c r="R66" s="1"/>
      <c r="S66" s="1"/>
      <c r="T66" s="2"/>
      <c r="U66" s="2"/>
      <c r="V66" s="2"/>
      <c r="W66" s="2"/>
      <c r="X66" s="2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spans="2:83" ht="15.5" customHeight="1" x14ac:dyDescent="0.45">
      <c r="B67" s="1"/>
      <c r="C67" s="26"/>
      <c r="D67" s="2"/>
      <c r="E67" s="2"/>
      <c r="F67" s="2"/>
      <c r="G67" s="27"/>
      <c r="H67" s="27"/>
      <c r="I67" s="27"/>
      <c r="J67" s="27"/>
      <c r="K67" s="27"/>
      <c r="L67" s="2"/>
      <c r="M67" s="2"/>
      <c r="N67" s="2"/>
      <c r="O67" s="2"/>
      <c r="P67" s="2"/>
      <c r="Q67" s="2"/>
      <c r="R67" s="1"/>
      <c r="S67" s="1"/>
      <c r="T67" s="2"/>
      <c r="U67" s="2"/>
      <c r="V67" s="2"/>
      <c r="W67" s="2"/>
      <c r="X67" s="2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spans="2:83" ht="15.5" customHeight="1" x14ac:dyDescent="0.45">
      <c r="B68" s="1"/>
      <c r="C68" s="26"/>
      <c r="D68" s="2"/>
      <c r="E68" s="2"/>
      <c r="F68" s="2"/>
      <c r="G68" s="27"/>
      <c r="H68" s="27"/>
      <c r="I68" s="27"/>
      <c r="J68" s="27"/>
      <c r="K68" s="27"/>
      <c r="L68" s="2"/>
      <c r="M68" s="2"/>
      <c r="N68" s="2"/>
      <c r="O68" s="2"/>
      <c r="P68" s="2"/>
      <c r="Q68" s="2"/>
      <c r="R68" s="1"/>
      <c r="S68" s="1"/>
      <c r="T68" s="2"/>
      <c r="U68" s="2"/>
      <c r="V68" s="2"/>
      <c r="W68" s="2"/>
      <c r="X68" s="2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spans="2:83" ht="15.5" customHeight="1" x14ac:dyDescent="0.45">
      <c r="B69" s="1"/>
      <c r="C69" s="26"/>
      <c r="D69" s="2"/>
      <c r="E69" s="2"/>
      <c r="F69" s="2"/>
      <c r="G69" s="27"/>
      <c r="H69" s="27"/>
      <c r="I69" s="27"/>
      <c r="J69" s="27"/>
      <c r="K69" s="27"/>
      <c r="L69" s="2"/>
      <c r="M69" s="2"/>
      <c r="N69" s="2"/>
      <c r="O69" s="2"/>
      <c r="P69" s="2"/>
      <c r="Q69" s="2"/>
      <c r="R69" s="1"/>
      <c r="S69" s="1"/>
      <c r="T69" s="2"/>
      <c r="U69" s="2"/>
      <c r="V69" s="2"/>
      <c r="W69" s="2"/>
      <c r="X69" s="2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spans="2:83" ht="15.5" customHeight="1" x14ac:dyDescent="0.45">
      <c r="B70" s="1"/>
      <c r="C70" s="26"/>
      <c r="D70" s="2"/>
      <c r="E70" s="2"/>
      <c r="F70" s="2"/>
      <c r="G70" s="27"/>
      <c r="H70" s="27"/>
      <c r="I70" s="27"/>
      <c r="J70" s="27"/>
      <c r="K70" s="27"/>
      <c r="L70" s="2"/>
      <c r="M70" s="2"/>
      <c r="N70" s="2"/>
      <c r="O70" s="2"/>
      <c r="P70" s="2"/>
      <c r="Q70" s="2"/>
      <c r="R70" s="1"/>
      <c r="S70" s="1"/>
      <c r="T70" s="2"/>
      <c r="U70" s="2"/>
      <c r="V70" s="2"/>
      <c r="W70" s="2"/>
      <c r="X70" s="2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spans="2:83" ht="15.5" customHeight="1" x14ac:dyDescent="0.45">
      <c r="B71" s="1"/>
      <c r="C71" s="26"/>
      <c r="D71" s="2"/>
      <c r="E71" s="2"/>
      <c r="F71" s="2"/>
      <c r="G71" s="27"/>
      <c r="H71" s="27"/>
      <c r="I71" s="27"/>
      <c r="J71" s="27"/>
      <c r="K71" s="27"/>
      <c r="L71" s="2"/>
      <c r="M71" s="2"/>
      <c r="N71" s="2"/>
      <c r="O71" s="2"/>
      <c r="P71" s="2"/>
      <c r="Q71" s="2"/>
      <c r="R71" s="1"/>
      <c r="S71" s="1"/>
      <c r="T71" s="2"/>
      <c r="U71" s="2"/>
      <c r="V71" s="2"/>
      <c r="W71" s="2"/>
      <c r="X71" s="2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spans="2:83" ht="15.5" customHeight="1" x14ac:dyDescent="0.45">
      <c r="B72" s="1"/>
      <c r="C72" s="26"/>
      <c r="D72" s="2"/>
      <c r="E72" s="2"/>
      <c r="F72" s="2"/>
      <c r="G72" s="27"/>
      <c r="H72" s="27"/>
      <c r="I72" s="27"/>
      <c r="J72" s="27"/>
      <c r="K72" s="27"/>
      <c r="L72" s="2"/>
      <c r="M72" s="2"/>
      <c r="N72" s="2"/>
      <c r="O72" s="2"/>
      <c r="P72" s="2"/>
      <c r="Q72" s="2"/>
      <c r="R72" s="1"/>
      <c r="S72" s="1"/>
      <c r="T72" s="2"/>
      <c r="U72" s="2"/>
      <c r="V72" s="2"/>
      <c r="W72" s="2"/>
      <c r="X72" s="2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spans="2:83" ht="15.5" customHeight="1" x14ac:dyDescent="0.45">
      <c r="B73" s="1"/>
      <c r="C73" s="26"/>
      <c r="D73" s="2"/>
      <c r="E73" s="2"/>
      <c r="F73" s="2"/>
      <c r="G73" s="27"/>
      <c r="H73" s="27"/>
      <c r="I73" s="27"/>
      <c r="J73" s="27"/>
      <c r="K73" s="27"/>
      <c r="L73" s="2"/>
      <c r="M73" s="2"/>
      <c r="N73" s="2"/>
      <c r="O73" s="2"/>
      <c r="P73" s="2"/>
      <c r="Q73" s="2"/>
      <c r="R73" s="1"/>
      <c r="S73" s="1"/>
      <c r="T73" s="2"/>
      <c r="U73" s="2"/>
      <c r="V73" s="2"/>
      <c r="W73" s="2"/>
      <c r="X73" s="2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spans="2:83" ht="15.5" customHeight="1" x14ac:dyDescent="0.45">
      <c r="B74" s="1"/>
      <c r="C74" s="26"/>
      <c r="D74" s="2"/>
      <c r="E74" s="2"/>
      <c r="F74" s="2"/>
      <c r="G74" s="27"/>
      <c r="H74" s="27"/>
      <c r="I74" s="27"/>
      <c r="J74" s="27"/>
      <c r="K74" s="27"/>
      <c r="L74" s="2"/>
      <c r="M74" s="2"/>
      <c r="N74" s="2"/>
      <c r="O74" s="2"/>
      <c r="P74" s="2"/>
      <c r="Q74" s="2"/>
      <c r="R74" s="1"/>
      <c r="S74" s="1"/>
      <c r="T74" s="2"/>
      <c r="U74" s="2"/>
      <c r="V74" s="2"/>
      <c r="W74" s="2"/>
      <c r="X74" s="2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spans="2:83" x14ac:dyDescent="0.45">
      <c r="B75" s="1"/>
      <c r="C75" s="26"/>
      <c r="D75" s="2"/>
      <c r="E75" s="2"/>
      <c r="F75" s="2"/>
      <c r="G75" s="27"/>
      <c r="H75" s="27"/>
      <c r="I75" s="27"/>
      <c r="J75" s="27"/>
      <c r="K75" s="27"/>
      <c r="L75" s="2"/>
      <c r="M75" s="2"/>
      <c r="N75" s="2"/>
      <c r="O75" s="2"/>
      <c r="P75" s="2"/>
      <c r="Q75" s="2"/>
      <c r="R75" s="1"/>
      <c r="S75" s="1"/>
      <c r="T75" s="2"/>
      <c r="U75" s="2"/>
      <c r="V75" s="2"/>
      <c r="W75" s="2"/>
      <c r="X75" s="2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spans="2:83" x14ac:dyDescent="0.45">
      <c r="B76" s="1"/>
      <c r="C76" s="26"/>
      <c r="D76" s="2"/>
      <c r="E76" s="2"/>
      <c r="F76" s="2"/>
      <c r="G76" s="27"/>
      <c r="H76" s="27"/>
      <c r="I76" s="27"/>
      <c r="J76" s="27"/>
      <c r="K76" s="27"/>
      <c r="L76" s="2"/>
      <c r="M76" s="2"/>
      <c r="N76" s="2"/>
      <c r="O76" s="2"/>
      <c r="P76" s="2"/>
      <c r="Q76" s="2"/>
      <c r="R76" s="1"/>
      <c r="S76" s="1"/>
      <c r="T76" s="2"/>
      <c r="U76" s="2"/>
      <c r="V76" s="2"/>
      <c r="W76" s="2"/>
      <c r="X76" s="2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spans="2:83" x14ac:dyDescent="0.45">
      <c r="B77" s="1"/>
      <c r="C77" s="26"/>
      <c r="D77" s="2"/>
      <c r="E77" s="2"/>
      <c r="F77" s="2"/>
      <c r="G77" s="27"/>
      <c r="H77" s="27"/>
      <c r="I77" s="27"/>
      <c r="J77" s="27"/>
      <c r="K77" s="27"/>
      <c r="L77" s="2"/>
      <c r="M77" s="2"/>
      <c r="N77" s="2"/>
      <c r="O77" s="2"/>
      <c r="P77" s="2"/>
      <c r="Q77" s="2"/>
      <c r="R77" s="1"/>
      <c r="S77" s="1"/>
      <c r="T77" s="2"/>
      <c r="U77" s="2"/>
      <c r="V77" s="2"/>
      <c r="W77" s="2"/>
      <c r="X77" s="2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spans="2:83" x14ac:dyDescent="0.45">
      <c r="T78" s="2"/>
      <c r="U78" s="2"/>
      <c r="V78" s="2"/>
      <c r="W78" s="2"/>
      <c r="X78" s="2"/>
    </row>
    <row r="79" spans="2:83" x14ac:dyDescent="0.45">
      <c r="T79" s="2"/>
      <c r="U79" s="2"/>
      <c r="V79" s="2"/>
      <c r="W79" s="2"/>
      <c r="X79" s="2"/>
    </row>
    <row r="80" spans="2:83" x14ac:dyDescent="0.45">
      <c r="T80" s="2"/>
      <c r="U80" s="2"/>
      <c r="V80" s="2"/>
      <c r="W80" s="2"/>
      <c r="X80" s="2"/>
    </row>
    <row r="81" spans="20:24" x14ac:dyDescent="0.45">
      <c r="T81" s="2"/>
      <c r="U81" s="2"/>
      <c r="V81" s="2"/>
      <c r="W81" s="2"/>
      <c r="X81" s="2"/>
    </row>
    <row r="82" spans="20:24" x14ac:dyDescent="0.45">
      <c r="T82" s="2"/>
      <c r="U82" s="2"/>
      <c r="V82" s="2"/>
      <c r="W82" s="2"/>
      <c r="X82" s="2"/>
    </row>
    <row r="83" spans="20:24" x14ac:dyDescent="0.45">
      <c r="T83" s="2"/>
      <c r="U83" s="2"/>
      <c r="V83" s="2"/>
      <c r="W83" s="2"/>
      <c r="X83" s="2"/>
    </row>
  </sheetData>
  <phoneticPr fontId="43" type="noConversion"/>
  <conditionalFormatting sqref="C45:Q77">
    <cfRule type="expression" dxfId="8" priority="9">
      <formula>$C45&lt;&gt;""</formula>
    </cfRule>
  </conditionalFormatting>
  <conditionalFormatting sqref="D14:D18">
    <cfRule type="cellIs" dxfId="7" priority="1" operator="greaterThan">
      <formula>0</formula>
    </cfRule>
    <cfRule type="cellIs" dxfId="6" priority="2" operator="lessThan">
      <formula>0</formula>
    </cfRule>
  </conditionalFormatting>
  <conditionalFormatting sqref="T45:X83">
    <cfRule type="expression" dxfId="5" priority="10">
      <formula>$C45&lt;&gt;""</formula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A69C-952D-4624-AC65-C4380AA201F9}">
  <dimension ref="B1:CF177"/>
  <sheetViews>
    <sheetView showGridLines="0" showRowColHeaders="0" zoomScaleNormal="100" workbookViewId="0">
      <selection activeCell="C6" sqref="C6"/>
    </sheetView>
  </sheetViews>
  <sheetFormatPr baseColWidth="10" defaultColWidth="9.06640625" defaultRowHeight="14.25" x14ac:dyDescent="0.45"/>
  <cols>
    <col min="1" max="1" width="1.53125" customWidth="1"/>
    <col min="2" max="2" width="2.46484375" customWidth="1"/>
    <col min="3" max="3" width="9" customWidth="1"/>
    <col min="4" max="4" width="16" customWidth="1"/>
    <col min="5" max="5" width="36" customWidth="1"/>
    <col min="6" max="7" width="15" customWidth="1"/>
    <col min="8" max="8" width="14" customWidth="1"/>
    <col min="9" max="9" width="15" customWidth="1"/>
    <col min="10" max="10" width="130.59765625" customWidth="1"/>
    <col min="15" max="20" width="13" style="55" customWidth="1"/>
    <col min="21" max="22" width="9.06640625" style="55" customWidth="1"/>
    <col min="23" max="23" width="8.73046875" style="55" customWidth="1"/>
    <col min="24" max="24" width="6.33203125" style="55" customWidth="1"/>
    <col min="25" max="26" width="13.3984375" style="55" customWidth="1"/>
    <col min="27" max="33" width="9.06640625" style="55" customWidth="1"/>
    <col min="34" max="84" width="9.06640625" style="55"/>
  </cols>
  <sheetData>
    <row r="1" spans="2:26" ht="6.75" customHeight="1" x14ac:dyDescent="0.45"/>
    <row r="2" spans="2:26" ht="13.9" customHeight="1" x14ac:dyDescent="0.4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26" ht="25.9" customHeight="1" x14ac:dyDescent="0.45">
      <c r="B3" s="9"/>
      <c r="C3" s="10"/>
      <c r="D3" s="10"/>
      <c r="E3" s="10" t="s">
        <v>81</v>
      </c>
      <c r="F3" s="9"/>
      <c r="G3" s="9"/>
      <c r="H3" s="9"/>
      <c r="I3" s="9"/>
      <c r="J3" s="9"/>
      <c r="K3" s="9"/>
      <c r="L3" s="9"/>
      <c r="M3" s="9"/>
      <c r="N3" s="9"/>
    </row>
    <row r="4" spans="2:26" ht="23.25" customHeight="1" x14ac:dyDescent="0.45">
      <c r="B4" s="9"/>
      <c r="C4" s="11"/>
      <c r="D4" s="11"/>
      <c r="E4" s="11"/>
      <c r="F4" s="9"/>
      <c r="G4" s="9"/>
      <c r="H4" s="9"/>
      <c r="I4" s="9"/>
      <c r="J4" s="9"/>
      <c r="K4" s="9"/>
      <c r="L4" s="9"/>
      <c r="M4" s="9"/>
      <c r="N4" s="9"/>
    </row>
    <row r="5" spans="2:26" ht="10.050000000000001" customHeight="1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26" ht="24" customHeight="1" x14ac:dyDescent="0.45">
      <c r="B6" s="1"/>
      <c r="C6" s="28" t="e">
        <f>"Sur "&amp;TEXT(SUM(G35:G37),"#,##0 €")&amp;" de chiffre d'affaires, "&amp;TEXT(-SUM(G38:G50),"#,##0 €")&amp;" partent en charges. Il reste "&amp;TEXT(SUM(G35:G50),"#,##0 €")&amp;" d'EBITDA, soit "&amp;TEXT(SUM(G35:G50)/SUM(G35:G37),"0.0%")&amp;" du chiffre d'affaires."</f>
        <v>#DIV/0!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26" ht="14" customHeight="1" x14ac:dyDescent="0.45">
      <c r="B7" s="1"/>
      <c r="C7" s="1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01" t="s">
        <v>82</v>
      </c>
      <c r="P7" s="101" t="s">
        <v>83</v>
      </c>
      <c r="Q7" s="101" t="s">
        <v>84</v>
      </c>
      <c r="R7" s="101" t="s">
        <v>85</v>
      </c>
      <c r="S7" s="101" t="s">
        <v>86</v>
      </c>
      <c r="T7" s="101" t="s">
        <v>87</v>
      </c>
    </row>
    <row r="8" spans="2:26" ht="8" customHeight="1" x14ac:dyDescent="0.4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26" ht="15" customHeight="1" x14ac:dyDescent="0.4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26" ht="15" customHeight="1" x14ac:dyDescent="0.4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26" ht="15" customHeight="1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26" ht="15" customHeight="1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26" ht="15" customHeight="1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26" ht="15" customHeight="1" x14ac:dyDescent="0.4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W14" s="102" t="s">
        <v>115</v>
      </c>
      <c r="X14" s="103" t="s">
        <v>116</v>
      </c>
      <c r="Y14" s="103" t="s">
        <v>117</v>
      </c>
      <c r="Z14" s="103" t="s">
        <v>118</v>
      </c>
    </row>
    <row r="15" spans="2:26" ht="15" customHeight="1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W15" s="103"/>
      <c r="X15" s="103"/>
      <c r="Y15" s="103"/>
      <c r="Z15" s="103"/>
    </row>
    <row r="16" spans="2:26" ht="15" customHeight="1" x14ac:dyDescent="0.4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15" customHeight="1" x14ac:dyDescent="0.4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15" customHeight="1" x14ac:dyDescent="0.4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15" customHeight="1" x14ac:dyDescent="0.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15" customHeight="1" x14ac:dyDescent="0.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15" customHeight="1" x14ac:dyDescent="0.4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15" customHeight="1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15" customHeight="1" x14ac:dyDescent="0.4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15" customHeight="1" x14ac:dyDescent="0.4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15" customHeight="1" x14ac:dyDescent="0.4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15" customHeight="1" x14ac:dyDescent="0.4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15" customHeight="1" x14ac:dyDescent="0.4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15" customHeight="1" x14ac:dyDescent="0.4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15" customHeight="1" x14ac:dyDescent="0.4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10.050000000000001" customHeight="1" x14ac:dyDescent="0.4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10.050000000000001" customHeight="1" x14ac:dyDescent="0.4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10.050000000000001" customHeight="1" x14ac:dyDescent="0.4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0" customHeight="1" x14ac:dyDescent="0.45">
      <c r="B33" s="1"/>
      <c r="C33" s="6" t="s">
        <v>101</v>
      </c>
      <c r="D33" s="1"/>
      <c r="E33" s="1"/>
      <c r="F33" s="1"/>
      <c r="G33" s="1"/>
      <c r="H33" s="1"/>
      <c r="I33" s="7"/>
      <c r="J33" s="1"/>
      <c r="K33" s="1"/>
      <c r="L33" s="1"/>
      <c r="M33" s="1"/>
      <c r="N33" s="1"/>
    </row>
    <row r="34" spans="2:14" ht="26" customHeight="1" x14ac:dyDescent="0.45">
      <c r="B34" s="1"/>
      <c r="C34" s="4" t="s">
        <v>82</v>
      </c>
      <c r="D34" s="4" t="s">
        <v>83</v>
      </c>
      <c r="E34" s="4" t="s">
        <v>84</v>
      </c>
      <c r="F34" s="5" t="s">
        <v>86</v>
      </c>
      <c r="G34" s="5" t="s">
        <v>87</v>
      </c>
      <c r="H34" s="5" t="s">
        <v>102</v>
      </c>
      <c r="I34" s="5" t="s">
        <v>103</v>
      </c>
      <c r="J34" s="1"/>
      <c r="L34" t="s">
        <v>104</v>
      </c>
      <c r="M34" t="s">
        <v>105</v>
      </c>
      <c r="N34" s="1"/>
    </row>
    <row r="35" spans="2:14" ht="15.5" customHeight="1" x14ac:dyDescent="0.45">
      <c r="B35" s="1"/>
      <c r="C35" s="29" t="s">
        <v>110</v>
      </c>
      <c r="D35" s="30" t="str">
        <f t="shared" ref="D35:D50" si="0">IFERROR(VLOOKUP($C35,$O$8:$T$29,2,FALSE),"")</f>
        <v/>
      </c>
      <c r="E35" s="26" t="str">
        <f t="shared" ref="E35:E50" si="1">IFERROR(VLOOKUP($C35,$O$8:$T$29,3,FALSE),"")</f>
        <v/>
      </c>
      <c r="F35" s="31">
        <f t="shared" ref="F35:F50" si="2">IFERROR(VLOOKUP($C35,$O$8:$T$29,5,FALSE),0)</f>
        <v>0</v>
      </c>
      <c r="G35" s="31">
        <f t="shared" ref="G35:G50" si="3">IFERROR(VLOOKUP($C35,$O$8:$T$29,6,FALSE),0)</f>
        <v>0</v>
      </c>
      <c r="H35" s="32">
        <f t="shared" ref="H35:H50" si="4">G35-F35</f>
        <v>0</v>
      </c>
      <c r="I35" s="3" t="e">
        <f>IF($D35="Produits","",-G35/SUM(G38:G50))</f>
        <v>#DIV/0!</v>
      </c>
      <c r="J35" s="1"/>
      <c r="K35" t="str">
        <f t="shared" ref="K35:K50" si="5">IFERROR(VLOOKUP($C35,$O$8:$T$29,4,FALSE),"")</f>
        <v/>
      </c>
      <c r="N35" s="1"/>
    </row>
    <row r="36" spans="2:14" ht="15.5" customHeight="1" x14ac:dyDescent="0.45">
      <c r="B36" s="1"/>
      <c r="C36" s="29" t="s">
        <v>111</v>
      </c>
      <c r="D36" s="30" t="str">
        <f t="shared" si="0"/>
        <v/>
      </c>
      <c r="E36" s="26" t="str">
        <f t="shared" si="1"/>
        <v/>
      </c>
      <c r="F36" s="31">
        <f t="shared" si="2"/>
        <v>0</v>
      </c>
      <c r="G36" s="31">
        <f t="shared" si="3"/>
        <v>0</v>
      </c>
      <c r="H36" s="32">
        <f t="shared" si="4"/>
        <v>0</v>
      </c>
      <c r="I36" s="3" t="e">
        <f>IF($D36="Produits","",-G36/SUM(G38:G50))</f>
        <v>#DIV/0!</v>
      </c>
      <c r="J36" s="1"/>
      <c r="K36" t="str">
        <f t="shared" si="5"/>
        <v/>
      </c>
      <c r="N36" s="1"/>
    </row>
    <row r="37" spans="2:14" ht="15.5" customHeight="1" x14ac:dyDescent="0.45">
      <c r="B37" s="1"/>
      <c r="C37" s="29" t="s">
        <v>112</v>
      </c>
      <c r="D37" s="30" t="str">
        <f t="shared" si="0"/>
        <v/>
      </c>
      <c r="E37" s="26" t="str">
        <f t="shared" si="1"/>
        <v/>
      </c>
      <c r="F37" s="31">
        <f t="shared" si="2"/>
        <v>0</v>
      </c>
      <c r="G37" s="31">
        <f t="shared" si="3"/>
        <v>0</v>
      </c>
      <c r="H37" s="32">
        <f t="shared" si="4"/>
        <v>0</v>
      </c>
      <c r="I37" s="3" t="e">
        <f>IF($D37="Produits","",-G37/SUM(G38:G50))</f>
        <v>#DIV/0!</v>
      </c>
      <c r="J37" s="1"/>
      <c r="K37" t="str">
        <f t="shared" si="5"/>
        <v/>
      </c>
      <c r="N37" s="1"/>
    </row>
    <row r="38" spans="2:14" ht="15.5" customHeight="1" x14ac:dyDescent="0.45">
      <c r="B38" s="1"/>
      <c r="C38" s="29" t="s">
        <v>88</v>
      </c>
      <c r="D38" s="30" t="str">
        <f t="shared" si="0"/>
        <v/>
      </c>
      <c r="E38" s="26" t="str">
        <f t="shared" si="1"/>
        <v/>
      </c>
      <c r="F38" s="31">
        <f t="shared" si="2"/>
        <v>0</v>
      </c>
      <c r="G38" s="31">
        <f t="shared" si="3"/>
        <v>0</v>
      </c>
      <c r="H38" s="32">
        <f t="shared" si="4"/>
        <v>0</v>
      </c>
      <c r="I38" s="104" t="e">
        <f>IF($D38="Produits","",-G38/SUM(G38:G50))</f>
        <v>#DIV/0!</v>
      </c>
      <c r="J38" s="1"/>
      <c r="K38" t="str">
        <f t="shared" si="5"/>
        <v/>
      </c>
      <c r="L38">
        <f t="shared" ref="L38:M50" si="6">-F38</f>
        <v>0</v>
      </c>
      <c r="M38">
        <f t="shared" si="6"/>
        <v>0</v>
      </c>
      <c r="N38" s="1"/>
    </row>
    <row r="39" spans="2:14" ht="15.5" customHeight="1" x14ac:dyDescent="0.45">
      <c r="B39" s="1"/>
      <c r="C39" s="29" t="s">
        <v>89</v>
      </c>
      <c r="D39" s="30" t="str">
        <f t="shared" si="0"/>
        <v/>
      </c>
      <c r="E39" s="26" t="str">
        <f t="shared" si="1"/>
        <v/>
      </c>
      <c r="F39" s="31">
        <f t="shared" si="2"/>
        <v>0</v>
      </c>
      <c r="G39" s="31">
        <f t="shared" si="3"/>
        <v>0</v>
      </c>
      <c r="H39" s="32">
        <f t="shared" si="4"/>
        <v>0</v>
      </c>
      <c r="I39" s="104" t="e">
        <f>IF($D39="Produits","",-G39/SUM(G38:G50))</f>
        <v>#DIV/0!</v>
      </c>
      <c r="J39" s="1"/>
      <c r="K39" t="str">
        <f t="shared" si="5"/>
        <v/>
      </c>
      <c r="L39">
        <f t="shared" si="6"/>
        <v>0</v>
      </c>
      <c r="M39">
        <f t="shared" si="6"/>
        <v>0</v>
      </c>
      <c r="N39" s="1"/>
    </row>
    <row r="40" spans="2:14" ht="15.5" customHeight="1" x14ac:dyDescent="0.45">
      <c r="B40" s="1"/>
      <c r="C40" s="29" t="s">
        <v>90</v>
      </c>
      <c r="D40" s="30" t="str">
        <f t="shared" si="0"/>
        <v/>
      </c>
      <c r="E40" s="26" t="str">
        <f t="shared" si="1"/>
        <v/>
      </c>
      <c r="F40" s="31">
        <f t="shared" si="2"/>
        <v>0</v>
      </c>
      <c r="G40" s="31">
        <f t="shared" si="3"/>
        <v>0</v>
      </c>
      <c r="H40" s="32">
        <f t="shared" si="4"/>
        <v>0</v>
      </c>
      <c r="I40" s="104" t="e">
        <f>IF($D40="Produits","",-G40/SUM(G38:G50))</f>
        <v>#DIV/0!</v>
      </c>
      <c r="J40" s="1"/>
      <c r="K40" t="str">
        <f t="shared" si="5"/>
        <v/>
      </c>
      <c r="L40">
        <f t="shared" si="6"/>
        <v>0</v>
      </c>
      <c r="M40">
        <f t="shared" si="6"/>
        <v>0</v>
      </c>
      <c r="N40" s="1"/>
    </row>
    <row r="41" spans="2:14" ht="15.5" customHeight="1" x14ac:dyDescent="0.45">
      <c r="B41" s="1"/>
      <c r="C41" s="29" t="s">
        <v>91</v>
      </c>
      <c r="D41" s="30" t="str">
        <f t="shared" si="0"/>
        <v/>
      </c>
      <c r="E41" s="26" t="str">
        <f t="shared" si="1"/>
        <v/>
      </c>
      <c r="F41" s="31">
        <f t="shared" si="2"/>
        <v>0</v>
      </c>
      <c r="G41" s="31">
        <f t="shared" si="3"/>
        <v>0</v>
      </c>
      <c r="H41" s="32">
        <f t="shared" si="4"/>
        <v>0</v>
      </c>
      <c r="I41" s="104" t="e">
        <f>IF($D41="Produits","",-G41/SUM(G38:G50))</f>
        <v>#DIV/0!</v>
      </c>
      <c r="J41" s="1"/>
      <c r="K41" t="str">
        <f t="shared" si="5"/>
        <v/>
      </c>
      <c r="L41">
        <f t="shared" si="6"/>
        <v>0</v>
      </c>
      <c r="M41">
        <f t="shared" si="6"/>
        <v>0</v>
      </c>
      <c r="N41" s="1"/>
    </row>
    <row r="42" spans="2:14" ht="15.5" customHeight="1" x14ac:dyDescent="0.45">
      <c r="B42" s="1"/>
      <c r="C42" s="29" t="s">
        <v>92</v>
      </c>
      <c r="D42" s="30" t="str">
        <f t="shared" si="0"/>
        <v/>
      </c>
      <c r="E42" s="26" t="str">
        <f t="shared" si="1"/>
        <v/>
      </c>
      <c r="F42" s="31">
        <f t="shared" si="2"/>
        <v>0</v>
      </c>
      <c r="G42" s="31">
        <f t="shared" si="3"/>
        <v>0</v>
      </c>
      <c r="H42" s="32">
        <f t="shared" si="4"/>
        <v>0</v>
      </c>
      <c r="I42" s="104" t="e">
        <f>IF($D42="Produits","",-G42/SUM(G38:G50))</f>
        <v>#DIV/0!</v>
      </c>
      <c r="J42" s="1"/>
      <c r="K42" t="str">
        <f t="shared" si="5"/>
        <v/>
      </c>
      <c r="L42">
        <f t="shared" si="6"/>
        <v>0</v>
      </c>
      <c r="M42">
        <f t="shared" si="6"/>
        <v>0</v>
      </c>
      <c r="N42" s="1"/>
    </row>
    <row r="43" spans="2:14" ht="15.5" customHeight="1" x14ac:dyDescent="0.45">
      <c r="B43" s="1"/>
      <c r="C43" s="29" t="s">
        <v>93</v>
      </c>
      <c r="D43" s="30" t="str">
        <f t="shared" si="0"/>
        <v/>
      </c>
      <c r="E43" s="26" t="str">
        <f t="shared" si="1"/>
        <v/>
      </c>
      <c r="F43" s="31">
        <f t="shared" si="2"/>
        <v>0</v>
      </c>
      <c r="G43" s="31">
        <f t="shared" si="3"/>
        <v>0</v>
      </c>
      <c r="H43" s="32">
        <f t="shared" si="4"/>
        <v>0</v>
      </c>
      <c r="I43" s="104" t="e">
        <f>IF($D43="Produits","",-G43/SUM(G38:G50))</f>
        <v>#DIV/0!</v>
      </c>
      <c r="J43" s="1"/>
      <c r="K43" t="str">
        <f t="shared" si="5"/>
        <v/>
      </c>
      <c r="L43">
        <f t="shared" si="6"/>
        <v>0</v>
      </c>
      <c r="M43">
        <f t="shared" si="6"/>
        <v>0</v>
      </c>
      <c r="N43" s="1"/>
    </row>
    <row r="44" spans="2:14" ht="15.5" customHeight="1" x14ac:dyDescent="0.45">
      <c r="B44" s="1"/>
      <c r="C44" s="29" t="s">
        <v>94</v>
      </c>
      <c r="D44" s="30" t="str">
        <f t="shared" si="0"/>
        <v/>
      </c>
      <c r="E44" s="26" t="str">
        <f t="shared" si="1"/>
        <v/>
      </c>
      <c r="F44" s="31">
        <f t="shared" si="2"/>
        <v>0</v>
      </c>
      <c r="G44" s="31">
        <f t="shared" si="3"/>
        <v>0</v>
      </c>
      <c r="H44" s="32">
        <f t="shared" si="4"/>
        <v>0</v>
      </c>
      <c r="I44" s="104" t="e">
        <f>IF($D44="Produits","",-G44/SUM(G38:G50))</f>
        <v>#DIV/0!</v>
      </c>
      <c r="J44" s="1"/>
      <c r="K44" t="str">
        <f t="shared" si="5"/>
        <v/>
      </c>
      <c r="L44">
        <f t="shared" si="6"/>
        <v>0</v>
      </c>
      <c r="M44">
        <f t="shared" si="6"/>
        <v>0</v>
      </c>
      <c r="N44" s="1"/>
    </row>
    <row r="45" spans="2:14" ht="15.5" customHeight="1" x14ac:dyDescent="0.45">
      <c r="B45" s="1"/>
      <c r="C45" s="29" t="s">
        <v>95</v>
      </c>
      <c r="D45" s="30" t="str">
        <f t="shared" si="0"/>
        <v/>
      </c>
      <c r="E45" s="26" t="str">
        <f t="shared" si="1"/>
        <v/>
      </c>
      <c r="F45" s="31">
        <f t="shared" si="2"/>
        <v>0</v>
      </c>
      <c r="G45" s="31">
        <f t="shared" si="3"/>
        <v>0</v>
      </c>
      <c r="H45" s="32">
        <f t="shared" si="4"/>
        <v>0</v>
      </c>
      <c r="I45" s="104" t="e">
        <f>IF($D45="Produits","",-G45/SUM(G38:G50))</f>
        <v>#DIV/0!</v>
      </c>
      <c r="J45" s="1"/>
      <c r="K45" t="str">
        <f t="shared" si="5"/>
        <v/>
      </c>
      <c r="L45">
        <f t="shared" si="6"/>
        <v>0</v>
      </c>
      <c r="M45">
        <f t="shared" si="6"/>
        <v>0</v>
      </c>
      <c r="N45" s="1"/>
    </row>
    <row r="46" spans="2:14" ht="15.5" customHeight="1" x14ac:dyDescent="0.45">
      <c r="B46" s="1"/>
      <c r="C46" s="29" t="s">
        <v>96</v>
      </c>
      <c r="D46" s="30" t="str">
        <f t="shared" si="0"/>
        <v/>
      </c>
      <c r="E46" s="26" t="str">
        <f t="shared" si="1"/>
        <v/>
      </c>
      <c r="F46" s="31">
        <f t="shared" si="2"/>
        <v>0</v>
      </c>
      <c r="G46" s="31">
        <f t="shared" si="3"/>
        <v>0</v>
      </c>
      <c r="H46" s="32">
        <f t="shared" si="4"/>
        <v>0</v>
      </c>
      <c r="I46" s="104" t="e">
        <f>IF($D46="Produits","",-G46/SUM(G38:G50))</f>
        <v>#DIV/0!</v>
      </c>
      <c r="J46" s="1"/>
      <c r="K46" t="str">
        <f t="shared" si="5"/>
        <v/>
      </c>
      <c r="L46">
        <f t="shared" si="6"/>
        <v>0</v>
      </c>
      <c r="M46">
        <f t="shared" si="6"/>
        <v>0</v>
      </c>
      <c r="N46" s="1"/>
    </row>
    <row r="47" spans="2:14" ht="15.5" customHeight="1" x14ac:dyDescent="0.45">
      <c r="B47" s="1"/>
      <c r="C47" s="29" t="s">
        <v>97</v>
      </c>
      <c r="D47" s="30" t="str">
        <f t="shared" si="0"/>
        <v/>
      </c>
      <c r="E47" s="26" t="str">
        <f t="shared" si="1"/>
        <v/>
      </c>
      <c r="F47" s="31">
        <f t="shared" si="2"/>
        <v>0</v>
      </c>
      <c r="G47" s="31">
        <f t="shared" si="3"/>
        <v>0</v>
      </c>
      <c r="H47" s="32">
        <f t="shared" si="4"/>
        <v>0</v>
      </c>
      <c r="I47" s="104" t="e">
        <f>IF($D47="Produits","",-G47/SUM(G38:G50))</f>
        <v>#DIV/0!</v>
      </c>
      <c r="J47" s="1"/>
      <c r="K47" t="str">
        <f t="shared" si="5"/>
        <v/>
      </c>
      <c r="L47">
        <f t="shared" si="6"/>
        <v>0</v>
      </c>
      <c r="M47">
        <f t="shared" si="6"/>
        <v>0</v>
      </c>
      <c r="N47" s="1"/>
    </row>
    <row r="48" spans="2:14" ht="15.5" customHeight="1" x14ac:dyDescent="0.45">
      <c r="B48" s="1"/>
      <c r="C48" s="29" t="s">
        <v>98</v>
      </c>
      <c r="D48" s="30" t="str">
        <f t="shared" si="0"/>
        <v/>
      </c>
      <c r="E48" s="26" t="str">
        <f t="shared" si="1"/>
        <v/>
      </c>
      <c r="F48" s="31">
        <f t="shared" si="2"/>
        <v>0</v>
      </c>
      <c r="G48" s="31">
        <f t="shared" si="3"/>
        <v>0</v>
      </c>
      <c r="H48" s="32">
        <f t="shared" si="4"/>
        <v>0</v>
      </c>
      <c r="I48" s="104" t="e">
        <f>IF($D48="Produits","",-G48/SUM(G38:G50))</f>
        <v>#DIV/0!</v>
      </c>
      <c r="J48" s="1"/>
      <c r="K48" t="str">
        <f t="shared" si="5"/>
        <v/>
      </c>
      <c r="L48">
        <f t="shared" si="6"/>
        <v>0</v>
      </c>
      <c r="M48">
        <f t="shared" si="6"/>
        <v>0</v>
      </c>
      <c r="N48" s="1"/>
    </row>
    <row r="49" spans="2:14" x14ac:dyDescent="0.45">
      <c r="B49" s="1"/>
      <c r="C49" s="29" t="s">
        <v>99</v>
      </c>
      <c r="D49" s="30" t="str">
        <f t="shared" si="0"/>
        <v/>
      </c>
      <c r="E49" s="26" t="str">
        <f t="shared" si="1"/>
        <v/>
      </c>
      <c r="F49" s="31">
        <f t="shared" si="2"/>
        <v>0</v>
      </c>
      <c r="G49" s="31">
        <f t="shared" si="3"/>
        <v>0</v>
      </c>
      <c r="H49" s="32">
        <f t="shared" si="4"/>
        <v>0</v>
      </c>
      <c r="I49" s="104" t="e">
        <f>IF($D49="Produits","",-G49/SUM(G38:G50))</f>
        <v>#DIV/0!</v>
      </c>
      <c r="J49" s="1"/>
      <c r="K49" t="str">
        <f t="shared" si="5"/>
        <v/>
      </c>
      <c r="L49">
        <f t="shared" si="6"/>
        <v>0</v>
      </c>
      <c r="M49">
        <f t="shared" si="6"/>
        <v>0</v>
      </c>
      <c r="N49" s="1"/>
    </row>
    <row r="50" spans="2:14" x14ac:dyDescent="0.45">
      <c r="B50" s="1"/>
      <c r="C50" s="29" t="s">
        <v>100</v>
      </c>
      <c r="D50" s="30" t="str">
        <f t="shared" si="0"/>
        <v/>
      </c>
      <c r="E50" s="26" t="str">
        <f t="shared" si="1"/>
        <v/>
      </c>
      <c r="F50" s="31">
        <f t="shared" si="2"/>
        <v>0</v>
      </c>
      <c r="G50" s="31">
        <f t="shared" si="3"/>
        <v>0</v>
      </c>
      <c r="H50" s="32">
        <f t="shared" si="4"/>
        <v>0</v>
      </c>
      <c r="I50" s="104" t="e">
        <f>IF($D50="Produits","",-G50/SUM(G38:G50))</f>
        <v>#DIV/0!</v>
      </c>
      <c r="J50" s="1"/>
      <c r="K50" t="str">
        <f t="shared" si="5"/>
        <v/>
      </c>
      <c r="L50">
        <f t="shared" si="6"/>
        <v>0</v>
      </c>
      <c r="M50">
        <f t="shared" si="6"/>
        <v>0</v>
      </c>
      <c r="N50" s="1"/>
    </row>
    <row r="51" spans="2:14" ht="14.65" thickBot="1" x14ac:dyDescent="0.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2:14" ht="14.65" thickBot="1" x14ac:dyDescent="0.5">
      <c r="B52" s="1"/>
      <c r="C52" s="19" t="s">
        <v>106</v>
      </c>
      <c r="D52" s="33"/>
      <c r="E52" s="19"/>
      <c r="F52" s="34">
        <f>SUM(F35:F50)</f>
        <v>0</v>
      </c>
      <c r="G52" s="34">
        <f>SUM(G35:G50)</f>
        <v>0</v>
      </c>
      <c r="H52" s="33"/>
      <c r="I52" s="33"/>
      <c r="J52" s="1"/>
      <c r="K52" s="1"/>
      <c r="L52" s="1"/>
      <c r="M52" s="1"/>
      <c r="N52" s="1"/>
    </row>
    <row r="53" spans="2:14" x14ac:dyDescent="0.4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2:14" x14ac:dyDescent="0.45">
      <c r="B54" s="1"/>
      <c r="C54" s="6" t="s">
        <v>113</v>
      </c>
      <c r="D54" s="1"/>
      <c r="E54" s="1"/>
      <c r="F54" s="1"/>
      <c r="G54" s="1"/>
      <c r="H54" s="1"/>
      <c r="I54" s="1"/>
      <c r="J54" s="1"/>
    </row>
    <row r="55" spans="2:14" x14ac:dyDescent="0.45">
      <c r="B55" s="1"/>
      <c r="C55" s="35" t="s">
        <v>114</v>
      </c>
      <c r="D55" s="36"/>
      <c r="E55" s="36"/>
      <c r="F55" s="37">
        <f>SUM(F35:F37)</f>
        <v>0</v>
      </c>
      <c r="G55" s="37">
        <f>SUM(G35:G37)</f>
        <v>0</v>
      </c>
      <c r="H55" s="36"/>
      <c r="I55" s="36"/>
      <c r="J55" s="1"/>
    </row>
    <row r="56" spans="2:14" x14ac:dyDescent="0.45">
      <c r="B56" s="1"/>
      <c r="C56" s="35" t="s">
        <v>121</v>
      </c>
      <c r="D56" s="36"/>
      <c r="E56" s="36"/>
      <c r="F56" s="37">
        <f>SUM($Y$15:$Y$17)</f>
        <v>0</v>
      </c>
      <c r="G56" s="37">
        <f>SUM($Z$15:$Z$17)</f>
        <v>0</v>
      </c>
      <c r="H56" s="36"/>
      <c r="I56" s="36"/>
      <c r="J56" s="1"/>
    </row>
    <row r="57" spans="2:14" ht="14.65" thickBot="1" x14ac:dyDescent="0.5">
      <c r="B57" s="1"/>
      <c r="C57" s="38" t="s">
        <v>107</v>
      </c>
      <c r="D57" s="39"/>
      <c r="E57" s="39"/>
      <c r="F57" s="40">
        <f>F55-F56</f>
        <v>0</v>
      </c>
      <c r="G57" s="40">
        <f>G55-G56</f>
        <v>0</v>
      </c>
      <c r="H57" s="41" t="e">
        <f>F57/F56</f>
        <v>#DIV/0!</v>
      </c>
      <c r="I57" s="41" t="e">
        <f>G57/G56</f>
        <v>#DIV/0!</v>
      </c>
      <c r="J57" s="1"/>
    </row>
    <row r="58" spans="2:14" x14ac:dyDescent="0.45">
      <c r="B58" s="1"/>
      <c r="C58" s="1"/>
      <c r="D58" s="1"/>
      <c r="E58" s="1"/>
      <c r="F58" s="1"/>
      <c r="G58" s="1"/>
      <c r="H58" s="1"/>
      <c r="I58" s="1"/>
      <c r="J58" s="1"/>
    </row>
    <row r="59" spans="2:14" x14ac:dyDescent="0.45">
      <c r="B59" s="1"/>
      <c r="C59" s="1"/>
      <c r="D59" s="1"/>
      <c r="E59" s="1"/>
      <c r="F59" s="1"/>
      <c r="G59" s="1"/>
      <c r="H59" s="1"/>
      <c r="I59" s="1"/>
      <c r="J59" s="1"/>
    </row>
    <row r="60" spans="2:14" x14ac:dyDescent="0.45">
      <c r="B60" s="1"/>
      <c r="C60" s="1"/>
      <c r="D60" s="1"/>
      <c r="E60" s="1"/>
      <c r="F60" s="1"/>
      <c r="G60" s="1"/>
      <c r="H60" s="1"/>
      <c r="I60" s="1"/>
      <c r="J60" s="1"/>
    </row>
    <row r="61" spans="2:14" x14ac:dyDescent="0.45">
      <c r="B61" s="1"/>
      <c r="C61" s="1"/>
      <c r="D61" s="1"/>
      <c r="E61" s="1"/>
      <c r="F61" s="1"/>
      <c r="G61" s="1"/>
      <c r="H61" s="1"/>
      <c r="I61" s="1"/>
      <c r="J61" s="1"/>
    </row>
    <row r="62" spans="2:14" x14ac:dyDescent="0.45">
      <c r="B62" s="1"/>
      <c r="C62" s="1"/>
      <c r="D62" s="1"/>
      <c r="E62" s="1"/>
      <c r="F62" s="1"/>
      <c r="G62" s="1"/>
      <c r="H62" s="1"/>
      <c r="I62" s="1"/>
      <c r="J62" s="1"/>
    </row>
    <row r="63" spans="2:14" x14ac:dyDescent="0.45">
      <c r="B63" s="1"/>
      <c r="C63" s="1"/>
      <c r="D63" s="1"/>
      <c r="E63" s="1"/>
      <c r="F63" s="1"/>
      <c r="G63" s="1"/>
      <c r="H63" s="1"/>
      <c r="I63" s="1"/>
      <c r="J63" s="1"/>
    </row>
    <row r="64" spans="2:14" x14ac:dyDescent="0.45">
      <c r="B64" s="1"/>
      <c r="C64" s="1"/>
      <c r="D64" s="1"/>
      <c r="E64" s="1"/>
      <c r="F64" s="1"/>
      <c r="G64" s="1"/>
      <c r="H64" s="1"/>
      <c r="I64" s="1"/>
      <c r="J64" s="1"/>
    </row>
    <row r="65" spans="2:10" x14ac:dyDescent="0.45">
      <c r="B65" s="1"/>
      <c r="C65" s="1"/>
      <c r="D65" s="1"/>
      <c r="E65" s="1"/>
      <c r="F65" s="1"/>
      <c r="G65" s="1"/>
      <c r="H65" s="1"/>
      <c r="I65" s="1"/>
      <c r="J65" s="1"/>
    </row>
    <row r="66" spans="2:10" x14ac:dyDescent="0.45">
      <c r="B66" s="1"/>
      <c r="C66" s="1"/>
      <c r="D66" s="1"/>
      <c r="E66" s="1"/>
      <c r="F66" s="1"/>
      <c r="G66" s="1"/>
      <c r="H66" s="1"/>
      <c r="I66" s="1"/>
      <c r="J66" s="1"/>
    </row>
    <row r="67" spans="2:10" x14ac:dyDescent="0.45">
      <c r="B67" s="1"/>
      <c r="C67" s="1"/>
      <c r="D67" s="1"/>
      <c r="E67" s="1"/>
      <c r="F67" s="1"/>
      <c r="G67" s="1"/>
      <c r="H67" s="1"/>
      <c r="I67" s="1"/>
      <c r="J67" s="1"/>
    </row>
    <row r="68" spans="2:10" x14ac:dyDescent="0.45">
      <c r="B68" s="1"/>
      <c r="C68" s="1"/>
      <c r="D68" s="1"/>
      <c r="E68" s="1"/>
      <c r="F68" s="1"/>
      <c r="G68" s="1"/>
      <c r="H68" s="1"/>
      <c r="I68" s="1"/>
      <c r="J68" s="1"/>
    </row>
    <row r="69" spans="2:10" x14ac:dyDescent="0.45">
      <c r="B69" s="1"/>
      <c r="C69" s="1"/>
      <c r="D69" s="1"/>
      <c r="E69" s="1"/>
      <c r="F69" s="1"/>
      <c r="G69" s="1"/>
      <c r="H69" s="1"/>
      <c r="I69" s="1"/>
      <c r="J69" s="1"/>
    </row>
    <row r="70" spans="2:10" x14ac:dyDescent="0.45">
      <c r="B70" s="1"/>
      <c r="C70" s="1"/>
      <c r="D70" s="1"/>
      <c r="E70" s="1"/>
      <c r="F70" s="1"/>
      <c r="G70" s="1"/>
      <c r="H70" s="1"/>
      <c r="I70" s="1"/>
      <c r="J70" s="1"/>
    </row>
    <row r="71" spans="2:10" x14ac:dyDescent="0.45">
      <c r="B71" s="1"/>
      <c r="C71" s="1"/>
      <c r="D71" s="1"/>
      <c r="E71" s="1"/>
      <c r="F71" s="1"/>
      <c r="G71" s="1"/>
      <c r="H71" s="1"/>
      <c r="I71" s="1"/>
      <c r="J71" s="1"/>
    </row>
    <row r="72" spans="2:10" x14ac:dyDescent="0.45">
      <c r="B72" s="1"/>
      <c r="C72" s="1"/>
      <c r="D72" s="1"/>
      <c r="E72" s="1"/>
      <c r="F72" s="1"/>
      <c r="G72" s="1"/>
      <c r="H72" s="1"/>
      <c r="I72" s="1"/>
      <c r="J72" s="1"/>
    </row>
    <row r="73" spans="2:10" x14ac:dyDescent="0.45">
      <c r="B73" s="1"/>
      <c r="C73" s="1"/>
      <c r="D73" s="1"/>
      <c r="E73" s="1"/>
      <c r="F73" s="1"/>
      <c r="G73" s="1"/>
      <c r="H73" s="1"/>
      <c r="I73" s="1"/>
      <c r="J73" s="1"/>
    </row>
    <row r="74" spans="2:10" x14ac:dyDescent="0.45">
      <c r="B74" s="1"/>
      <c r="C74" s="1"/>
      <c r="D74" s="1"/>
      <c r="E74" s="1"/>
      <c r="F74" s="1"/>
      <c r="G74" s="1"/>
      <c r="H74" s="1"/>
      <c r="I74" s="1"/>
      <c r="J74" s="1"/>
    </row>
    <row r="75" spans="2:10" x14ac:dyDescent="0.45">
      <c r="B75" s="1"/>
      <c r="C75" s="1"/>
      <c r="D75" s="1"/>
      <c r="E75" s="1"/>
      <c r="F75" s="1"/>
      <c r="G75" s="1"/>
      <c r="H75" s="1"/>
      <c r="I75" s="1"/>
      <c r="J75" s="1"/>
    </row>
    <row r="76" spans="2:10" x14ac:dyDescent="0.45">
      <c r="B76" s="1"/>
      <c r="C76" s="1"/>
      <c r="D76" s="1"/>
      <c r="E76" s="1"/>
      <c r="F76" s="1"/>
      <c r="G76" s="1"/>
      <c r="H76" s="1"/>
      <c r="I76" s="1"/>
      <c r="J76" s="1"/>
    </row>
    <row r="77" spans="2:10" x14ac:dyDescent="0.45">
      <c r="B77" s="1"/>
      <c r="C77" s="1"/>
      <c r="D77" s="1"/>
      <c r="E77" s="1"/>
      <c r="F77" s="1"/>
      <c r="G77" s="1"/>
      <c r="H77" s="1"/>
      <c r="I77" s="1"/>
      <c r="J77" s="1"/>
    </row>
    <row r="78" spans="2:10" x14ac:dyDescent="0.45">
      <c r="B78" s="1"/>
      <c r="C78" s="1"/>
      <c r="D78" s="1"/>
      <c r="E78" s="1"/>
      <c r="F78" s="1"/>
      <c r="G78" s="1"/>
      <c r="H78" s="1"/>
      <c r="I78" s="1"/>
      <c r="J78" s="1"/>
    </row>
    <row r="79" spans="2:10" x14ac:dyDescent="0.45">
      <c r="B79" s="1"/>
      <c r="C79" s="1"/>
      <c r="D79" s="1"/>
      <c r="E79" s="1"/>
      <c r="F79" s="1"/>
      <c r="G79" s="1"/>
      <c r="H79" s="1"/>
      <c r="I79" s="1"/>
      <c r="J79" s="1"/>
    </row>
    <row r="80" spans="2:10" x14ac:dyDescent="0.45">
      <c r="B80" s="1"/>
      <c r="C80" s="1"/>
      <c r="D80" s="1"/>
      <c r="E80" s="1"/>
      <c r="F80" s="1"/>
      <c r="G80" s="1"/>
      <c r="H80" s="1"/>
      <c r="I80" s="1"/>
      <c r="J80" s="1"/>
    </row>
    <row r="81" spans="2:10" x14ac:dyDescent="0.45">
      <c r="B81" s="1"/>
      <c r="C81" s="1"/>
      <c r="D81" s="1"/>
      <c r="E81" s="1"/>
      <c r="F81" s="1"/>
      <c r="G81" s="1"/>
      <c r="H81" s="1"/>
      <c r="I81" s="1"/>
      <c r="J81" s="1"/>
    </row>
    <row r="82" spans="2:10" x14ac:dyDescent="0.45">
      <c r="B82" s="1"/>
      <c r="C82" s="1"/>
      <c r="D82" s="1"/>
      <c r="E82" s="1"/>
      <c r="F82" s="1"/>
      <c r="G82" s="1"/>
      <c r="H82" s="1"/>
      <c r="I82" s="1"/>
      <c r="J82" s="1"/>
    </row>
    <row r="83" spans="2:10" x14ac:dyDescent="0.45">
      <c r="B83" s="1"/>
      <c r="C83" s="1"/>
      <c r="D83" s="1"/>
      <c r="E83" s="1"/>
      <c r="F83" s="1"/>
      <c r="G83" s="1"/>
      <c r="H83" s="1"/>
      <c r="I83" s="1"/>
      <c r="J83" s="1"/>
    </row>
    <row r="84" spans="2:10" x14ac:dyDescent="0.45">
      <c r="B84" s="1"/>
      <c r="C84" s="1"/>
      <c r="D84" s="1"/>
      <c r="E84" s="1"/>
      <c r="F84" s="1"/>
      <c r="G84" s="1"/>
      <c r="H84" s="1"/>
      <c r="I84" s="1"/>
      <c r="J84" s="1"/>
    </row>
    <row r="85" spans="2:10" x14ac:dyDescent="0.45">
      <c r="B85" s="1"/>
      <c r="C85" s="1"/>
      <c r="D85" s="1"/>
      <c r="E85" s="1"/>
      <c r="F85" s="1"/>
      <c r="G85" s="1"/>
      <c r="H85" s="1"/>
      <c r="I85" s="1"/>
      <c r="J85" s="1"/>
    </row>
    <row r="86" spans="2:10" x14ac:dyDescent="0.45">
      <c r="B86" s="1"/>
      <c r="C86" s="1"/>
      <c r="D86" s="1"/>
      <c r="E86" s="1"/>
      <c r="F86" s="1"/>
      <c r="G86" s="1"/>
      <c r="H86" s="1"/>
      <c r="I86" s="1"/>
      <c r="J86" s="1"/>
    </row>
    <row r="87" spans="2:10" x14ac:dyDescent="0.45">
      <c r="B87" s="1"/>
      <c r="C87" s="1"/>
      <c r="D87" s="1"/>
      <c r="E87" s="1"/>
      <c r="F87" s="1"/>
      <c r="G87" s="1"/>
      <c r="H87" s="1"/>
      <c r="I87" s="1"/>
      <c r="J87" s="1"/>
    </row>
    <row r="88" spans="2:10" x14ac:dyDescent="0.45">
      <c r="B88" s="1"/>
      <c r="C88" s="1"/>
      <c r="D88" s="1"/>
      <c r="E88" s="1"/>
      <c r="F88" s="1"/>
      <c r="G88" s="1"/>
      <c r="H88" s="1"/>
      <c r="I88" s="1"/>
      <c r="J88" s="1"/>
    </row>
    <row r="89" spans="2:10" x14ac:dyDescent="0.45">
      <c r="B89" s="1"/>
      <c r="C89" s="1"/>
      <c r="D89" s="1"/>
      <c r="E89" s="1"/>
      <c r="F89" s="1"/>
      <c r="G89" s="1"/>
      <c r="H89" s="1"/>
      <c r="I89" s="1"/>
      <c r="J89" s="1"/>
    </row>
    <row r="90" spans="2:10" x14ac:dyDescent="0.45">
      <c r="B90" s="1"/>
      <c r="C90" s="1"/>
      <c r="D90" s="1"/>
      <c r="E90" s="1"/>
      <c r="F90" s="1"/>
      <c r="G90" s="1"/>
      <c r="H90" s="1"/>
      <c r="I90" s="1"/>
      <c r="J90" s="1"/>
    </row>
    <row r="91" spans="2:10" x14ac:dyDescent="0.45">
      <c r="B91" s="1"/>
      <c r="C91" s="1"/>
      <c r="D91" s="1"/>
      <c r="E91" s="1"/>
      <c r="F91" s="1"/>
      <c r="G91" s="1"/>
      <c r="H91" s="1"/>
      <c r="I91" s="1"/>
      <c r="J91" s="1"/>
    </row>
    <row r="92" spans="2:10" x14ac:dyDescent="0.45">
      <c r="B92" s="1"/>
      <c r="C92" s="1"/>
      <c r="D92" s="1"/>
      <c r="E92" s="1"/>
      <c r="F92" s="1"/>
      <c r="G92" s="1"/>
      <c r="H92" s="1"/>
      <c r="I92" s="1"/>
      <c r="J92" s="1"/>
    </row>
    <row r="93" spans="2:10" x14ac:dyDescent="0.45">
      <c r="B93" s="1"/>
      <c r="C93" s="1"/>
      <c r="D93" s="1"/>
      <c r="E93" s="1"/>
      <c r="F93" s="1"/>
      <c r="G93" s="1"/>
      <c r="H93" s="1"/>
      <c r="I93" s="1"/>
      <c r="J93" s="1"/>
    </row>
    <row r="94" spans="2:10" x14ac:dyDescent="0.45">
      <c r="B94" s="1"/>
      <c r="C94" s="1"/>
      <c r="D94" s="1"/>
      <c r="E94" s="1"/>
      <c r="F94" s="1"/>
      <c r="G94" s="1"/>
      <c r="H94" s="1"/>
      <c r="I94" s="1"/>
      <c r="J94" s="1"/>
    </row>
    <row r="95" spans="2:10" x14ac:dyDescent="0.45">
      <c r="B95" s="1"/>
      <c r="C95" s="1"/>
      <c r="D95" s="1"/>
      <c r="E95" s="1"/>
      <c r="F95" s="1"/>
      <c r="G95" s="1"/>
      <c r="H95" s="1"/>
      <c r="I95" s="1"/>
      <c r="J95" s="1"/>
    </row>
    <row r="96" spans="2:10" x14ac:dyDescent="0.45">
      <c r="B96" s="1"/>
      <c r="C96" s="1"/>
      <c r="D96" s="1"/>
      <c r="E96" s="1"/>
      <c r="F96" s="1"/>
      <c r="G96" s="1"/>
      <c r="H96" s="1"/>
      <c r="I96" s="1"/>
      <c r="J96" s="1"/>
    </row>
    <row r="97" spans="2:10" x14ac:dyDescent="0.45">
      <c r="B97" s="1"/>
      <c r="C97" s="1"/>
      <c r="D97" s="1"/>
      <c r="E97" s="1"/>
      <c r="F97" s="1"/>
      <c r="G97" s="1"/>
      <c r="H97" s="1"/>
      <c r="I97" s="1"/>
      <c r="J97" s="1"/>
    </row>
    <row r="98" spans="2:10" x14ac:dyDescent="0.45">
      <c r="B98" s="1"/>
      <c r="C98" s="1"/>
      <c r="D98" s="1"/>
      <c r="E98" s="1"/>
      <c r="F98" s="1"/>
      <c r="G98" s="1"/>
      <c r="H98" s="1"/>
      <c r="I98" s="1"/>
      <c r="J98" s="1"/>
    </row>
    <row r="99" spans="2:10" x14ac:dyDescent="0.45">
      <c r="B99" s="1"/>
      <c r="C99" s="1"/>
      <c r="D99" s="1"/>
      <c r="E99" s="1"/>
      <c r="F99" s="1"/>
      <c r="G99" s="1"/>
      <c r="H99" s="1"/>
      <c r="I99" s="1"/>
      <c r="J99" s="1"/>
    </row>
    <row r="100" spans="2:10" x14ac:dyDescent="0.45">
      <c r="B100" s="1"/>
      <c r="C100" s="1"/>
      <c r="D100" s="1"/>
      <c r="E100" s="1"/>
      <c r="F100" s="1"/>
      <c r="G100" s="1"/>
      <c r="H100" s="1"/>
      <c r="I100" s="1"/>
      <c r="J100" s="1"/>
    </row>
    <row r="101" spans="2:10" x14ac:dyDescent="0.45">
      <c r="B101" s="1"/>
      <c r="C101" s="1"/>
      <c r="D101" s="1"/>
      <c r="E101" s="1"/>
      <c r="F101" s="1"/>
      <c r="G101" s="1"/>
      <c r="H101" s="1"/>
      <c r="I101" s="1"/>
      <c r="J101" s="1"/>
    </row>
    <row r="102" spans="2:10" x14ac:dyDescent="0.45">
      <c r="B102" s="1"/>
      <c r="C102" s="1"/>
      <c r="D102" s="1"/>
      <c r="E102" s="1"/>
      <c r="F102" s="1"/>
      <c r="G102" s="1"/>
      <c r="H102" s="1"/>
      <c r="I102" s="1"/>
      <c r="J102" s="1"/>
    </row>
    <row r="103" spans="2:10" x14ac:dyDescent="0.45">
      <c r="B103" s="1"/>
      <c r="C103" s="1"/>
      <c r="D103" s="1"/>
      <c r="E103" s="1"/>
      <c r="F103" s="1"/>
      <c r="G103" s="1"/>
      <c r="H103" s="1"/>
      <c r="I103" s="1"/>
      <c r="J103" s="1"/>
    </row>
    <row r="104" spans="2:10" x14ac:dyDescent="0.45">
      <c r="B104" s="1"/>
      <c r="C104" s="1"/>
      <c r="D104" s="1"/>
      <c r="E104" s="1"/>
      <c r="F104" s="1"/>
      <c r="G104" s="1"/>
      <c r="H104" s="1"/>
      <c r="I104" s="1"/>
      <c r="J104" s="1"/>
    </row>
    <row r="105" spans="2:10" x14ac:dyDescent="0.45">
      <c r="B105" s="1"/>
      <c r="C105" s="1"/>
      <c r="D105" s="1"/>
      <c r="E105" s="1"/>
      <c r="F105" s="1"/>
      <c r="G105" s="1"/>
      <c r="H105" s="1"/>
      <c r="I105" s="1"/>
      <c r="J105" s="1"/>
    </row>
    <row r="106" spans="2:10" x14ac:dyDescent="0.45">
      <c r="B106" s="1"/>
      <c r="C106" s="1"/>
      <c r="D106" s="1"/>
      <c r="E106" s="1"/>
      <c r="F106" s="1"/>
      <c r="G106" s="1"/>
      <c r="H106" s="1"/>
      <c r="I106" s="1"/>
      <c r="J106" s="1"/>
    </row>
    <row r="107" spans="2:10" x14ac:dyDescent="0.45">
      <c r="B107" s="1"/>
      <c r="C107" s="1"/>
      <c r="D107" s="1"/>
      <c r="E107" s="1"/>
      <c r="F107" s="1"/>
      <c r="G107" s="1"/>
      <c r="H107" s="1"/>
      <c r="I107" s="1"/>
      <c r="J107" s="1"/>
    </row>
    <row r="108" spans="2:10" x14ac:dyDescent="0.45">
      <c r="B108" s="1"/>
      <c r="C108" s="1"/>
      <c r="D108" s="1"/>
      <c r="E108" s="1"/>
      <c r="F108" s="1"/>
      <c r="G108" s="1"/>
      <c r="H108" s="1"/>
      <c r="I108" s="1"/>
      <c r="J108" s="1"/>
    </row>
    <row r="109" spans="2:10" x14ac:dyDescent="0.45">
      <c r="B109" s="1"/>
      <c r="C109" s="1"/>
      <c r="D109" s="1"/>
      <c r="E109" s="1"/>
      <c r="F109" s="1"/>
      <c r="G109" s="1"/>
      <c r="H109" s="1"/>
      <c r="I109" s="1"/>
      <c r="J109" s="1"/>
    </row>
    <row r="110" spans="2:10" x14ac:dyDescent="0.45">
      <c r="B110" s="1"/>
      <c r="C110" s="1"/>
      <c r="D110" s="1"/>
      <c r="E110" s="1"/>
      <c r="F110" s="1"/>
      <c r="G110" s="1"/>
      <c r="H110" s="1"/>
      <c r="I110" s="1"/>
      <c r="J110" s="1"/>
    </row>
    <row r="111" spans="2:10" x14ac:dyDescent="0.45">
      <c r="B111" s="1"/>
      <c r="C111" s="1"/>
      <c r="D111" s="1"/>
      <c r="E111" s="1"/>
      <c r="F111" s="1"/>
      <c r="G111" s="1"/>
      <c r="H111" s="1"/>
      <c r="I111" s="1"/>
      <c r="J111" s="1"/>
    </row>
    <row r="112" spans="2:10" x14ac:dyDescent="0.45">
      <c r="B112" s="1"/>
      <c r="C112" s="1"/>
      <c r="D112" s="1"/>
      <c r="E112" s="1"/>
      <c r="F112" s="1"/>
      <c r="G112" s="1"/>
      <c r="H112" s="1"/>
      <c r="I112" s="1"/>
      <c r="J112" s="1"/>
    </row>
    <row r="113" spans="2:10" x14ac:dyDescent="0.45">
      <c r="B113" s="1"/>
      <c r="C113" s="1"/>
      <c r="D113" s="1"/>
      <c r="E113" s="1"/>
      <c r="F113" s="1"/>
      <c r="G113" s="1"/>
      <c r="H113" s="1"/>
      <c r="I113" s="1"/>
      <c r="J113" s="1"/>
    </row>
    <row r="114" spans="2:10" x14ac:dyDescent="0.45">
      <c r="B114" s="1"/>
      <c r="C114" s="1"/>
      <c r="D114" s="1"/>
      <c r="E114" s="1"/>
      <c r="F114" s="1"/>
      <c r="G114" s="1"/>
      <c r="H114" s="1"/>
      <c r="I114" s="1"/>
      <c r="J114" s="1"/>
    </row>
    <row r="115" spans="2:10" x14ac:dyDescent="0.45">
      <c r="B115" s="1"/>
      <c r="C115" s="1"/>
      <c r="D115" s="1"/>
      <c r="E115" s="1"/>
      <c r="F115" s="1"/>
      <c r="G115" s="1"/>
      <c r="H115" s="1"/>
      <c r="I115" s="1"/>
      <c r="J115" s="1"/>
    </row>
    <row r="116" spans="2:10" x14ac:dyDescent="0.45">
      <c r="B116" s="1"/>
      <c r="C116" s="1"/>
      <c r="D116" s="1"/>
      <c r="E116" s="1"/>
      <c r="F116" s="1"/>
      <c r="G116" s="1"/>
      <c r="H116" s="1"/>
      <c r="I116" s="1"/>
      <c r="J116" s="1"/>
    </row>
    <row r="117" spans="2:10" x14ac:dyDescent="0.45">
      <c r="B117" s="1"/>
      <c r="C117" s="1"/>
      <c r="D117" s="1"/>
      <c r="E117" s="1"/>
      <c r="F117" s="1"/>
      <c r="G117" s="1"/>
      <c r="H117" s="1"/>
      <c r="I117" s="1"/>
      <c r="J117" s="1"/>
    </row>
    <row r="118" spans="2:10" x14ac:dyDescent="0.45">
      <c r="B118" s="1"/>
      <c r="C118" s="1"/>
      <c r="D118" s="1"/>
      <c r="E118" s="1"/>
      <c r="F118" s="1"/>
      <c r="G118" s="1"/>
      <c r="H118" s="1"/>
      <c r="I118" s="1"/>
      <c r="J118" s="1"/>
    </row>
    <row r="119" spans="2:10" x14ac:dyDescent="0.45">
      <c r="B119" s="1"/>
      <c r="C119" s="1"/>
      <c r="D119" s="1"/>
      <c r="E119" s="1"/>
      <c r="F119" s="1"/>
      <c r="G119" s="1"/>
      <c r="H119" s="1"/>
      <c r="I119" s="1"/>
      <c r="J119" s="1"/>
    </row>
    <row r="120" spans="2:10" x14ac:dyDescent="0.45">
      <c r="B120" s="1"/>
      <c r="C120" s="1"/>
      <c r="D120" s="1"/>
      <c r="E120" s="1"/>
      <c r="F120" s="1"/>
      <c r="G120" s="1"/>
      <c r="H120" s="1"/>
      <c r="I120" s="1"/>
      <c r="J120" s="1"/>
    </row>
    <row r="121" spans="2:10" x14ac:dyDescent="0.45">
      <c r="B121" s="1"/>
      <c r="C121" s="1"/>
      <c r="D121" s="1"/>
      <c r="E121" s="1"/>
      <c r="F121" s="1"/>
      <c r="G121" s="1"/>
      <c r="H121" s="1"/>
      <c r="I121" s="1"/>
      <c r="J121" s="1"/>
    </row>
    <row r="122" spans="2:10" x14ac:dyDescent="0.45">
      <c r="B122" s="1"/>
      <c r="C122" s="1"/>
      <c r="D122" s="1"/>
      <c r="E122" s="1"/>
      <c r="F122" s="1"/>
      <c r="G122" s="1"/>
      <c r="H122" s="1"/>
      <c r="I122" s="1"/>
      <c r="J122" s="1"/>
    </row>
    <row r="123" spans="2:10" x14ac:dyDescent="0.45">
      <c r="B123" s="1"/>
      <c r="C123" s="1"/>
      <c r="D123" s="1"/>
      <c r="E123" s="1"/>
      <c r="F123" s="1"/>
      <c r="G123" s="1"/>
      <c r="H123" s="1"/>
      <c r="I123" s="1"/>
      <c r="J123" s="1"/>
    </row>
    <row r="124" spans="2:10" x14ac:dyDescent="0.45">
      <c r="B124" s="1"/>
      <c r="C124" s="1"/>
      <c r="D124" s="1"/>
      <c r="E124" s="1"/>
      <c r="F124" s="1"/>
      <c r="G124" s="1"/>
      <c r="H124" s="1"/>
      <c r="I124" s="1"/>
      <c r="J124" s="1"/>
    </row>
    <row r="125" spans="2:10" x14ac:dyDescent="0.45">
      <c r="B125" s="1"/>
      <c r="C125" s="1"/>
      <c r="D125" s="1"/>
      <c r="E125" s="1"/>
      <c r="F125" s="1"/>
      <c r="G125" s="1"/>
      <c r="H125" s="1"/>
      <c r="I125" s="1"/>
      <c r="J125" s="1"/>
    </row>
    <row r="126" spans="2:10" x14ac:dyDescent="0.45">
      <c r="B126" s="1"/>
      <c r="C126" s="1"/>
      <c r="D126" s="1"/>
      <c r="E126" s="1"/>
      <c r="F126" s="1"/>
      <c r="G126" s="1"/>
      <c r="H126" s="1"/>
      <c r="I126" s="1"/>
      <c r="J126" s="1"/>
    </row>
    <row r="127" spans="2:10" x14ac:dyDescent="0.45">
      <c r="B127" s="1"/>
      <c r="C127" s="1"/>
      <c r="D127" s="1"/>
      <c r="E127" s="1"/>
      <c r="F127" s="1"/>
      <c r="G127" s="1"/>
      <c r="H127" s="1"/>
      <c r="I127" s="1"/>
      <c r="J127" s="1"/>
    </row>
    <row r="128" spans="2:10" x14ac:dyDescent="0.45">
      <c r="B128" s="1"/>
      <c r="C128" s="1"/>
      <c r="D128" s="1"/>
      <c r="E128" s="1"/>
      <c r="F128" s="1"/>
      <c r="G128" s="1"/>
      <c r="H128" s="1"/>
      <c r="I128" s="1"/>
      <c r="J128" s="1"/>
    </row>
    <row r="129" spans="2:10" x14ac:dyDescent="0.45">
      <c r="B129" s="1"/>
      <c r="C129" s="1"/>
      <c r="D129" s="1"/>
      <c r="E129" s="1"/>
      <c r="F129" s="1"/>
      <c r="G129" s="1"/>
      <c r="H129" s="1"/>
      <c r="I129" s="1"/>
      <c r="J129" s="1"/>
    </row>
    <row r="130" spans="2:10" x14ac:dyDescent="0.45">
      <c r="B130" s="1"/>
      <c r="C130" s="1"/>
      <c r="D130" s="1"/>
      <c r="E130" s="1"/>
      <c r="F130" s="1"/>
      <c r="G130" s="1"/>
      <c r="H130" s="1"/>
      <c r="I130" s="1"/>
      <c r="J130" s="1"/>
    </row>
    <row r="131" spans="2:10" x14ac:dyDescent="0.45">
      <c r="B131" s="1"/>
      <c r="C131" s="1"/>
      <c r="D131" s="1"/>
      <c r="E131" s="1"/>
      <c r="F131" s="1"/>
      <c r="G131" s="1"/>
      <c r="H131" s="1"/>
      <c r="I131" s="1"/>
      <c r="J131" s="1"/>
    </row>
    <row r="132" spans="2:10" x14ac:dyDescent="0.45">
      <c r="B132" s="1"/>
      <c r="C132" s="1"/>
      <c r="D132" s="1"/>
      <c r="E132" s="1"/>
      <c r="F132" s="1"/>
      <c r="G132" s="1"/>
      <c r="H132" s="1"/>
      <c r="I132" s="1"/>
      <c r="J132" s="1"/>
    </row>
    <row r="133" spans="2:10" x14ac:dyDescent="0.45">
      <c r="B133" s="1"/>
      <c r="C133" s="1"/>
      <c r="D133" s="1"/>
      <c r="E133" s="1"/>
      <c r="F133" s="1"/>
      <c r="G133" s="1"/>
      <c r="H133" s="1"/>
      <c r="I133" s="1"/>
      <c r="J133" s="1"/>
    </row>
    <row r="134" spans="2:10" x14ac:dyDescent="0.45">
      <c r="B134" s="1"/>
      <c r="C134" s="1"/>
      <c r="D134" s="1"/>
      <c r="E134" s="1"/>
      <c r="F134" s="1"/>
      <c r="G134" s="1"/>
      <c r="H134" s="1"/>
      <c r="I134" s="1"/>
      <c r="J134" s="1"/>
    </row>
    <row r="135" spans="2:10" x14ac:dyDescent="0.45">
      <c r="B135" s="1"/>
      <c r="C135" s="1"/>
      <c r="D135" s="1"/>
      <c r="E135" s="1"/>
      <c r="F135" s="1"/>
      <c r="G135" s="1"/>
      <c r="H135" s="1"/>
      <c r="I135" s="1"/>
      <c r="J135" s="1"/>
    </row>
    <row r="136" spans="2:10" x14ac:dyDescent="0.45">
      <c r="B136" s="1"/>
      <c r="C136" s="1"/>
      <c r="D136" s="1"/>
      <c r="E136" s="1"/>
      <c r="F136" s="1"/>
      <c r="G136" s="1"/>
      <c r="H136" s="1"/>
      <c r="I136" s="1"/>
      <c r="J136" s="1"/>
    </row>
    <row r="137" spans="2:10" x14ac:dyDescent="0.45">
      <c r="B137" s="1"/>
      <c r="C137" s="1"/>
      <c r="D137" s="1"/>
      <c r="E137" s="1"/>
      <c r="F137" s="1"/>
      <c r="G137" s="1"/>
      <c r="H137" s="1"/>
      <c r="I137" s="1"/>
      <c r="J137" s="1"/>
    </row>
    <row r="138" spans="2:10" x14ac:dyDescent="0.45">
      <c r="B138" s="1"/>
      <c r="C138" s="1"/>
      <c r="D138" s="1"/>
      <c r="E138" s="1"/>
      <c r="F138" s="1"/>
      <c r="G138" s="1"/>
      <c r="H138" s="1"/>
      <c r="I138" s="1"/>
      <c r="J138" s="1"/>
    </row>
    <row r="139" spans="2:10" x14ac:dyDescent="0.45">
      <c r="B139" s="1"/>
      <c r="C139" s="1"/>
      <c r="D139" s="1"/>
      <c r="E139" s="1"/>
      <c r="F139" s="1"/>
      <c r="G139" s="1"/>
      <c r="H139" s="1"/>
      <c r="I139" s="1"/>
      <c r="J139" s="1"/>
    </row>
    <row r="140" spans="2:10" x14ac:dyDescent="0.45">
      <c r="B140" s="1"/>
      <c r="C140" s="1"/>
      <c r="D140" s="1"/>
      <c r="E140" s="1"/>
      <c r="F140" s="1"/>
      <c r="G140" s="1"/>
      <c r="H140" s="1"/>
      <c r="I140" s="1"/>
      <c r="J140" s="1"/>
    </row>
    <row r="141" spans="2:10" x14ac:dyDescent="0.45">
      <c r="B141" s="1"/>
      <c r="C141" s="1"/>
      <c r="D141" s="1"/>
      <c r="E141" s="1"/>
      <c r="F141" s="1"/>
      <c r="G141" s="1"/>
      <c r="H141" s="1"/>
      <c r="I141" s="1"/>
      <c r="J141" s="1"/>
    </row>
    <row r="142" spans="2:10" x14ac:dyDescent="0.45">
      <c r="B142" s="1"/>
      <c r="C142" s="1"/>
      <c r="D142" s="1"/>
      <c r="E142" s="1"/>
      <c r="F142" s="1"/>
      <c r="G142" s="1"/>
      <c r="H142" s="1"/>
      <c r="I142" s="1"/>
      <c r="J142" s="1"/>
    </row>
    <row r="143" spans="2:10" x14ac:dyDescent="0.45">
      <c r="B143" s="1"/>
      <c r="C143" s="1"/>
      <c r="D143" s="1"/>
      <c r="E143" s="1"/>
      <c r="F143" s="1"/>
      <c r="G143" s="1"/>
      <c r="H143" s="1"/>
      <c r="I143" s="1"/>
      <c r="J143" s="1"/>
    </row>
    <row r="144" spans="2:10" x14ac:dyDescent="0.45">
      <c r="B144" s="1"/>
      <c r="C144" s="1"/>
      <c r="D144" s="1"/>
      <c r="E144" s="1"/>
      <c r="F144" s="1"/>
      <c r="G144" s="1"/>
      <c r="H144" s="1"/>
      <c r="I144" s="1"/>
      <c r="J144" s="1"/>
    </row>
    <row r="145" spans="2:10" x14ac:dyDescent="0.45">
      <c r="B145" s="1"/>
      <c r="C145" s="1"/>
      <c r="D145" s="1"/>
      <c r="E145" s="1"/>
      <c r="F145" s="1"/>
      <c r="G145" s="1"/>
      <c r="H145" s="1"/>
      <c r="I145" s="1"/>
      <c r="J145" s="1"/>
    </row>
    <row r="146" spans="2:10" x14ac:dyDescent="0.45">
      <c r="B146" s="1"/>
      <c r="C146" s="1"/>
      <c r="D146" s="1"/>
      <c r="E146" s="1"/>
      <c r="F146" s="1"/>
      <c r="G146" s="1"/>
      <c r="H146" s="1"/>
      <c r="I146" s="1"/>
      <c r="J146" s="1"/>
    </row>
    <row r="147" spans="2:10" x14ac:dyDescent="0.45">
      <c r="B147" s="1"/>
      <c r="C147" s="1"/>
      <c r="D147" s="1"/>
      <c r="E147" s="1"/>
      <c r="F147" s="1"/>
      <c r="G147" s="1"/>
      <c r="H147" s="1"/>
      <c r="I147" s="1"/>
      <c r="J147" s="1"/>
    </row>
    <row r="148" spans="2:10" x14ac:dyDescent="0.45">
      <c r="B148" s="1"/>
      <c r="C148" s="1"/>
      <c r="D148" s="1"/>
      <c r="E148" s="1"/>
      <c r="F148" s="1"/>
      <c r="G148" s="1"/>
      <c r="H148" s="1"/>
      <c r="I148" s="1"/>
      <c r="J148" s="1"/>
    </row>
    <row r="149" spans="2:10" x14ac:dyDescent="0.45">
      <c r="B149" s="1"/>
      <c r="C149" s="1"/>
      <c r="D149" s="1"/>
      <c r="E149" s="1"/>
      <c r="F149" s="1"/>
      <c r="G149" s="1"/>
      <c r="H149" s="1"/>
      <c r="I149" s="1"/>
      <c r="J149" s="1"/>
    </row>
    <row r="150" spans="2:10" x14ac:dyDescent="0.45">
      <c r="B150" s="1"/>
      <c r="C150" s="1"/>
      <c r="D150" s="1"/>
      <c r="E150" s="1"/>
      <c r="F150" s="1"/>
      <c r="G150" s="1"/>
      <c r="H150" s="1"/>
      <c r="I150" s="1"/>
      <c r="J150" s="1"/>
    </row>
    <row r="151" spans="2:10" x14ac:dyDescent="0.45">
      <c r="B151" s="1"/>
      <c r="C151" s="1"/>
      <c r="D151" s="1"/>
      <c r="E151" s="1"/>
      <c r="F151" s="1"/>
      <c r="G151" s="1"/>
      <c r="H151" s="1"/>
      <c r="I151" s="1"/>
      <c r="J151" s="1"/>
    </row>
    <row r="152" spans="2:10" x14ac:dyDescent="0.45">
      <c r="B152" s="1"/>
      <c r="C152" s="1"/>
      <c r="D152" s="1"/>
      <c r="E152" s="1"/>
      <c r="F152" s="1"/>
      <c r="G152" s="1"/>
      <c r="H152" s="1"/>
      <c r="I152" s="1"/>
      <c r="J152" s="1"/>
    </row>
    <row r="153" spans="2:10" x14ac:dyDescent="0.45">
      <c r="B153" s="1"/>
      <c r="C153" s="1"/>
      <c r="D153" s="1"/>
      <c r="E153" s="1"/>
      <c r="F153" s="1"/>
      <c r="G153" s="1"/>
      <c r="H153" s="1"/>
      <c r="I153" s="1"/>
      <c r="J153" s="1"/>
    </row>
    <row r="154" spans="2:10" x14ac:dyDescent="0.45">
      <c r="B154" s="1"/>
      <c r="C154" s="1"/>
      <c r="D154" s="1"/>
      <c r="E154" s="1"/>
      <c r="F154" s="1"/>
      <c r="G154" s="1"/>
      <c r="H154" s="1"/>
      <c r="I154" s="1"/>
      <c r="J154" s="1"/>
    </row>
    <row r="155" spans="2:10" x14ac:dyDescent="0.45">
      <c r="B155" s="1"/>
      <c r="C155" s="1"/>
      <c r="D155" s="1"/>
      <c r="E155" s="1"/>
      <c r="F155" s="1"/>
      <c r="G155" s="1"/>
      <c r="H155" s="1"/>
      <c r="I155" s="1"/>
      <c r="J155" s="1"/>
    </row>
    <row r="156" spans="2:10" x14ac:dyDescent="0.45">
      <c r="B156" s="1"/>
      <c r="C156" s="1"/>
      <c r="D156" s="1"/>
      <c r="E156" s="1"/>
      <c r="F156" s="1"/>
      <c r="G156" s="1"/>
      <c r="H156" s="1"/>
      <c r="I156" s="1"/>
      <c r="J156" s="1"/>
    </row>
    <row r="157" spans="2:10" x14ac:dyDescent="0.45">
      <c r="B157" s="1"/>
      <c r="C157" s="1"/>
      <c r="D157" s="1"/>
      <c r="E157" s="1"/>
      <c r="F157" s="1"/>
      <c r="G157" s="1"/>
      <c r="H157" s="1"/>
      <c r="I157" s="1"/>
      <c r="J157" s="1"/>
    </row>
    <row r="158" spans="2:10" x14ac:dyDescent="0.45">
      <c r="B158" s="1"/>
      <c r="C158" s="1"/>
      <c r="D158" s="1"/>
      <c r="E158" s="1"/>
      <c r="F158" s="1"/>
      <c r="G158" s="1"/>
      <c r="H158" s="1"/>
      <c r="I158" s="1"/>
      <c r="J158" s="1"/>
    </row>
    <row r="159" spans="2:10" x14ac:dyDescent="0.45">
      <c r="B159" s="1"/>
      <c r="C159" s="1"/>
      <c r="D159" s="1"/>
      <c r="E159" s="1"/>
      <c r="F159" s="1"/>
      <c r="G159" s="1"/>
      <c r="H159" s="1"/>
      <c r="I159" s="1"/>
      <c r="J159" s="1"/>
    </row>
    <row r="160" spans="2:10" x14ac:dyDescent="0.45">
      <c r="B160" s="1"/>
      <c r="C160" s="1"/>
      <c r="D160" s="1"/>
      <c r="E160" s="1"/>
      <c r="F160" s="1"/>
      <c r="G160" s="1"/>
      <c r="H160" s="1"/>
      <c r="I160" s="1"/>
      <c r="J160" s="1"/>
    </row>
    <row r="161" spans="2:10" x14ac:dyDescent="0.45">
      <c r="B161" s="1"/>
      <c r="C161" s="1"/>
      <c r="D161" s="1"/>
      <c r="E161" s="1"/>
      <c r="F161" s="1"/>
      <c r="G161" s="1"/>
      <c r="H161" s="1"/>
      <c r="I161" s="1"/>
      <c r="J161" s="1"/>
    </row>
    <row r="162" spans="2:10" x14ac:dyDescent="0.45">
      <c r="B162" s="1"/>
      <c r="C162" s="1"/>
      <c r="D162" s="1"/>
      <c r="E162" s="1"/>
      <c r="F162" s="1"/>
      <c r="G162" s="1"/>
      <c r="H162" s="1"/>
      <c r="I162" s="1"/>
      <c r="J162" s="1"/>
    </row>
    <row r="163" spans="2:10" x14ac:dyDescent="0.45">
      <c r="B163" s="1"/>
      <c r="C163" s="1"/>
      <c r="D163" s="1"/>
      <c r="E163" s="1"/>
      <c r="F163" s="1"/>
      <c r="G163" s="1"/>
      <c r="H163" s="1"/>
      <c r="I163" s="1"/>
      <c r="J163" s="1"/>
    </row>
    <row r="164" spans="2:10" x14ac:dyDescent="0.45">
      <c r="B164" s="1"/>
      <c r="C164" s="1"/>
      <c r="D164" s="1"/>
      <c r="E164" s="1"/>
      <c r="F164" s="1"/>
      <c r="G164" s="1"/>
      <c r="H164" s="1"/>
      <c r="I164" s="1"/>
      <c r="J164" s="1"/>
    </row>
    <row r="165" spans="2:10" x14ac:dyDescent="0.45">
      <c r="B165" s="1"/>
      <c r="C165" s="1"/>
      <c r="D165" s="1"/>
      <c r="E165" s="1"/>
      <c r="F165" s="1"/>
      <c r="G165" s="1"/>
      <c r="H165" s="1"/>
      <c r="I165" s="1"/>
      <c r="J165" s="1"/>
    </row>
    <row r="166" spans="2:10" x14ac:dyDescent="0.45">
      <c r="B166" s="1"/>
      <c r="C166" s="1"/>
      <c r="D166" s="1"/>
      <c r="E166" s="1"/>
      <c r="F166" s="1"/>
      <c r="G166" s="1"/>
      <c r="H166" s="1"/>
      <c r="I166" s="1"/>
      <c r="J166" s="1"/>
    </row>
    <row r="167" spans="2:10" x14ac:dyDescent="0.45">
      <c r="B167" s="1"/>
      <c r="C167" s="1"/>
      <c r="D167" s="1"/>
      <c r="E167" s="1"/>
      <c r="F167" s="1"/>
      <c r="G167" s="1"/>
      <c r="H167" s="1"/>
      <c r="I167" s="1"/>
      <c r="J167" s="1"/>
    </row>
    <row r="168" spans="2:10" x14ac:dyDescent="0.45">
      <c r="B168" s="1"/>
      <c r="C168" s="1"/>
      <c r="D168" s="1"/>
      <c r="E168" s="1"/>
      <c r="F168" s="1"/>
      <c r="G168" s="1"/>
      <c r="H168" s="1"/>
      <c r="I168" s="1"/>
      <c r="J168" s="1"/>
    </row>
    <row r="169" spans="2:10" x14ac:dyDescent="0.45">
      <c r="B169" s="1"/>
      <c r="C169" s="1"/>
      <c r="D169" s="1"/>
      <c r="E169" s="1"/>
      <c r="F169" s="1"/>
      <c r="G169" s="1"/>
      <c r="H169" s="1"/>
      <c r="I169" s="1"/>
      <c r="J169" s="1"/>
    </row>
    <row r="170" spans="2:10" x14ac:dyDescent="0.45">
      <c r="B170" s="1"/>
      <c r="C170" s="1"/>
      <c r="D170" s="1"/>
      <c r="E170" s="1"/>
      <c r="F170" s="1"/>
      <c r="G170" s="1"/>
      <c r="H170" s="1"/>
      <c r="I170" s="1"/>
      <c r="J170" s="1"/>
    </row>
    <row r="171" spans="2:10" x14ac:dyDescent="0.45">
      <c r="B171" s="1"/>
      <c r="C171" s="1"/>
      <c r="D171" s="1"/>
      <c r="E171" s="1"/>
      <c r="F171" s="1"/>
      <c r="G171" s="1"/>
      <c r="H171" s="1"/>
      <c r="I171" s="1"/>
      <c r="J171" s="1"/>
    </row>
    <row r="172" spans="2:10" x14ac:dyDescent="0.45">
      <c r="B172" s="1"/>
      <c r="C172" s="1"/>
      <c r="D172" s="1"/>
      <c r="E172" s="1"/>
      <c r="F172" s="1"/>
      <c r="G172" s="1"/>
      <c r="H172" s="1"/>
      <c r="I172" s="1"/>
      <c r="J172" s="1"/>
    </row>
    <row r="173" spans="2:10" x14ac:dyDescent="0.45">
      <c r="B173" s="1"/>
      <c r="C173" s="1"/>
      <c r="D173" s="1"/>
      <c r="E173" s="1"/>
      <c r="F173" s="1"/>
      <c r="G173" s="1"/>
      <c r="H173" s="1"/>
      <c r="I173" s="1"/>
      <c r="J173" s="1"/>
    </row>
    <row r="174" spans="2:10" x14ac:dyDescent="0.45">
      <c r="B174" s="1"/>
      <c r="C174" s="1"/>
      <c r="D174" s="1"/>
      <c r="E174" s="1"/>
      <c r="F174" s="1"/>
      <c r="G174" s="1"/>
      <c r="H174" s="1"/>
      <c r="I174" s="1"/>
      <c r="J174" s="1"/>
    </row>
    <row r="175" spans="2:10" x14ac:dyDescent="0.45">
      <c r="B175" s="1"/>
      <c r="C175" s="1"/>
      <c r="D175" s="1"/>
      <c r="E175" s="1"/>
      <c r="F175" s="1"/>
      <c r="G175" s="1"/>
      <c r="H175" s="1"/>
      <c r="I175" s="1"/>
      <c r="J175" s="1"/>
    </row>
    <row r="176" spans="2:10" x14ac:dyDescent="0.45">
      <c r="B176" s="1"/>
      <c r="C176" s="1"/>
      <c r="D176" s="1"/>
      <c r="E176" s="1"/>
      <c r="F176" s="1"/>
      <c r="G176" s="1"/>
      <c r="H176" s="1"/>
      <c r="I176" s="1"/>
      <c r="J176" s="1"/>
    </row>
    <row r="177" spans="2:10" x14ac:dyDescent="0.45">
      <c r="B177" s="1"/>
      <c r="C177" s="1"/>
      <c r="D177" s="1"/>
      <c r="E177" s="1"/>
      <c r="F177" s="1"/>
      <c r="G177" s="1"/>
      <c r="H177" s="1"/>
      <c r="I177" s="1"/>
      <c r="J177" s="1"/>
    </row>
  </sheetData>
  <conditionalFormatting sqref="C35:I50">
    <cfRule type="expression" dxfId="4" priority="1">
      <formula>$D35="Produits"</formula>
    </cfRule>
    <cfRule type="expression" dxfId="3" priority="2">
      <formula>$C35="SIEGE"</formula>
    </cfRule>
    <cfRule type="expression" dxfId="2" priority="3">
      <formula>$C35&lt;&gt;""</formula>
    </cfRule>
  </conditionalFormatting>
  <conditionalFormatting sqref="H35:H50">
    <cfRule type="cellIs" dxfId="1" priority="4" operator="greaterThan">
      <formula>0</formula>
    </cfRule>
    <cfRule type="cellIs" dxfId="0" priority="5" operator="lessThan">
      <formula>0</formula>
    </cfRule>
  </conditionalFormatting>
  <conditionalFormatting sqref="I35:I50">
    <cfRule type="dataBar" priority="6">
      <dataBar>
        <cfvo type="num" val="0"/>
        <cfvo type="max"/>
        <color rgb="FFB8CFEC"/>
      </dataBar>
      <extLst>
        <ext xmlns:x14="http://schemas.microsoft.com/office/spreadsheetml/2009/9/main" uri="{B025F937-C7B1-47D3-B67F-A62EFF666E3E}">
          <x14:id>{5AB1EA15-A6BD-47E9-995C-9EEBA50E997B}</x14:id>
        </ext>
      </extLst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B1EA15-A6BD-47E9-995C-9EEBA50E997B}">
            <x14:dataBar minLength="0" maxLength="100" direction="leftToRight">
              <x14:cfvo type="num">
                <xm:f>0</xm:f>
              </x14:cfvo>
              <x14:cfvo type="max"/>
              <x14:negativeFillColor rgb="FFFF0000"/>
              <x14:axisColor rgb="FF000000"/>
            </x14:dataBar>
          </x14:cfRule>
          <xm:sqref>I35:I50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easyPacket version="1.0">
  <header version="35.0.0.6.tgk.20260209140819"/>
  <data>
    <l refId="0" ln="0" eid="XLHiddenElement"/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l refId="0" ln="0" eid="XLHiddenElement"/>
  </data>
</easyPacket>
</file>

<file path=customXml/item4.xml><?xml version="1.0" encoding="utf-8"?>
<easyPacket version="1.0">
  <header version="35.0.0.6.tgk.20260209140819"/>
  <data>
    <l refId="0" ln="0" eid="XLHiddenElement"/>
  </data>
</easyPacket>
</file>

<file path=customXml/item5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SIM2</s>
        <a key="desc" refId="2" ln="4" eid="SYS_STR">
          <s>SIMULATION CAMPUS</s>
          <s/>
          <s/>
          <s/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Template02</s>
          </key>
          <val>
            <be refId="8" clsId="ReportTemplateVO">
              <s key="code">Template02</s>
              <s key="desc">Drill Effect</s>
              <m key="matrices" refId="9" keid="SYS_STR" veid="Reporting.com.tagetik.tables.IMatrixPositionBlockVO,Reporting"/>
              <m key="cellFields" refId="10" keid="SYS_STR" veid="CodeCellField"/>
              <m key="dictionary" refId="11" keid="SYS_STR" veid="CodeMultiDescVO"/>
              <m key="controlExpressions" refId="12" keid="SYS_STR" veid="CodedExpControlloProspetto"/>
              <m key="inlineParameters" refId="13" keid="SYS_STR" veid="CodedInlineParameter"/>
              <m key="queries" refId="14" keid="SYS_STR" veid="Reporting.com.tagetik.query.IUserDefinedQueryVO,Reporting"/>
              <be key="sheets" refId="15" clsId="FilterNode">
                <l key="dimensionOids" refId="16" ln="0" eid="DimensionOid"/>
                <l key="AdHocParamDimensionOids" refId="17" ln="0" eid="DimensionOid"/>
                <be key="data" refId="18" clsId="FilterNodeData">
                  <ref key="filterNode" refId="15"/>
                  <i key="segmentLevel">0</i>
                  <e key="segment" refId="19" id="SegmentEnum">CF</e>
                  <b key="placeHolder">N</b>
                  <e key="weight" refId="20" id="WeightEnum">S</e>
                  <be key="textMatchingCondition" refId="21" clsId="TextMatchingCondition">
                    <e key="op" refId="22" id="ComparisonOperatorEnum">=</e>
                    <s key="val"/>
                  </be>
                  <e key="change" refId="23" id="ChangeEnum">CHG_CF</e>
                  <e key="dataType" refId="24" id="DataType">TYPE_U</e>
                  <b key="prevailingDataType">N</b>
                  <e key="editability" refId="25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26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7" keid="SYS_STR" veid="ElaborationsLauncher"/>
              <m key="actionLists" refId="28" keid="SYS_STR" veid="Reporting.com.tagetik.actionlist.ISnapshotActionList,Reporting"/>
              <l key="areas" refId="29" ln="0" eid="SYS_STR"/>
              <l key="charts" refId="30" ln="0" eid="SYS_STR"/>
              <l key="pivots" refId="31" ln="0" eid="SYS_STR"/>
            </be>
          </val>
          <key>
            <s>Template00</s>
          </key>
          <val>
            <be refId="32" clsId="ReportTemplateVO">
              <s key="code">Template00</s>
              <s key="desc">Drill P&amp;L</s>
              <m key="matrices" refId="33" keid="SYS_STR" veid="Reporting.com.tagetik.tables.IMatrixPositionBlockVO,Reporting"/>
              <m key="cellFields" refId="34" keid="SYS_STR" veid="CodeCellField"/>
              <m key="dictionary" refId="35" keid="SYS_STR" veid="CodeMultiDescVO"/>
              <m key="controlExpressions" refId="36" keid="SYS_STR" veid="CodedExpControlloProspetto"/>
              <m key="inlineParameters" refId="37" keid="SYS_STR" veid="CodedInlineParameter"/>
              <m key="queries" refId="38" keid="SYS_STR" veid="Reporting.com.tagetik.query.IUserDefinedQueryVO,Reporting"/>
              <be key="sheets" refId="39" clsId="FilterNode">
                <l key="dimensionOids" refId="40" ln="0" eid="DimensionOid"/>
                <l key="AdHocParamDimensionOids" refId="41" ln="0" eid="DimensionOid"/>
                <be key="data" refId="42" clsId="FilterNodeData">
                  <ref key="filterNode" refId="39"/>
                  <i key="segmentLevel">0</i>
                  <ref key="segment" refId="19"/>
                  <b key="placeHolder">N</b>
                  <ref key="weight" refId="20"/>
                  <be key="textMatchingCondition" refId="43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44" keid="SYS_STR" veid="ElaborationsLauncher"/>
              <m key="actionLists" refId="45" keid="SYS_STR" veid="Reporting.com.tagetik.actionlist.ISnapshotActionList,Reporting"/>
              <l key="areas" refId="46" ln="0" eid="SYS_STR"/>
              <l key="charts" refId="47" ln="0" eid="SYS_STR"/>
              <l key="pivots" refId="48" ln="0" eid="SYS_STR"/>
            </be>
          </val>
          <key>
            <s>Template01</s>
          </key>
          <val>
            <be refId="49" clsId="ReportTemplateVO">
              <s key="code">Template01</s>
              <s key="desc">Cockpit</s>
              <m key="matrices" refId="50" keid="SYS_STR" veid="Reporting.com.tagetik.tables.IMatrixPositionBlockVO,Reporting"/>
              <m key="cellFields" refId="51" keid="SYS_STR" veid="CodeCellField"/>
              <m key="dictionary" refId="52" keid="SYS_STR" veid="CodeMultiDescVO"/>
              <m key="controlExpressions" refId="53" keid="SYS_STR" veid="CodedExpControlloProspetto"/>
              <m key="inlineParameters" refId="54" keid="SYS_STR" veid="CodedInlineParameter"/>
              <m key="queries" refId="55" keid="SYS_STR" veid="Reporting.com.tagetik.query.IUserDefinedQueryVO,Reporting"/>
              <be key="sheets" refId="56" clsId="FilterNode">
                <l key="dimensionOids" refId="57" ln="0" eid="DimensionOid"/>
                <l key="AdHocParamDimensionOids" refId="58" ln="0" eid="DimensionOid"/>
                <be key="data" refId="59" clsId="FilterNodeData">
                  <ref key="filterNode" refId="56"/>
                  <i key="segmentLevel">0</i>
                  <ref key="segment" refId="19"/>
                  <b key="placeHolder">N</b>
                  <ref key="weight" refId="20"/>
                  <be key="textMatchingCondition" refId="60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61" keid="SYS_STR" veid="ElaborationsLauncher"/>
              <m key="actionLists" refId="62" keid="SYS_STR" veid="Reporting.com.tagetik.actionlist.ISnapshotActionList,Reporting"/>
              <l key="areas" refId="63" ln="0" eid="SYS_STR"/>
              <l key="charts" refId="64" ln="0" eid="SYS_STR"/>
              <l key="pivots" refId="65" ln="0" eid="SYS_STR"/>
            </be>
          </val>
          <key>
            <s>Template03</s>
          </key>
          <val>
            <be refId="66" clsId="ReportTemplateVO">
              <s key="code">Template03</s>
              <s key="desc">Simulation</s>
              <m key="matrices" refId="67" keid="SYS_STR" veid="Reporting.com.tagetik.tables.IMatrixPositionBlockVO,Reporting"/>
              <m key="cellFields" refId="68" keid="SYS_STR" veid="CodeCellField"/>
              <m key="dictionary" refId="69" keid="SYS_STR" veid="CodeMultiDescVO"/>
              <m key="controlExpressions" refId="70" keid="SYS_STR" veid="CodedExpControlloProspetto"/>
              <m key="inlineParameters" refId="71" keid="SYS_STR" veid="CodedInlineParameter"/>
              <m key="queries" refId="72" keid="SYS_STR" veid="Reporting.com.tagetik.query.IUserDefinedQueryVO,Reporting"/>
              <be key="sheets" refId="73" clsId="FilterNode">
                <l key="dimensionOids" refId="74" ln="0" eid="DimensionOid"/>
                <l key="AdHocParamDimensionOids" refId="75" ln="0" eid="DimensionOid"/>
                <be key="data" refId="76" clsId="FilterNodeData">
                  <ref key="filterNode" refId="73"/>
                  <i key="segmentLevel">0</i>
                  <ref key="segment" refId="19"/>
                  <b key="placeHolder">N</b>
                  <ref key="weight" refId="20"/>
                  <be key="textMatchingCondition" refId="77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78" keid="SYS_STR" veid="ElaborationsLauncher"/>
              <m key="actionLists" refId="79" keid="SYS_STR" veid="Reporting.com.tagetik.actionlist.ISnapshotActionList,Reporting"/>
              <l key="areas" refId="80" ln="0" eid="SYS_STR"/>
              <l key="charts" refId="81" ln="0" eid="SYS_STR"/>
              <l key="pivots" refId="82" ln="0" eid="SYS_STR"/>
            </be>
          </val>
        </m>
        <m key="templateLayouts" refId="83" keid="SYS_STR" veid="Reporting.com.tagetik.report.IReportTemplateLayoutVO,Reporting">
          <key>
            <s>Template02</s>
          </key>
          <val>
            <be refId="84" clsId="ReportTemplateLayoutVO">
              <i key="index">2</i>
              <s key="code">Template02</s>
              <m key="cellFieldAddresses" refId="85" keid="SYS_STR" veid="Reporting.com.tagetik.spreadsheet.gridwrappers.IGridReaderVO,Reporting"/>
              <m key="controlExpressionsAddresses" refId="86" keid="SYS_STR" veid="Reporting.com.tagetik.spreadsheet.gridwrappers.IGridReaderVO,Reporting"/>
              <m key="inlineParameterAddresses" refId="87" keid="SYS_STR" veid="Reporting.com.tagetik.spreadsheet.gridwrappers.IGridReaderVO,Reporting"/>
              <m key="dictionaryAddresses" refId="88" keid="SYS_STR" veid="Reporting.com.tagetik.spreadsheet.gridwrappers.IGridReaderVO,Reporting"/>
              <m key="hyperlinkAddresses" refId="89" keid="SYS_STR" veid="Reporting.com.tagetik.spreadsheet.gridwrappers.IGridReaderVO,Reporting"/>
              <m key="matrixGridReaders" refId="90" keid="SYS_STR" veid="Reporting.com.tagetik.spreadsheet.gridwrappers.IGridReaderVO,Reporting"/>
              <m key="queryGridReaders" refId="91" keid="SYS_STR" veid="Reporting.com.tagetik.spreadsheet.gridwrappers.IGridReaderVO,Reporting"/>
            </be>
          </val>
          <key>
            <s>Template00</s>
          </key>
          <val>
            <be refId="92" clsId="ReportTemplateLayoutVO">
              <i key="index">3</i>
              <s key="code">Template00</s>
              <m key="cellFieldAddresses" refId="93" keid="SYS_STR" veid="Reporting.com.tagetik.spreadsheet.gridwrappers.IGridReaderVO,Reporting"/>
              <m key="controlExpressionsAddresses" refId="94" keid="SYS_STR" veid="Reporting.com.tagetik.spreadsheet.gridwrappers.IGridReaderVO,Reporting"/>
              <m key="inlineParameterAddresses" refId="95" keid="SYS_STR" veid="Reporting.com.tagetik.spreadsheet.gridwrappers.IGridReaderVO,Reporting"/>
              <m key="dictionaryAddresses" refId="96" keid="SYS_STR" veid="Reporting.com.tagetik.spreadsheet.gridwrappers.IGridReaderVO,Reporting"/>
              <m key="hyperlinkAddresses" refId="97" keid="SYS_STR" veid="Reporting.com.tagetik.spreadsheet.gridwrappers.IGridReaderVO,Reporting"/>
              <m key="matrixGridReaders" refId="98" keid="SYS_STR" veid="Reporting.com.tagetik.spreadsheet.gridwrappers.IGridReaderVO,Reporting"/>
              <m key="queryGridReaders" refId="99" keid="SYS_STR" veid="Reporting.com.tagetik.spreadsheet.gridwrappers.IGridReaderVO,Reporting"/>
            </be>
          </val>
          <key>
            <s>Template01</s>
          </key>
          <val>
            <be refId="100" clsId="ReportTemplateLayoutVO">
              <i key="index">0</i>
              <s key="code">Template01</s>
              <m key="cellFieldAddresses" refId="101" keid="SYS_STR" veid="Reporting.com.tagetik.spreadsheet.gridwrappers.IGridReaderVO,Reporting"/>
              <m key="controlExpressionsAddresses" refId="102" keid="SYS_STR" veid="Reporting.com.tagetik.spreadsheet.gridwrappers.IGridReaderVO,Reporting"/>
              <m key="inlineParameterAddresses" refId="103" keid="SYS_STR" veid="Reporting.com.tagetik.spreadsheet.gridwrappers.IGridReaderVO,Reporting"/>
              <m key="dictionaryAddresses" refId="104" keid="SYS_STR" veid="Reporting.com.tagetik.spreadsheet.gridwrappers.IGridReaderVO,Reporting"/>
              <m key="hyperlinkAddresses" refId="105" keid="SYS_STR" veid="Reporting.com.tagetik.spreadsheet.gridwrappers.IGridReaderVO,Reporting"/>
              <m key="matrixGridReaders" refId="106" keid="SYS_STR" veid="Reporting.com.tagetik.spreadsheet.gridwrappers.IGridReaderVO,Reporting"/>
              <m key="queryGridReaders" refId="107" keid="SYS_STR" veid="Reporting.com.tagetik.spreadsheet.gridwrappers.IGridReaderVO,Reporting"/>
            </be>
          </val>
          <key>
            <s>Template03</s>
          </key>
          <val>
            <be refId="108" clsId="ReportTemplateLayoutVO">
              <i key="index">1</i>
              <s key="code">Template03</s>
              <m key="cellFieldAddresses" refId="109" keid="SYS_STR" veid="Reporting.com.tagetik.spreadsheet.gridwrappers.IGridReaderVO,Reporting"/>
              <m key="controlExpressionsAddresses" refId="110" keid="SYS_STR" veid="Reporting.com.tagetik.spreadsheet.gridwrappers.IGridReaderVO,Reporting"/>
              <m key="inlineParameterAddresses" refId="111" keid="SYS_STR" veid="Reporting.com.tagetik.spreadsheet.gridwrappers.IGridReaderVO,Reporting"/>
              <m key="dictionaryAddresses" refId="112" keid="SYS_STR" veid="Reporting.com.tagetik.spreadsheet.gridwrappers.IGridReaderVO,Reporting"/>
              <m key="hyperlinkAddresses" refId="113" keid="SYS_STR" veid="Reporting.com.tagetik.spreadsheet.gridwrappers.IGridReaderVO,Reporting"/>
              <m key="matrixGridReaders" refId="114" keid="SYS_STR" veid="Reporting.com.tagetik.spreadsheet.gridwrappers.IGridReaderVO,Reporting"/>
              <m key="queryGridReaders" refId="115" keid="SYS_STR" veid="Reporting.com.tagetik.spreadsheet.gridwrappers.IGridReaderVO,Reporting"/>
            </be>
          </val>
        </m>
        <m key="adHocParameters" refId="116" keid="SYS_STR" veid="ProspParametro"/>
        <l key="parametersToBeRequested" refId="117" ln="0" eid="ParameterInfo"/>
      </be>
      <be key="launchResult" refId="118" clsId="MultiRepLaunchResult">
        <be key="elabResult" refId="119" clsId="ElabResult"/>
        <m key="valori" refId="120" keid="SYS_STR" veid="ProspElaborationTaskResult"/>
        <m key="exportedType" refId="121" keid="SYS_STR" veid="SYS_STR"/>
        <m key="exportedResult" refId="122" keid="SYS_STR" veid="System.Byte[]"/>
        <b key="flagValidation">N</b>
      </be>
      <be key="parameters" refId="123" clsId="LaunchParameters">
        <i key="descLanguage">0</i>
        <b key="dataEntry">N</b>
        <b key="checkEdit">S</b>
        <b key="createMatrixAreas">N</b>
      </be>
      <be key="launchInfo" refId="124" clsId="LaunchInfo">
        <d key="launchTime">1789044279777</d>
        <s key="handlerId">ec7620cf-260a-4a28-aeaa-2cc883527c27</s>
      </be>
    </be>
  </data>
</easyPacket>
</file>

<file path=customXml/item6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4FC95BFF-3259-450D-9BB9-C90F554563A4}">
  <ds:schemaRefs/>
</ds:datastoreItem>
</file>

<file path=customXml/itemProps2.xml><?xml version="1.0" encoding="utf-8"?>
<ds:datastoreItem xmlns:ds="http://schemas.openxmlformats.org/officeDocument/2006/customXml" ds:itemID="{6CB9FFBB-CA69-4086-9A0D-BEE7C7DF26A9}">
  <ds:schemaRefs/>
</ds:datastoreItem>
</file>

<file path=customXml/itemProps3.xml><?xml version="1.0" encoding="utf-8"?>
<ds:datastoreItem xmlns:ds="http://schemas.openxmlformats.org/officeDocument/2006/customXml" ds:itemID="{F77F6768-989F-4C41-8E6B-07B817490DFA}">
  <ds:schemaRefs/>
</ds:datastoreItem>
</file>

<file path=customXml/itemProps4.xml><?xml version="1.0" encoding="utf-8"?>
<ds:datastoreItem xmlns:ds="http://schemas.openxmlformats.org/officeDocument/2006/customXml" ds:itemID="{87DCD2FE-1258-436A-9120-B167DC18039B}">
  <ds:schemaRefs/>
</ds:datastoreItem>
</file>

<file path=customXml/itemProps5.xml><?xml version="1.0" encoding="utf-8"?>
<ds:datastoreItem xmlns:ds="http://schemas.openxmlformats.org/officeDocument/2006/customXml" ds:itemID="{42CCB5D4-35B9-481B-B50E-81BFE026EDE2}">
  <ds:schemaRefs/>
</ds:datastoreItem>
</file>

<file path=customXml/itemProps6.xml><?xml version="1.0" encoding="utf-8"?>
<ds:datastoreItem xmlns:ds="http://schemas.openxmlformats.org/officeDocument/2006/customXml" ds:itemID="{390CF4EC-0E78-4B94-84AC-A195900CCA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6</vt:i4>
      </vt:variant>
    </vt:vector>
  </HeadingPairs>
  <TitlesOfParts>
    <vt:vector size="10" baseType="lpstr">
      <vt:lpstr>Cockpit</vt:lpstr>
      <vt:lpstr>Simulation</vt:lpstr>
      <vt:lpstr>Drill Effect</vt:lpstr>
      <vt:lpstr>Drill P&amp;L</vt:lpstr>
      <vt:lpstr>Cockpit!Query00</vt:lpstr>
      <vt:lpstr>Simulation!Query00</vt:lpstr>
      <vt:lpstr>Cockpit!Query01</vt:lpstr>
      <vt:lpstr>Simulation!Query01</vt:lpstr>
      <vt:lpstr>Cockpit!Query02</vt:lpstr>
      <vt:lpstr>Simulation!Query02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2026-09-04T14:45:38Z</dcterms:created>
  <dcterms:modified xsi:type="dcterms:W3CDTF">2026-09-10T12:45:14Z</dcterms:modified>
</cp:coreProperties>
</file>