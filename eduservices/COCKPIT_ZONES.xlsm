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'2'!$AI$7:$AU$11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$Entity(HIERARCHY("EDU")).desc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graisse et fond donnent le niveau · échelle de couleur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/>
      <c r="C38" s="110" t="inlineStr">
        <is>
          <t>EDUSERVICES</t>
        </is>
      </c>
      <c r="D38" s="111" t="n">
        <v>1000</v>
      </c>
      <c r="E38" s="123">
        <f>IFERROR((D38-R38)/R38,"")</f>
        <v/>
      </c>
      <c r="F38" s="111" t="n">
        <v>1000</v>
      </c>
      <c r="G38" s="123">
        <f>IFERROR((F38-Q38)/Q38,"")</f>
        <v/>
      </c>
      <c r="H38" s="113" t="n">
        <v>1000</v>
      </c>
      <c r="I38" s="113">
        <f>IFERROR(F38/D38,"")</f>
        <v/>
      </c>
      <c r="J38" s="124">
        <f>IFERROR((I38-U38)*100,"")</f>
        <v/>
      </c>
      <c r="K38" s="111" t="n">
        <v>1000</v>
      </c>
      <c r="L38" s="113">
        <f>IFERROR(N38/O38,"")</f>
        <v/>
      </c>
      <c r="M38" s="113">
        <f>IFERROR(P38/N38,"")</f>
        <v/>
      </c>
      <c r="N38" s="115" t="n">
        <v>1000</v>
      </c>
      <c r="O38" s="115" t="n">
        <v>1000</v>
      </c>
      <c r="P38" s="6" t="n">
        <v>1000</v>
      </c>
      <c r="Q38" s="6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/>
      <c r="C39" s="110" t="n"/>
      <c r="D39" s="111" t="n"/>
      <c r="E39" s="123" t="n"/>
      <c r="F39" s="111" t="n"/>
      <c r="G39" s="123" t="n"/>
      <c r="H39" s="113" t="n"/>
      <c r="I39" s="113" t="n"/>
      <c r="J39" s="124" t="n"/>
      <c r="K39" s="111" t="n"/>
      <c r="L39" s="113" t="n"/>
      <c r="M39" s="113" t="n"/>
      <c r="N39" s="111" t="n"/>
      <c r="O39" s="111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/>
      <c r="C40" s="110" t="n"/>
      <c r="D40" s="111" t="n"/>
      <c r="E40" s="123" t="n"/>
      <c r="F40" s="111" t="n"/>
      <c r="G40" s="123" t="n"/>
      <c r="H40" s="113" t="n"/>
      <c r="I40" s="113" t="n"/>
      <c r="J40" s="124" t="n"/>
      <c r="K40" s="111" t="n"/>
      <c r="L40" s="113" t="n"/>
      <c r="M40" s="113" t="n"/>
      <c r="N40" s="111" t="n"/>
      <c r="O40" s="111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/>
      <c r="C41" s="110" t="n"/>
      <c r="D41" s="111" t="n"/>
      <c r="E41" s="123" t="n"/>
      <c r="F41" s="111" t="n"/>
      <c r="G41" s="123" t="n"/>
      <c r="H41" s="113" t="n"/>
      <c r="I41" s="113" t="n"/>
      <c r="J41" s="124" t="n"/>
      <c r="K41" s="111" t="n"/>
      <c r="L41" s="113" t="n"/>
      <c r="M41" s="113" t="n"/>
      <c r="N41" s="111" t="n"/>
      <c r="O41" s="111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23" t="n"/>
      <c r="F42" s="111" t="n"/>
      <c r="G42" s="123" t="n"/>
      <c r="H42" s="113" t="n"/>
      <c r="I42" s="113" t="n"/>
      <c r="J42" s="12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23" t="n"/>
      <c r="F43" s="111" t="n"/>
      <c r="G43" s="123" t="n"/>
      <c r="H43" s="113" t="n"/>
      <c r="I43" s="113" t="n"/>
      <c r="J43" s="12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D9">
    <cfRule type="cellIs" priority="13" operator="lessThan" dxfId="24">
      <formula>1000000</formula>
    </cfRule>
  </conditionalFormatting>
  <conditionalFormatting sqref="F9">
    <cfRule type="cellIs" priority="14" operator="lessThan" dxfId="25">
      <formula>1000000</formula>
    </cfRule>
  </conditionalFormatting>
  <conditionalFormatting sqref="D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F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H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J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L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2026-09-06T19:09:36Z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