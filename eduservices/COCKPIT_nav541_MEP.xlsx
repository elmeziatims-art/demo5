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7">
    <numFmt numFmtId="164" formatCode="&quot;▲ &quot;0.0%;&quot;▼ &quot;0.0%"/>
    <numFmt numFmtId="165" formatCode="&quot;↗ +&quot;0.0&quot; pt&quot;;&quot;↘ −&quot;0.0&quot; pt&quot;;&quot;→ &quot;0.0&quot; pt&quot;"/>
    <numFmt numFmtId="166" formatCode="#,##0&quot; places libres&quot;"/>
    <numFmt numFmtId="167" formatCode="#,##0.00,,&quot; M€&quot;"/>
    <numFmt numFmtId="168" formatCode="0.0%"/>
    <numFmt numFmtId="169" formatCode="#,##0&quot; €&quot;"/>
    <numFmt numFmtId="170" formatCode="0.0%;\-0.0%"/>
    <numFmt numFmtId="171" formatCode="&quot;▲ &quot;0.00%;&quot;▼ &quot;0.00%"/>
    <numFmt numFmtId="172" formatCode="#,##0.00,"/>
    <numFmt numFmtId="173" formatCode="#,##0,"/>
    <numFmt numFmtId="174" formatCode="mm/dd/yy;@"/>
    <numFmt numFmtId="175" formatCode="&quot;$&quot;#,##0.00"/>
    <numFmt numFmtId="176" formatCode="0.0,,&quot; M€&quot;"/>
    <numFmt numFmtId="177" formatCode="&quot;+&quot;0.0%;&quot;-&quot;0.0%;&quot;—&quot;"/>
    <numFmt numFmtId="178" formatCode="&quot;+&quot;0.00&quot; pt&quot;;&quot;-&quot;0.00&quot; pt&quot;;&quot;—&quot;"/>
    <numFmt numFmtId="179" formatCode="&quot;+&quot;0.0%;&quot;-&quot;0.0%;&quot;&quot;"/>
    <numFmt numFmtId="180" formatCode="&quot;+&quot;0.00;&quot;-&quot;0.00;&quot;&quot;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  <font>
      <name val="Tahoma"/>
      <family val="2"/>
      <color theme="3"/>
      <sz val="8"/>
    </font>
    <font>
      <name val="Aptos Narrow"/>
      <family val="2"/>
      <color theme="3"/>
      <sz val="11"/>
      <scheme val="minor"/>
    </font>
    <font>
      <name val="Tahoma"/>
      <family val="2"/>
      <color theme="0"/>
      <sz val="8"/>
    </font>
    <font>
      <name val="Tahoma"/>
      <family val="2"/>
      <b val="1"/>
      <color theme="3"/>
      <sz val="8"/>
    </font>
    <font>
      <name val="Tahoma"/>
      <family val="2"/>
      <b val="1"/>
      <i val="1"/>
      <color theme="3"/>
      <sz val="8"/>
    </font>
    <font>
      <name val="Tahoma"/>
      <family val="2"/>
      <color theme="3"/>
      <sz val="8"/>
      <u val="single"/>
    </font>
    <font>
      <name val="Tahoma"/>
      <family val="2"/>
      <sz val="8"/>
    </font>
    <font>
      <name val="Aptos Narrow"/>
      <family val="2"/>
      <color rgb="FF9C6500"/>
      <sz val="11"/>
      <scheme val="minor"/>
    </font>
    <font>
      <name val="Tahoma"/>
      <family val="2"/>
      <color theme="3"/>
      <sz val="11"/>
    </font>
    <font>
      <name val="Webdings"/>
      <charset val="2"/>
      <family val="1"/>
      <color theme="3"/>
      <sz val="10"/>
    </font>
    <font>
      <name val="Aptos Display"/>
      <family val="2"/>
      <b val="1"/>
      <color theme="3"/>
      <sz val="18"/>
      <scheme val="major"/>
    </font>
    <font>
      <name val="Webdings"/>
      <charset val="2"/>
      <family val="1"/>
      <color rgb="FFFF0000"/>
      <sz val="8"/>
    </font>
    <font>
      <name val="Webdings"/>
      <charset val="2"/>
      <family val="1"/>
      <color rgb="FFFF0000"/>
      <sz val="14"/>
    </font>
    <font>
      <name val="Webdings"/>
      <charset val="2"/>
      <family val="1"/>
      <color theme="1"/>
      <sz val="8"/>
    </font>
    <font>
      <name val="Webdings"/>
      <charset val="2"/>
      <family val="1"/>
      <color rgb="FF00B050"/>
      <sz val="14"/>
    </font>
    <font>
      <name val="Aptos Narrow"/>
      <family val="2"/>
      <b val="1"/>
      <color theme="1"/>
      <sz val="11"/>
      <scheme val="minor"/>
    </font>
    <font>
      <name val="Segoe UI"/>
      <family val="2"/>
      <b val="1"/>
      <color rgb="FF131922"/>
      <sz val="10"/>
    </font>
    <font>
      <name val="Consolas"/>
      <family val="3"/>
      <b val="1"/>
      <color rgb="FF131922"/>
      <sz val="9.5"/>
    </font>
    <font>
      <name val="Segoe UI"/>
      <family val="2"/>
      <b val="1"/>
      <color rgb="FF131922"/>
      <sz val="9.5"/>
    </font>
    <font>
      <name val="Segoe UI"/>
      <family val="2"/>
      <color rgb="FF4D5866"/>
      <sz val="9.5"/>
    </font>
    <font>
      <name val="Consolas"/>
      <family val="3"/>
      <color rgb="FF4D5866"/>
      <sz val="9.5"/>
    </font>
    <font>
      <name val="Segoe UI"/>
      <family val="2"/>
      <b val="1"/>
      <color rgb="FF7C8798"/>
      <sz val="8.5"/>
    </font>
    <font>
      <name val="Consolas"/>
      <family val="3"/>
      <b val="1"/>
      <color rgb="FF131922"/>
      <sz val="20"/>
    </font>
    <font>
      <name val="Segoe UI"/>
      <family val="2"/>
      <b val="1"/>
      <color rgb="FF7C8798"/>
      <sz val="9.5"/>
    </font>
    <font>
      <name val="Segoe UI"/>
      <family val="2"/>
      <color rgb="FF7C8798"/>
      <sz val="9"/>
    </font>
    <font>
      <name val="Segoe UI"/>
      <family val="2"/>
      <b val="1"/>
      <color rgb="FF2A78D6"/>
      <sz val="9.5"/>
    </font>
    <font>
      <name val="Aptos Narrow"/>
      <family val="2"/>
      <b val="1"/>
      <i val="1"/>
      <color theme="1"/>
      <sz val="11"/>
      <scheme val="minor"/>
    </font>
    <font>
      <name val="Fira Sans Medium"/>
      <b val="1"/>
      <color rgb="00FFFFFF"/>
      <sz val="15"/>
    </font>
    <font>
      <name val="Arial"/>
      <color rgb="00B8C6DA"/>
      <sz val="8"/>
    </font>
    <font>
      <name val="Arial"/>
      <b val="1"/>
      <color rgb="00526071"/>
      <sz val="7.5"/>
    </font>
    <font>
      <name val="Arial"/>
      <b val="1"/>
      <color rgb="00202733"/>
      <sz val="9"/>
    </font>
    <font>
      <name val="Fira Sans Medium"/>
      <b val="1"/>
      <color rgb="00202733"/>
      <sz val="18"/>
    </font>
    <font>
      <name val="Arial"/>
      <b val="1"/>
      <color rgb="0069778B"/>
      <sz val="8.5"/>
    </font>
    <font>
      <name val="Fira Sans Medium"/>
      <b val="1"/>
      <color rgb="00202733"/>
      <sz val="10"/>
    </font>
    <font>
      <name val="Arial"/>
      <i val="1"/>
      <color rgb="0069778B"/>
      <sz val="7.5"/>
    </font>
    <font>
      <name val="Fira Sans Medium"/>
      <b val="1"/>
      <color rgb="00FFFFFF"/>
      <sz val="8"/>
    </font>
    <font>
      <name val="Arial"/>
      <color rgb="0069778B"/>
      <sz val="7.5"/>
    </font>
    <font>
      <name val="Arial"/>
      <color rgb="00202733"/>
      <sz val="8.5"/>
    </font>
    <font>
      <name val="Fira Sans Medium"/>
      <b val="1"/>
      <color rgb="00202733"/>
      <sz val="9"/>
    </font>
  </fonts>
  <fills count="2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8F8F2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DCE9F9"/>
      </patternFill>
    </fill>
    <fill>
      <patternFill patternType="solid">
        <fgColor rgb="00F3F6FA"/>
      </patternFill>
    </fill>
    <fill>
      <patternFill patternType="solid">
        <fgColor rgb="00172033"/>
      </patternFill>
    </fill>
    <fill>
      <patternFill patternType="solid">
        <fgColor rgb="00EAF2FC"/>
      </patternFill>
    </fill>
    <fill>
      <patternFill patternType="solid">
        <fgColor rgb="00FFFFFF"/>
      </patternFill>
    </fill>
    <fill>
      <patternFill patternType="solid">
        <fgColor rgb="00526071"/>
      </patternFill>
    </fill>
  </fills>
  <borders count="3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1" tint="0.499984740745262"/>
      </bottom>
      <diagonal/>
    </border>
    <border>
      <left/>
      <right/>
      <top/>
      <bottom style="thin">
        <color theme="3" tint="0.7999816888943144"/>
      </bottom>
      <diagonal/>
    </border>
    <border>
      <left/>
      <right/>
      <top/>
      <bottom style="thick">
        <color theme="3" tint="0.3999450666829432"/>
      </bottom>
      <diagonal/>
    </border>
    <border>
      <left style="thin">
        <color theme="0"/>
      </left>
      <right style="thin">
        <color theme="0"/>
      </right>
      <top/>
      <bottom style="thin">
        <color theme="3" tint="0.7999816888943144"/>
      </bottom>
      <diagonal/>
    </border>
    <border>
      <left style="thin">
        <color theme="0"/>
      </left>
      <right style="thin">
        <color theme="0"/>
      </right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3" tint="0.7999816888943144"/>
      </top>
      <bottom style="thin">
        <color theme="3" tint="0.7999816888943144"/>
      </bottom>
      <diagonal/>
    </border>
    <border>
      <left/>
      <right/>
      <top/>
      <bottom style="medium">
        <color theme="3"/>
      </bottom>
      <diagonal/>
    </border>
    <border>
      <left/>
      <right/>
      <top/>
      <bottom style="thin">
        <color rgb="FFEAEEF4"/>
      </bottom>
      <diagonal/>
    </border>
    <border>
      <left style="thin">
        <color rgb="FFDFE4EC"/>
      </left>
      <right/>
      <top style="thin">
        <color rgb="FFDFE4EC"/>
      </top>
      <bottom/>
      <diagonal/>
    </border>
    <border>
      <left/>
      <right style="thin">
        <color rgb="FFDFE4EC"/>
      </right>
      <top style="thin">
        <color rgb="FFDFE4EC"/>
      </top>
      <bottom/>
      <diagonal/>
    </border>
    <border>
      <left style="thin">
        <color rgb="FFFAB219"/>
      </left>
      <right/>
      <top style="thin">
        <color rgb="FFFAB219"/>
      </top>
      <bottom/>
      <diagonal/>
    </border>
    <border>
      <left/>
      <right style="thin">
        <color rgb="FFFAB219"/>
      </right>
      <top style="thin">
        <color rgb="FFFAB219"/>
      </top>
      <bottom/>
      <diagonal/>
    </border>
    <border>
      <left style="thin">
        <color rgb="FFDFE4EC"/>
      </left>
      <right/>
      <top/>
      <bottom/>
      <diagonal/>
    </border>
    <border>
      <left/>
      <right style="thin">
        <color rgb="FFDFE4EC"/>
      </right>
      <top/>
      <bottom/>
      <diagonal/>
    </border>
    <border>
      <left style="thin">
        <color rgb="FFFAB219"/>
      </left>
      <right/>
      <top/>
      <bottom/>
      <diagonal/>
    </border>
    <border>
      <left/>
      <right style="thin">
        <color rgb="FFFAB219"/>
      </right>
      <top/>
      <bottom/>
      <diagonal/>
    </border>
    <border>
      <left style="thin">
        <color rgb="FFDFE4EC"/>
      </left>
      <right/>
      <top/>
      <bottom style="thin">
        <color rgb="FFDFE4EC"/>
      </bottom>
      <diagonal/>
    </border>
    <border>
      <left/>
      <right style="thin">
        <color rgb="FFDFE4EC"/>
      </right>
      <top/>
      <bottom style="thin">
        <color rgb="FFDFE4EC"/>
      </bottom>
      <diagonal/>
    </border>
    <border>
      <left style="thin">
        <color rgb="FFFAB219"/>
      </left>
      <right/>
      <top/>
      <bottom style="thin">
        <color rgb="FFFAB219"/>
      </bottom>
      <diagonal/>
    </border>
    <border>
      <left/>
      <right style="thin">
        <color rgb="FFFAB219"/>
      </right>
      <top/>
      <bottom style="thin">
        <color rgb="FFFAB219"/>
      </bottom>
      <diagonal/>
    </border>
    <border>
      <left style="thin">
        <color rgb="FFDFE4EC"/>
      </left>
      <right/>
      <top style="thin">
        <color rgb="FFDFE4EC"/>
      </top>
      <bottom style="thin">
        <color rgb="FFDFE4EC"/>
      </bottom>
      <diagonal/>
    </border>
    <border>
      <left/>
      <right style="thin">
        <color rgb="FFDFE4EC"/>
      </right>
      <top style="thin">
        <color rgb="FFDFE4EC"/>
      </top>
      <bottom style="thin">
        <color rgb="FFDFE4EC"/>
      </bottom>
      <diagonal/>
    </border>
    <border>
      <left style="thin">
        <color rgb="FF2A78D6"/>
      </left>
      <right/>
      <top style="thin">
        <color rgb="FF2A78D6"/>
      </top>
      <bottom style="thin">
        <color rgb="FF2A78D6"/>
      </bottom>
      <diagonal/>
    </border>
    <border>
      <left/>
      <right style="thin">
        <color rgb="FF2A78D6"/>
      </right>
      <top style="thin">
        <color rgb="FF2A78D6"/>
      </top>
      <bottom style="thin">
        <color rgb="FF2A78D6"/>
      </bottom>
      <diagonal/>
    </border>
    <border>
      <top style="thin">
        <color rgb="00B8CFEC"/>
      </top>
      <bottom style="thin">
        <color rgb="00B8CFEC"/>
      </bottom>
    </border>
    <border>
      <left style="thin">
        <color rgb="00E9EDF3"/>
      </left>
      <top style="thin">
        <color rgb="00E9EDF3"/>
      </top>
    </border>
    <border>
      <left style="thin">
        <color rgb="00E9EDF3"/>
      </left>
    </border>
    <border>
      <left style="thin">
        <color rgb="00E9EDF3"/>
      </left>
      <bottom style="thin">
        <color rgb="00E9EDF3"/>
      </bottom>
    </border>
    <border>
      <right style="thin">
        <color rgb="00E9EDF3"/>
      </right>
      <top style="thin">
        <color rgb="00E9EDF3"/>
      </top>
    </border>
    <border>
      <right style="thin">
        <color rgb="00E9EDF3"/>
      </right>
    </border>
    <border>
      <right style="thin">
        <color rgb="00E9EDF3"/>
      </right>
      <bottom style="thin">
        <color rgb="00E9EDF3"/>
      </bottom>
    </border>
    <border>
      <left style="thin">
        <color rgb="00526071"/>
      </left>
      <right style="thin">
        <color rgb="00526071"/>
      </right>
      <top style="thin">
        <color rgb="00526071"/>
      </top>
      <bottom style="thin">
        <color rgb="00526071"/>
      </bottom>
    </border>
    <border>
      <bottom style="thin">
        <color rgb="00E9EDF3"/>
      </bottom>
    </border>
    <border>
      <top style="thin">
        <color rgb="00E9EDF3"/>
      </top>
    </border>
    <border/>
  </borders>
  <cellStyleXfs count="57">
    <xf numFmtId="0" fontId="1" fillId="0" borderId="0"/>
    <xf numFmtId="0" fontId="13" fillId="0" borderId="0"/>
    <xf numFmtId="0" fontId="10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9" fontId="1" fillId="0" borderId="0"/>
    <xf numFmtId="168" fontId="1" fillId="0" borderId="0" applyAlignment="1">
      <alignment horizontal="center"/>
    </xf>
    <xf numFmtId="10" fontId="1" fillId="0" borderId="0"/>
    <xf numFmtId="172" fontId="3" fillId="9" borderId="1" applyAlignment="1">
      <alignment horizontal="center" vertical="center" wrapText="1"/>
    </xf>
    <xf numFmtId="9" fontId="1" fillId="0" borderId="0" applyAlignment="1">
      <alignment horizontal="center" vertical="center"/>
    </xf>
    <xf numFmtId="9" fontId="1" fillId="0" borderId="0" applyAlignment="1">
      <alignment horizontal="left" vertical="center"/>
    </xf>
    <xf numFmtId="9" fontId="1" fillId="0" borderId="0" applyAlignment="1">
      <alignment horizontal="center" vertical="center"/>
    </xf>
    <xf numFmtId="9" fontId="1" fillId="0" borderId="0" applyAlignment="1">
      <alignment horizontal="left" vertical="center" wrapText="1"/>
    </xf>
    <xf numFmtId="2" fontId="4" fillId="0" borderId="0" applyAlignment="1">
      <alignment horizontal="left"/>
    </xf>
    <xf numFmtId="9" fontId="1" fillId="0" borderId="2"/>
    <xf numFmtId="173" fontId="1" fillId="0" borderId="0"/>
    <xf numFmtId="172" fontId="3" fillId="0" borderId="3" applyAlignment="1">
      <alignment horizontal="center" vertical="center" wrapText="1"/>
    </xf>
    <xf numFmtId="9" fontId="5" fillId="0" borderId="0"/>
    <xf numFmtId="9" fontId="6" fillId="0" borderId="0"/>
    <xf numFmtId="9" fontId="7" fillId="0" borderId="0"/>
    <xf numFmtId="172" fontId="1" fillId="10" borderId="4"/>
    <xf numFmtId="0" fontId="3" fillId="9" borderId="5" applyAlignment="1">
      <alignment horizontal="center" vertical="center" wrapText="1"/>
    </xf>
    <xf numFmtId="174" fontId="1" fillId="0" borderId="0"/>
    <xf numFmtId="9" fontId="1" fillId="11" borderId="0"/>
    <xf numFmtId="172" fontId="6" fillId="0" borderId="0" applyAlignment="1">
      <alignment horizontal="right"/>
    </xf>
    <xf numFmtId="0" fontId="3" fillId="0" borderId="2" applyAlignment="1">
      <alignment horizontal="left" vertical="center"/>
    </xf>
    <xf numFmtId="9" fontId="8" fillId="0" borderId="0"/>
    <xf numFmtId="9" fontId="8" fillId="0" borderId="0"/>
    <xf numFmtId="0" fontId="1" fillId="0" borderId="0" applyAlignment="1">
      <alignment horizontal="center" vertical="center" wrapText="1"/>
    </xf>
    <xf numFmtId="42" fontId="3" fillId="0" borderId="0"/>
    <xf numFmtId="175" fontId="9" fillId="0" borderId="0" applyAlignment="1">
      <alignment horizontal="center"/>
    </xf>
    <xf numFmtId="0" fontId="3" fillId="0" borderId="4"/>
    <xf numFmtId="9" fontId="6" fillId="0" borderId="6"/>
    <xf numFmtId="9" fontId="2" fillId="9" borderId="7"/>
    <xf numFmtId="3" fontId="3" fillId="0" borderId="0" applyAlignment="1">
      <alignment horizontal="right" vertical="center"/>
    </xf>
    <xf numFmtId="37" fontId="11" fillId="0" borderId="0" applyAlignment="1">
      <alignment horizontal="right" vertical="center"/>
    </xf>
    <xf numFmtId="172" fontId="3" fillId="0" borderId="0" applyAlignment="1">
      <alignment horizontal="left"/>
    </xf>
    <xf numFmtId="0" fontId="3" fillId="0" borderId="0" applyAlignment="1">
      <alignment horizontal="right" vertical="center" wrapText="1"/>
    </xf>
    <xf numFmtId="9" fontId="1" fillId="12" borderId="0"/>
    <xf numFmtId="9" fontId="12" fillId="0" borderId="0"/>
    <xf numFmtId="9" fontId="1" fillId="0" borderId="0"/>
    <xf numFmtId="9" fontId="6" fillId="13" borderId="0" applyAlignment="1">
      <alignment horizontal="right" vertical="center"/>
    </xf>
    <xf numFmtId="9" fontId="6" fillId="13" borderId="0" applyAlignment="1">
      <alignment horizontal="left" vertical="center" wrapText="1"/>
    </xf>
    <xf numFmtId="172" fontId="6" fillId="13" borderId="8"/>
    <xf numFmtId="0" fontId="4" fillId="0" borderId="0" applyAlignment="1">
      <alignment horizontal="right"/>
    </xf>
    <xf numFmtId="9" fontId="14" fillId="0" borderId="0" applyAlignment="1">
      <alignment horizontal="center" vertical="center"/>
    </xf>
    <xf numFmtId="0" fontId="15" fillId="0" borderId="0" applyAlignment="1">
      <alignment horizontal="center" vertical="center"/>
    </xf>
    <xf numFmtId="1" fontId="16" fillId="0" borderId="0" applyAlignment="1">
      <alignment horizontal="center" vertical="center"/>
    </xf>
    <xf numFmtId="0" fontId="15" fillId="0" borderId="9" applyAlignment="1">
      <alignment horizontal="center" vertical="center"/>
    </xf>
    <xf numFmtId="0" fontId="17" fillId="0" borderId="9" applyAlignment="1">
      <alignment horizontal="center"/>
    </xf>
    <xf numFmtId="9" fontId="6" fillId="0" borderId="10" applyAlignment="1">
      <alignment horizontal="left"/>
    </xf>
    <xf numFmtId="0" fontId="3" fillId="0" borderId="2" applyAlignment="1" applyProtection="1">
      <alignment horizontal="left" vertical="top" wrapText="1"/>
      <protection locked="0" hidden="0"/>
    </xf>
    <xf numFmtId="0" fontId="1" fillId="0" borderId="0"/>
  </cellStyleXfs>
  <cellXfs count="107">
    <xf numFmtId="0" fontId="0" fillId="0" borderId="0" pivotButton="0" quotePrefix="0" xfId="0"/>
    <xf numFmtId="0" fontId="0" fillId="0" borderId="0" pivotButton="0" quotePrefix="1" xfId="0"/>
    <xf numFmtId="0" fontId="3" fillId="9" borderId="5" applyAlignment="1" pivotButton="0" quotePrefix="1" xfId="25">
      <alignment horizontal="center" vertical="center" wrapText="1"/>
    </xf>
    <xf numFmtId="3" fontId="3" fillId="0" borderId="2" applyAlignment="1" pivotButton="0" quotePrefix="0" xfId="38">
      <alignment horizontal="right" vertical="center"/>
    </xf>
    <xf numFmtId="0" fontId="21" fillId="15" borderId="11" applyAlignment="1" pivotButton="0" quotePrefix="0" xfId="56">
      <alignment horizontal="left" vertical="center" indent="1"/>
    </xf>
    <xf numFmtId="0" fontId="22" fillId="15" borderId="11" applyAlignment="1" pivotButton="0" quotePrefix="0" xfId="56">
      <alignment horizontal="left" vertical="center" indent="2"/>
    </xf>
    <xf numFmtId="0" fontId="19" fillId="14" borderId="11" applyAlignment="1" pivotButton="0" quotePrefix="1" xfId="56">
      <alignment horizontal="left" vertical="center"/>
    </xf>
    <xf numFmtId="0" fontId="24" fillId="15" borderId="12" applyAlignment="1" pivotButton="0" quotePrefix="0" xfId="56">
      <alignment horizontal="left" vertical="center"/>
    </xf>
    <xf numFmtId="0" fontId="1" fillId="15" borderId="13" pivotButton="0" quotePrefix="0" xfId="56"/>
    <xf numFmtId="0" fontId="24" fillId="15" borderId="14" applyAlignment="1" pivotButton="0" quotePrefix="0" xfId="56">
      <alignment horizontal="left" vertical="center"/>
    </xf>
    <xf numFmtId="0" fontId="1" fillId="15" borderId="15" pivotButton="0" quotePrefix="0" xfId="56"/>
    <xf numFmtId="164" fontId="21" fillId="15" borderId="20" applyAlignment="1" pivotButton="0" quotePrefix="0" xfId="56">
      <alignment horizontal="left" vertical="center" indent="1"/>
    </xf>
    <xf numFmtId="0" fontId="1" fillId="15" borderId="21" pivotButton="0" quotePrefix="0" xfId="56"/>
    <xf numFmtId="165" fontId="21" fillId="15" borderId="20" applyAlignment="1" pivotButton="0" quotePrefix="0" xfId="56">
      <alignment horizontal="left" vertical="center" indent="1"/>
    </xf>
    <xf numFmtId="164" fontId="21" fillId="15" borderId="22" applyAlignment="1" pivotButton="0" quotePrefix="0" xfId="56">
      <alignment horizontal="left" vertical="center" indent="1"/>
    </xf>
    <xf numFmtId="0" fontId="1" fillId="15" borderId="23" pivotButton="0" quotePrefix="0" xfId="56"/>
    <xf numFmtId="166" fontId="26" fillId="15" borderId="20" applyAlignment="1" pivotButton="0" quotePrefix="0" xfId="56">
      <alignment horizontal="left" vertical="center" indent="1"/>
    </xf>
    <xf numFmtId="167" fontId="25" fillId="15" borderId="16" applyAlignment="1" pivotButton="0" quotePrefix="0" xfId="56">
      <alignment horizontal="centerContinuous" vertical="center"/>
    </xf>
    <xf numFmtId="0" fontId="1" fillId="15" borderId="17" applyAlignment="1" pivotButton="0" quotePrefix="0" xfId="56">
      <alignment horizontal="centerContinuous"/>
    </xf>
    <xf numFmtId="168" fontId="25" fillId="15" borderId="16" applyAlignment="1" pivotButton="0" quotePrefix="0" xfId="56">
      <alignment horizontal="centerContinuous" vertical="center"/>
    </xf>
    <xf numFmtId="3" fontId="25" fillId="15" borderId="16" applyAlignment="1" pivotButton="0" quotePrefix="0" xfId="56">
      <alignment horizontal="centerContinuous" vertical="center"/>
    </xf>
    <xf numFmtId="169" fontId="25" fillId="15" borderId="18" applyAlignment="1" pivotButton="0" quotePrefix="0" xfId="56">
      <alignment horizontal="centerContinuous" vertical="center"/>
    </xf>
    <xf numFmtId="0" fontId="1" fillId="15" borderId="19" applyAlignment="1" pivotButton="0" quotePrefix="0" xfId="56">
      <alignment horizontal="centerContinuous"/>
    </xf>
    <xf numFmtId="9" fontId="25" fillId="15" borderId="16" applyAlignment="1" pivotButton="0" quotePrefix="0" xfId="56">
      <alignment horizontal="centerContinuous" vertical="center"/>
    </xf>
    <xf numFmtId="0" fontId="0" fillId="0" borderId="0" applyAlignment="1" pivotButton="0" quotePrefix="0" xfId="0">
      <alignment horizontal="centerContinuous"/>
    </xf>
    <xf numFmtId="3" fontId="20" fillId="14" borderId="11" applyAlignment="1" pivotButton="0" quotePrefix="0" xfId="0">
      <alignment horizontal="right" vertical="center"/>
    </xf>
    <xf numFmtId="164" fontId="20" fillId="14" borderId="11" applyAlignment="1" pivotButton="0" quotePrefix="0" xfId="0">
      <alignment horizontal="right" vertical="center"/>
    </xf>
    <xf numFmtId="170" fontId="20" fillId="14" borderId="11" applyAlignment="1" pivotButton="0" quotePrefix="0" xfId="0">
      <alignment horizontal="right" vertical="center"/>
    </xf>
    <xf numFmtId="165" fontId="20" fillId="14" borderId="11" applyAlignment="1" pivotButton="0" quotePrefix="0" xfId="0">
      <alignment horizontal="right" vertical="center"/>
    </xf>
    <xf numFmtId="9" fontId="20" fillId="14" borderId="11" applyAlignment="1" pivotButton="0" quotePrefix="0" xfId="0">
      <alignment horizontal="right" vertical="center"/>
    </xf>
    <xf numFmtId="3" fontId="20" fillId="15" borderId="11" applyAlignment="1" pivotButton="0" quotePrefix="0" xfId="0">
      <alignment horizontal="right" vertical="center"/>
    </xf>
    <xf numFmtId="164" fontId="20" fillId="15" borderId="11" applyAlignment="1" pivotButton="0" quotePrefix="0" xfId="0">
      <alignment horizontal="right" vertical="center"/>
    </xf>
    <xf numFmtId="170" fontId="20" fillId="15" borderId="11" applyAlignment="1" pivotButton="0" quotePrefix="0" xfId="0">
      <alignment horizontal="right" vertical="center"/>
    </xf>
    <xf numFmtId="165" fontId="20" fillId="15" borderId="11" applyAlignment="1" pivotButton="0" quotePrefix="0" xfId="0">
      <alignment horizontal="right" vertical="center"/>
    </xf>
    <xf numFmtId="9" fontId="20" fillId="15" borderId="11" applyAlignment="1" pivotButton="0" quotePrefix="0" xfId="0">
      <alignment horizontal="right" vertical="center"/>
    </xf>
    <xf numFmtId="3" fontId="23" fillId="15" borderId="11" applyAlignment="1" pivotButton="0" quotePrefix="0" xfId="0">
      <alignment horizontal="right" vertical="center"/>
    </xf>
    <xf numFmtId="164" fontId="23" fillId="15" borderId="11" applyAlignment="1" pivotButton="0" quotePrefix="0" xfId="0">
      <alignment horizontal="right" vertical="center"/>
    </xf>
    <xf numFmtId="170" fontId="23" fillId="15" borderId="11" applyAlignment="1" pivotButton="0" quotePrefix="0" xfId="0">
      <alignment horizontal="right" vertical="center"/>
    </xf>
    <xf numFmtId="165" fontId="23" fillId="15" borderId="11" applyAlignment="1" pivotButton="0" quotePrefix="0" xfId="0">
      <alignment horizontal="right" vertical="center"/>
    </xf>
    <xf numFmtId="9" fontId="23" fillId="15" borderId="11" applyAlignment="1" pivotButton="0" quotePrefix="0" xfId="0">
      <alignment horizontal="right" vertical="center"/>
    </xf>
    <xf numFmtId="171" fontId="20" fillId="15" borderId="11" applyAlignment="1" pivotButton="0" quotePrefix="0" xfId="0">
      <alignment horizontal="right" vertical="center"/>
    </xf>
    <xf numFmtId="3" fontId="20" fillId="14" borderId="11" applyAlignment="1" pivotButton="0" quotePrefix="1" xfId="0">
      <alignment horizontal="right" vertical="center"/>
    </xf>
    <xf numFmtId="0" fontId="27" fillId="15" borderId="24" applyAlignment="1" pivotButton="0" quotePrefix="0" xfId="0">
      <alignment horizontal="left" vertical="center"/>
    </xf>
    <xf numFmtId="0" fontId="21" fillId="15" borderId="25" applyAlignment="1" pivotButton="0" quotePrefix="0" xfId="0">
      <alignment horizontal="left" vertical="center"/>
    </xf>
    <xf numFmtId="0" fontId="27" fillId="16" borderId="26" applyAlignment="1" pivotButton="0" quotePrefix="0" xfId="0">
      <alignment horizontal="left" vertical="center"/>
    </xf>
    <xf numFmtId="0" fontId="28" fillId="16" borderId="27" applyAlignment="1" pivotButton="0" quotePrefix="0" xfId="0">
      <alignment horizontal="left" vertical="center"/>
    </xf>
    <xf numFmtId="0" fontId="21" fillId="15" borderId="25" applyAlignment="1" pivotButton="0" quotePrefix="1" xfId="0">
      <alignment horizontal="left" vertical="center"/>
    </xf>
    <xf numFmtId="0" fontId="18" fillId="0" borderId="0" pivotButton="0" quotePrefix="1" xfId="0"/>
    <xf numFmtId="0" fontId="29" fillId="0" borderId="0" pivotButton="0" quotePrefix="1" xfId="0"/>
    <xf numFmtId="3" fontId="23" fillId="15" borderId="11" applyAlignment="1" pivotButton="0" quotePrefix="1" xfId="0">
      <alignment horizontal="right" vertical="center"/>
    </xf>
    <xf numFmtId="3" fontId="20" fillId="15" borderId="11" applyAlignment="1" pivotButton="0" quotePrefix="1" xfId="0">
      <alignment horizontal="right" vertical="center"/>
    </xf>
    <xf numFmtId="0" fontId="0" fillId="18" borderId="0" pivotButton="0" quotePrefix="0" xfId="0"/>
    <xf numFmtId="0" fontId="30" fillId="18" borderId="0" applyAlignment="1" pivotButton="0" quotePrefix="0" xfId="0">
      <alignment horizontal="left" vertical="center"/>
    </xf>
    <xf numFmtId="0" fontId="31" fillId="18" borderId="0" applyAlignment="1" pivotButton="0" quotePrefix="0" xfId="0">
      <alignment horizontal="left" vertical="center"/>
    </xf>
    <xf numFmtId="0" fontId="0" fillId="17" borderId="0" pivotButton="0" quotePrefix="0" xfId="0"/>
    <xf numFmtId="0" fontId="32" fillId="19" borderId="28" applyAlignment="1" pivotButton="0" quotePrefix="0" xfId="0">
      <alignment horizontal="left" vertical="center" indent="1"/>
    </xf>
    <xf numFmtId="0" fontId="33" fillId="19" borderId="28" applyAlignment="1" pivotButton="0" quotePrefix="1" xfId="0">
      <alignment horizontal="left" vertical="center"/>
    </xf>
    <xf numFmtId="0" fontId="27" fillId="19" borderId="28" applyAlignment="1" pivotButton="0" quotePrefix="0" xfId="0">
      <alignment horizontal="left" vertical="center"/>
    </xf>
    <xf numFmtId="0" fontId="33" fillId="19" borderId="28" applyAlignment="1" pivotButton="0" quotePrefix="0" xfId="0">
      <alignment horizontal="left" vertical="center"/>
    </xf>
    <xf numFmtId="0" fontId="0" fillId="19" borderId="28" pivotButton="0" quotePrefix="0" xfId="0"/>
    <xf numFmtId="0" fontId="24" fillId="17" borderId="12" applyAlignment="1" pivotButton="0" quotePrefix="0" xfId="56">
      <alignment horizontal="left" vertical="center"/>
    </xf>
    <xf numFmtId="0" fontId="1" fillId="17" borderId="13" pivotButton="0" quotePrefix="0" xfId="56"/>
    <xf numFmtId="0" fontId="32" fillId="20" borderId="29" applyAlignment="1" pivotButton="0" quotePrefix="0" xfId="56">
      <alignment horizontal="left" vertical="center" indent="1"/>
    </xf>
    <xf numFmtId="0" fontId="1" fillId="20" borderId="32" pivotButton="0" quotePrefix="0" xfId="56"/>
    <xf numFmtId="0" fontId="0" fillId="20" borderId="32" pivotButton="0" quotePrefix="0" xfId="0"/>
    <xf numFmtId="0" fontId="32" fillId="20" borderId="29" applyAlignment="1" pivotButton="0" quotePrefix="0" xfId="0">
      <alignment horizontal="left" vertical="center" indent="1"/>
    </xf>
    <xf numFmtId="167" fontId="25" fillId="17" borderId="16" applyAlignment="1" pivotButton="0" quotePrefix="0" xfId="56">
      <alignment horizontal="centerContinuous" vertical="center"/>
    </xf>
    <xf numFmtId="0" fontId="1" fillId="17" borderId="17" applyAlignment="1" pivotButton="0" quotePrefix="0" xfId="56">
      <alignment horizontal="centerContinuous"/>
    </xf>
    <xf numFmtId="176" fontId="34" fillId="20" borderId="30" applyAlignment="1" pivotButton="0" quotePrefix="0" xfId="56">
      <alignment horizontal="left" vertical="center" indent="1"/>
    </xf>
    <xf numFmtId="0" fontId="1" fillId="20" borderId="33" applyAlignment="1" pivotButton="0" quotePrefix="0" xfId="56">
      <alignment horizontal="centerContinuous"/>
    </xf>
    <xf numFmtId="168" fontId="34" fillId="20" borderId="30" applyAlignment="1" pivotButton="0" quotePrefix="0" xfId="56">
      <alignment horizontal="left" vertical="center" indent="1"/>
    </xf>
    <xf numFmtId="3" fontId="34" fillId="20" borderId="30" applyAlignment="1" pivotButton="0" quotePrefix="0" xfId="56">
      <alignment horizontal="left" vertical="center" indent="1"/>
    </xf>
    <xf numFmtId="169" fontId="34" fillId="20" borderId="30" applyAlignment="1" pivotButton="0" quotePrefix="0" xfId="56">
      <alignment horizontal="left" vertical="center" indent="1"/>
    </xf>
    <xf numFmtId="0" fontId="0" fillId="20" borderId="33" applyAlignment="1" pivotButton="0" quotePrefix="0" xfId="0">
      <alignment horizontal="centerContinuous"/>
    </xf>
    <xf numFmtId="168" fontId="34" fillId="20" borderId="30" applyAlignment="1" pivotButton="0" quotePrefix="0" xfId="0">
      <alignment horizontal="left" vertical="center" indent="1"/>
    </xf>
    <xf numFmtId="0" fontId="0" fillId="20" borderId="33" pivotButton="0" quotePrefix="0" xfId="0"/>
    <xf numFmtId="164" fontId="21" fillId="17" borderId="20" applyAlignment="1" pivotButton="0" quotePrefix="0" xfId="56">
      <alignment horizontal="left" vertical="center" indent="1"/>
    </xf>
    <xf numFmtId="0" fontId="1" fillId="17" borderId="21" pivotButton="0" quotePrefix="0" xfId="56"/>
    <xf numFmtId="177" fontId="35" fillId="20" borderId="31" applyAlignment="1" pivotButton="0" quotePrefix="0" xfId="56">
      <alignment horizontal="left" vertical="center" indent="1"/>
    </xf>
    <xf numFmtId="0" fontId="1" fillId="20" borderId="34" pivotButton="0" quotePrefix="0" xfId="56"/>
    <xf numFmtId="178" fontId="35" fillId="20" borderId="31" applyAlignment="1" pivotButton="0" quotePrefix="0" xfId="56">
      <alignment horizontal="left" vertical="center" indent="1"/>
    </xf>
    <xf numFmtId="0" fontId="0" fillId="20" borderId="34" pivotButton="0" quotePrefix="0" xfId="0"/>
    <xf numFmtId="166" fontId="35" fillId="20" borderId="31" applyAlignment="1" pivotButton="0" quotePrefix="0" xfId="0">
      <alignment horizontal="left" vertical="center" indent="1"/>
    </xf>
    <xf numFmtId="0" fontId="41" fillId="20" borderId="29" applyAlignment="1" pivotButton="0" quotePrefix="0" xfId="0">
      <alignment horizontal="left" vertical="center"/>
    </xf>
    <xf numFmtId="0" fontId="0" fillId="20" borderId="37" pivotButton="0" quotePrefix="0" xfId="0"/>
    <xf numFmtId="0" fontId="37" fillId="20" borderId="37" applyAlignment="1" pivotButton="0" quotePrefix="0" xfId="0">
      <alignment horizontal="right" vertical="center"/>
    </xf>
    <xf numFmtId="0" fontId="0" fillId="20" borderId="30" pivotButton="0" quotePrefix="0" xfId="0"/>
    <xf numFmtId="0" fontId="0" fillId="20" borderId="38" pivotButton="0" quotePrefix="0" xfId="0"/>
    <xf numFmtId="0" fontId="18" fillId="20" borderId="30" pivotButton="0" quotePrefix="1" xfId="0"/>
    <xf numFmtId="0" fontId="0" fillId="20" borderId="31" pivotButton="0" quotePrefix="0" xfId="0"/>
    <xf numFmtId="0" fontId="0" fillId="20" borderId="36" pivotButton="0" quotePrefix="0" xfId="0"/>
    <xf numFmtId="0" fontId="36" fillId="17" borderId="0" applyAlignment="1" pivotButton="0" quotePrefix="0" xfId="0">
      <alignment horizontal="left" vertical="center"/>
    </xf>
    <xf numFmtId="0" fontId="37" fillId="17" borderId="0" applyAlignment="1" pivotButton="0" quotePrefix="0" xfId="0">
      <alignment horizontal="left" vertical="center"/>
    </xf>
    <xf numFmtId="0" fontId="38" fillId="21" borderId="35" applyAlignment="1" pivotButton="0" quotePrefix="0" xfId="0">
      <alignment horizontal="center" vertical="center"/>
    </xf>
    <xf numFmtId="0" fontId="38" fillId="21" borderId="35" applyAlignment="1" pivotButton="0" quotePrefix="1" xfId="25">
      <alignment horizontal="left" vertical="center" indent="1"/>
    </xf>
    <xf numFmtId="0" fontId="38" fillId="21" borderId="35" applyAlignment="1" pivotButton="0" quotePrefix="1" xfId="25">
      <alignment horizontal="center" vertical="center"/>
    </xf>
    <xf numFmtId="0" fontId="39" fillId="20" borderId="36" applyAlignment="1" pivotButton="0" quotePrefix="1" xfId="56">
      <alignment horizontal="center" vertical="center"/>
    </xf>
    <xf numFmtId="3" fontId="40" fillId="20" borderId="36" applyAlignment="1" pivotButton="0" quotePrefix="1" xfId="0">
      <alignment horizontal="left" vertical="center"/>
    </xf>
    <xf numFmtId="3" fontId="40" fillId="20" borderId="36" applyAlignment="1" pivotButton="0" quotePrefix="0" xfId="0">
      <alignment horizontal="right" vertical="center"/>
    </xf>
    <xf numFmtId="179" fontId="40" fillId="20" borderId="36" applyAlignment="1" pivotButton="0" quotePrefix="0" xfId="0">
      <alignment horizontal="right" vertical="center"/>
    </xf>
    <xf numFmtId="168" fontId="40" fillId="20" borderId="36" applyAlignment="1" pivotButton="0" quotePrefix="0" xfId="0">
      <alignment horizontal="right" vertical="center"/>
    </xf>
    <xf numFmtId="180" fontId="40" fillId="20" borderId="36" applyAlignment="1" pivotButton="0" quotePrefix="0" xfId="0">
      <alignment horizontal="right" vertical="center"/>
    </xf>
    <xf numFmtId="3" fontId="40" fillId="20" borderId="36" applyAlignment="1" pivotButton="0" quotePrefix="0" xfId="38">
      <alignment horizontal="right" vertical="center"/>
    </xf>
    <xf numFmtId="0" fontId="39" fillId="20" borderId="36" applyAlignment="1" pivotButton="0" quotePrefix="0" xfId="56">
      <alignment horizontal="center" vertical="center"/>
    </xf>
    <xf numFmtId="0" fontId="39" fillId="20" borderId="36" applyAlignment="1" pivotButton="0" quotePrefix="0" xfId="0">
      <alignment horizontal="center" vertical="center"/>
    </xf>
    <xf numFmtId="0" fontId="40" fillId="20" borderId="36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</cellXfs>
  <cellStyles count="57">
    <cellStyle name="Normal" xfId="0" builtinId="0"/>
    <cellStyle name="Titre" xfId="1" builtinId="15"/>
    <cellStyle name="Neutre" xfId="2" builtinId="28"/>
    <cellStyle name="60 % - Accent1" xfId="3" builtinId="32"/>
    <cellStyle name="60 % - Accent2" xfId="4" builtinId="36"/>
    <cellStyle name="60 % - Accent3" xfId="5" builtinId="40"/>
    <cellStyle name="60 % - Accent4" xfId="6" builtinId="44"/>
    <cellStyle name="60 % - Accent5" xfId="7" builtinId="48"/>
    <cellStyle name="60 % - Accent6" xfId="8" builtinId="52"/>
    <cellStyle name="%0." xfId="9"/>
    <cellStyle name="%0.0" xfId="10"/>
    <cellStyle name="%0.00" xfId="11"/>
    <cellStyle name="ACT" xfId="12"/>
    <cellStyle name="Alighment Center" xfId="13"/>
    <cellStyle name="Alighment Left" xfId="14"/>
    <cellStyle name="Alignment H&amp;V center" xfId="15"/>
    <cellStyle name="Amounts left nolocked" xfId="16"/>
    <cellStyle name="Amounts w/ 2 Decimals" xfId="17"/>
    <cellStyle name="Amounts_Board" xfId="18"/>
    <cellStyle name="Amounts-1000" xfId="19"/>
    <cellStyle name="BDG" xfId="20"/>
    <cellStyle name="Blank_Row" xfId="21"/>
    <cellStyle name="Bold" xfId="22"/>
    <cellStyle name="Bold+Italic" xfId="23"/>
    <cellStyle name="C_Amount_ACT" xfId="24"/>
    <cellStyle name="C_Head" xfId="25"/>
    <cellStyle name="Date" xfId="26"/>
    <cellStyle name="Fill light blue" xfId="27"/>
    <cellStyle name="Formula" xfId="28"/>
    <cellStyle name="Head_left" xfId="29"/>
    <cellStyle name="Hyperlink for amounts" xfId="30"/>
    <cellStyle name="Hyperlnk row header underlined bold" xfId="31"/>
    <cellStyle name="Middle Headers Centered" xfId="32"/>
    <cellStyle name="NA Currency" xfId="33"/>
    <cellStyle name="NA Currency 2 dec" xfId="34"/>
    <cellStyle name="Placeholder" xfId="35"/>
    <cellStyle name="Placeholder Header Underlined bold" xfId="36"/>
    <cellStyle name="Placeholder_column_blank" xfId="37"/>
    <cellStyle name="R_Area_font" xfId="38"/>
    <cellStyle name="R_AREA_FONT_UC" xfId="39"/>
    <cellStyle name="R_formula" xfId="40"/>
    <cellStyle name="R_head_font" xfId="41"/>
    <cellStyle name="Row_Grey" xfId="42"/>
    <cellStyle name="Status Check" xfId="43"/>
    <cellStyle name="Style0" xfId="44"/>
    <cellStyle name="Subtotal Amounts row fill" xfId="45"/>
    <cellStyle name="Subtotal head row fill" xfId="46"/>
    <cellStyle name="Subtotal_amounts" xfId="47"/>
    <cellStyle name="TGK_TOC_PAGE_COLUMN" xfId="48"/>
    <cellStyle name="Visual Check" xfId="49"/>
    <cellStyle name="Webdings" xfId="50"/>
    <cellStyle name="Webdings1" xfId="51"/>
    <cellStyle name="Webdings14" xfId="52"/>
    <cellStyle name="Webdings14Green" xfId="53"/>
    <cellStyle name="Work new book placeholder header underlined" xfId="54"/>
    <cellStyle name="WrappedText" xfId="55"/>
    <cellStyle name="Normal 2" xfId="56"/>
  </cellStyles>
  <dxfs count="29">
    <dxf>
      <font>
        <name val="Consolas"/>
        <b val="1"/>
        <color rgb="FFFAB219"/>
        <sz val="9.5"/>
      </font>
    </dxf>
    <dxf>
      <font>
        <name val="Consolas"/>
        <color rgb="FFD03B3B"/>
        <sz val="9.5"/>
      </font>
    </dxf>
    <dxf>
      <font>
        <name val="Consolas"/>
        <color rgb="FF0CA30C"/>
        <sz val="9.5"/>
      </font>
    </dxf>
    <dxf>
      <font>
        <name val="Segoe UI"/>
        <b val="1"/>
        <color rgb="FFD03B3B"/>
        <sz val="9.5"/>
      </font>
    </dxf>
    <dxf>
      <font>
        <name val="Segoe UI"/>
        <b val="1"/>
        <color rgb="FFD03B3B"/>
        <sz val="9.5"/>
      </font>
    </dxf>
    <dxf>
      <font>
        <name val="Segoe UI"/>
        <b val="1"/>
        <color rgb="FF0CA30C"/>
        <sz val="9.5"/>
      </font>
    </dxf>
    <dxf>
      <font>
        <name val="Segoe UI"/>
        <b val="1"/>
        <color rgb="FFD03B3B"/>
        <sz val="9.5"/>
      </font>
    </dxf>
    <dxf>
      <font>
        <name val="Segoe UI"/>
        <b val="1"/>
        <color rgb="FF0CA30C"/>
        <sz val="9.5"/>
      </font>
    </dxf>
    <dxf>
      <font>
        <name val="Consolas"/>
        <color rgb="FFD03B3B"/>
        <sz val="9.5"/>
      </font>
    </dxf>
    <dxf>
      <font>
        <name val="Consolas"/>
        <color rgb="FF0CA30C"/>
        <sz val="9.5"/>
      </font>
    </dxf>
    <dxf>
      <font>
        <name val="Segoe UI"/>
        <b val="1"/>
        <color rgb="FFD03B3B"/>
        <sz val="9.5"/>
      </font>
    </dxf>
    <dxf>
      <font>
        <name val="Segoe UI"/>
        <b val="1"/>
        <color rgb="FF0CA30C"/>
        <sz val="9.5"/>
      </font>
    </dxf>
    <dxf>
      <font>
        <name val="Consolas"/>
        <color rgb="FFD03B3B"/>
        <sz val="9.5"/>
      </font>
    </dxf>
    <dxf>
      <font>
        <name val="Consolas"/>
        <color rgb="FF0CA30C"/>
        <sz val="9.5"/>
      </font>
    </dxf>
    <dxf>
      <font>
        <name val="Segoe UI"/>
        <b val="1"/>
        <color rgb="FFD03B3B"/>
        <sz val="9.5"/>
      </font>
    </dxf>
    <dxf>
      <font>
        <name val="Segoe UI"/>
        <b val="1"/>
        <color rgb="FF0CA30C"/>
        <sz val="9.5"/>
      </font>
    </dxf>
    <dxf>
      <font>
        <name val="Segoe UI"/>
        <b val="1"/>
        <color rgb="FFD03B3B"/>
        <sz val="9.5"/>
      </font>
    </dxf>
    <dxf>
      <font>
        <name val="Segoe UI"/>
        <b val="1"/>
        <color rgb="FF0CA30C"/>
        <sz val="9.5"/>
      </font>
    </dxf>
    <dxf>
      <font>
        <name val="Arial"/>
        <color rgb="001E9E89"/>
        <sz val="8.5"/>
      </font>
    </dxf>
    <dxf>
      <font>
        <name val="Arial"/>
        <color rgb="00D64545"/>
        <sz val="8.5"/>
      </font>
    </dxf>
    <dxf>
      <font>
        <name val="Arial"/>
        <b val="1"/>
        <color rgb="00B97800"/>
        <sz val="8.5"/>
      </font>
    </dxf>
    <dxf>
      <font>
        <b val="1"/>
        <color rgb="00202733"/>
      </font>
      <fill>
        <patternFill>
          <bgColor rgb="00D9E2EF"/>
        </patternFill>
      </fill>
    </dxf>
    <dxf>
      <font>
        <b val="1"/>
        <color rgb="00202733"/>
      </font>
      <fill>
        <patternFill>
          <bgColor rgb="00EAF2FC"/>
        </patternFill>
      </fill>
    </dxf>
    <dxf>
      <font>
        <color rgb="00202733"/>
      </font>
      <fill>
        <patternFill>
          <bgColor rgb="00FFFFFF"/>
        </patternFill>
      </fill>
    </dxf>
    <dxf>
      <border>
        <top style="medium">
          <color rgb="00526071"/>
        </top>
      </border>
    </dxf>
    <dxf>
      <numFmt numFmtId="171" formatCode="&quot;  &quot;@"/>
    </dxf>
    <dxf>
      <numFmt numFmtId="172" formatCode="&quot;      &quot;@"/>
    </dxf>
    <dxf>
      <font>
        <name val="Arial"/>
        <b val="1"/>
        <color rgb="001E9E89"/>
        <sz val="8.5"/>
      </font>
    </dxf>
    <dxf>
      <font>
        <name val="Arial"/>
        <b val="1"/>
        <color rgb="00D64545"/>
        <sz val="8.5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stacked"/>
        <ser>
          <idx val="0"/>
          <order val="0"/>
          <spPr>
            <a:noFill/>
            <a:ln>
              <a:prstDash val="solid"/>
            </a:ln>
          </spPr>
          <cat>
            <strRef>
              <f>'2'!$AC$7:$AC$11</f>
            </strRef>
          </cat>
          <val>
            <numRef>
              <f>'2'!$AD$7:$AD$11</f>
            </numRef>
          </val>
        </ser>
        <ser>
          <idx val="1"/>
          <order val="1"/>
          <spPr>
            <a:solidFill>
              <a:srgbClr val="526071"/>
            </a:solidFill>
            <a:ln>
              <a:noFill/>
              <a:prstDash val="solid"/>
            </a:ln>
          </spPr>
          <cat>
            <strRef>
              <f>'2'!$AC$7:$AC$11</f>
            </strRef>
          </cat>
          <val>
            <numRef>
              <f>'2'!$AE$7:$AE$11</f>
            </numRef>
          </val>
        </ser>
        <ser>
          <idx val="2"/>
          <order val="2"/>
          <spPr>
            <a:solidFill>
              <a:srgbClr val="1E9E89"/>
            </a:solidFill>
            <a:ln>
              <a:noFill/>
              <a:prstDash val="solid"/>
            </a:ln>
          </spPr>
          <cat>
            <strRef>
              <f>'2'!$AC$7:$AC$11</f>
            </strRef>
          </cat>
          <val>
            <numRef>
              <f>'2'!$AF$7:$AF$11</f>
            </numRef>
          </val>
        </ser>
        <ser>
          <idx val="3"/>
          <order val="3"/>
          <spPr>
            <a:solidFill>
              <a:srgbClr val="D64545"/>
            </a:solidFill>
            <a:ln>
              <a:noFill/>
              <a:prstDash val="solid"/>
            </a:ln>
          </spPr>
          <cat>
            <strRef>
              <f>'2'!$AC$7:$AC$11</f>
            </strRef>
          </cat>
          <val>
            <numRef>
              <f>'2'!$AG$7:$AG$11</f>
            </numRef>
          </val>
        </ser>
        <gapWidth val="55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000000"/>
          <min val="3000000"/>
        </scaling>
        <delete val="0"/>
        <axPos val="l"/>
        <majorGridlines/>
        <numFmt formatCode="0.0,,&quot; M€&quot;" sourceLinked="0"/>
        <majorTickMark val="none"/>
        <minorTickMark val="none"/>
        <crossAx val="10"/>
        <majorUnit val="500000"/>
      </valAx>
    </plotArea>
    <plotVisOnly val="0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tx>
            <v>2024</v>
          </tx>
          <spPr>
            <a:solidFill>
              <a:srgbClr val="B8CFEC"/>
            </a:solidFill>
            <a:ln>
              <a:noFill/>
              <a:prstDash val="solid"/>
            </a:ln>
          </spPr>
          <cat>
            <strRef>
              <f>'2'!$AK$7:$AK$11</f>
            </strRef>
          </cat>
          <val>
            <numRef>
              <f>'2'!$AN$7:$AN$11</f>
            </numRef>
          </val>
        </ser>
        <ser>
          <idx val="1"/>
          <order val="1"/>
          <tx>
            <v>2025</v>
          </tx>
          <spPr>
            <a:solidFill>
              <a:srgbClr val="6FA5DC"/>
            </a:solidFill>
            <a:ln>
              <a:noFill/>
              <a:prstDash val="solid"/>
            </a:ln>
          </spPr>
          <cat>
            <strRef>
              <f>'2'!$AK$7:$AK$11</f>
            </strRef>
          </cat>
          <val>
            <numRef>
              <f>'2'!$AQ$7:$AQ$11</f>
            </numRef>
          </val>
        </ser>
        <ser>
          <idx val="2"/>
          <order val="2"/>
          <tx>
            <v>2026</v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strRef>
              <f>'2'!$AK$7:$AK$11</f>
            </strRef>
          </cat>
          <val>
            <numRef>
              <f>'2'!$AT$7:$AT$11</f>
            </numRef>
          </val>
        </ser>
        <gapWidth val="60"/>
        <overlap val="-1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legend>
      <legendPos val="b"/>
    </legend>
    <plotVisOnly val="0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Dépenses</v>
          </tx>
          <spPr>
            <a:ln w="25000">
              <a:solidFill>
                <a:srgbClr val="F07B32"/>
              </a:solidFill>
              <a:prstDash val="solid"/>
            </a:ln>
          </spPr>
          <marker>
            <symbol val="circle"/>
            <size val="6"/>
            <spPr>
              <a:solidFill>
                <a:srgbClr val="F07B32"/>
              </a:solidFill>
              <a:ln>
                <a:solidFill>
                  <a:srgbClr val="F07B32"/>
                </a:solidFill>
                <a:prstDash val="solid"/>
              </a:ln>
            </spPr>
          </marker>
          <cat>
            <strRef>
              <f>'2'!$AZ$7:$AZ$9</f>
            </strRef>
          </cat>
          <val>
            <numRef>
              <f>'2'!$BC$7:$BC$9</f>
            </numRef>
          </val>
          <smooth val="0"/>
        </ser>
        <ser>
          <idx val="1"/>
          <order val="1"/>
          <tx>
            <v>Inscrits</v>
          </tx>
          <spPr>
            <a:ln w="25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strRef>
              <f>'2'!$AZ$7:$AZ$9</f>
            </strRef>
          </cat>
          <val>
            <numRef>
              <f>'2'!$BD$7:$BD$9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25"/>
          <min val="95"/>
        </scaling>
        <delete val="0"/>
        <axPos val="l"/>
        <majorGridlines/>
        <numFmt formatCode="0" sourceLinked="0"/>
        <majorTickMark val="none"/>
        <minorTickMark val="none"/>
        <crossAx val="10"/>
        <majorUnit val="10"/>
      </valAx>
    </plotArea>
    <legend>
      <legendPos val="b"/>
    </legend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288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12</row>
      <rowOff>0</rowOff>
    </from>
    <ext cx="288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12</col>
      <colOff>0</colOff>
      <row>12</row>
      <rowOff>0</rowOff>
    </from>
    <ext cx="288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BF202"/>
  <sheetViews>
    <sheetView showGridLines="0" tabSelected="1" zoomScale="100" workbookViewId="0">
      <selection activeCell="C9" sqref="C9"/>
    </sheetView>
  </sheetViews>
  <sheetFormatPr baseColWidth="10" defaultRowHeight="14.25" outlineLevelRow="2"/>
  <cols>
    <col width="2.5" customWidth="1" min="1" max="1"/>
    <col width="2.5" customWidth="1" min="2" max="2"/>
    <col width="4.5" customWidth="1" min="3" max="3"/>
    <col width="34" bestFit="1" customWidth="1" min="4" max="4"/>
    <col width="11" bestFit="1" customWidth="1" min="5" max="5"/>
    <col width="11" bestFit="1" customWidth="1" min="6" max="6"/>
    <col width="11" bestFit="1" customWidth="1" min="7" max="7"/>
    <col width="11" bestFit="1" customWidth="1" min="8" max="8"/>
    <col width="11" bestFit="1" customWidth="1" min="9" max="9"/>
    <col width="11" bestFit="1" customWidth="1" min="10" max="10"/>
    <col width="11" bestFit="1" customWidth="1" min="11" max="11"/>
    <col width="11" bestFit="1" customWidth="1" min="12" max="12"/>
    <col width="11" bestFit="1" customWidth="1" min="13" max="13"/>
    <col width="11" bestFit="1" customWidth="1" min="14" max="14"/>
    <col width="11" bestFit="1" customWidth="1" min="15" max="15"/>
    <col width="11" bestFit="1" customWidth="1" min="16" max="16"/>
    <col hidden="1" width="11.1328125" bestFit="1" customWidth="1" min="17" max="17"/>
    <col hidden="1" width="11.3984375" bestFit="1" customWidth="1" min="18" max="18"/>
    <col hidden="1" width="11.53125" bestFit="1" customWidth="1" min="19" max="19"/>
    <col hidden="1" width="9.265625" bestFit="1" customWidth="1" min="20" max="20"/>
    <col hidden="1" width="12.59765625" customWidth="1" min="21" max="21"/>
    <col hidden="1" width="15.53125" bestFit="1" customWidth="1" min="22" max="22"/>
    <col hidden="1" width="9.9296875" bestFit="1" customWidth="1" min="23" max="23"/>
    <col hidden="1" width="11.265625" bestFit="1" customWidth="1" min="24" max="24"/>
    <col hidden="1" width="13.9296875" bestFit="1" customWidth="1" min="25" max="25"/>
    <col hidden="1" width="17.265625" bestFit="1" customWidth="1" min="26" max="26"/>
    <col hidden="1" width="4.59765625" bestFit="1" customWidth="1" min="27" max="27"/>
    <col hidden="1" width="9.265625" bestFit="1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9.53125" bestFit="1" customWidth="1" min="52" max="52"/>
    <col hidden="1" width="9.9296875" bestFit="1" customWidth="1" min="53" max="53"/>
    <col hidden="1" width="8.86328125" bestFit="1" customWidth="1" min="54" max="54"/>
    <col hidden="1" width="13.9296875" bestFit="1" customWidth="1" min="55" max="55"/>
    <col hidden="1" width="12.86328125" bestFit="1" customWidth="1" min="56" max="56"/>
    <col hidden="1" width="4.59765625" bestFit="1" customWidth="1" min="57" max="57"/>
    <col hidden="1" width="9.265625" bestFit="1" customWidth="1" min="58" max="58"/>
  </cols>
  <sheetData>
    <row r="1" ht="8" customHeight="1">
      <c r="A1" s="51" t="n"/>
      <c r="B1" s="51" t="n"/>
      <c r="C1" s="51" t="n"/>
      <c r="D1" s="51" t="n"/>
      <c r="E1" s="51" t="n"/>
      <c r="F1" s="51" t="n"/>
      <c r="G1" s="51" t="n"/>
      <c r="H1" s="51" t="n"/>
      <c r="I1" s="51" t="n"/>
      <c r="J1" s="51" t="n"/>
      <c r="K1" s="51" t="n"/>
      <c r="L1" s="51" t="n"/>
      <c r="M1" s="51" t="n"/>
      <c r="N1" s="51" t="n"/>
      <c r="O1" s="51" t="n"/>
      <c r="P1" s="51" t="n"/>
    </row>
    <row r="2" ht="26" customHeight="1">
      <c r="A2" s="51" t="n"/>
      <c r="B2" s="51" t="n"/>
      <c r="C2" s="52" t="inlineStr">
        <is>
          <t>COCKPIT EDUSERVICES — PILOTAGE DE LA MARGE</t>
        </is>
      </c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</row>
    <row r="3" ht="15" customHeight="1">
      <c r="A3" s="51" t="n"/>
      <c r="B3" s="51" t="n"/>
      <c r="C3" s="53" t="inlineStr">
        <is>
          <t>Exercice 2026 · variation contre 2025 · source V_ALLOCATION et socle CRM</t>
        </is>
      </c>
      <c r="D3" s="51" t="n"/>
      <c r="E3" s="51" t="n"/>
      <c r="F3" s="51" t="n"/>
      <c r="G3" s="51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</row>
    <row r="4" ht="6" customHeight="1">
      <c r="A4" s="54" t="n"/>
      <c r="B4" s="54" t="n"/>
      <c r="C4" s="54" t="n"/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</row>
    <row r="5" ht="20" customHeight="1">
      <c r="A5" s="54" t="n"/>
      <c r="B5" s="54" t="n"/>
      <c r="C5" s="55" t="inlineStr">
        <is>
          <t>SCÉNARIO</t>
        </is>
      </c>
      <c r="D5" s="56" t="inlineStr">
        <is>
          <t>Forecast</t>
        </is>
      </c>
      <c r="E5" s="57" t="n"/>
      <c r="F5" s="55" t="inlineStr">
        <is>
          <t>VERSION</t>
        </is>
      </c>
      <c r="G5" s="58" t="inlineStr">
        <is>
          <t>V_FINAL</t>
        </is>
      </c>
      <c r="H5" s="59" t="n"/>
      <c r="I5" s="55" t="inlineStr">
        <is>
          <t>MARQUE</t>
        </is>
      </c>
      <c r="J5" s="56" t="inlineStr">
        <is>
          <t>EDUSERVICES</t>
        </is>
      </c>
      <c r="K5" s="59" t="n"/>
      <c r="L5" s="55" t="inlineStr">
        <is>
          <t>CAMPUS</t>
        </is>
      </c>
      <c r="M5" s="58" t="inlineStr">
        <is>
          <t>Tous</t>
        </is>
      </c>
      <c r="N5" s="59" t="n"/>
      <c r="O5" s="59" t="n"/>
      <c r="P5" s="59" t="n"/>
    </row>
    <row r="6" ht="6" customHeight="1">
      <c r="A6" s="54" t="n"/>
      <c r="B6" s="54" t="n"/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4" t="n"/>
      <c r="P6" s="54" t="n"/>
      <c r="AB6" s="48" t="inlineStr">
        <is>
          <t>RANG</t>
        </is>
      </c>
      <c r="AC6" s="47" t="inlineStr">
        <is>
          <t>ETAPE</t>
        </is>
      </c>
      <c r="AD6" s="47" t="inlineStr">
        <is>
          <t>SOCLE</t>
        </is>
      </c>
      <c r="AE6" s="47" t="inlineStr">
        <is>
          <t>ANCRE</t>
        </is>
      </c>
      <c r="AF6" s="47" t="inlineStr">
        <is>
          <t>HAUSSE</t>
        </is>
      </c>
      <c r="AG6" s="47" t="inlineStr">
        <is>
          <t>BAISSE</t>
        </is>
      </c>
      <c r="AI6" s="48" t="inlineStr">
        <is>
          <t>NIVEAU</t>
        </is>
      </c>
      <c r="AJ6" s="47" t="inlineStr">
        <is>
          <t>CODE</t>
        </is>
      </c>
      <c r="AK6" s="47" t="inlineStr">
        <is>
          <t>LIBELLE</t>
        </is>
      </c>
      <c r="AL6" s="47" t="inlineStr">
        <is>
          <t>CA_2024</t>
        </is>
      </c>
      <c r="AM6" s="47" t="inlineStr">
        <is>
          <t>EBITDA_2024</t>
        </is>
      </c>
      <c r="AN6" s="47" t="inlineStr">
        <is>
          <t>MARGE_2024</t>
        </is>
      </c>
      <c r="AO6" s="47" t="inlineStr">
        <is>
          <t>CA_2025</t>
        </is>
      </c>
      <c r="AP6" s="47" t="inlineStr">
        <is>
          <t>EBITDA_2025</t>
        </is>
      </c>
      <c r="AQ6" s="47" t="inlineStr">
        <is>
          <t>MARGE_2025</t>
        </is>
      </c>
      <c r="AR6" s="47" t="inlineStr">
        <is>
          <t>CA_2026</t>
        </is>
      </c>
      <c r="AS6" s="47" t="inlineStr">
        <is>
          <t>EBITDA_2026</t>
        </is>
      </c>
      <c r="AT6" s="47" t="inlineStr">
        <is>
          <t>MARGE_2026</t>
        </is>
      </c>
      <c r="AU6" s="47" t="inlineStr">
        <is>
          <t>ECART_PT</t>
        </is>
      </c>
      <c r="AZ6" s="47" t="inlineStr">
        <is>
          <t>EXERCICE</t>
        </is>
      </c>
      <c r="BA6" s="47" t="inlineStr">
        <is>
          <t>DEPENSES</t>
        </is>
      </c>
      <c r="BB6" s="47" t="inlineStr">
        <is>
          <t>INSCRITS</t>
        </is>
      </c>
      <c r="BC6" s="47" t="inlineStr">
        <is>
          <t>IND_DEPENSES</t>
        </is>
      </c>
      <c r="BD6" s="47" t="inlineStr">
        <is>
          <t>IND_INSCRITS</t>
        </is>
      </c>
      <c r="BE6" s="47" t="inlineStr">
        <is>
          <t>CAC</t>
        </is>
      </c>
      <c r="BF6" s="47" t="inlineStr">
        <is>
          <t>ECART_PT</t>
        </is>
      </c>
    </row>
    <row r="7" ht="10" customHeight="1">
      <c r="A7" s="54" t="n"/>
      <c r="B7" s="54" t="n"/>
      <c r="C7" s="54" t="n"/>
      <c r="D7" s="54" t="n"/>
      <c r="E7" s="54" t="n"/>
      <c r="F7" s="54" t="n"/>
      <c r="G7" s="54" t="n"/>
      <c r="H7" s="54" t="n"/>
      <c r="I7" s="54" t="n"/>
      <c r="J7" s="54" t="n"/>
      <c r="K7" s="54" t="n"/>
      <c r="L7" s="54" t="n"/>
      <c r="M7" s="54" t="n"/>
      <c r="N7" s="54" t="n"/>
      <c r="O7" s="54" t="n"/>
      <c r="P7" s="54" t="n"/>
      <c r="AB7" s="47" t="n">
        <v>1</v>
      </c>
      <c r="AC7" s="47" t="inlineStr">
        <is>
          <t>EBITDA 2025</t>
        </is>
      </c>
      <c r="AD7" s="47" t="n">
        <v>0</v>
      </c>
      <c r="AE7" s="47" t="n">
        <v>3467793.288627</v>
      </c>
      <c r="AF7" s="47" t="n">
        <v>0</v>
      </c>
      <c r="AG7" s="47" t="n">
        <v>0</v>
      </c>
      <c r="AI7" s="47" t="inlineStr">
        <is>
          <t>MARQUE</t>
        </is>
      </c>
      <c r="AJ7" s="47" t="inlineStr">
        <is>
          <t>IPAC</t>
        </is>
      </c>
      <c r="AK7" s="47" t="inlineStr">
        <is>
          <t>Ipac Bachelor Factory</t>
        </is>
      </c>
      <c r="AL7" s="47" t="n">
        <v>2309940</v>
      </c>
      <c r="AM7" s="47" t="n">
        <v>274748</v>
      </c>
      <c r="AN7" s="47" t="n">
        <v>0.1189</v>
      </c>
      <c r="AO7" s="47" t="n">
        <v>2439370</v>
      </c>
      <c r="AP7" s="47" t="n">
        <v>316641</v>
      </c>
      <c r="AQ7" s="47" t="n">
        <v>0.1298</v>
      </c>
      <c r="AR7" s="47" t="n">
        <v>2582800</v>
      </c>
      <c r="AS7" s="47" t="n">
        <v>365680</v>
      </c>
      <c r="AT7" t="n">
        <v>0.1416</v>
      </c>
      <c r="AU7" s="48" t="n">
        <v>2.26</v>
      </c>
      <c r="AZ7" s="47" t="inlineStr">
        <is>
          <t>2024</t>
        </is>
      </c>
      <c r="BA7" s="47" t="n">
        <v>358819</v>
      </c>
      <c r="BB7" s="47" t="n">
        <v>1092</v>
      </c>
      <c r="BC7" s="47" t="n">
        <v>100</v>
      </c>
      <c r="BD7" s="47" t="n">
        <v>100</v>
      </c>
      <c r="BE7" s="47" t="n">
        <v>329</v>
      </c>
      <c r="BF7" s="47" t="n">
        <v>0</v>
      </c>
    </row>
    <row r="8" ht="13" customHeight="1">
      <c r="A8" s="54" t="n"/>
      <c r="B8" s="54" t="n"/>
      <c r="C8" s="60" t="n"/>
      <c r="D8" s="61" t="n"/>
      <c r="E8" s="62" t="inlineStr">
        <is>
          <t>CHIFFRE D'AFFAIRES</t>
        </is>
      </c>
      <c r="F8" s="63" t="n"/>
      <c r="G8" s="62" t="inlineStr">
        <is>
          <t>EBITDA</t>
        </is>
      </c>
      <c r="H8" s="63" t="n"/>
      <c r="I8" s="62" t="inlineStr">
        <is>
          <t>MARGE EBITDA</t>
        </is>
      </c>
      <c r="J8" s="63" t="n"/>
      <c r="K8" s="62" t="inlineStr">
        <is>
          <t>INSCRITS (NOUVEAUX)</t>
        </is>
      </c>
      <c r="L8" s="63" t="n"/>
      <c r="M8" s="62" t="inlineStr">
        <is>
          <t>COÛT D'ACQUISITION</t>
        </is>
      </c>
      <c r="N8" s="64" t="n"/>
      <c r="O8" s="65" t="inlineStr">
        <is>
          <t>REMPLISSAGE MOYEN</t>
        </is>
      </c>
      <c r="P8" s="64" t="n"/>
      <c r="AB8" t="n">
        <v>2</v>
      </c>
      <c r="AC8" t="inlineStr">
        <is>
          <t>Activité</t>
        </is>
      </c>
      <c r="AD8" t="n">
        <v>3467793.288627</v>
      </c>
      <c r="AE8" t="n">
        <v>0</v>
      </c>
      <c r="AF8" t="n">
        <v>1157203.254104</v>
      </c>
      <c r="AG8" t="n">
        <v>0</v>
      </c>
      <c r="AI8" t="inlineStr">
        <is>
          <t>MARQUE</t>
        </is>
      </c>
      <c r="AJ8" t="inlineStr">
        <is>
          <t>ISCOM</t>
        </is>
      </c>
      <c r="AK8" t="inlineStr">
        <is>
          <t>ISCOM</t>
        </is>
      </c>
      <c r="AL8" t="n">
        <v>5593340</v>
      </c>
      <c r="AM8" t="n">
        <v>884366</v>
      </c>
      <c r="AN8" t="n">
        <v>0.1581</v>
      </c>
      <c r="AO8" t="n">
        <v>5914800</v>
      </c>
      <c r="AP8" t="n">
        <v>971877</v>
      </c>
      <c r="AQ8" t="n">
        <v>0.1643</v>
      </c>
      <c r="AR8" t="n">
        <v>6292550</v>
      </c>
      <c r="AS8" t="n">
        <v>1080136</v>
      </c>
      <c r="AT8" t="n">
        <v>0.1717</v>
      </c>
      <c r="AU8" t="n">
        <v>1.35</v>
      </c>
      <c r="AZ8" t="inlineStr">
        <is>
          <t>2025</t>
        </is>
      </c>
      <c r="BA8" t="n">
        <v>394702</v>
      </c>
      <c r="BB8" t="n">
        <v>1159</v>
      </c>
      <c r="BC8" t="n">
        <v>110</v>
      </c>
      <c r="BD8" t="n">
        <v>106.1</v>
      </c>
      <c r="BE8" t="n">
        <v>341</v>
      </c>
      <c r="BF8" t="n">
        <v>3.9</v>
      </c>
    </row>
    <row r="9" ht="26" customHeight="1">
      <c r="A9" s="54" t="n"/>
      <c r="B9" s="54" t="n"/>
      <c r="C9" s="66" t="n"/>
      <c r="D9" s="67" t="n"/>
      <c r="E9" s="68">
        <f>E33</f>
        <v/>
      </c>
      <c r="F9" s="69" t="n"/>
      <c r="G9" s="68">
        <f>G33</f>
        <v/>
      </c>
      <c r="H9" s="69" t="n"/>
      <c r="I9" s="70">
        <f>J33</f>
        <v/>
      </c>
      <c r="J9" s="69" t="n"/>
      <c r="K9" s="71">
        <f>L33</f>
        <v/>
      </c>
      <c r="L9" s="69" t="n"/>
      <c r="M9" s="72">
        <f>T33/L33</f>
        <v/>
      </c>
      <c r="N9" s="73" t="n"/>
      <c r="O9" s="74">
        <f>M33</f>
        <v/>
      </c>
      <c r="P9" s="75" t="n"/>
      <c r="AB9" t="n">
        <v>3</v>
      </c>
      <c r="AC9" t="inlineStr">
        <is>
          <t>Prix / mix</t>
        </is>
      </c>
      <c r="AD9" t="n">
        <v>4624389.553509</v>
      </c>
      <c r="AE9" t="n">
        <v>0</v>
      </c>
      <c r="AF9" t="n">
        <v>0</v>
      </c>
      <c r="AG9" t="n">
        <v>606.989222</v>
      </c>
      <c r="AI9" t="inlineStr">
        <is>
          <t>MARQUE</t>
        </is>
      </c>
      <c r="AJ9" t="inlineStr">
        <is>
          <t>MBWAY</t>
        </is>
      </c>
      <c r="AK9" t="inlineStr">
        <is>
          <t>MBway</t>
        </is>
      </c>
      <c r="AL9" t="n">
        <v>8517270</v>
      </c>
      <c r="AM9" t="n">
        <v>1406351</v>
      </c>
      <c r="AN9" t="n">
        <v>0.1651</v>
      </c>
      <c r="AO9" t="n">
        <v>9032400</v>
      </c>
      <c r="AP9" t="n">
        <v>1564342</v>
      </c>
      <c r="AQ9" t="n">
        <v>0.1732</v>
      </c>
      <c r="AR9" t="n">
        <v>9567455</v>
      </c>
      <c r="AS9" t="n">
        <v>1746010</v>
      </c>
      <c r="AT9" t="n">
        <v>0.1825</v>
      </c>
      <c r="AU9" t="n">
        <v>1.74</v>
      </c>
      <c r="AZ9" t="inlineStr">
        <is>
          <t>2026</t>
        </is>
      </c>
      <c r="BA9" t="n">
        <v>434174</v>
      </c>
      <c r="BB9" t="n">
        <v>1229</v>
      </c>
      <c r="BC9" t="n">
        <v>121</v>
      </c>
      <c r="BD9" t="n">
        <v>112.5</v>
      </c>
      <c r="BE9" t="n">
        <v>353</v>
      </c>
      <c r="BF9" t="n">
        <v>8.5</v>
      </c>
    </row>
    <row r="10" ht="14" customHeight="1">
      <c r="A10" s="54" t="n"/>
      <c r="B10" s="54" t="n"/>
      <c r="C10" s="76" t="n"/>
      <c r="D10" s="77" t="n"/>
      <c r="E10" s="78">
        <f>F33</f>
        <v/>
      </c>
      <c r="F10" s="79" t="n"/>
      <c r="G10" s="78">
        <f>H33</f>
        <v/>
      </c>
      <c r="H10" s="79" t="n"/>
      <c r="I10" s="80">
        <f>K33</f>
        <v/>
      </c>
      <c r="J10" s="79" t="n"/>
      <c r="K10" s="78">
        <f>Z33</f>
        <v/>
      </c>
      <c r="L10" s="79" t="n"/>
      <c r="M10" s="78">
        <f>IFERROR(M9/(U33/X33)-1,"")</f>
        <v/>
      </c>
      <c r="N10" s="81" t="n"/>
      <c r="O10" s="82">
        <f>P33-O33</f>
        <v/>
      </c>
      <c r="P10" s="81" t="n"/>
      <c r="AB10" t="n">
        <v>4</v>
      </c>
      <c r="AC10" t="inlineStr">
        <is>
          <t>Coûts</t>
        </is>
      </c>
      <c r="AD10" t="n">
        <v>3845816.907756</v>
      </c>
      <c r="AE10" t="n">
        <v>0</v>
      </c>
      <c r="AF10" t="n">
        <v>0</v>
      </c>
      <c r="AG10" t="n">
        <v>778572.64689</v>
      </c>
      <c r="AI10" t="inlineStr">
        <is>
          <t>MARQUE</t>
        </is>
      </c>
      <c r="AJ10" t="inlineStr">
        <is>
          <t>PIGIER</t>
        </is>
      </c>
      <c r="AK10" t="inlineStr">
        <is>
          <t>Pigier</t>
        </is>
      </c>
      <c r="AL10" t="n">
        <v>2403570</v>
      </c>
      <c r="AM10" t="n">
        <v>475792</v>
      </c>
      <c r="AN10" t="n">
        <v>0.198</v>
      </c>
      <c r="AO10" t="n">
        <v>2537610</v>
      </c>
      <c r="AP10" t="n">
        <v>517400</v>
      </c>
      <c r="AQ10" t="n">
        <v>0.2039</v>
      </c>
      <c r="AR10" t="n">
        <v>2706480</v>
      </c>
      <c r="AS10" t="n">
        <v>572263</v>
      </c>
      <c r="AT10" t="n">
        <v>0.2114</v>
      </c>
      <c r="AU10" t="n">
        <v>1.35</v>
      </c>
      <c r="AZ10" t="inlineStr">
        <is>
          <t>2027</t>
        </is>
      </c>
      <c r="BA10" t="n">
        <v>0</v>
      </c>
      <c r="BB10" t="n">
        <v>4043</v>
      </c>
      <c r="BC10" t="n">
        <v>0</v>
      </c>
      <c r="BD10" t="n">
        <v>370.2</v>
      </c>
      <c r="BE10" t="n">
        <v>0</v>
      </c>
      <c r="BF10" t="n">
        <v>-370.2</v>
      </c>
    </row>
    <row r="11" ht="10" customHeight="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4" t="n"/>
      <c r="P11" s="54" t="n"/>
      <c r="AB11" t="n">
        <v>5</v>
      </c>
      <c r="AC11" t="inlineStr">
        <is>
          <t>EBITDA 2026</t>
        </is>
      </c>
      <c r="AD11" t="n">
        <v>0</v>
      </c>
      <c r="AE11" t="n">
        <v>3845816.907756</v>
      </c>
      <c r="AF11" t="n">
        <v>0</v>
      </c>
      <c r="AG11" t="n">
        <v>0</v>
      </c>
      <c r="AI11" t="inlineStr">
        <is>
          <t>MARQUE</t>
        </is>
      </c>
      <c r="AJ11" t="inlineStr">
        <is>
          <t>TUNON</t>
        </is>
      </c>
      <c r="AK11" t="inlineStr">
        <is>
          <t>Tunon</t>
        </is>
      </c>
      <c r="AL11" t="n">
        <v>1743090</v>
      </c>
      <c r="AM11" t="n">
        <v>109801</v>
      </c>
      <c r="AN11" t="n">
        <v>0.063</v>
      </c>
      <c r="AO11" t="n">
        <v>1834590</v>
      </c>
      <c r="AP11" t="n">
        <v>97533</v>
      </c>
      <c r="AQ11" t="n">
        <v>0.0532</v>
      </c>
      <c r="AR11" t="n">
        <v>1949700</v>
      </c>
      <c r="AS11" t="n">
        <v>81728</v>
      </c>
      <c r="AT11" t="n">
        <v>0.0419</v>
      </c>
      <c r="AU11" t="n">
        <v>-2.11</v>
      </c>
    </row>
    <row r="12" ht="17.5" customHeight="1">
      <c r="A12" s="54" t="n"/>
      <c r="B12" s="54" t="n"/>
      <c r="C12" s="54" t="n"/>
      <c r="D12" s="54" t="n"/>
      <c r="E12" s="83" t="inlineStr">
        <is>
          <t xml:space="preserve">  Pont d'EBITDA 2025 → 2026</t>
        </is>
      </c>
      <c r="F12" s="84" t="n"/>
      <c r="G12" s="85" t="inlineStr">
        <is>
          <t xml:space="preserve">axe tronqué à 3,0 M€  </t>
        </is>
      </c>
      <c r="H12" s="64" t="n"/>
      <c r="I12" s="83" t="inlineStr">
        <is>
          <t xml:space="preserve">  Marge EBITDA par marque</t>
        </is>
      </c>
      <c r="J12" s="84" t="n"/>
      <c r="K12" s="84" t="n"/>
      <c r="L12" s="64" t="n"/>
      <c r="M12" s="83" t="inlineStr">
        <is>
          <t xml:space="preserve">  Acquisition — dépenses contre inscrits, base 100</t>
        </is>
      </c>
      <c r="N12" s="84" t="n"/>
      <c r="O12" s="84" t="n"/>
      <c r="P12" s="64" t="n"/>
    </row>
    <row r="13" ht="17.5" customHeight="1">
      <c r="A13" s="54" t="n"/>
      <c r="B13" s="54" t="n"/>
      <c r="C13" s="54" t="n"/>
      <c r="D13" s="54" t="n"/>
      <c r="E13" s="86" t="n"/>
      <c r="F13" s="87" t="n"/>
      <c r="G13" s="87" t="n"/>
      <c r="H13" s="75" t="n"/>
      <c r="I13" s="86" t="n"/>
      <c r="J13" s="87" t="n"/>
      <c r="K13" s="87" t="n"/>
      <c r="L13" s="75" t="n"/>
      <c r="M13" s="86" t="n"/>
      <c r="N13" s="87" t="n"/>
      <c r="O13" s="87" t="n"/>
      <c r="P13" s="75" t="n"/>
    </row>
    <row r="14" ht="17.5" customHeight="1">
      <c r="A14" s="54" t="n"/>
      <c r="B14" s="54" t="n"/>
      <c r="C14" s="54" t="n"/>
      <c r="D14" s="54" t="n"/>
      <c r="E14" s="86" t="n"/>
      <c r="F14" s="87" t="n"/>
      <c r="G14" s="87" t="n"/>
      <c r="H14" s="75" t="n"/>
      <c r="I14" s="86" t="n"/>
      <c r="J14" s="87" t="n"/>
      <c r="K14" s="87" t="n"/>
      <c r="L14" s="75" t="n"/>
      <c r="M14" s="86" t="n"/>
      <c r="N14" s="87" t="n"/>
      <c r="O14" s="87" t="n"/>
      <c r="P14" s="75" t="n"/>
    </row>
    <row r="15" ht="17.5" customHeight="1">
      <c r="A15" s="54" t="n"/>
      <c r="B15" s="54" t="n"/>
      <c r="C15" s="54" t="n"/>
      <c r="D15" s="54" t="n"/>
      <c r="E15" s="86" t="n"/>
      <c r="F15" s="87" t="n"/>
      <c r="G15" s="87" t="n"/>
      <c r="H15" s="75" t="n"/>
      <c r="I15" s="88" t="n"/>
      <c r="J15" s="87" t="n"/>
      <c r="K15" s="87" t="n"/>
      <c r="L15" s="75" t="n"/>
      <c r="M15" s="86" t="n"/>
      <c r="N15" s="87" t="n"/>
      <c r="O15" s="87" t="n"/>
      <c r="P15" s="75" t="n"/>
    </row>
    <row r="16" ht="17.5" customHeight="1">
      <c r="A16" s="54" t="n"/>
      <c r="B16" s="54" t="n"/>
      <c r="C16" s="54" t="n"/>
      <c r="D16" s="54" t="n"/>
      <c r="E16" s="86" t="n"/>
      <c r="F16" s="87" t="n"/>
      <c r="G16" s="87" t="n"/>
      <c r="H16" s="75" t="n"/>
      <c r="I16" s="86" t="n"/>
      <c r="J16" s="87" t="n"/>
      <c r="K16" s="87" t="n"/>
      <c r="L16" s="75" t="n"/>
      <c r="M16" s="86" t="n"/>
      <c r="N16" s="87" t="n"/>
      <c r="O16" s="87" t="n"/>
      <c r="P16" s="75" t="n"/>
    </row>
    <row r="17" ht="17.5" customHeight="1">
      <c r="A17" s="54" t="n"/>
      <c r="B17" s="54" t="n"/>
      <c r="C17" s="54" t="n"/>
      <c r="D17" s="54" t="n"/>
      <c r="E17" s="86" t="n"/>
      <c r="F17" s="87" t="n"/>
      <c r="G17" s="87" t="n"/>
      <c r="H17" s="75" t="n"/>
      <c r="I17" s="86" t="n"/>
      <c r="J17" s="87" t="n"/>
      <c r="K17" s="87" t="n"/>
      <c r="L17" s="75" t="n"/>
      <c r="M17" s="86" t="n"/>
      <c r="N17" s="87" t="n"/>
      <c r="O17" s="87" t="n"/>
      <c r="P17" s="75" t="n"/>
    </row>
    <row r="18" ht="17.5" customHeight="1">
      <c r="A18" s="54" t="n"/>
      <c r="B18" s="54" t="n"/>
      <c r="C18" s="54" t="n"/>
      <c r="D18" s="54" t="n"/>
      <c r="E18" s="86" t="n"/>
      <c r="F18" s="87" t="n"/>
      <c r="G18" s="87" t="n"/>
      <c r="H18" s="75" t="n"/>
      <c r="I18" s="86" t="n"/>
      <c r="J18" s="87" t="n"/>
      <c r="K18" s="87" t="n"/>
      <c r="L18" s="75" t="n"/>
      <c r="M18" s="86" t="n"/>
      <c r="N18" s="87" t="n"/>
      <c r="O18" s="87" t="n"/>
      <c r="P18" s="75" t="n"/>
    </row>
    <row r="19" ht="17.5" customHeight="1">
      <c r="A19" s="54" t="n"/>
      <c r="B19" s="54" t="n"/>
      <c r="C19" s="54" t="n"/>
      <c r="D19" s="54" t="n"/>
      <c r="E19" s="86" t="n"/>
      <c r="F19" s="87" t="n"/>
      <c r="G19" s="87" t="n"/>
      <c r="H19" s="75" t="n"/>
      <c r="I19" s="86" t="n"/>
      <c r="J19" s="87" t="n"/>
      <c r="K19" s="87" t="n"/>
      <c r="L19" s="75" t="n"/>
      <c r="M19" s="86" t="n"/>
      <c r="N19" s="87" t="n"/>
      <c r="O19" s="87" t="n"/>
      <c r="P19" s="75" t="n"/>
    </row>
    <row r="20" ht="17.5" customHeight="1">
      <c r="A20" s="54" t="n"/>
      <c r="B20" s="54" t="n"/>
      <c r="C20" s="54" t="n"/>
      <c r="D20" s="54" t="n"/>
      <c r="E20" s="86" t="n"/>
      <c r="F20" s="87" t="n"/>
      <c r="G20" s="87" t="n"/>
      <c r="H20" s="75" t="n"/>
      <c r="I20" s="86" t="n"/>
      <c r="J20" s="87" t="n"/>
      <c r="K20" s="87" t="n"/>
      <c r="L20" s="75" t="n"/>
      <c r="M20" s="86" t="n"/>
      <c r="N20" s="87" t="n"/>
      <c r="O20" s="87" t="n"/>
      <c r="P20" s="75" t="n"/>
    </row>
    <row r="21" ht="17.5" customHeight="1">
      <c r="A21" s="54" t="n"/>
      <c r="B21" s="54" t="n"/>
      <c r="C21" s="54" t="n"/>
      <c r="D21" s="54" t="n"/>
      <c r="E21" s="86" t="n"/>
      <c r="F21" s="87" t="n"/>
      <c r="G21" s="87" t="n"/>
      <c r="H21" s="75" t="n"/>
      <c r="I21" s="86" t="n"/>
      <c r="J21" s="87" t="n"/>
      <c r="K21" s="87" t="n"/>
      <c r="L21" s="75" t="n"/>
      <c r="M21" s="86" t="n"/>
      <c r="N21" s="87" t="n"/>
      <c r="O21" s="87" t="n"/>
      <c r="P21" s="75" t="n"/>
    </row>
    <row r="22" ht="17.5" customHeight="1">
      <c r="A22" s="54" t="n"/>
      <c r="B22" s="54" t="n"/>
      <c r="C22" s="54" t="n"/>
      <c r="D22" s="54" t="n"/>
      <c r="E22" s="86" t="n"/>
      <c r="F22" s="87" t="n"/>
      <c r="G22" s="87" t="n"/>
      <c r="H22" s="75" t="n"/>
      <c r="I22" s="86" t="n"/>
      <c r="J22" s="87" t="n"/>
      <c r="K22" s="87" t="n"/>
      <c r="L22" s="75" t="n"/>
      <c r="M22" s="86" t="n"/>
      <c r="N22" s="87" t="n"/>
      <c r="O22" s="87" t="n"/>
      <c r="P22" s="75" t="n"/>
    </row>
    <row r="23" ht="17.5" customHeight="1">
      <c r="A23" s="54" t="n"/>
      <c r="B23" s="54" t="n"/>
      <c r="C23" s="54" t="n"/>
      <c r="D23" s="54" t="n"/>
      <c r="E23" s="86" t="n"/>
      <c r="F23" s="87" t="n"/>
      <c r="G23" s="87" t="n"/>
      <c r="H23" s="75" t="n"/>
      <c r="I23" s="86" t="n"/>
      <c r="J23" s="87" t="n"/>
      <c r="K23" s="87" t="n"/>
      <c r="L23" s="75" t="n"/>
      <c r="M23" s="86" t="n"/>
      <c r="N23" s="87" t="n"/>
      <c r="O23" s="87" t="n"/>
      <c r="P23" s="75" t="n"/>
    </row>
    <row r="24" ht="17.5" customHeight="1">
      <c r="A24" s="54" t="n"/>
      <c r="B24" s="54" t="n"/>
      <c r="C24" s="54" t="n"/>
      <c r="D24" s="54" t="n"/>
      <c r="E24" s="86" t="n"/>
      <c r="F24" s="87" t="n"/>
      <c r="G24" s="87" t="n"/>
      <c r="H24" s="75" t="n"/>
      <c r="I24" s="86" t="n"/>
      <c r="J24" s="87" t="n"/>
      <c r="K24" s="87" t="n"/>
      <c r="L24" s="75" t="n"/>
      <c r="M24" s="86" t="n"/>
      <c r="N24" s="87" t="n"/>
      <c r="O24" s="87" t="n"/>
      <c r="P24" s="75" t="n"/>
    </row>
    <row r="25" ht="17.5" customHeight="1">
      <c r="A25" s="54" t="n"/>
      <c r="B25" s="54" t="n"/>
      <c r="C25" s="54" t="n"/>
      <c r="D25" s="54" t="n"/>
      <c r="E25" s="86" t="n"/>
      <c r="F25" s="87" t="n"/>
      <c r="G25" s="87" t="n"/>
      <c r="H25" s="75" t="n"/>
      <c r="I25" s="86" t="n"/>
      <c r="J25" s="87" t="n"/>
      <c r="K25" s="87" t="n"/>
      <c r="L25" s="75" t="n"/>
      <c r="M25" s="86" t="n"/>
      <c r="N25" s="87" t="n"/>
      <c r="O25" s="87" t="n"/>
      <c r="P25" s="75" t="n"/>
    </row>
    <row r="26" ht="17.5" customHeight="1">
      <c r="A26" s="54" t="n"/>
      <c r="B26" s="54" t="n"/>
      <c r="C26" s="54" t="n"/>
      <c r="D26" s="54" t="n"/>
      <c r="E26" s="86" t="n"/>
      <c r="F26" s="87" t="n"/>
      <c r="G26" s="87" t="n"/>
      <c r="H26" s="75" t="n"/>
      <c r="I26" s="86" t="n"/>
      <c r="J26" s="87" t="n"/>
      <c r="K26" s="87" t="n"/>
      <c r="L26" s="75" t="n"/>
      <c r="M26" s="86" t="n"/>
      <c r="N26" s="87" t="n"/>
      <c r="O26" s="87" t="n"/>
      <c r="P26" s="75" t="n"/>
    </row>
    <row r="27" ht="17.5" customHeight="1">
      <c r="A27" s="54" t="n"/>
      <c r="B27" s="54" t="n"/>
      <c r="C27" s="54" t="n"/>
      <c r="D27" s="54" t="n"/>
      <c r="E27" s="86" t="n"/>
      <c r="F27" s="87" t="n"/>
      <c r="G27" s="87" t="n"/>
      <c r="H27" s="75" t="n"/>
      <c r="I27" s="86" t="n"/>
      <c r="J27" s="87" t="n"/>
      <c r="K27" s="87" t="n"/>
      <c r="L27" s="75" t="n"/>
      <c r="M27" s="86" t="n"/>
      <c r="N27" s="87" t="n"/>
      <c r="O27" s="87" t="n"/>
      <c r="P27" s="75" t="n"/>
    </row>
    <row r="28" ht="17.5" customHeight="1">
      <c r="A28" s="54" t="n"/>
      <c r="B28" s="54" t="n"/>
      <c r="C28" s="54" t="n"/>
      <c r="D28" s="54" t="n"/>
      <c r="E28" s="86" t="n"/>
      <c r="F28" s="87" t="n"/>
      <c r="G28" s="87" t="n"/>
      <c r="H28" s="75" t="n"/>
      <c r="I28" s="86" t="n"/>
      <c r="J28" s="87" t="n"/>
      <c r="K28" s="87" t="n"/>
      <c r="L28" s="75" t="n"/>
      <c r="M28" s="86" t="n"/>
      <c r="N28" s="87" t="n"/>
      <c r="O28" s="87" t="n"/>
      <c r="P28" s="75" t="n"/>
    </row>
    <row r="29" ht="17.5" customHeight="1">
      <c r="A29" s="54" t="n"/>
      <c r="B29" s="54" t="n"/>
      <c r="C29" s="54" t="n"/>
      <c r="D29" s="54" t="n"/>
      <c r="E29" s="86" t="n"/>
      <c r="F29" s="87" t="n"/>
      <c r="G29" s="87" t="n"/>
      <c r="H29" s="75" t="n"/>
      <c r="I29" s="86" t="n"/>
      <c r="J29" s="87" t="n"/>
      <c r="K29" s="87" t="n"/>
      <c r="L29" s="75" t="n"/>
      <c r="M29" s="86" t="n"/>
      <c r="N29" s="87" t="n"/>
      <c r="O29" s="87" t="n"/>
      <c r="P29" s="75" t="n"/>
    </row>
    <row r="30" ht="17.5" customHeight="1">
      <c r="A30" s="54" t="n"/>
      <c r="B30" s="54" t="n"/>
      <c r="C30" s="54" t="n"/>
      <c r="D30" s="54" t="n"/>
      <c r="E30" s="89" t="n"/>
      <c r="F30" s="90" t="n"/>
      <c r="G30" s="90" t="n"/>
      <c r="H30" s="81" t="n"/>
      <c r="I30" s="89" t="n"/>
      <c r="J30" s="90" t="n"/>
      <c r="K30" s="90" t="n"/>
      <c r="L30" s="81" t="n"/>
      <c r="M30" s="89" t="n"/>
      <c r="N30" s="90" t="n"/>
      <c r="O30" s="90" t="n"/>
      <c r="P30" s="81" t="n"/>
    </row>
    <row r="31" ht="20" customHeight="1">
      <c r="A31" s="54" t="n"/>
      <c r="B31" s="54" t="n"/>
      <c r="C31" s="91" t="inlineStr">
        <is>
          <t>PORTEFEUILLE — MARQUE ET CAMPUS</t>
        </is>
      </c>
      <c r="D31" s="54" t="n"/>
      <c r="E31" s="92" t="inlineStr">
        <is>
          <t>le retrait du libellé donne le niveau : groupe, marque, campus</t>
        </is>
      </c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</row>
    <row r="32" ht="17" customHeight="1" thickBot="1">
      <c r="A32" s="54" t="n"/>
      <c r="B32" s="54" t="n"/>
      <c r="C32" s="93" t="inlineStr">
        <is>
          <t>Niv.</t>
        </is>
      </c>
      <c r="D32" s="94" t="inlineStr">
        <is>
          <t>Entité</t>
        </is>
      </c>
      <c r="E32" s="95" t="inlineStr">
        <is>
          <t>CA</t>
        </is>
      </c>
      <c r="F32" s="95" t="inlineStr">
        <is>
          <t>Δ CA</t>
        </is>
      </c>
      <c r="G32" s="95" t="inlineStr">
        <is>
          <t>EBITDA</t>
        </is>
      </c>
      <c r="H32" s="95" t="inlineStr">
        <is>
          <t>Δ EBITDA</t>
        </is>
      </c>
      <c r="I32" s="95" t="inlineStr">
        <is>
          <t>Part EBITDA</t>
        </is>
      </c>
      <c r="J32" s="95" t="inlineStr">
        <is>
          <t>Marge EBITDA</t>
        </is>
      </c>
      <c r="K32" s="95" t="inlineStr">
        <is>
          <t>Δ Marge (pt)</t>
        </is>
      </c>
      <c r="L32" s="95" t="inlineStr">
        <is>
          <t>Inscrits</t>
        </is>
      </c>
      <c r="M32" s="95" t="inlineStr">
        <is>
          <t>Remplissage</t>
        </is>
      </c>
      <c r="N32" s="95" t="inlineStr">
        <is>
          <t>Mix alternance</t>
        </is>
      </c>
      <c r="O32" s="95" t="inlineStr">
        <is>
          <t>Effectifs</t>
        </is>
      </c>
      <c r="P32" s="95" t="inlineStr">
        <is>
          <t>Places</t>
        </is>
      </c>
      <c r="Q32" s="2" t="inlineStr">
        <is>
          <t>EFFECTIFS_ALT</t>
        </is>
      </c>
      <c r="R32" s="2" t="inlineStr">
        <is>
          <t>EBITDA_N1</t>
        </is>
      </c>
      <c r="S32" s="2" t="inlineStr">
        <is>
          <t>CA_N1</t>
        </is>
      </c>
      <c r="T32" s="2" t="inlineStr">
        <is>
          <t>SPEND_ACQ</t>
        </is>
      </c>
      <c r="U32" s="2" t="inlineStr">
        <is>
          <t>SPEND_ACQ_N1</t>
        </is>
      </c>
      <c r="V32" s="1" t="inlineStr">
        <is>
          <t>Marge EBTIDA N-1</t>
        </is>
      </c>
      <c r="W32" s="1" t="inlineStr">
        <is>
          <t>PLACES_N1</t>
        </is>
      </c>
      <c r="X32" s="1" t="inlineStr">
        <is>
          <t>INSCRITS_N1</t>
        </is>
      </c>
      <c r="Y32" s="1" t="inlineStr">
        <is>
          <t>EFFECTIFS_N1</t>
        </is>
      </c>
      <c r="Z32" s="1" t="inlineStr">
        <is>
          <t>% nouveaux inscrits</t>
        </is>
      </c>
    </row>
    <row r="33" ht="15.5" customHeight="1" thickTop="1">
      <c r="A33" s="54" t="n"/>
      <c r="B33" s="54" t="n"/>
      <c r="C33" s="96" t="n">
        <v>2</v>
      </c>
      <c r="D33" s="97" t="inlineStr">
        <is>
          <t>EDUSERVICES</t>
        </is>
      </c>
      <c r="E33" s="98">
        <f>SUBTOTAL(9, E34:E52)</f>
        <v/>
      </c>
      <c r="F33" s="99">
        <f>IFERROR((E33-S33)/S33, "")</f>
        <v/>
      </c>
      <c r="G33" s="98">
        <f>SUBTOTAL(9, G34:G52)</f>
        <v/>
      </c>
      <c r="H33" s="99">
        <f>IFERROR((G33-R33)/R33, "")</f>
        <v/>
      </c>
      <c r="I33" s="100">
        <f>SUBTOTAL(9, I34:I52)</f>
        <v/>
      </c>
      <c r="J33" s="100">
        <f>IFERROR(G33/E33, "")</f>
        <v/>
      </c>
      <c r="K33" s="101">
        <f>IFERROR((J33-V33)*100, "")</f>
        <v/>
      </c>
      <c r="L33" s="98">
        <f>SUBTOTAL(9, L34:L52)</f>
        <v/>
      </c>
      <c r="M33" s="100">
        <f>IFERROR(O33/P33, "")</f>
        <v/>
      </c>
      <c r="N33" s="100">
        <f>IFERROR(Q33/O33, "")</f>
        <v/>
      </c>
      <c r="O33" s="102">
        <f>SUBTOTAL(9, O34:O52)</f>
        <v/>
      </c>
      <c r="P33" s="102">
        <f>SUBTOTAL(9, P34:P52)</f>
        <v/>
      </c>
      <c r="Q33" s="3">
        <f>SUBTOTAL(9, Q34:Q52)</f>
        <v/>
      </c>
      <c r="R33" s="3">
        <f>SUBTOTAL(9, R34:R52)</f>
        <v/>
      </c>
      <c r="S33" s="3">
        <f>SUBTOTAL(9, S34:S52)</f>
        <v/>
      </c>
      <c r="T33" s="3">
        <f>SUBTOTAL(9, T34:T52)</f>
        <v/>
      </c>
      <c r="U33" s="3">
        <f>SUBTOTAL(9, U34:U52)</f>
        <v/>
      </c>
      <c r="V33">
        <f>IFERROR(R33/S33, "")</f>
        <v/>
      </c>
      <c r="W33">
        <f>SUBTOTAL(9, W34:W52)</f>
        <v/>
      </c>
      <c r="X33">
        <f>SUBTOTAL(9, X34:X52)</f>
        <v/>
      </c>
      <c r="Y33">
        <f>SUBTOTAL(9, Y34:Y52)</f>
        <v/>
      </c>
      <c r="Z33">
        <f>IFERROR((L33-X33)/X33, "")</f>
        <v/>
      </c>
      <c r="AA33">
        <f>IFERROR((T33-S33)/S33, "")</f>
        <v/>
      </c>
    </row>
    <row r="34" outlineLevel="1" ht="15.5" customHeight="1">
      <c r="A34" s="54" t="n"/>
      <c r="B34" s="54" t="n"/>
      <c r="C34" s="103" t="n">
        <v>3</v>
      </c>
      <c r="D34" s="97" t="inlineStr">
        <is>
          <t>Ipac Bachelor Factory</t>
        </is>
      </c>
      <c r="E34" s="98">
        <f>SUBTOTAL(9, E35:E37)</f>
        <v/>
      </c>
      <c r="F34" s="99">
        <f>IFERROR((E34-S34)/S34, "")</f>
        <v/>
      </c>
      <c r="G34" s="98">
        <f>SUBTOTAL(9, G35:G37)</f>
        <v/>
      </c>
      <c r="H34" s="99">
        <f>IFERROR((G34-R34)/R34, "")</f>
        <v/>
      </c>
      <c r="I34" s="100">
        <f>SUBTOTAL(9, I35:I37)</f>
        <v/>
      </c>
      <c r="J34" s="100">
        <f>IFERROR(G34/E34, "")</f>
        <v/>
      </c>
      <c r="K34" s="101">
        <f>IFERROR((J34-V34)*100, "")</f>
        <v/>
      </c>
      <c r="L34" s="98">
        <f>SUBTOTAL(9, L35:L37)</f>
        <v/>
      </c>
      <c r="M34" s="100">
        <f>IFERROR(O34/P34, "")</f>
        <v/>
      </c>
      <c r="N34" s="100">
        <f>IFERROR(Q34/O34, "")</f>
        <v/>
      </c>
      <c r="O34" s="98">
        <f>SUBTOTAL(9, O35:O37)</f>
        <v/>
      </c>
      <c r="P34" s="98">
        <f>SUBTOTAL(9, P35:P37)</f>
        <v/>
      </c>
      <c r="Q34">
        <f>SUBTOTAL(9, Q35:Q37)</f>
        <v/>
      </c>
      <c r="R34">
        <f>SUBTOTAL(9, R35:R37)</f>
        <v/>
      </c>
      <c r="S34">
        <f>SUBTOTAL(9, S35:S37)</f>
        <v/>
      </c>
      <c r="T34" s="3">
        <f>SUBTOTAL(9, T35:T37)</f>
        <v/>
      </c>
      <c r="U34" s="3">
        <f>SUBTOTAL(9, U35:U37)</f>
        <v/>
      </c>
      <c r="V34">
        <f>IFERROR(R34/S34, "")</f>
        <v/>
      </c>
      <c r="W34">
        <f>SUBTOTAL(9, W35:W37)</f>
        <v/>
      </c>
      <c r="X34">
        <f>SUBTOTAL(9, X35:X37)</f>
        <v/>
      </c>
      <c r="Y34">
        <f>SUBTOTAL(9, Y35:Y37)</f>
        <v/>
      </c>
      <c r="Z34">
        <f>IFERROR((L34-X34)/X34, "")</f>
        <v/>
      </c>
      <c r="AA34">
        <f>IFERROR((T34-S34)/S34, "")</f>
        <v/>
      </c>
    </row>
    <row r="35" outlineLevel="2" ht="15.5" customHeight="1">
      <c r="A35" s="54" t="n"/>
      <c r="B35" s="54" t="n"/>
      <c r="C35" s="103" t="n">
        <v>4</v>
      </c>
      <c r="D35" s="97" t="inlineStr">
        <is>
          <t>Ipac Bachelor Factory Montpellier</t>
        </is>
      </c>
      <c r="E35" s="98" t="n">
        <v>781650</v>
      </c>
      <c r="F35" s="99">
        <f>IFERROR((E35-S35)/S35, "")</f>
        <v/>
      </c>
      <c r="G35" s="98" t="n">
        <v>107890.617776</v>
      </c>
      <c r="H35" s="99">
        <f>IFERROR((G35-R35)/R35, "")</f>
        <v/>
      </c>
      <c r="I35" s="100" t="n">
        <v>0.028054</v>
      </c>
      <c r="J35" s="100">
        <f>IFERROR(G35/E35, "")</f>
        <v/>
      </c>
      <c r="K35" s="101">
        <f>IFERROR((J35-V35)*100, "")</f>
        <v/>
      </c>
      <c r="L35" s="98" t="n">
        <v>40</v>
      </c>
      <c r="M35" s="100">
        <f>IFERROR(O35/P35, "")</f>
        <v/>
      </c>
      <c r="N35" s="100">
        <f>IFERROR(Q35/O35, "")</f>
        <v/>
      </c>
      <c r="O35" s="98" t="n">
        <v>117</v>
      </c>
      <c r="P35" s="98" t="n">
        <v>192</v>
      </c>
      <c r="Q35" t="n">
        <v>117</v>
      </c>
      <c r="R35" t="n">
        <v>93630.055754</v>
      </c>
      <c r="S35" t="n">
        <v>741570</v>
      </c>
      <c r="T35" s="3" t="n">
        <v>15178</v>
      </c>
      <c r="U35" s="3" t="n">
        <v>13798</v>
      </c>
      <c r="V35">
        <f>IFERROR(R35/S35, "")</f>
        <v/>
      </c>
      <c r="W35" t="n">
        <v>192</v>
      </c>
      <c r="X35" t="n">
        <v>38</v>
      </c>
      <c r="Y35" t="n">
        <v>111</v>
      </c>
      <c r="Z35">
        <f>IFERROR((L35-X35)/X35, "")</f>
        <v/>
      </c>
      <c r="AA35">
        <f>IFERROR((T35-S35)/S35, "")</f>
        <v/>
      </c>
    </row>
    <row r="36" outlineLevel="2" ht="15.5" customHeight="1">
      <c r="A36" s="54" t="n"/>
      <c r="B36" s="54" t="n"/>
      <c r="C36" s="103" t="n">
        <v>4</v>
      </c>
      <c r="D36" s="97" t="inlineStr">
        <is>
          <t>Ipac Bachelor Factory Nantes</t>
        </is>
      </c>
      <c r="E36" s="98" t="n">
        <v>1019500</v>
      </c>
      <c r="F36" s="99">
        <f>IFERROR((E36-S36)/S36, "")</f>
        <v/>
      </c>
      <c r="G36" s="98" t="n">
        <v>149898.516029</v>
      </c>
      <c r="H36" s="99">
        <f>IFERROR((G36-R36)/R36, "")</f>
        <v/>
      </c>
      <c r="I36" s="100" t="n">
        <v>0.038977</v>
      </c>
      <c r="J36" s="100">
        <f>IFERROR(G36/E36, "")</f>
        <v/>
      </c>
      <c r="K36" s="101">
        <f>IFERROR((J36-V36)*100, "")</f>
        <v/>
      </c>
      <c r="L36" s="98" t="n">
        <v>50</v>
      </c>
      <c r="M36" s="100">
        <f>IFERROR(O36/P36, "")</f>
        <v/>
      </c>
      <c r="N36" s="100">
        <f>IFERROR(Q36/O36, "")</f>
        <v/>
      </c>
      <c r="O36" s="98" t="n">
        <v>145</v>
      </c>
      <c r="P36" s="98" t="n">
        <v>192</v>
      </c>
      <c r="Q36" t="n">
        <v>145</v>
      </c>
      <c r="R36" t="n">
        <v>129380.967853</v>
      </c>
      <c r="S36" t="n">
        <v>956230</v>
      </c>
      <c r="T36" s="3" t="n">
        <v>21760</v>
      </c>
      <c r="U36" s="3" t="n">
        <v>19782</v>
      </c>
      <c r="V36">
        <f>IFERROR(R36/S36, "")</f>
        <v/>
      </c>
      <c r="W36" t="n">
        <v>192</v>
      </c>
      <c r="X36" t="n">
        <v>47</v>
      </c>
      <c r="Y36" t="n">
        <v>136</v>
      </c>
      <c r="Z36">
        <f>IFERROR((L36-X36)/X36, "")</f>
        <v/>
      </c>
      <c r="AA36">
        <f>IFERROR((T36-S36)/S36, "")</f>
        <v/>
      </c>
    </row>
    <row r="37" outlineLevel="2" ht="15.5" customHeight="1">
      <c r="A37" s="54" t="n"/>
      <c r="B37" s="54" t="n"/>
      <c r="C37" s="103" t="n">
        <v>4</v>
      </c>
      <c r="D37" s="97" t="inlineStr">
        <is>
          <t>Ipac Bachelor Factory Rennes</t>
        </is>
      </c>
      <c r="E37" s="98" t="n">
        <v>781650</v>
      </c>
      <c r="F37" s="99">
        <f>IFERROR((E37-S37)/S37, "")</f>
        <v/>
      </c>
      <c r="G37" s="98" t="n">
        <v>107890.618021</v>
      </c>
      <c r="H37" s="99">
        <f>IFERROR((G37-R37)/R37, "")</f>
        <v/>
      </c>
      <c r="I37" s="100" t="n">
        <v>0.028054</v>
      </c>
      <c r="J37" s="100">
        <f>IFERROR(G37/E37, "")</f>
        <v/>
      </c>
      <c r="K37" s="101">
        <f>IFERROR((J37-V37)*100, "")</f>
        <v/>
      </c>
      <c r="L37" s="98" t="n">
        <v>40</v>
      </c>
      <c r="M37" s="100">
        <f>IFERROR(O37/P37, "")</f>
        <v/>
      </c>
      <c r="N37" s="100">
        <f>IFERROR(Q37/O37, "")</f>
        <v/>
      </c>
      <c r="O37" s="98" t="n">
        <v>117</v>
      </c>
      <c r="P37" s="98" t="n">
        <v>192</v>
      </c>
      <c r="Q37" t="n">
        <v>117</v>
      </c>
      <c r="R37" t="n">
        <v>93630.03597899999</v>
      </c>
      <c r="S37" t="n">
        <v>741570</v>
      </c>
      <c r="T37" s="3" t="n">
        <v>14933</v>
      </c>
      <c r="U37" s="3" t="n">
        <v>13575</v>
      </c>
      <c r="V37">
        <f>IFERROR(R37/S37, "")</f>
        <v/>
      </c>
      <c r="W37" t="n">
        <v>192</v>
      </c>
      <c r="X37" t="n">
        <v>38</v>
      </c>
      <c r="Y37" t="n">
        <v>111</v>
      </c>
      <c r="Z37">
        <f>IFERROR((L37-X37)/X37, "")</f>
        <v/>
      </c>
      <c r="AA37">
        <f>IFERROR((T37-S37)/S37, "")</f>
        <v/>
      </c>
    </row>
    <row r="38" outlineLevel="1" ht="15.5" customHeight="1">
      <c r="A38" s="54" t="n"/>
      <c r="B38" s="54" t="n"/>
      <c r="C38" s="103" t="n">
        <v>3</v>
      </c>
      <c r="D38" s="97" t="inlineStr">
        <is>
          <t>ISCOM</t>
        </is>
      </c>
      <c r="E38" s="98">
        <f>SUBTOTAL(9, E39:E41)</f>
        <v/>
      </c>
      <c r="F38" s="99">
        <f>IFERROR((E38-S38)/S38, "")</f>
        <v/>
      </c>
      <c r="G38" s="98">
        <f>SUBTOTAL(9, G39:G41)</f>
        <v/>
      </c>
      <c r="H38" s="99">
        <f>IFERROR((G38-R38)/R38, "")</f>
        <v/>
      </c>
      <c r="I38" s="100">
        <f>SUBTOTAL(9, I39:I41)</f>
        <v/>
      </c>
      <c r="J38" s="100">
        <f>IFERROR(G38/E38, "")</f>
        <v/>
      </c>
      <c r="K38" s="101">
        <f>IFERROR((J38-V38)*100, "")</f>
        <v/>
      </c>
      <c r="L38" s="98">
        <f>SUBTOTAL(9, L39:L41)</f>
        <v/>
      </c>
      <c r="M38" s="100">
        <f>IFERROR(O38/P38, "")</f>
        <v/>
      </c>
      <c r="N38" s="100">
        <f>IFERROR(Q38/O38, "")</f>
        <v/>
      </c>
      <c r="O38" s="98">
        <f>SUBTOTAL(9, O39:O41)</f>
        <v/>
      </c>
      <c r="P38" s="98">
        <f>SUBTOTAL(9, P39:P41)</f>
        <v/>
      </c>
      <c r="Q38">
        <f>SUBTOTAL(9, Q39:Q41)</f>
        <v/>
      </c>
      <c r="R38">
        <f>SUBTOTAL(9, R39:R41)</f>
        <v/>
      </c>
      <c r="S38">
        <f>SUBTOTAL(9, S39:S41)</f>
        <v/>
      </c>
      <c r="T38" s="3">
        <f>SUBTOTAL(9, T39:T41)</f>
        <v/>
      </c>
      <c r="U38" s="3">
        <f>SUBTOTAL(9, U39:U41)</f>
        <v/>
      </c>
      <c r="V38">
        <f>IFERROR(R38/S38, "")</f>
        <v/>
      </c>
      <c r="W38">
        <f>SUBTOTAL(9, W39:W41)</f>
        <v/>
      </c>
      <c r="X38">
        <f>SUBTOTAL(9, X39:X41)</f>
        <v/>
      </c>
      <c r="Y38">
        <f>SUBTOTAL(9, Y39:Y41)</f>
        <v/>
      </c>
      <c r="Z38">
        <f>IFERROR((L38-X38)/X38, "")</f>
        <v/>
      </c>
      <c r="AA38">
        <f>IFERROR((T38-S38)/S38, "")</f>
        <v/>
      </c>
    </row>
    <row r="39" outlineLevel="2" ht="15.5" customHeight="1">
      <c r="A39" s="54" t="n"/>
      <c r="B39" s="54" t="n"/>
      <c r="C39" s="103" t="n">
        <v>4</v>
      </c>
      <c r="D39" s="97" t="inlineStr">
        <is>
          <t>ISCOM Lille</t>
        </is>
      </c>
      <c r="E39" s="98" t="n">
        <v>1755850</v>
      </c>
      <c r="F39" s="99">
        <f>IFERROR((E39-S39)/S39, "")</f>
        <v/>
      </c>
      <c r="G39" s="98" t="n">
        <v>289771.286902</v>
      </c>
      <c r="H39" s="99">
        <f>IFERROR((G39-R39)/R39, "")</f>
        <v/>
      </c>
      <c r="I39" s="100" t="n">
        <v>0.075347</v>
      </c>
      <c r="J39" s="100">
        <f>IFERROR(G39/E39, "")</f>
        <v/>
      </c>
      <c r="K39" s="101">
        <f>IFERROR((J39-V39)*100, "")</f>
        <v/>
      </c>
      <c r="L39" s="98" t="n">
        <v>100</v>
      </c>
      <c r="M39" s="100">
        <f>IFERROR(O39/P39, "")</f>
        <v/>
      </c>
      <c r="N39" s="100">
        <f>IFERROR(Q39/O39, "")</f>
        <v/>
      </c>
      <c r="O39" s="98" t="n">
        <v>244</v>
      </c>
      <c r="P39" s="98" t="n">
        <v>296</v>
      </c>
      <c r="Q39" t="n">
        <v>194</v>
      </c>
      <c r="R39" t="n">
        <v>259788.32347</v>
      </c>
      <c r="S39" t="n">
        <v>1648000</v>
      </c>
      <c r="T39" s="3" t="n">
        <v>25220</v>
      </c>
      <c r="U39" s="3" t="n">
        <v>22927</v>
      </c>
      <c r="V39">
        <f>IFERROR(R39/S39, "")</f>
        <v/>
      </c>
      <c r="W39" t="n">
        <v>296</v>
      </c>
      <c r="X39" t="n">
        <v>94</v>
      </c>
      <c r="Y39" t="n">
        <v>229</v>
      </c>
      <c r="Z39">
        <f>IFERROR((L39-X39)/X39, "")</f>
        <v/>
      </c>
      <c r="AA39">
        <f>IFERROR((T39-S39)/S39, "")</f>
        <v/>
      </c>
    </row>
    <row r="40" outlineLevel="2" ht="15.5" customHeight="1">
      <c r="A40" s="54" t="n"/>
      <c r="B40" s="54" t="n"/>
      <c r="C40" s="103" t="n">
        <v>4</v>
      </c>
      <c r="D40" s="97" t="inlineStr">
        <is>
          <t>ISCOM Paris</t>
        </is>
      </c>
      <c r="E40" s="98" t="n">
        <v>2908720</v>
      </c>
      <c r="F40" s="99">
        <f>IFERROR((E40-S40)/S40, "")</f>
        <v/>
      </c>
      <c r="G40" s="98" t="n">
        <v>526580.913096</v>
      </c>
      <c r="H40" s="99">
        <f>IFERROR((G40-R40)/R40, "")</f>
        <v/>
      </c>
      <c r="I40" s="100" t="n">
        <v>0.136923</v>
      </c>
      <c r="J40" s="100">
        <f>IFERROR(G40/E40, "")</f>
        <v/>
      </c>
      <c r="K40" s="101">
        <f>IFERROR((J40-V40)*100, "")</f>
        <v/>
      </c>
      <c r="L40" s="98" t="n">
        <v>144</v>
      </c>
      <c r="M40" s="100">
        <f>IFERROR(O40/P40, "")</f>
        <v/>
      </c>
      <c r="N40" s="100">
        <f>IFERROR(Q40/O40, "")</f>
        <v/>
      </c>
      <c r="O40" s="98" t="n">
        <v>354</v>
      </c>
      <c r="P40" s="98" t="n">
        <v>444</v>
      </c>
      <c r="Q40" t="n">
        <v>282</v>
      </c>
      <c r="R40" t="n">
        <v>476694.76491</v>
      </c>
      <c r="S40" t="n">
        <v>2744480</v>
      </c>
      <c r="T40" s="3" t="n">
        <v>60800</v>
      </c>
      <c r="U40" s="3" t="n">
        <v>55272</v>
      </c>
      <c r="V40">
        <f>IFERROR(R40/S40, "")</f>
        <v/>
      </c>
      <c r="W40" t="n">
        <v>444</v>
      </c>
      <c r="X40" t="n">
        <v>136</v>
      </c>
      <c r="Y40" t="n">
        <v>334</v>
      </c>
      <c r="Z40">
        <f>IFERROR((L40-X40)/X40, "")</f>
        <v/>
      </c>
      <c r="AA40">
        <f>IFERROR((T40-S40)/S40, "")</f>
        <v/>
      </c>
    </row>
    <row r="41" outlineLevel="2" ht="15.5" customHeight="1">
      <c r="A41" s="54" t="n"/>
      <c r="B41" s="54" t="n"/>
      <c r="C41" s="103" t="n">
        <v>4</v>
      </c>
      <c r="D41" s="97" t="inlineStr">
        <is>
          <t>ISCOM Toulouse</t>
        </is>
      </c>
      <c r="E41" s="98" t="n">
        <v>1627980</v>
      </c>
      <c r="F41" s="99">
        <f>IFERROR((E41-S41)/S41, "")</f>
        <v/>
      </c>
      <c r="G41" s="98" t="n">
        <v>263784.055574</v>
      </c>
      <c r="H41" s="99">
        <f>IFERROR((G41-R41)/R41, "")</f>
        <v/>
      </c>
      <c r="I41" s="100" t="n">
        <v>0.068589</v>
      </c>
      <c r="J41" s="100">
        <f>IFERROR(G41/E41, "")</f>
        <v/>
      </c>
      <c r="K41" s="101">
        <f>IFERROR((J41-V41)*100, "")</f>
        <v/>
      </c>
      <c r="L41" s="98" t="n">
        <v>94</v>
      </c>
      <c r="M41" s="100">
        <f>IFERROR(O41/P41, "")</f>
        <v/>
      </c>
      <c r="N41" s="100">
        <f>IFERROR(Q41/O41, "")</f>
        <v/>
      </c>
      <c r="O41" s="98" t="n">
        <v>231</v>
      </c>
      <c r="P41" s="98" t="n">
        <v>296</v>
      </c>
      <c r="Q41" t="n">
        <v>184</v>
      </c>
      <c r="R41" t="n">
        <v>235393.858351</v>
      </c>
      <c r="S41" t="n">
        <v>1522320</v>
      </c>
      <c r="T41" s="3" t="n">
        <v>22083</v>
      </c>
      <c r="U41" s="3" t="n">
        <v>20076</v>
      </c>
      <c r="V41">
        <f>IFERROR(R41/S41, "")</f>
        <v/>
      </c>
      <c r="W41" t="n">
        <v>296</v>
      </c>
      <c r="X41" t="n">
        <v>88</v>
      </c>
      <c r="Y41" t="n">
        <v>216</v>
      </c>
      <c r="Z41">
        <f>IFERROR((L41-X41)/X41, "")</f>
        <v/>
      </c>
      <c r="AA41">
        <f>IFERROR((T41-S41)/S41, "")</f>
        <v/>
      </c>
    </row>
    <row r="42" outlineLevel="1" ht="15.5" customHeight="1">
      <c r="A42" s="54" t="n"/>
      <c r="B42" s="54" t="n"/>
      <c r="C42" s="103" t="n">
        <v>3</v>
      </c>
      <c r="D42" s="97" t="inlineStr">
        <is>
          <t>MBway</t>
        </is>
      </c>
      <c r="E42" s="98">
        <f>SUBTOTAL(9, E43:E46)</f>
        <v/>
      </c>
      <c r="F42" s="99">
        <f>IFERROR((E42-S42)/S42, "")</f>
        <v/>
      </c>
      <c r="G42" s="98">
        <f>SUBTOTAL(9, G43:G46)</f>
        <v/>
      </c>
      <c r="H42" s="99">
        <f>IFERROR((G42-R42)/R42, "")</f>
        <v/>
      </c>
      <c r="I42" s="100">
        <f>SUBTOTAL(9, I43:I46)</f>
        <v/>
      </c>
      <c r="J42" s="100">
        <f>IFERROR(G42/E42, "")</f>
        <v/>
      </c>
      <c r="K42" s="101">
        <f>IFERROR((J42-V42)*100, "")</f>
        <v/>
      </c>
      <c r="L42" s="98">
        <f>SUBTOTAL(9, L43:L46)</f>
        <v/>
      </c>
      <c r="M42" s="100">
        <f>IFERROR(O42/P42, "")</f>
        <v/>
      </c>
      <c r="N42" s="100">
        <f>IFERROR(Q42/O42, "")</f>
        <v/>
      </c>
      <c r="O42" s="98">
        <f>SUBTOTAL(9, O43:O46)</f>
        <v/>
      </c>
      <c r="P42" s="98">
        <f>SUBTOTAL(9, P43:P46)</f>
        <v/>
      </c>
      <c r="Q42">
        <f>SUBTOTAL(9, Q43:Q46)</f>
        <v/>
      </c>
      <c r="R42">
        <f>SUBTOTAL(9, R43:R46)</f>
        <v/>
      </c>
      <c r="S42">
        <f>SUBTOTAL(9, S43:S46)</f>
        <v/>
      </c>
      <c r="T42" s="3">
        <f>SUBTOTAL(9, T43:T46)</f>
        <v/>
      </c>
      <c r="U42" s="3">
        <f>SUBTOTAL(9, U43:U46)</f>
        <v/>
      </c>
      <c r="V42">
        <f>IFERROR(R42/S42, "")</f>
        <v/>
      </c>
      <c r="W42">
        <f>SUBTOTAL(9, W43:W46)</f>
        <v/>
      </c>
      <c r="X42">
        <f>SUBTOTAL(9, X43:X46)</f>
        <v/>
      </c>
      <c r="Y42">
        <f>SUBTOTAL(9, Y43:Y46)</f>
        <v/>
      </c>
      <c r="Z42">
        <f>IFERROR((L42-X42)/X42, "")</f>
        <v/>
      </c>
      <c r="AA42">
        <f>IFERROR((T42-S42)/S42, "")</f>
        <v/>
      </c>
    </row>
    <row r="43" outlineLevel="2" ht="15.5" customHeight="1">
      <c r="A43" s="54" t="n"/>
      <c r="B43" s="54" t="n"/>
      <c r="C43" s="103" t="n">
        <v>4</v>
      </c>
      <c r="D43" s="97" t="inlineStr">
        <is>
          <t>MBway Bordeaux</t>
        </is>
      </c>
      <c r="E43" s="98" t="n">
        <v>1773610</v>
      </c>
      <c r="F43" s="99">
        <f>IFERROR((E43-S43)/S43, "")</f>
        <v/>
      </c>
      <c r="G43" s="98" t="n">
        <v>305136.216562</v>
      </c>
      <c r="H43" s="99">
        <f>IFERROR((G43-R43)/R43, "")</f>
        <v/>
      </c>
      <c r="I43" s="100" t="n">
        <v>0.079342</v>
      </c>
      <c r="J43" s="100">
        <f>IFERROR(G43/E43, "")</f>
        <v/>
      </c>
      <c r="K43" s="101">
        <f>IFERROR((J43-V43)*100, "")</f>
        <v/>
      </c>
      <c r="L43" s="98" t="n">
        <v>102</v>
      </c>
      <c r="M43" s="100">
        <f>IFERROR(O43/P43, "")</f>
        <v/>
      </c>
      <c r="N43" s="100">
        <f>IFERROR(Q43/O43, "")</f>
        <v/>
      </c>
      <c r="O43" s="98" t="n">
        <v>249</v>
      </c>
      <c r="P43" s="98" t="n">
        <v>296</v>
      </c>
      <c r="Q43" t="n">
        <v>198</v>
      </c>
      <c r="R43" t="n">
        <v>271189.27541</v>
      </c>
      <c r="S43" t="n">
        <v>1666855</v>
      </c>
      <c r="T43" s="3" t="n">
        <v>24923</v>
      </c>
      <c r="U43" s="3" t="n">
        <v>22657</v>
      </c>
      <c r="V43">
        <f>IFERROR(R43/S43, "")</f>
        <v/>
      </c>
      <c r="W43" t="n">
        <v>296</v>
      </c>
      <c r="X43" t="n">
        <v>96</v>
      </c>
      <c r="Y43" t="n">
        <v>234</v>
      </c>
      <c r="Z43">
        <f>IFERROR((L43-X43)/X43, "")</f>
        <v/>
      </c>
      <c r="AA43">
        <f>IFERROR((T43-S43)/S43, "")</f>
        <v/>
      </c>
    </row>
    <row r="44" outlineLevel="2" ht="15.5" customHeight="1">
      <c r="A44" s="54" t="n"/>
      <c r="B44" s="54" t="n"/>
      <c r="C44" s="103" t="n">
        <v>4</v>
      </c>
      <c r="D44" s="97" t="inlineStr">
        <is>
          <t>MBway Lyon</t>
        </is>
      </c>
      <c r="E44" s="98" t="n">
        <v>2496705</v>
      </c>
      <c r="F44" s="99">
        <f>IFERROR((E44-S44)/S44, "")</f>
        <v/>
      </c>
      <c r="G44" s="98" t="n">
        <v>456976.670653</v>
      </c>
      <c r="H44" s="99">
        <f>IFERROR((G44-R44)/R44, "")</f>
        <v/>
      </c>
      <c r="I44" s="100" t="n">
        <v>0.118824</v>
      </c>
      <c r="J44" s="100">
        <f>IFERROR(G44/E44, "")</f>
        <v/>
      </c>
      <c r="K44" s="101">
        <f>IFERROR((J44-V44)*100, "")</f>
        <v/>
      </c>
      <c r="L44" s="98" t="n">
        <v>132</v>
      </c>
      <c r="M44" s="100">
        <f>IFERROR(O44/P44, "")</f>
        <v/>
      </c>
      <c r="N44" s="100">
        <f>IFERROR(Q44/O44, "")</f>
        <v/>
      </c>
      <c r="O44" s="98" t="n">
        <v>324</v>
      </c>
      <c r="P44" s="98" t="n">
        <v>380</v>
      </c>
      <c r="Q44" t="n">
        <v>258</v>
      </c>
      <c r="R44" t="n">
        <v>406965.870529</v>
      </c>
      <c r="S44" t="n">
        <v>2342685</v>
      </c>
      <c r="T44" s="3" t="n">
        <v>41783</v>
      </c>
      <c r="U44" s="3" t="n">
        <v>37985</v>
      </c>
      <c r="V44">
        <f>IFERROR(R44/S44, "")</f>
        <v/>
      </c>
      <c r="W44" t="n">
        <v>380</v>
      </c>
      <c r="X44" t="n">
        <v>124</v>
      </c>
      <c r="Y44" t="n">
        <v>304</v>
      </c>
      <c r="Z44">
        <f>IFERROR((L44-X44)/X44, "")</f>
        <v/>
      </c>
      <c r="AA44">
        <f>IFERROR((T44-S44)/S44, "")</f>
        <v/>
      </c>
    </row>
    <row r="45" outlineLevel="2" ht="15.5" customHeight="1">
      <c r="A45" s="54" t="n"/>
      <c r="B45" s="54" t="n"/>
      <c r="C45" s="103" t="n">
        <v>4</v>
      </c>
      <c r="D45" s="97" t="inlineStr">
        <is>
          <t>MBway Nantes</t>
        </is>
      </c>
      <c r="E45" s="98" t="n">
        <v>2158300</v>
      </c>
      <c r="F45" s="99">
        <f>IFERROR((E45-S45)/S45, "")</f>
        <v/>
      </c>
      <c r="G45" s="98" t="n">
        <v>384274.75401</v>
      </c>
      <c r="H45" s="99">
        <f>IFERROR((G45-R45)/R45, "")</f>
        <v/>
      </c>
      <c r="I45" s="100" t="n">
        <v>0.09991999999999999</v>
      </c>
      <c r="J45" s="100">
        <f>IFERROR(G45/E45, "")</f>
        <v/>
      </c>
      <c r="K45" s="101">
        <f>IFERROR((J45-V45)*100, "")</f>
        <v/>
      </c>
      <c r="L45" s="98" t="n">
        <v>120</v>
      </c>
      <c r="M45" s="100">
        <f>IFERROR(O45/P45, "")</f>
        <v/>
      </c>
      <c r="N45" s="100">
        <f>IFERROR(Q45/O45, "")</f>
        <v/>
      </c>
      <c r="O45" s="98" t="n">
        <v>294</v>
      </c>
      <c r="P45" s="98" t="n">
        <v>348</v>
      </c>
      <c r="Q45" t="n">
        <v>234</v>
      </c>
      <c r="R45" t="n">
        <v>345575.652571</v>
      </c>
      <c r="S45" t="n">
        <v>2048260</v>
      </c>
      <c r="T45" s="3" t="n">
        <v>31533</v>
      </c>
      <c r="U45" s="3" t="n">
        <v>28666</v>
      </c>
      <c r="V45">
        <f>IFERROR(R45/S45, "")</f>
        <v/>
      </c>
      <c r="W45" t="n">
        <v>348</v>
      </c>
      <c r="X45" t="n">
        <v>114</v>
      </c>
      <c r="Y45" t="n">
        <v>279</v>
      </c>
      <c r="Z45">
        <f>IFERROR((L45-X45)/X45, "")</f>
        <v/>
      </c>
      <c r="AA45">
        <f>IFERROR((T45-S45)/S45, "")</f>
        <v/>
      </c>
    </row>
    <row r="46" outlineLevel="2" ht="15.5" customHeight="1">
      <c r="A46" s="54" t="n"/>
      <c r="B46" s="54" t="n"/>
      <c r="C46" s="103" t="n">
        <v>4</v>
      </c>
      <c r="D46" s="97" t="inlineStr">
        <is>
          <t>MBway Paris</t>
        </is>
      </c>
      <c r="E46" s="98" t="n">
        <v>3138840</v>
      </c>
      <c r="F46" s="99">
        <f>IFERROR((E46-S46)/S46, "")</f>
        <v/>
      </c>
      <c r="G46" s="98" t="n">
        <v>599622.48675</v>
      </c>
      <c r="H46" s="99">
        <f>IFERROR((G46-R46)/R46, "")</f>
        <v/>
      </c>
      <c r="I46" s="100" t="n">
        <v>0.155915</v>
      </c>
      <c r="J46" s="100">
        <f>IFERROR(G46/E46, "")</f>
        <v/>
      </c>
      <c r="K46" s="101">
        <f>IFERROR((J46-V46)*100, "")</f>
        <v/>
      </c>
      <c r="L46" s="98" t="n">
        <v>156</v>
      </c>
      <c r="M46" s="100">
        <f>IFERROR(O46/P46, "")</f>
        <v/>
      </c>
      <c r="N46" s="100">
        <f>IFERROR(Q46/O46, "")</f>
        <v/>
      </c>
      <c r="O46" s="98" t="n">
        <v>382</v>
      </c>
      <c r="P46" s="98" t="n">
        <v>444</v>
      </c>
      <c r="Q46" t="n">
        <v>304</v>
      </c>
      <c r="R46" t="n">
        <v>540611.5248050001</v>
      </c>
      <c r="S46" t="n">
        <v>2974600</v>
      </c>
      <c r="T46" s="3" t="n">
        <v>68291</v>
      </c>
      <c r="U46" s="3" t="n">
        <v>62082</v>
      </c>
      <c r="V46">
        <f>IFERROR(R46/S46, "")</f>
        <v/>
      </c>
      <c r="W46" t="n">
        <v>444</v>
      </c>
      <c r="X46" t="n">
        <v>148</v>
      </c>
      <c r="Y46" t="n">
        <v>362</v>
      </c>
      <c r="Z46">
        <f>IFERROR((L46-X46)/X46, "")</f>
        <v/>
      </c>
      <c r="AA46">
        <f>IFERROR((T46-S46)/S46, "")</f>
        <v/>
      </c>
    </row>
    <row r="47" outlineLevel="1" ht="15.5" customHeight="1">
      <c r="A47" s="54" t="n"/>
      <c r="B47" s="54" t="n"/>
      <c r="C47" s="103" t="n">
        <v>3</v>
      </c>
      <c r="D47" s="97" t="inlineStr">
        <is>
          <t>Pigier</t>
        </is>
      </c>
      <c r="E47" s="98">
        <f>SUBTOTAL(9, E48:E49)</f>
        <v/>
      </c>
      <c r="F47" s="99">
        <f>IFERROR((E47-S47)/S47, "")</f>
        <v/>
      </c>
      <c r="G47" s="98">
        <f>SUBTOTAL(9, G48:G49)</f>
        <v/>
      </c>
      <c r="H47" s="99">
        <f>IFERROR((G47-R47)/R47, "")</f>
        <v/>
      </c>
      <c r="I47" s="100">
        <f>SUBTOTAL(9, I48:I49)</f>
        <v/>
      </c>
      <c r="J47" s="100">
        <f>IFERROR(G47/E47, "")</f>
        <v/>
      </c>
      <c r="K47" s="101">
        <f>IFERROR((J47-V47)*100, "")</f>
        <v/>
      </c>
      <c r="L47" s="98">
        <f>SUBTOTAL(9, L48:L49)</f>
        <v/>
      </c>
      <c r="M47" s="100">
        <f>IFERROR(O47/P47, "")</f>
        <v/>
      </c>
      <c r="N47" s="100">
        <f>IFERROR(Q47/O47, "")</f>
        <v/>
      </c>
      <c r="O47" s="98">
        <f>SUBTOTAL(9, O48:O49)</f>
        <v/>
      </c>
      <c r="P47" s="98">
        <f>SUBTOTAL(9, P48:P49)</f>
        <v/>
      </c>
      <c r="Q47">
        <f>SUBTOTAL(9, Q48:Q49)</f>
        <v/>
      </c>
      <c r="R47">
        <f>SUBTOTAL(9, R48:R49)</f>
        <v/>
      </c>
      <c r="S47">
        <f>SUBTOTAL(9, S48:S49)</f>
        <v/>
      </c>
      <c r="T47" s="3">
        <f>SUBTOTAL(9, T48:T49)</f>
        <v/>
      </c>
      <c r="U47" s="3">
        <f>SUBTOTAL(9, U48:U49)</f>
        <v/>
      </c>
      <c r="V47">
        <f>IFERROR(R47/S47, "")</f>
        <v/>
      </c>
      <c r="W47">
        <f>SUBTOTAL(9, W48:W49)</f>
        <v/>
      </c>
      <c r="X47">
        <f>SUBTOTAL(9, X48:X49)</f>
        <v/>
      </c>
      <c r="Y47">
        <f>SUBTOTAL(9, Y48:Y49)</f>
        <v/>
      </c>
      <c r="Z47">
        <f>IFERROR((L47-X47)/X47, "")</f>
        <v/>
      </c>
      <c r="AA47">
        <f>IFERROR((T47-S47)/S47, "")</f>
        <v/>
      </c>
    </row>
    <row r="48" outlineLevel="2" ht="15.5" customHeight="1">
      <c r="A48" s="54" t="n"/>
      <c r="B48" s="54" t="n"/>
      <c r="C48" s="103" t="n">
        <v>4</v>
      </c>
      <c r="D48" s="97" t="inlineStr">
        <is>
          <t>Pigier Bordeaux</t>
        </is>
      </c>
      <c r="E48" s="98" t="n">
        <v>1132650</v>
      </c>
      <c r="F48" s="99">
        <f>IFERROR((E48-S48)/S48, "")</f>
        <v/>
      </c>
      <c r="G48" s="98" t="n">
        <v>232243.363153</v>
      </c>
      <c r="H48" s="99">
        <f>IFERROR((G48-R48)/R48, "")</f>
        <v/>
      </c>
      <c r="I48" s="100" t="n">
        <v>0.060388</v>
      </c>
      <c r="J48" s="100">
        <f>IFERROR(G48/E48, "")</f>
        <v/>
      </c>
      <c r="K48" s="101">
        <f>IFERROR((J48-V48)*100, "")</f>
        <v/>
      </c>
      <c r="L48" s="98" t="n">
        <v>72</v>
      </c>
      <c r="M48" s="100">
        <f>IFERROR(O48/P48, "")</f>
        <v/>
      </c>
      <c r="N48" s="100">
        <f>IFERROR(Q48/O48, "")</f>
        <v/>
      </c>
      <c r="O48" s="98" t="n">
        <v>176</v>
      </c>
      <c r="P48" s="98" t="n">
        <v>312</v>
      </c>
      <c r="Q48" t="n">
        <v>176</v>
      </c>
      <c r="R48" t="n">
        <v>210971.206692</v>
      </c>
      <c r="S48" t="n">
        <v>1068270</v>
      </c>
      <c r="T48" s="3" t="n">
        <v>21968</v>
      </c>
      <c r="U48" s="3" t="n">
        <v>19971</v>
      </c>
      <c r="V48">
        <f>IFERROR(R48/S48, "")</f>
        <v/>
      </c>
      <c r="W48" t="n">
        <v>312</v>
      </c>
      <c r="X48" t="n">
        <v>68</v>
      </c>
      <c r="Y48" t="n">
        <v>166</v>
      </c>
      <c r="Z48">
        <f>IFERROR((L48-X48)/X48, "")</f>
        <v/>
      </c>
      <c r="AA48">
        <f>IFERROR((T48-S48)/S48, "")</f>
        <v/>
      </c>
    </row>
    <row r="49" outlineLevel="2" ht="15.5" customHeight="1">
      <c r="A49" s="54" t="n"/>
      <c r="B49" s="54" t="n"/>
      <c r="C49" s="103" t="n">
        <v>4</v>
      </c>
      <c r="D49" s="97" t="inlineStr">
        <is>
          <t>Pigier Lyon</t>
        </is>
      </c>
      <c r="E49" s="98" t="n">
        <v>1573830</v>
      </c>
      <c r="F49" s="99">
        <f>IFERROR((E49-S49)/S49, "")</f>
        <v/>
      </c>
      <c r="G49" s="98" t="n">
        <v>340019.420656</v>
      </c>
      <c r="H49" s="99">
        <f>IFERROR((G49-R49)/R49, "")</f>
        <v/>
      </c>
      <c r="I49" s="100" t="n">
        <v>0.088412</v>
      </c>
      <c r="J49" s="100">
        <f>IFERROR(G49/E49, "")</f>
        <v/>
      </c>
      <c r="K49" s="101">
        <f>IFERROR((J49-V49)*100, "")</f>
        <v/>
      </c>
      <c r="L49" s="98" t="n">
        <v>92</v>
      </c>
      <c r="M49" s="100">
        <f>IFERROR(O49/P49, "")</f>
        <v/>
      </c>
      <c r="N49" s="100">
        <f>IFERROR(Q49/O49, "")</f>
        <v/>
      </c>
      <c r="O49" s="98" t="n">
        <v>226</v>
      </c>
      <c r="P49" s="98" t="n">
        <v>312</v>
      </c>
      <c r="Q49" t="n">
        <v>226</v>
      </c>
      <c r="R49" t="n">
        <v>306429.104172</v>
      </c>
      <c r="S49" t="n">
        <v>1469340</v>
      </c>
      <c r="T49" s="3" t="n">
        <v>36612</v>
      </c>
      <c r="U49" s="3" t="n">
        <v>33284</v>
      </c>
      <c r="V49">
        <f>IFERROR(R49/S49, "")</f>
        <v/>
      </c>
      <c r="W49" t="n">
        <v>312</v>
      </c>
      <c r="X49" t="n">
        <v>86</v>
      </c>
      <c r="Y49" t="n">
        <v>211</v>
      </c>
      <c r="Z49">
        <f>IFERROR((L49-X49)/X49, "")</f>
        <v/>
      </c>
      <c r="AA49">
        <f>IFERROR((T49-S49)/S49, "")</f>
        <v/>
      </c>
    </row>
    <row r="50" outlineLevel="1" ht="15.5" customHeight="1">
      <c r="A50" s="54" t="n"/>
      <c r="B50" s="54" t="n"/>
      <c r="C50" s="103" t="n">
        <v>3</v>
      </c>
      <c r="D50" s="97" t="inlineStr">
        <is>
          <t>Tunon</t>
        </is>
      </c>
      <c r="E50" s="98">
        <f>SUBTOTAL(9, E51:E52)</f>
        <v/>
      </c>
      <c r="F50" s="99">
        <f>IFERROR((E50-S50)/S50, "")</f>
        <v/>
      </c>
      <c r="G50" s="98">
        <f>SUBTOTAL(9, G51:G52)</f>
        <v/>
      </c>
      <c r="H50" s="99">
        <f>IFERROR((G50-R50)/R50, "")</f>
        <v/>
      </c>
      <c r="I50" s="100">
        <f>SUBTOTAL(9, I51:I52)</f>
        <v/>
      </c>
      <c r="J50" s="100">
        <f>IFERROR(G50/E50, "")</f>
        <v/>
      </c>
      <c r="K50" s="101">
        <f>IFERROR((J50-V50)*100, "")</f>
        <v/>
      </c>
      <c r="L50" s="98">
        <f>SUBTOTAL(9, L51:L52)</f>
        <v/>
      </c>
      <c r="M50" s="100">
        <f>IFERROR(O50/P50, "")</f>
        <v/>
      </c>
      <c r="N50" s="100">
        <f>IFERROR(Q50/O50, "")</f>
        <v/>
      </c>
      <c r="O50" s="98">
        <f>SUBTOTAL(9, O51:O52)</f>
        <v/>
      </c>
      <c r="P50" s="98">
        <f>SUBTOTAL(9, P51:P52)</f>
        <v/>
      </c>
      <c r="Q50">
        <f>SUBTOTAL(9, Q51:Q52)</f>
        <v/>
      </c>
      <c r="R50">
        <f>SUBTOTAL(9, R51:R52)</f>
        <v/>
      </c>
      <c r="S50">
        <f>SUBTOTAL(9, S51:S52)</f>
        <v/>
      </c>
      <c r="T50">
        <f>SUBTOTAL(9, T51:T52)</f>
        <v/>
      </c>
      <c r="U50">
        <f>SUBTOTAL(9, U51:U52)</f>
        <v/>
      </c>
      <c r="V50">
        <f>IFERROR(R50/S50, "")</f>
        <v/>
      </c>
      <c r="W50">
        <f>SUBTOTAL(9, W51:W52)</f>
        <v/>
      </c>
      <c r="X50">
        <f>SUBTOTAL(9, X51:X52)</f>
        <v/>
      </c>
      <c r="Y50">
        <f>SUBTOTAL(9, Y51:Y52)</f>
        <v/>
      </c>
      <c r="Z50">
        <f>IFERROR((L50-X50)/X50, "")</f>
        <v/>
      </c>
      <c r="AA50">
        <f>IFERROR((T50-S50)/S50, "")</f>
        <v/>
      </c>
    </row>
    <row r="51" outlineLevel="2" ht="15.5" customHeight="1">
      <c r="A51" s="54" t="n"/>
      <c r="B51" s="54" t="n"/>
      <c r="C51" s="103" t="n">
        <v>4</v>
      </c>
      <c r="D51" s="97" t="inlineStr">
        <is>
          <t>Tunon Lyon</t>
        </is>
      </c>
      <c r="E51" s="98" t="n">
        <v>863550</v>
      </c>
      <c r="F51" s="99">
        <f>IFERROR((E51-S51)/S51, "")</f>
        <v/>
      </c>
      <c r="G51" s="98" t="n">
        <v>32830.609502</v>
      </c>
      <c r="H51" s="99">
        <f>IFERROR((G51-R51)/R51, "")</f>
        <v/>
      </c>
      <c r="I51" s="100" t="n">
        <v>0.008536</v>
      </c>
      <c r="J51" s="100">
        <f>IFERROR(G51/E51, "")</f>
        <v/>
      </c>
      <c r="K51" s="101">
        <f>IFERROR((J51-V51)*100, "")</f>
        <v/>
      </c>
      <c r="L51" s="98" t="n">
        <v>40</v>
      </c>
      <c r="M51" s="100">
        <f>IFERROR(O51/P51, "")</f>
        <v/>
      </c>
      <c r="N51" s="100">
        <f>IFERROR(Q51/O51, "")</f>
        <v/>
      </c>
      <c r="O51" s="98" t="n">
        <v>117</v>
      </c>
      <c r="P51" s="98" t="n">
        <v>192</v>
      </c>
      <c r="Q51" t="n">
        <v>117</v>
      </c>
      <c r="R51" t="n">
        <v>40371.893523</v>
      </c>
      <c r="S51" t="n">
        <v>819270</v>
      </c>
      <c r="T51" t="n">
        <v>18850</v>
      </c>
      <c r="U51" t="n">
        <v>17136</v>
      </c>
      <c r="V51">
        <f>IFERROR(R51/S51, "")</f>
        <v/>
      </c>
      <c r="W51" t="n">
        <v>192</v>
      </c>
      <c r="X51" t="n">
        <v>38</v>
      </c>
      <c r="Y51" t="n">
        <v>111</v>
      </c>
      <c r="Z51">
        <f>IFERROR((L51-X51)/X51, "")</f>
        <v/>
      </c>
      <c r="AA51">
        <f>IFERROR((T51-S51)/S51, "")</f>
        <v/>
      </c>
    </row>
    <row r="52" outlineLevel="2" ht="15.5" customHeight="1">
      <c r="A52" s="54" t="n"/>
      <c r="B52" s="54" t="n"/>
      <c r="C52" s="103" t="n">
        <v>4</v>
      </c>
      <c r="D52" s="97" t="inlineStr">
        <is>
          <t>Tunon Paris</t>
        </is>
      </c>
      <c r="E52" s="98" t="n">
        <v>1086150</v>
      </c>
      <c r="F52" s="99">
        <f>IFERROR((E52-S52)/S52, "")</f>
        <v/>
      </c>
      <c r="G52" s="98" t="n">
        <v>48897.379072</v>
      </c>
      <c r="H52" s="99">
        <f>IFERROR((G52-R52)/R52, "")</f>
        <v/>
      </c>
      <c r="I52" s="100" t="n">
        <v>0.012714</v>
      </c>
      <c r="J52" s="100">
        <f>IFERROR(G52/E52, "")</f>
        <v/>
      </c>
      <c r="K52" s="101">
        <f>IFERROR((J52-V52)*100, "")</f>
        <v/>
      </c>
      <c r="L52" s="98" t="n">
        <v>47</v>
      </c>
      <c r="M52" s="100">
        <f>IFERROR(O52/P52, "")</f>
        <v/>
      </c>
      <c r="N52" s="100">
        <f>IFERROR(Q52/O52, "")</f>
        <v/>
      </c>
      <c r="O52" s="98" t="n">
        <v>138</v>
      </c>
      <c r="P52" s="98" t="n">
        <v>192</v>
      </c>
      <c r="Q52" t="n">
        <v>138</v>
      </c>
      <c r="R52" t="n">
        <v>57160.754608</v>
      </c>
      <c r="S52" t="n">
        <v>1015320</v>
      </c>
      <c r="T52" t="n">
        <v>30240</v>
      </c>
      <c r="U52" t="n">
        <v>27491</v>
      </c>
      <c r="V52">
        <f>IFERROR(R52/S52, "")</f>
        <v/>
      </c>
      <c r="W52" t="n">
        <v>192</v>
      </c>
      <c r="X52" t="n">
        <v>44</v>
      </c>
      <c r="Y52" t="n">
        <v>129</v>
      </c>
      <c r="Z52">
        <f>IFERROR((L52-X52)/X52, "")</f>
        <v/>
      </c>
      <c r="AA52">
        <f>IFERROR((T52-S52)/S52, "")</f>
        <v/>
      </c>
    </row>
    <row r="53" ht="15.5" customHeight="1">
      <c r="A53" s="54" t="n"/>
      <c r="B53" s="54" t="n"/>
      <c r="C53" s="104" t="n"/>
      <c r="D53" s="105" t="n"/>
      <c r="E53" s="98" t="n"/>
      <c r="F53" s="99" t="n"/>
      <c r="G53" s="98" t="n"/>
      <c r="H53" s="99" t="n"/>
      <c r="I53" s="100" t="n"/>
      <c r="J53" s="100" t="n"/>
      <c r="K53" s="101" t="n"/>
      <c r="L53" s="98" t="n"/>
      <c r="M53" s="100" t="n"/>
      <c r="N53" s="100" t="n"/>
      <c r="O53" s="98" t="n"/>
      <c r="P53" s="98" t="n"/>
    </row>
    <row r="54" ht="15.5" customHeight="1">
      <c r="A54" s="54" t="n"/>
      <c r="B54" s="54" t="n"/>
      <c r="C54" s="104" t="n"/>
      <c r="D54" s="105" t="n"/>
      <c r="E54" s="98" t="n"/>
      <c r="F54" s="99" t="n"/>
      <c r="G54" s="98" t="n"/>
      <c r="H54" s="99" t="n"/>
      <c r="I54" s="100" t="n"/>
      <c r="J54" s="100" t="n"/>
      <c r="K54" s="101" t="n"/>
      <c r="L54" s="98" t="n"/>
      <c r="M54" s="100" t="n"/>
      <c r="N54" s="100" t="n"/>
      <c r="O54" s="98" t="n"/>
      <c r="P54" s="98" t="n"/>
    </row>
    <row r="55" ht="15.5" customHeight="1">
      <c r="A55" s="54" t="n"/>
      <c r="B55" s="54" t="n"/>
      <c r="C55" s="104" t="n"/>
      <c r="D55" s="105" t="n"/>
      <c r="E55" s="98" t="n"/>
      <c r="F55" s="99" t="n"/>
      <c r="G55" s="98" t="n"/>
      <c r="H55" s="99" t="n"/>
      <c r="I55" s="100" t="n"/>
      <c r="J55" s="100" t="n"/>
      <c r="K55" s="101" t="n"/>
      <c r="L55" s="98" t="n"/>
      <c r="M55" s="100" t="n"/>
      <c r="N55" s="100" t="n"/>
      <c r="O55" s="98" t="n"/>
      <c r="P55" s="98" t="n"/>
    </row>
    <row r="56" ht="15.5" customHeight="1">
      <c r="A56" s="54" t="n"/>
      <c r="B56" s="54" t="n"/>
      <c r="C56" s="104" t="n"/>
      <c r="D56" s="105" t="n"/>
      <c r="E56" s="98" t="n"/>
      <c r="F56" s="99" t="n"/>
      <c r="G56" s="98" t="n"/>
      <c r="H56" s="99" t="n"/>
      <c r="I56" s="100" t="n"/>
      <c r="J56" s="100" t="n"/>
      <c r="K56" s="101" t="n"/>
      <c r="L56" s="98" t="n"/>
      <c r="M56" s="100" t="n"/>
      <c r="N56" s="100" t="n"/>
      <c r="O56" s="98" t="n"/>
      <c r="P56" s="98" t="n"/>
    </row>
    <row r="57" ht="15.5" customHeight="1">
      <c r="A57" s="54" t="n"/>
      <c r="B57" s="54" t="n"/>
      <c r="C57" s="104" t="n"/>
      <c r="D57" s="105" t="n"/>
      <c r="E57" s="98" t="n"/>
      <c r="F57" s="99" t="n"/>
      <c r="G57" s="98" t="n"/>
      <c r="H57" s="99" t="n"/>
      <c r="I57" s="100" t="n"/>
      <c r="J57" s="100" t="n"/>
      <c r="K57" s="101" t="n"/>
      <c r="L57" s="98" t="n"/>
      <c r="M57" s="100" t="n"/>
      <c r="N57" s="100" t="n"/>
      <c r="O57" s="98" t="n"/>
      <c r="P57" s="98" t="n"/>
    </row>
    <row r="58" ht="15.5" customHeight="1">
      <c r="A58" s="54" t="n"/>
      <c r="B58" s="54" t="n"/>
      <c r="C58" s="104" t="n"/>
      <c r="D58" s="105" t="n"/>
      <c r="E58" s="98" t="n"/>
      <c r="F58" s="99" t="n"/>
      <c r="G58" s="98" t="n"/>
      <c r="H58" s="99" t="n"/>
      <c r="I58" s="100" t="n"/>
      <c r="J58" s="100" t="n"/>
      <c r="K58" s="101" t="n"/>
      <c r="L58" s="98" t="n"/>
      <c r="M58" s="100" t="n"/>
      <c r="N58" s="100" t="n"/>
      <c r="O58" s="98" t="n"/>
      <c r="P58" s="98" t="n"/>
    </row>
    <row r="59" ht="15.5" customHeight="1">
      <c r="A59" s="54" t="n"/>
      <c r="B59" s="54" t="n"/>
      <c r="C59" s="104" t="n"/>
      <c r="D59" s="105" t="n"/>
      <c r="E59" s="98" t="n"/>
      <c r="F59" s="99" t="n"/>
      <c r="G59" s="98" t="n"/>
      <c r="H59" s="99" t="n"/>
      <c r="I59" s="100" t="n"/>
      <c r="J59" s="100" t="n"/>
      <c r="K59" s="101" t="n"/>
      <c r="L59" s="98" t="n"/>
      <c r="M59" s="100" t="n"/>
      <c r="N59" s="100" t="n"/>
      <c r="O59" s="98" t="n"/>
      <c r="P59" s="98" t="n"/>
    </row>
    <row r="60" ht="15.5" customHeight="1">
      <c r="A60" s="54" t="n"/>
      <c r="B60" s="54" t="n"/>
      <c r="C60" s="104" t="n"/>
      <c r="D60" s="105" t="n"/>
      <c r="E60" s="98" t="n"/>
      <c r="F60" s="99" t="n"/>
      <c r="G60" s="98" t="n"/>
      <c r="H60" s="99" t="n"/>
      <c r="I60" s="100" t="n"/>
      <c r="J60" s="100" t="n"/>
      <c r="K60" s="101" t="n"/>
      <c r="L60" s="98" t="n"/>
      <c r="M60" s="100" t="n"/>
      <c r="N60" s="100" t="n"/>
      <c r="O60" s="98" t="n"/>
      <c r="P60" s="98" t="n"/>
    </row>
    <row r="61" ht="15.5" customHeight="1">
      <c r="A61" s="54" t="n"/>
      <c r="B61" s="54" t="n"/>
      <c r="C61" s="104" t="n"/>
      <c r="D61" s="105" t="n"/>
      <c r="E61" s="98" t="n"/>
      <c r="F61" s="99" t="n"/>
      <c r="G61" s="98" t="n"/>
      <c r="H61" s="99" t="n"/>
      <c r="I61" s="100" t="n"/>
      <c r="J61" s="100" t="n"/>
      <c r="K61" s="101" t="n"/>
      <c r="L61" s="98" t="n"/>
      <c r="M61" s="100" t="n"/>
      <c r="N61" s="100" t="n"/>
      <c r="O61" s="98" t="n"/>
      <c r="P61" s="98" t="n"/>
    </row>
    <row r="62" ht="15.5" customHeight="1">
      <c r="A62" s="54" t="n"/>
      <c r="B62" s="54" t="n"/>
      <c r="C62" s="104" t="n"/>
      <c r="D62" s="105" t="n"/>
      <c r="E62" s="98" t="n"/>
      <c r="F62" s="99" t="n"/>
      <c r="G62" s="98" t="n"/>
      <c r="H62" s="99" t="n"/>
      <c r="I62" s="100" t="n"/>
      <c r="J62" s="100" t="n"/>
      <c r="K62" s="101" t="n"/>
      <c r="L62" s="98" t="n"/>
      <c r="M62" s="100" t="n"/>
      <c r="N62" s="100" t="n"/>
      <c r="O62" s="98" t="n"/>
      <c r="P62" s="98" t="n"/>
    </row>
    <row r="63" ht="15.5" customHeight="1">
      <c r="A63" s="54" t="n"/>
      <c r="B63" s="54" t="n"/>
      <c r="C63" s="104" t="n"/>
      <c r="D63" s="105" t="n"/>
      <c r="E63" s="98" t="n"/>
      <c r="F63" s="99" t="n"/>
      <c r="G63" s="98" t="n"/>
      <c r="H63" s="99" t="n"/>
      <c r="I63" s="100" t="n"/>
      <c r="J63" s="100" t="n"/>
      <c r="K63" s="101" t="n"/>
      <c r="L63" s="98" t="n"/>
      <c r="M63" s="100" t="n"/>
      <c r="N63" s="100" t="n"/>
      <c r="O63" s="98" t="n"/>
      <c r="P63" s="98" t="n"/>
    </row>
    <row r="64" ht="15.5" customHeight="1">
      <c r="A64" s="54" t="n"/>
      <c r="B64" s="54" t="n"/>
      <c r="C64" s="104" t="n"/>
      <c r="D64" s="105" t="n"/>
      <c r="E64" s="98" t="n"/>
      <c r="F64" s="99" t="n"/>
      <c r="G64" s="98" t="n"/>
      <c r="H64" s="99" t="n"/>
      <c r="I64" s="100" t="n"/>
      <c r="J64" s="100" t="n"/>
      <c r="K64" s="101" t="n"/>
      <c r="L64" s="98" t="n"/>
      <c r="M64" s="100" t="n"/>
      <c r="N64" s="100" t="n"/>
      <c r="O64" s="98" t="n"/>
      <c r="P64" s="98" t="n"/>
    </row>
    <row r="65" ht="15.5" customHeight="1">
      <c r="A65" s="54" t="n"/>
      <c r="B65" s="54" t="n"/>
      <c r="C65" s="104" t="n"/>
      <c r="D65" s="105" t="n"/>
      <c r="E65" s="98" t="n"/>
      <c r="F65" s="99" t="n"/>
      <c r="G65" s="98" t="n"/>
      <c r="H65" s="99" t="n"/>
      <c r="I65" s="100" t="n"/>
      <c r="J65" s="100" t="n"/>
      <c r="K65" s="101" t="n"/>
      <c r="L65" s="98" t="n"/>
      <c r="M65" s="100" t="n"/>
      <c r="N65" s="100" t="n"/>
      <c r="O65" s="98" t="n"/>
      <c r="P65" s="98" t="n"/>
    </row>
    <row r="66" ht="15.5" customHeight="1">
      <c r="A66" s="54" t="n"/>
      <c r="B66" s="54" t="n"/>
      <c r="C66" s="104" t="n"/>
      <c r="D66" s="105" t="n"/>
      <c r="E66" s="98" t="n"/>
      <c r="F66" s="99" t="n"/>
      <c r="G66" s="98" t="n"/>
      <c r="H66" s="99" t="n"/>
      <c r="I66" s="100" t="n"/>
      <c r="J66" s="100" t="n"/>
      <c r="K66" s="101" t="n"/>
      <c r="L66" s="98" t="n"/>
      <c r="M66" s="100" t="n"/>
      <c r="N66" s="100" t="n"/>
      <c r="O66" s="98" t="n"/>
      <c r="P66" s="98" t="n"/>
    </row>
    <row r="67" ht="15.5" customHeight="1">
      <c r="A67" s="54" t="n"/>
      <c r="B67" s="54" t="n"/>
      <c r="C67" s="104" t="n"/>
      <c r="D67" s="105" t="n"/>
      <c r="E67" s="98" t="n"/>
      <c r="F67" s="99" t="n"/>
      <c r="G67" s="98" t="n"/>
      <c r="H67" s="99" t="n"/>
      <c r="I67" s="100" t="n"/>
      <c r="J67" s="100" t="n"/>
      <c r="K67" s="101" t="n"/>
      <c r="L67" s="98" t="n"/>
      <c r="M67" s="100" t="n"/>
      <c r="N67" s="100" t="n"/>
      <c r="O67" s="98" t="n"/>
      <c r="P67" s="98" t="n"/>
    </row>
    <row r="68" ht="15.5" customHeight="1">
      <c r="A68" s="54" t="n"/>
      <c r="B68" s="54" t="n"/>
      <c r="C68" s="104" t="n"/>
      <c r="D68" s="105" t="n"/>
      <c r="E68" s="98" t="n"/>
      <c r="F68" s="99" t="n"/>
      <c r="G68" s="98" t="n"/>
      <c r="H68" s="99" t="n"/>
      <c r="I68" s="100" t="n"/>
      <c r="J68" s="100" t="n"/>
      <c r="K68" s="101" t="n"/>
      <c r="L68" s="98" t="n"/>
      <c r="M68" s="100" t="n"/>
      <c r="N68" s="100" t="n"/>
      <c r="O68" s="98" t="n"/>
      <c r="P68" s="98" t="n"/>
    </row>
    <row r="69" ht="15.5" customHeight="1">
      <c r="A69" s="54" t="n"/>
      <c r="B69" s="54" t="n"/>
      <c r="C69" s="104" t="n"/>
      <c r="D69" s="105" t="n"/>
      <c r="E69" s="98" t="n"/>
      <c r="F69" s="99" t="n"/>
      <c r="G69" s="98" t="n"/>
      <c r="H69" s="99" t="n"/>
      <c r="I69" s="100" t="n"/>
      <c r="J69" s="100" t="n"/>
      <c r="K69" s="101" t="n"/>
      <c r="L69" s="98" t="n"/>
      <c r="M69" s="100" t="n"/>
      <c r="N69" s="100" t="n"/>
      <c r="O69" s="98" t="n"/>
      <c r="P69" s="98" t="n"/>
    </row>
    <row r="70" ht="15.5" customHeight="1">
      <c r="A70" s="54" t="n"/>
      <c r="B70" s="54" t="n"/>
      <c r="C70" s="104" t="n"/>
      <c r="D70" s="105" t="n"/>
      <c r="E70" s="98" t="n"/>
      <c r="F70" s="99" t="n"/>
      <c r="G70" s="98" t="n"/>
      <c r="H70" s="99" t="n"/>
      <c r="I70" s="100" t="n"/>
      <c r="J70" s="100" t="n"/>
      <c r="K70" s="101" t="n"/>
      <c r="L70" s="98" t="n"/>
      <c r="M70" s="100" t="n"/>
      <c r="N70" s="100" t="n"/>
      <c r="O70" s="98" t="n"/>
      <c r="P70" s="98" t="n"/>
    </row>
    <row r="71" ht="15.5" customHeight="1">
      <c r="A71" s="54" t="n"/>
      <c r="B71" s="54" t="n"/>
      <c r="C71" s="104" t="n"/>
      <c r="D71" s="105" t="n"/>
      <c r="E71" s="98" t="n"/>
      <c r="F71" s="99" t="n"/>
      <c r="G71" s="98" t="n"/>
      <c r="H71" s="99" t="n"/>
      <c r="I71" s="100" t="n"/>
      <c r="J71" s="100" t="n"/>
      <c r="K71" s="101" t="n"/>
      <c r="L71" s="98" t="n"/>
      <c r="M71" s="100" t="n"/>
      <c r="N71" s="100" t="n"/>
      <c r="O71" s="98" t="n"/>
      <c r="P71" s="98" t="n"/>
    </row>
    <row r="72" ht="15.5" customHeight="1">
      <c r="A72" s="54" t="n"/>
      <c r="B72" s="54" t="n"/>
      <c r="C72" s="104" t="n"/>
      <c r="D72" s="105" t="n"/>
      <c r="E72" s="98" t="n"/>
      <c r="F72" s="99" t="n"/>
      <c r="G72" s="98" t="n"/>
      <c r="H72" s="99" t="n"/>
      <c r="I72" s="100" t="n"/>
      <c r="J72" s="100" t="n"/>
      <c r="K72" s="101" t="n"/>
      <c r="L72" s="98" t="n"/>
      <c r="M72" s="100" t="n"/>
      <c r="N72" s="100" t="n"/>
      <c r="O72" s="98" t="n"/>
      <c r="P72" s="98" t="n"/>
    </row>
    <row r="73" ht="15.5" customHeight="1">
      <c r="A73" s="54" t="n"/>
      <c r="B73" s="54" t="n"/>
      <c r="C73" s="104" t="n"/>
      <c r="D73" s="105" t="n"/>
      <c r="E73" s="98" t="n"/>
      <c r="F73" s="99" t="n"/>
      <c r="G73" s="98" t="n"/>
      <c r="H73" s="99" t="n"/>
      <c r="I73" s="100" t="n"/>
      <c r="J73" s="100" t="n"/>
      <c r="K73" s="101" t="n"/>
      <c r="L73" s="98" t="n"/>
      <c r="M73" s="100" t="n"/>
      <c r="N73" s="100" t="n"/>
      <c r="O73" s="98" t="n"/>
      <c r="P73" s="98" t="n"/>
    </row>
    <row r="74" ht="15.5" customHeight="1">
      <c r="A74" s="54" t="n"/>
      <c r="B74" s="54" t="n"/>
      <c r="C74" s="104" t="n"/>
      <c r="D74" s="105" t="n"/>
      <c r="E74" s="98" t="n"/>
      <c r="F74" s="99" t="n"/>
      <c r="G74" s="98" t="n"/>
      <c r="H74" s="99" t="n"/>
      <c r="I74" s="100" t="n"/>
      <c r="J74" s="100" t="n"/>
      <c r="K74" s="101" t="n"/>
      <c r="L74" s="98" t="n"/>
      <c r="M74" s="100" t="n"/>
      <c r="N74" s="100" t="n"/>
      <c r="O74" s="98" t="n"/>
      <c r="P74" s="98" t="n"/>
    </row>
    <row r="75" ht="15.5" customHeight="1">
      <c r="A75" s="54" t="n"/>
      <c r="B75" s="54" t="n"/>
      <c r="C75" s="104" t="n"/>
      <c r="D75" s="105" t="n"/>
      <c r="E75" s="98" t="n"/>
      <c r="F75" s="99" t="n"/>
      <c r="G75" s="98" t="n"/>
      <c r="H75" s="99" t="n"/>
      <c r="I75" s="100" t="n"/>
      <c r="J75" s="100" t="n"/>
      <c r="K75" s="101" t="n"/>
      <c r="L75" s="98" t="n"/>
      <c r="M75" s="100" t="n"/>
      <c r="N75" s="100" t="n"/>
      <c r="O75" s="98" t="n"/>
      <c r="P75" s="98" t="n"/>
    </row>
    <row r="76" ht="15.5" customHeight="1">
      <c r="A76" s="54" t="n"/>
      <c r="B76" s="54" t="n"/>
      <c r="C76" s="104" t="n"/>
      <c r="D76" s="105" t="n"/>
      <c r="E76" s="98" t="n"/>
      <c r="F76" s="99" t="n"/>
      <c r="G76" s="98" t="n"/>
      <c r="H76" s="99" t="n"/>
      <c r="I76" s="100" t="n"/>
      <c r="J76" s="100" t="n"/>
      <c r="K76" s="101" t="n"/>
      <c r="L76" s="98" t="n"/>
      <c r="M76" s="100" t="n"/>
      <c r="N76" s="100" t="n"/>
      <c r="O76" s="98" t="n"/>
      <c r="P76" s="98" t="n"/>
    </row>
    <row r="77" ht="15.5" customHeight="1">
      <c r="A77" s="54" t="n"/>
      <c r="B77" s="54" t="n"/>
      <c r="C77" s="104" t="n"/>
      <c r="D77" s="105" t="n"/>
      <c r="E77" s="98" t="n"/>
      <c r="F77" s="99" t="n"/>
      <c r="G77" s="98" t="n"/>
      <c r="H77" s="99" t="n"/>
      <c r="I77" s="100" t="n"/>
      <c r="J77" s="100" t="n"/>
      <c r="K77" s="101" t="n"/>
      <c r="L77" s="98" t="n"/>
      <c r="M77" s="100" t="n"/>
      <c r="N77" s="100" t="n"/>
      <c r="O77" s="98" t="n"/>
      <c r="P77" s="98" t="n"/>
    </row>
    <row r="78" ht="15.5" customHeight="1">
      <c r="A78" s="54" t="n"/>
      <c r="B78" s="54" t="n"/>
      <c r="C78" s="104" t="n"/>
      <c r="D78" s="105" t="n"/>
      <c r="E78" s="98" t="n"/>
      <c r="F78" s="99" t="n"/>
      <c r="G78" s="98" t="n"/>
      <c r="H78" s="99" t="n"/>
      <c r="I78" s="100" t="n"/>
      <c r="J78" s="100" t="n"/>
      <c r="K78" s="101" t="n"/>
      <c r="L78" s="98" t="n"/>
      <c r="M78" s="100" t="n"/>
      <c r="N78" s="100" t="n"/>
      <c r="O78" s="98" t="n"/>
      <c r="P78" s="98" t="n"/>
    </row>
    <row r="79" ht="15.5" customHeight="1">
      <c r="A79" s="54" t="n"/>
      <c r="B79" s="54" t="n"/>
      <c r="C79" s="104" t="n"/>
      <c r="D79" s="105" t="n"/>
      <c r="E79" s="98" t="n"/>
      <c r="F79" s="99" t="n"/>
      <c r="G79" s="98" t="n"/>
      <c r="H79" s="99" t="n"/>
      <c r="I79" s="100" t="n"/>
      <c r="J79" s="100" t="n"/>
      <c r="K79" s="101" t="n"/>
      <c r="L79" s="98" t="n"/>
      <c r="M79" s="100" t="n"/>
      <c r="N79" s="100" t="n"/>
      <c r="O79" s="98" t="n"/>
      <c r="P79" s="98" t="n"/>
    </row>
    <row r="80" ht="15.5" customHeight="1">
      <c r="A80" s="54" t="n"/>
      <c r="B80" s="54" t="n"/>
      <c r="C80" s="104" t="n"/>
      <c r="D80" s="105" t="n"/>
      <c r="E80" s="98" t="n"/>
      <c r="F80" s="99" t="n"/>
      <c r="G80" s="98" t="n"/>
      <c r="H80" s="99" t="n"/>
      <c r="I80" s="100" t="n"/>
      <c r="J80" s="100" t="n"/>
      <c r="K80" s="101" t="n"/>
      <c r="L80" s="98" t="n"/>
      <c r="M80" s="100" t="n"/>
      <c r="N80" s="100" t="n"/>
      <c r="O80" s="98" t="n"/>
      <c r="P80" s="98" t="n"/>
    </row>
    <row r="81" ht="15.5" customHeight="1">
      <c r="A81" s="54" t="n"/>
      <c r="B81" s="54" t="n"/>
      <c r="C81" s="104" t="n"/>
      <c r="D81" s="105" t="n"/>
      <c r="E81" s="98" t="n"/>
      <c r="F81" s="99" t="n"/>
      <c r="G81" s="98" t="n"/>
      <c r="H81" s="99" t="n"/>
      <c r="I81" s="100" t="n"/>
      <c r="J81" s="100" t="n"/>
      <c r="K81" s="101" t="n"/>
      <c r="L81" s="98" t="n"/>
      <c r="M81" s="100" t="n"/>
      <c r="N81" s="100" t="n"/>
      <c r="O81" s="98" t="n"/>
      <c r="P81" s="98" t="n"/>
    </row>
    <row r="82" ht="15.5" customHeight="1">
      <c r="A82" s="54" t="n"/>
      <c r="B82" s="54" t="n"/>
      <c r="C82" s="104" t="n"/>
      <c r="D82" s="105" t="n"/>
      <c r="E82" s="98" t="n"/>
      <c r="F82" s="99" t="n"/>
      <c r="G82" s="98" t="n"/>
      <c r="H82" s="99" t="n"/>
      <c r="I82" s="100" t="n"/>
      <c r="J82" s="100" t="n"/>
      <c r="K82" s="101" t="n"/>
      <c r="L82" s="98" t="n"/>
      <c r="M82" s="100" t="n"/>
      <c r="N82" s="100" t="n"/>
      <c r="O82" s="98" t="n"/>
      <c r="P82" s="98" t="n"/>
    </row>
    <row r="83" ht="15.5" customHeight="1">
      <c r="A83" s="54" t="n"/>
      <c r="B83" s="54" t="n"/>
      <c r="C83" s="104" t="n"/>
      <c r="D83" s="105" t="n"/>
      <c r="E83" s="98" t="n"/>
      <c r="F83" s="99" t="n"/>
      <c r="G83" s="98" t="n"/>
      <c r="H83" s="99" t="n"/>
      <c r="I83" s="100" t="n"/>
      <c r="J83" s="100" t="n"/>
      <c r="K83" s="101" t="n"/>
      <c r="L83" s="98" t="n"/>
      <c r="M83" s="100" t="n"/>
      <c r="N83" s="100" t="n"/>
      <c r="O83" s="98" t="n"/>
      <c r="P83" s="98" t="n"/>
    </row>
    <row r="84" ht="15.5" customHeight="1">
      <c r="A84" s="54" t="n"/>
      <c r="B84" s="54" t="n"/>
      <c r="C84" s="104" t="n"/>
      <c r="D84" s="105" t="n"/>
      <c r="E84" s="98" t="n"/>
      <c r="F84" s="99" t="n"/>
      <c r="G84" s="98" t="n"/>
      <c r="H84" s="99" t="n"/>
      <c r="I84" s="100" t="n"/>
      <c r="J84" s="100" t="n"/>
      <c r="K84" s="101" t="n"/>
      <c r="L84" s="98" t="n"/>
      <c r="M84" s="100" t="n"/>
      <c r="N84" s="100" t="n"/>
      <c r="O84" s="98" t="n"/>
      <c r="P84" s="98" t="n"/>
    </row>
    <row r="85" ht="15.5" customHeight="1">
      <c r="A85" s="54" t="n"/>
      <c r="B85" s="54" t="n"/>
      <c r="C85" s="104" t="n"/>
      <c r="D85" s="105" t="n"/>
      <c r="E85" s="98" t="n"/>
      <c r="F85" s="99" t="n"/>
      <c r="G85" s="98" t="n"/>
      <c r="H85" s="99" t="n"/>
      <c r="I85" s="100" t="n"/>
      <c r="J85" s="100" t="n"/>
      <c r="K85" s="101" t="n"/>
      <c r="L85" s="98" t="n"/>
      <c r="M85" s="100" t="n"/>
      <c r="N85" s="100" t="n"/>
      <c r="O85" s="98" t="n"/>
      <c r="P85" s="98" t="n"/>
    </row>
    <row r="86" ht="15.5" customHeight="1">
      <c r="A86" s="54" t="n"/>
      <c r="B86" s="54" t="n"/>
      <c r="C86" s="104" t="n"/>
      <c r="D86" s="105" t="n"/>
      <c r="E86" s="98" t="n"/>
      <c r="F86" s="99" t="n"/>
      <c r="G86" s="98" t="n"/>
      <c r="H86" s="99" t="n"/>
      <c r="I86" s="100" t="n"/>
      <c r="J86" s="100" t="n"/>
      <c r="K86" s="101" t="n"/>
      <c r="L86" s="98" t="n"/>
      <c r="M86" s="100" t="n"/>
      <c r="N86" s="100" t="n"/>
      <c r="O86" s="98" t="n"/>
      <c r="P86" s="98" t="n"/>
    </row>
    <row r="87" ht="15.5" customHeight="1">
      <c r="A87" s="54" t="n"/>
      <c r="B87" s="54" t="n"/>
      <c r="C87" s="104" t="n"/>
      <c r="D87" s="105" t="n"/>
      <c r="E87" s="98" t="n"/>
      <c r="F87" s="99" t="n"/>
      <c r="G87" s="98" t="n"/>
      <c r="H87" s="99" t="n"/>
      <c r="I87" s="100" t="n"/>
      <c r="J87" s="100" t="n"/>
      <c r="K87" s="101" t="n"/>
      <c r="L87" s="98" t="n"/>
      <c r="M87" s="100" t="n"/>
      <c r="N87" s="100" t="n"/>
      <c r="O87" s="98" t="n"/>
      <c r="P87" s="98" t="n"/>
    </row>
    <row r="88" ht="15.5" customHeight="1">
      <c r="A88" s="54" t="n"/>
      <c r="B88" s="54" t="n"/>
      <c r="C88" s="104" t="n"/>
      <c r="D88" s="105" t="n"/>
      <c r="E88" s="98" t="n"/>
      <c r="F88" s="99" t="n"/>
      <c r="G88" s="98" t="n"/>
      <c r="H88" s="99" t="n"/>
      <c r="I88" s="100" t="n"/>
      <c r="J88" s="100" t="n"/>
      <c r="K88" s="101" t="n"/>
      <c r="L88" s="98" t="n"/>
      <c r="M88" s="100" t="n"/>
      <c r="N88" s="100" t="n"/>
      <c r="O88" s="98" t="n"/>
      <c r="P88" s="98" t="n"/>
    </row>
    <row r="89" ht="15.5" customHeight="1">
      <c r="A89" s="54" t="n"/>
      <c r="B89" s="54" t="n"/>
      <c r="C89" s="104" t="n"/>
      <c r="D89" s="105" t="n"/>
      <c r="E89" s="98" t="n"/>
      <c r="F89" s="99" t="n"/>
      <c r="G89" s="98" t="n"/>
      <c r="H89" s="99" t="n"/>
      <c r="I89" s="100" t="n"/>
      <c r="J89" s="100" t="n"/>
      <c r="K89" s="101" t="n"/>
      <c r="L89" s="98" t="n"/>
      <c r="M89" s="100" t="n"/>
      <c r="N89" s="100" t="n"/>
      <c r="O89" s="98" t="n"/>
      <c r="P89" s="98" t="n"/>
    </row>
    <row r="90" ht="15.5" customHeight="1">
      <c r="A90" s="54" t="n"/>
      <c r="B90" s="54" t="n"/>
      <c r="C90" s="104" t="n"/>
      <c r="D90" s="105" t="n"/>
      <c r="E90" s="98" t="n"/>
      <c r="F90" s="99" t="n"/>
      <c r="G90" s="98" t="n"/>
      <c r="H90" s="99" t="n"/>
      <c r="I90" s="100" t="n"/>
      <c r="J90" s="100" t="n"/>
      <c r="K90" s="101" t="n"/>
      <c r="L90" s="98" t="n"/>
      <c r="M90" s="100" t="n"/>
      <c r="N90" s="100" t="n"/>
      <c r="O90" s="98" t="n"/>
      <c r="P90" s="98" t="n"/>
    </row>
    <row r="91" ht="15.5" customHeight="1">
      <c r="A91" s="54" t="n"/>
      <c r="B91" s="54" t="n"/>
      <c r="C91" s="104" t="n"/>
      <c r="D91" s="105" t="n"/>
      <c r="E91" s="98" t="n"/>
      <c r="F91" s="99" t="n"/>
      <c r="G91" s="98" t="n"/>
      <c r="H91" s="99" t="n"/>
      <c r="I91" s="100" t="n"/>
      <c r="J91" s="100" t="n"/>
      <c r="K91" s="101" t="n"/>
      <c r="L91" s="98" t="n"/>
      <c r="M91" s="100" t="n"/>
      <c r="N91" s="100" t="n"/>
      <c r="O91" s="98" t="n"/>
      <c r="P91" s="98" t="n"/>
    </row>
    <row r="92" ht="15.5" customHeight="1">
      <c r="A92" s="54" t="n"/>
      <c r="B92" s="54" t="n"/>
      <c r="C92" s="104" t="n"/>
      <c r="D92" s="105" t="n"/>
      <c r="E92" s="98" t="n"/>
      <c r="F92" s="99" t="n"/>
      <c r="G92" s="98" t="n"/>
      <c r="H92" s="99" t="n"/>
      <c r="I92" s="100" t="n"/>
      <c r="J92" s="100" t="n"/>
      <c r="K92" s="101" t="n"/>
      <c r="L92" s="98" t="n"/>
      <c r="M92" s="100" t="n"/>
      <c r="N92" s="100" t="n"/>
      <c r="O92" s="98" t="n"/>
      <c r="P92" s="98" t="n"/>
    </row>
    <row r="93" ht="15.5" customHeight="1">
      <c r="A93" s="54" t="n"/>
      <c r="B93" s="54" t="n"/>
      <c r="C93" s="104" t="n"/>
      <c r="D93" s="105" t="n"/>
      <c r="E93" s="98" t="n"/>
      <c r="F93" s="99" t="n"/>
      <c r="G93" s="98" t="n"/>
      <c r="H93" s="99" t="n"/>
      <c r="I93" s="100" t="n"/>
      <c r="J93" s="100" t="n"/>
      <c r="K93" s="101" t="n"/>
      <c r="L93" s="98" t="n"/>
      <c r="M93" s="100" t="n"/>
      <c r="N93" s="100" t="n"/>
      <c r="O93" s="98" t="n"/>
      <c r="P93" s="98" t="n"/>
    </row>
    <row r="94" ht="15.5" customHeight="1">
      <c r="A94" s="54" t="n"/>
      <c r="B94" s="54" t="n"/>
      <c r="C94" s="104" t="n"/>
      <c r="D94" s="105" t="n"/>
      <c r="E94" s="98" t="n"/>
      <c r="F94" s="99" t="n"/>
      <c r="G94" s="98" t="n"/>
      <c r="H94" s="99" t="n"/>
      <c r="I94" s="100" t="n"/>
      <c r="J94" s="100" t="n"/>
      <c r="K94" s="101" t="n"/>
      <c r="L94" s="98" t="n"/>
      <c r="M94" s="100" t="n"/>
      <c r="N94" s="100" t="n"/>
      <c r="O94" s="98" t="n"/>
      <c r="P94" s="98" t="n"/>
    </row>
    <row r="95" ht="15.5" customHeight="1">
      <c r="A95" s="54" t="n"/>
      <c r="B95" s="54" t="n"/>
      <c r="C95" s="104" t="n"/>
      <c r="D95" s="105" t="n"/>
      <c r="E95" s="98" t="n"/>
      <c r="F95" s="99" t="n"/>
      <c r="G95" s="98" t="n"/>
      <c r="H95" s="99" t="n"/>
      <c r="I95" s="100" t="n"/>
      <c r="J95" s="100" t="n"/>
      <c r="K95" s="101" t="n"/>
      <c r="L95" s="98" t="n"/>
      <c r="M95" s="100" t="n"/>
      <c r="N95" s="100" t="n"/>
      <c r="O95" s="98" t="n"/>
      <c r="P95" s="98" t="n"/>
    </row>
    <row r="96" ht="15.5" customHeight="1">
      <c r="A96" s="54" t="n"/>
      <c r="B96" s="54" t="n"/>
      <c r="C96" s="104" t="n"/>
      <c r="D96" s="105" t="n"/>
      <c r="E96" s="98" t="n"/>
      <c r="F96" s="99" t="n"/>
      <c r="G96" s="98" t="n"/>
      <c r="H96" s="99" t="n"/>
      <c r="I96" s="100" t="n"/>
      <c r="J96" s="100" t="n"/>
      <c r="K96" s="101" t="n"/>
      <c r="L96" s="98" t="n"/>
      <c r="M96" s="100" t="n"/>
      <c r="N96" s="100" t="n"/>
      <c r="O96" s="98" t="n"/>
      <c r="P96" s="98" t="n"/>
    </row>
    <row r="97" ht="15.5" customHeight="1">
      <c r="A97" s="54" t="n"/>
      <c r="B97" s="54" t="n"/>
      <c r="C97" s="104" t="n"/>
      <c r="D97" s="105" t="n"/>
      <c r="E97" s="98" t="n"/>
      <c r="F97" s="99" t="n"/>
      <c r="G97" s="98" t="n"/>
      <c r="H97" s="99" t="n"/>
      <c r="I97" s="100" t="n"/>
      <c r="J97" s="100" t="n"/>
      <c r="K97" s="101" t="n"/>
      <c r="L97" s="98" t="n"/>
      <c r="M97" s="100" t="n"/>
      <c r="N97" s="100" t="n"/>
      <c r="O97" s="98" t="n"/>
      <c r="P97" s="98" t="n"/>
    </row>
    <row r="98" ht="15.5" customHeight="1">
      <c r="A98" s="54" t="n"/>
      <c r="B98" s="54" t="n"/>
      <c r="C98" s="104" t="n"/>
      <c r="D98" s="105" t="n"/>
      <c r="E98" s="98" t="n"/>
      <c r="F98" s="99" t="n"/>
      <c r="G98" s="98" t="n"/>
      <c r="H98" s="99" t="n"/>
      <c r="I98" s="100" t="n"/>
      <c r="J98" s="100" t="n"/>
      <c r="K98" s="101" t="n"/>
      <c r="L98" s="98" t="n"/>
      <c r="M98" s="100" t="n"/>
      <c r="N98" s="100" t="n"/>
      <c r="O98" s="98" t="n"/>
      <c r="P98" s="98" t="n"/>
    </row>
    <row r="99" ht="15.5" customHeight="1">
      <c r="A99" s="54" t="n"/>
      <c r="B99" s="54" t="n"/>
      <c r="C99" s="104" t="n"/>
      <c r="D99" s="105" t="n"/>
      <c r="E99" s="98" t="n"/>
      <c r="F99" s="99" t="n"/>
      <c r="G99" s="98" t="n"/>
      <c r="H99" s="99" t="n"/>
      <c r="I99" s="100" t="n"/>
      <c r="J99" s="100" t="n"/>
      <c r="K99" s="101" t="n"/>
      <c r="L99" s="98" t="n"/>
      <c r="M99" s="100" t="n"/>
      <c r="N99" s="100" t="n"/>
      <c r="O99" s="98" t="n"/>
      <c r="P99" s="98" t="n"/>
    </row>
    <row r="100" ht="15.5" customHeight="1">
      <c r="A100" s="54" t="n"/>
      <c r="B100" s="54" t="n"/>
      <c r="C100" s="104" t="n"/>
      <c r="D100" s="105" t="n"/>
      <c r="E100" s="98" t="n"/>
      <c r="F100" s="99" t="n"/>
      <c r="G100" s="98" t="n"/>
      <c r="H100" s="99" t="n"/>
      <c r="I100" s="100" t="n"/>
      <c r="J100" s="100" t="n"/>
      <c r="K100" s="101" t="n"/>
      <c r="L100" s="98" t="n"/>
      <c r="M100" s="100" t="n"/>
      <c r="N100" s="100" t="n"/>
      <c r="O100" s="98" t="n"/>
      <c r="P100" s="98" t="n"/>
    </row>
    <row r="101" ht="15.5" customHeight="1">
      <c r="A101" s="54" t="n"/>
      <c r="B101" s="54" t="n"/>
      <c r="C101" s="104" t="n"/>
      <c r="D101" s="105" t="n"/>
      <c r="E101" s="98" t="n"/>
      <c r="F101" s="99" t="n"/>
      <c r="G101" s="98" t="n"/>
      <c r="H101" s="99" t="n"/>
      <c r="I101" s="100" t="n"/>
      <c r="J101" s="100" t="n"/>
      <c r="K101" s="101" t="n"/>
      <c r="L101" s="98" t="n"/>
      <c r="M101" s="100" t="n"/>
      <c r="N101" s="100" t="n"/>
      <c r="O101" s="98" t="n"/>
      <c r="P101" s="98" t="n"/>
    </row>
    <row r="102" ht="15.5" customHeight="1">
      <c r="A102" s="54" t="n"/>
      <c r="B102" s="54" t="n"/>
      <c r="C102" s="104" t="n"/>
      <c r="D102" s="105" t="n"/>
      <c r="E102" s="98" t="n"/>
      <c r="F102" s="99" t="n"/>
      <c r="G102" s="98" t="n"/>
      <c r="H102" s="99" t="n"/>
      <c r="I102" s="100" t="n"/>
      <c r="J102" s="100" t="n"/>
      <c r="K102" s="101" t="n"/>
      <c r="L102" s="98" t="n"/>
      <c r="M102" s="100" t="n"/>
      <c r="N102" s="100" t="n"/>
      <c r="O102" s="98" t="n"/>
      <c r="P102" s="98" t="n"/>
    </row>
    <row r="103" ht="15.5" customHeight="1">
      <c r="A103" s="54" t="n"/>
      <c r="B103" s="54" t="n"/>
      <c r="C103" s="104" t="n"/>
      <c r="D103" s="105" t="n"/>
      <c r="E103" s="98" t="n"/>
      <c r="F103" s="99" t="n"/>
      <c r="G103" s="98" t="n"/>
      <c r="H103" s="99" t="n"/>
      <c r="I103" s="100" t="n"/>
      <c r="J103" s="100" t="n"/>
      <c r="K103" s="101" t="n"/>
      <c r="L103" s="98" t="n"/>
      <c r="M103" s="100" t="n"/>
      <c r="N103" s="100" t="n"/>
      <c r="O103" s="98" t="n"/>
      <c r="P103" s="98" t="n"/>
    </row>
    <row r="104" ht="15.5" customHeight="1">
      <c r="A104" s="54" t="n"/>
      <c r="B104" s="54" t="n"/>
      <c r="C104" s="104" t="n"/>
      <c r="D104" s="105" t="n"/>
      <c r="E104" s="98" t="n"/>
      <c r="F104" s="99" t="n"/>
      <c r="G104" s="98" t="n"/>
      <c r="H104" s="99" t="n"/>
      <c r="I104" s="100" t="n"/>
      <c r="J104" s="100" t="n"/>
      <c r="K104" s="101" t="n"/>
      <c r="L104" s="98" t="n"/>
      <c r="M104" s="100" t="n"/>
      <c r="N104" s="100" t="n"/>
      <c r="O104" s="98" t="n"/>
      <c r="P104" s="98" t="n"/>
    </row>
    <row r="105" ht="15.5" customHeight="1">
      <c r="A105" s="54" t="n"/>
      <c r="B105" s="54" t="n"/>
      <c r="C105" s="104" t="n"/>
      <c r="D105" s="105" t="n"/>
      <c r="E105" s="98" t="n"/>
      <c r="F105" s="99" t="n"/>
      <c r="G105" s="98" t="n"/>
      <c r="H105" s="99" t="n"/>
      <c r="I105" s="100" t="n"/>
      <c r="J105" s="100" t="n"/>
      <c r="K105" s="101" t="n"/>
      <c r="L105" s="98" t="n"/>
      <c r="M105" s="100" t="n"/>
      <c r="N105" s="100" t="n"/>
      <c r="O105" s="98" t="n"/>
      <c r="P105" s="98" t="n"/>
    </row>
    <row r="106" ht="15.5" customHeight="1">
      <c r="A106" s="54" t="n"/>
      <c r="B106" s="54" t="n"/>
      <c r="C106" s="104" t="n"/>
      <c r="D106" s="105" t="n"/>
      <c r="E106" s="98" t="n"/>
      <c r="F106" s="99" t="n"/>
      <c r="G106" s="98" t="n"/>
      <c r="H106" s="99" t="n"/>
      <c r="I106" s="100" t="n"/>
      <c r="J106" s="100" t="n"/>
      <c r="K106" s="101" t="n"/>
      <c r="L106" s="98" t="n"/>
      <c r="M106" s="100" t="n"/>
      <c r="N106" s="100" t="n"/>
      <c r="O106" s="98" t="n"/>
      <c r="P106" s="98" t="n"/>
    </row>
    <row r="107" ht="15.5" customHeight="1">
      <c r="A107" s="54" t="n"/>
      <c r="B107" s="54" t="n"/>
      <c r="C107" s="104" t="n"/>
      <c r="D107" s="105" t="n"/>
      <c r="E107" s="98" t="n"/>
      <c r="F107" s="99" t="n"/>
      <c r="G107" s="98" t="n"/>
      <c r="H107" s="99" t="n"/>
      <c r="I107" s="100" t="n"/>
      <c r="J107" s="100" t="n"/>
      <c r="K107" s="101" t="n"/>
      <c r="L107" s="98" t="n"/>
      <c r="M107" s="100" t="n"/>
      <c r="N107" s="100" t="n"/>
      <c r="O107" s="98" t="n"/>
      <c r="P107" s="98" t="n"/>
    </row>
    <row r="108" ht="15.5" customHeight="1">
      <c r="A108" s="54" t="n"/>
      <c r="B108" s="54" t="n"/>
      <c r="C108" s="104" t="n"/>
      <c r="D108" s="105" t="n"/>
      <c r="E108" s="98" t="n"/>
      <c r="F108" s="99" t="n"/>
      <c r="G108" s="98" t="n"/>
      <c r="H108" s="99" t="n"/>
      <c r="I108" s="100" t="n"/>
      <c r="J108" s="100" t="n"/>
      <c r="K108" s="101" t="n"/>
      <c r="L108" s="98" t="n"/>
      <c r="M108" s="100" t="n"/>
      <c r="N108" s="100" t="n"/>
      <c r="O108" s="98" t="n"/>
      <c r="P108" s="98" t="n"/>
    </row>
    <row r="109" ht="15.5" customHeight="1">
      <c r="A109" s="54" t="n"/>
      <c r="B109" s="54" t="n"/>
      <c r="C109" s="104" t="n"/>
      <c r="D109" s="105" t="n"/>
      <c r="E109" s="98" t="n"/>
      <c r="F109" s="99" t="n"/>
      <c r="G109" s="98" t="n"/>
      <c r="H109" s="99" t="n"/>
      <c r="I109" s="100" t="n"/>
      <c r="J109" s="100" t="n"/>
      <c r="K109" s="101" t="n"/>
      <c r="L109" s="98" t="n"/>
      <c r="M109" s="100" t="n"/>
      <c r="N109" s="100" t="n"/>
      <c r="O109" s="98" t="n"/>
      <c r="P109" s="98" t="n"/>
    </row>
    <row r="110" ht="15.5" customHeight="1">
      <c r="A110" s="54" t="n"/>
      <c r="B110" s="54" t="n"/>
      <c r="C110" s="104" t="n"/>
      <c r="D110" s="105" t="n"/>
      <c r="E110" s="98" t="n"/>
      <c r="F110" s="99" t="n"/>
      <c r="G110" s="98" t="n"/>
      <c r="H110" s="99" t="n"/>
      <c r="I110" s="100" t="n"/>
      <c r="J110" s="100" t="n"/>
      <c r="K110" s="101" t="n"/>
      <c r="L110" s="98" t="n"/>
      <c r="M110" s="100" t="n"/>
      <c r="N110" s="100" t="n"/>
      <c r="O110" s="98" t="n"/>
      <c r="P110" s="98" t="n"/>
    </row>
    <row r="111" ht="15.5" customHeight="1">
      <c r="A111" s="54" t="n"/>
      <c r="B111" s="54" t="n"/>
      <c r="C111" s="104" t="n"/>
      <c r="D111" s="105" t="n"/>
      <c r="E111" s="98" t="n"/>
      <c r="F111" s="99" t="n"/>
      <c r="G111" s="98" t="n"/>
      <c r="H111" s="99" t="n"/>
      <c r="I111" s="100" t="n"/>
      <c r="J111" s="100" t="n"/>
      <c r="K111" s="101" t="n"/>
      <c r="L111" s="98" t="n"/>
      <c r="M111" s="100" t="n"/>
      <c r="N111" s="100" t="n"/>
      <c r="O111" s="98" t="n"/>
      <c r="P111" s="98" t="n"/>
    </row>
    <row r="112" ht="15.5" customHeight="1">
      <c r="A112" s="54" t="n"/>
      <c r="B112" s="54" t="n"/>
      <c r="C112" s="104" t="n"/>
      <c r="D112" s="105" t="n"/>
      <c r="E112" s="98" t="n"/>
      <c r="F112" s="99" t="n"/>
      <c r="G112" s="98" t="n"/>
      <c r="H112" s="99" t="n"/>
      <c r="I112" s="100" t="n"/>
      <c r="J112" s="100" t="n"/>
      <c r="K112" s="101" t="n"/>
      <c r="L112" s="98" t="n"/>
      <c r="M112" s="100" t="n"/>
      <c r="N112" s="100" t="n"/>
      <c r="O112" s="98" t="n"/>
      <c r="P112" s="98" t="n"/>
    </row>
    <row r="113" ht="15.5" customHeight="1">
      <c r="A113" s="54" t="n"/>
      <c r="B113" s="54" t="n"/>
      <c r="C113" s="104" t="n"/>
      <c r="D113" s="105" t="n"/>
      <c r="E113" s="98" t="n"/>
      <c r="F113" s="99" t="n"/>
      <c r="G113" s="98" t="n"/>
      <c r="H113" s="99" t="n"/>
      <c r="I113" s="100" t="n"/>
      <c r="J113" s="100" t="n"/>
      <c r="K113" s="101" t="n"/>
      <c r="L113" s="98" t="n"/>
      <c r="M113" s="100" t="n"/>
      <c r="N113" s="100" t="n"/>
      <c r="O113" s="98" t="n"/>
      <c r="P113" s="98" t="n"/>
    </row>
    <row r="114" ht="15.5" customHeight="1">
      <c r="A114" s="54" t="n"/>
      <c r="B114" s="54" t="n"/>
      <c r="C114" s="104" t="n"/>
      <c r="D114" s="105" t="n"/>
      <c r="E114" s="98" t="n"/>
      <c r="F114" s="99" t="n"/>
      <c r="G114" s="98" t="n"/>
      <c r="H114" s="99" t="n"/>
      <c r="I114" s="100" t="n"/>
      <c r="J114" s="100" t="n"/>
      <c r="K114" s="101" t="n"/>
      <c r="L114" s="98" t="n"/>
      <c r="M114" s="100" t="n"/>
      <c r="N114" s="100" t="n"/>
      <c r="O114" s="98" t="n"/>
      <c r="P114" s="98" t="n"/>
    </row>
    <row r="115" ht="15.5" customHeight="1">
      <c r="A115" s="54" t="n"/>
      <c r="B115" s="54" t="n"/>
      <c r="C115" s="104" t="n"/>
      <c r="D115" s="105" t="n"/>
      <c r="E115" s="98" t="n"/>
      <c r="F115" s="99" t="n"/>
      <c r="G115" s="98" t="n"/>
      <c r="H115" s="99" t="n"/>
      <c r="I115" s="100" t="n"/>
      <c r="J115" s="100" t="n"/>
      <c r="K115" s="101" t="n"/>
      <c r="L115" s="98" t="n"/>
      <c r="M115" s="100" t="n"/>
      <c r="N115" s="100" t="n"/>
      <c r="O115" s="98" t="n"/>
      <c r="P115" s="98" t="n"/>
    </row>
    <row r="116" ht="15.5" customHeight="1">
      <c r="A116" s="54" t="n"/>
      <c r="B116" s="54" t="n"/>
      <c r="C116" s="104" t="n"/>
      <c r="D116" s="105" t="n"/>
      <c r="E116" s="98" t="n"/>
      <c r="F116" s="99" t="n"/>
      <c r="G116" s="98" t="n"/>
      <c r="H116" s="99" t="n"/>
      <c r="I116" s="100" t="n"/>
      <c r="J116" s="100" t="n"/>
      <c r="K116" s="101" t="n"/>
      <c r="L116" s="98" t="n"/>
      <c r="M116" s="100" t="n"/>
      <c r="N116" s="100" t="n"/>
      <c r="O116" s="98" t="n"/>
      <c r="P116" s="98" t="n"/>
    </row>
    <row r="117" ht="15.5" customHeight="1">
      <c r="A117" s="54" t="n"/>
      <c r="B117" s="54" t="n"/>
      <c r="C117" s="104" t="n"/>
      <c r="D117" s="105" t="n"/>
      <c r="E117" s="98" t="n"/>
      <c r="F117" s="99" t="n"/>
      <c r="G117" s="98" t="n"/>
      <c r="H117" s="99" t="n"/>
      <c r="I117" s="100" t="n"/>
      <c r="J117" s="100" t="n"/>
      <c r="K117" s="101" t="n"/>
      <c r="L117" s="98" t="n"/>
      <c r="M117" s="100" t="n"/>
      <c r="N117" s="100" t="n"/>
      <c r="O117" s="98" t="n"/>
      <c r="P117" s="98" t="n"/>
    </row>
    <row r="118" ht="15.5" customHeight="1">
      <c r="A118" s="54" t="n"/>
      <c r="B118" s="54" t="n"/>
      <c r="C118" s="104" t="n"/>
      <c r="D118" s="105" t="n"/>
      <c r="E118" s="98" t="n"/>
      <c r="F118" s="99" t="n"/>
      <c r="G118" s="98" t="n"/>
      <c r="H118" s="99" t="n"/>
      <c r="I118" s="100" t="n"/>
      <c r="J118" s="100" t="n"/>
      <c r="K118" s="101" t="n"/>
      <c r="L118" s="98" t="n"/>
      <c r="M118" s="100" t="n"/>
      <c r="N118" s="100" t="n"/>
      <c r="O118" s="98" t="n"/>
      <c r="P118" s="98" t="n"/>
    </row>
    <row r="119" ht="15.5" customHeight="1">
      <c r="A119" s="54" t="n"/>
      <c r="B119" s="54" t="n"/>
      <c r="C119" s="104" t="n"/>
      <c r="D119" s="105" t="n"/>
      <c r="E119" s="98" t="n"/>
      <c r="F119" s="99" t="n"/>
      <c r="G119" s="98" t="n"/>
      <c r="H119" s="99" t="n"/>
      <c r="I119" s="100" t="n"/>
      <c r="J119" s="100" t="n"/>
      <c r="K119" s="101" t="n"/>
      <c r="L119" s="98" t="n"/>
      <c r="M119" s="100" t="n"/>
      <c r="N119" s="100" t="n"/>
      <c r="O119" s="98" t="n"/>
      <c r="P119" s="98" t="n"/>
    </row>
    <row r="120" ht="15.5" customHeight="1">
      <c r="A120" s="54" t="n"/>
      <c r="B120" s="54" t="n"/>
      <c r="C120" s="104" t="n"/>
      <c r="D120" s="105" t="n"/>
      <c r="E120" s="98" t="n"/>
      <c r="F120" s="99" t="n"/>
      <c r="G120" s="98" t="n"/>
      <c r="H120" s="99" t="n"/>
      <c r="I120" s="100" t="n"/>
      <c r="J120" s="100" t="n"/>
      <c r="K120" s="101" t="n"/>
      <c r="L120" s="98" t="n"/>
      <c r="M120" s="100" t="n"/>
      <c r="N120" s="100" t="n"/>
      <c r="O120" s="98" t="n"/>
      <c r="P120" s="98" t="n"/>
    </row>
    <row r="121" ht="15.5" customHeight="1">
      <c r="A121" s="54" t="n"/>
      <c r="B121" s="54" t="n"/>
      <c r="C121" s="104" t="n"/>
      <c r="D121" s="105" t="n"/>
      <c r="E121" s="98" t="n"/>
      <c r="F121" s="99" t="n"/>
      <c r="G121" s="98" t="n"/>
      <c r="H121" s="99" t="n"/>
      <c r="I121" s="100" t="n"/>
      <c r="J121" s="100" t="n"/>
      <c r="K121" s="101" t="n"/>
      <c r="L121" s="98" t="n"/>
      <c r="M121" s="100" t="n"/>
      <c r="N121" s="100" t="n"/>
      <c r="O121" s="98" t="n"/>
      <c r="P121" s="98" t="n"/>
    </row>
    <row r="122" ht="15.5" customHeight="1">
      <c r="A122" s="54" t="n"/>
      <c r="B122" s="54" t="n"/>
      <c r="C122" s="104" t="n"/>
      <c r="D122" s="105" t="n"/>
      <c r="E122" s="98" t="n"/>
      <c r="F122" s="99" t="n"/>
      <c r="G122" s="98" t="n"/>
      <c r="H122" s="99" t="n"/>
      <c r="I122" s="100" t="n"/>
      <c r="J122" s="100" t="n"/>
      <c r="K122" s="101" t="n"/>
      <c r="L122" s="98" t="n"/>
      <c r="M122" s="100" t="n"/>
      <c r="N122" s="100" t="n"/>
      <c r="O122" s="98" t="n"/>
      <c r="P122" s="98" t="n"/>
    </row>
    <row r="123" ht="15.5" customHeight="1">
      <c r="A123" s="54" t="n"/>
      <c r="B123" s="54" t="n"/>
      <c r="C123" s="104" t="n"/>
      <c r="D123" s="105" t="n"/>
      <c r="E123" s="98" t="n"/>
      <c r="F123" s="99" t="n"/>
      <c r="G123" s="98" t="n"/>
      <c r="H123" s="99" t="n"/>
      <c r="I123" s="100" t="n"/>
      <c r="J123" s="100" t="n"/>
      <c r="K123" s="101" t="n"/>
      <c r="L123" s="98" t="n"/>
      <c r="M123" s="100" t="n"/>
      <c r="N123" s="100" t="n"/>
      <c r="O123" s="98" t="n"/>
      <c r="P123" s="98" t="n"/>
    </row>
    <row r="124" ht="15.5" customHeight="1">
      <c r="A124" s="54" t="n"/>
      <c r="B124" s="54" t="n"/>
      <c r="C124" s="104" t="n"/>
      <c r="D124" s="105" t="n"/>
      <c r="E124" s="98" t="n"/>
      <c r="F124" s="99" t="n"/>
      <c r="G124" s="98" t="n"/>
      <c r="H124" s="99" t="n"/>
      <c r="I124" s="100" t="n"/>
      <c r="J124" s="100" t="n"/>
      <c r="K124" s="101" t="n"/>
      <c r="L124" s="98" t="n"/>
      <c r="M124" s="100" t="n"/>
      <c r="N124" s="100" t="n"/>
      <c r="O124" s="98" t="n"/>
      <c r="P124" s="98" t="n"/>
    </row>
    <row r="125" ht="15.5" customHeight="1">
      <c r="A125" s="54" t="n"/>
      <c r="B125" s="54" t="n"/>
      <c r="C125" s="104" t="n"/>
      <c r="D125" s="105" t="n"/>
      <c r="E125" s="98" t="n"/>
      <c r="F125" s="99" t="n"/>
      <c r="G125" s="98" t="n"/>
      <c r="H125" s="99" t="n"/>
      <c r="I125" s="100" t="n"/>
      <c r="J125" s="100" t="n"/>
      <c r="K125" s="101" t="n"/>
      <c r="L125" s="98" t="n"/>
      <c r="M125" s="100" t="n"/>
      <c r="N125" s="100" t="n"/>
      <c r="O125" s="98" t="n"/>
      <c r="P125" s="98" t="n"/>
    </row>
    <row r="126" ht="15.5" customHeight="1">
      <c r="A126" s="54" t="n"/>
      <c r="B126" s="54" t="n"/>
      <c r="C126" s="104" t="n"/>
      <c r="D126" s="105" t="n"/>
      <c r="E126" s="98" t="n"/>
      <c r="F126" s="99" t="n"/>
      <c r="G126" s="98" t="n"/>
      <c r="H126" s="99" t="n"/>
      <c r="I126" s="100" t="n"/>
      <c r="J126" s="100" t="n"/>
      <c r="K126" s="101" t="n"/>
      <c r="L126" s="98" t="n"/>
      <c r="M126" s="100" t="n"/>
      <c r="N126" s="100" t="n"/>
      <c r="O126" s="98" t="n"/>
      <c r="P126" s="98" t="n"/>
    </row>
    <row r="127" ht="15.5" customHeight="1">
      <c r="A127" s="54" t="n"/>
      <c r="B127" s="54" t="n"/>
      <c r="C127" s="104" t="n"/>
      <c r="D127" s="105" t="n"/>
      <c r="E127" s="98" t="n"/>
      <c r="F127" s="99" t="n"/>
      <c r="G127" s="98" t="n"/>
      <c r="H127" s="99" t="n"/>
      <c r="I127" s="100" t="n"/>
      <c r="J127" s="100" t="n"/>
      <c r="K127" s="101" t="n"/>
      <c r="L127" s="98" t="n"/>
      <c r="M127" s="100" t="n"/>
      <c r="N127" s="100" t="n"/>
      <c r="O127" s="98" t="n"/>
      <c r="P127" s="98" t="n"/>
    </row>
    <row r="128" ht="15.5" customHeight="1">
      <c r="A128" s="54" t="n"/>
      <c r="B128" s="54" t="n"/>
      <c r="C128" s="104" t="n"/>
      <c r="D128" s="105" t="n"/>
      <c r="E128" s="98" t="n"/>
      <c r="F128" s="99" t="n"/>
      <c r="G128" s="98" t="n"/>
      <c r="H128" s="99" t="n"/>
      <c r="I128" s="100" t="n"/>
      <c r="J128" s="100" t="n"/>
      <c r="K128" s="101" t="n"/>
      <c r="L128" s="98" t="n"/>
      <c r="M128" s="100" t="n"/>
      <c r="N128" s="100" t="n"/>
      <c r="O128" s="98" t="n"/>
      <c r="P128" s="98" t="n"/>
    </row>
    <row r="129" ht="15.5" customHeight="1">
      <c r="A129" s="54" t="n"/>
      <c r="B129" s="54" t="n"/>
      <c r="C129" s="104" t="n"/>
      <c r="D129" s="105" t="n"/>
      <c r="E129" s="98" t="n"/>
      <c r="F129" s="99" t="n"/>
      <c r="G129" s="98" t="n"/>
      <c r="H129" s="99" t="n"/>
      <c r="I129" s="100" t="n"/>
      <c r="J129" s="100" t="n"/>
      <c r="K129" s="101" t="n"/>
      <c r="L129" s="98" t="n"/>
      <c r="M129" s="100" t="n"/>
      <c r="N129" s="100" t="n"/>
      <c r="O129" s="98" t="n"/>
      <c r="P129" s="98" t="n"/>
    </row>
    <row r="130" ht="15.5" customHeight="1">
      <c r="A130" s="54" t="n"/>
      <c r="B130" s="54" t="n"/>
      <c r="C130" s="104" t="n"/>
      <c r="D130" s="105" t="n"/>
      <c r="E130" s="98" t="n"/>
      <c r="F130" s="99" t="n"/>
      <c r="G130" s="98" t="n"/>
      <c r="H130" s="99" t="n"/>
      <c r="I130" s="100" t="n"/>
      <c r="J130" s="100" t="n"/>
      <c r="K130" s="101" t="n"/>
      <c r="L130" s="98" t="n"/>
      <c r="M130" s="100" t="n"/>
      <c r="N130" s="100" t="n"/>
      <c r="O130" s="98" t="n"/>
      <c r="P130" s="98" t="n"/>
    </row>
    <row r="131" ht="15.5" customHeight="1">
      <c r="A131" s="54" t="n"/>
      <c r="B131" s="54" t="n"/>
      <c r="C131" s="104" t="n"/>
      <c r="D131" s="105" t="n"/>
      <c r="E131" s="98" t="n"/>
      <c r="F131" s="99" t="n"/>
      <c r="G131" s="98" t="n"/>
      <c r="H131" s="99" t="n"/>
      <c r="I131" s="100" t="n"/>
      <c r="J131" s="100" t="n"/>
      <c r="K131" s="101" t="n"/>
      <c r="L131" s="98" t="n"/>
      <c r="M131" s="100" t="n"/>
      <c r="N131" s="100" t="n"/>
      <c r="O131" s="98" t="n"/>
      <c r="P131" s="98" t="n"/>
    </row>
    <row r="132" ht="15.5" customHeight="1">
      <c r="A132" s="54" t="n"/>
      <c r="B132" s="54" t="n"/>
      <c r="C132" s="104" t="n"/>
      <c r="D132" s="105" t="n"/>
      <c r="E132" s="98" t="n"/>
      <c r="F132" s="99" t="n"/>
      <c r="G132" s="98" t="n"/>
      <c r="H132" s="99" t="n"/>
      <c r="I132" s="100" t="n"/>
      <c r="J132" s="100" t="n"/>
      <c r="K132" s="101" t="n"/>
      <c r="L132" s="98" t="n"/>
      <c r="M132" s="100" t="n"/>
      <c r="N132" s="100" t="n"/>
      <c r="O132" s="98" t="n"/>
      <c r="P132" s="98" t="n"/>
    </row>
    <row r="133" ht="15.5" customHeight="1">
      <c r="A133" s="54" t="n"/>
      <c r="B133" s="54" t="n"/>
      <c r="C133" s="104" t="n"/>
      <c r="D133" s="105" t="n"/>
      <c r="E133" s="98" t="n"/>
      <c r="F133" s="99" t="n"/>
      <c r="G133" s="98" t="n"/>
      <c r="H133" s="99" t="n"/>
      <c r="I133" s="100" t="n"/>
      <c r="J133" s="100" t="n"/>
      <c r="K133" s="101" t="n"/>
      <c r="L133" s="98" t="n"/>
      <c r="M133" s="100" t="n"/>
      <c r="N133" s="100" t="n"/>
      <c r="O133" s="98" t="n"/>
      <c r="P133" s="98" t="n"/>
    </row>
    <row r="134" ht="15.5" customHeight="1">
      <c r="A134" s="54" t="n"/>
      <c r="B134" s="54" t="n"/>
      <c r="C134" s="104" t="n"/>
      <c r="D134" s="105" t="n"/>
      <c r="E134" s="98" t="n"/>
      <c r="F134" s="99" t="n"/>
      <c r="G134" s="98" t="n"/>
      <c r="H134" s="99" t="n"/>
      <c r="I134" s="100" t="n"/>
      <c r="J134" s="100" t="n"/>
      <c r="K134" s="101" t="n"/>
      <c r="L134" s="98" t="n"/>
      <c r="M134" s="100" t="n"/>
      <c r="N134" s="100" t="n"/>
      <c r="O134" s="98" t="n"/>
      <c r="P134" s="98" t="n"/>
    </row>
    <row r="135" ht="15.5" customHeight="1">
      <c r="A135" s="54" t="n"/>
      <c r="B135" s="54" t="n"/>
      <c r="C135" s="104" t="n"/>
      <c r="D135" s="105" t="n"/>
      <c r="E135" s="98" t="n"/>
      <c r="F135" s="99" t="n"/>
      <c r="G135" s="98" t="n"/>
      <c r="H135" s="99" t="n"/>
      <c r="I135" s="100" t="n"/>
      <c r="J135" s="100" t="n"/>
      <c r="K135" s="101" t="n"/>
      <c r="L135" s="98" t="n"/>
      <c r="M135" s="100" t="n"/>
      <c r="N135" s="100" t="n"/>
      <c r="O135" s="98" t="n"/>
      <c r="P135" s="98" t="n"/>
    </row>
    <row r="136" ht="15.5" customHeight="1">
      <c r="A136" s="54" t="n"/>
      <c r="B136" s="54" t="n"/>
      <c r="C136" s="104" t="n"/>
      <c r="D136" s="105" t="n"/>
      <c r="E136" s="98" t="n"/>
      <c r="F136" s="99" t="n"/>
      <c r="G136" s="98" t="n"/>
      <c r="H136" s="99" t="n"/>
      <c r="I136" s="100" t="n"/>
      <c r="J136" s="100" t="n"/>
      <c r="K136" s="101" t="n"/>
      <c r="L136" s="98" t="n"/>
      <c r="M136" s="100" t="n"/>
      <c r="N136" s="100" t="n"/>
      <c r="O136" s="98" t="n"/>
      <c r="P136" s="98" t="n"/>
    </row>
    <row r="137" ht="15.5" customHeight="1">
      <c r="A137" s="54" t="n"/>
      <c r="B137" s="54" t="n"/>
      <c r="C137" s="104" t="n"/>
      <c r="D137" s="105" t="n"/>
      <c r="E137" s="98" t="n"/>
      <c r="F137" s="99" t="n"/>
      <c r="G137" s="98" t="n"/>
      <c r="H137" s="99" t="n"/>
      <c r="I137" s="100" t="n"/>
      <c r="J137" s="100" t="n"/>
      <c r="K137" s="101" t="n"/>
      <c r="L137" s="98" t="n"/>
      <c r="M137" s="100" t="n"/>
      <c r="N137" s="100" t="n"/>
      <c r="O137" s="98" t="n"/>
      <c r="P137" s="98" t="n"/>
    </row>
    <row r="138" ht="15.5" customHeight="1">
      <c r="A138" s="54" t="n"/>
      <c r="B138" s="54" t="n"/>
      <c r="C138" s="104" t="n"/>
      <c r="D138" s="105" t="n"/>
      <c r="E138" s="98" t="n"/>
      <c r="F138" s="99" t="n"/>
      <c r="G138" s="98" t="n"/>
      <c r="H138" s="99" t="n"/>
      <c r="I138" s="100" t="n"/>
      <c r="J138" s="100" t="n"/>
      <c r="K138" s="101" t="n"/>
      <c r="L138" s="98" t="n"/>
      <c r="M138" s="100" t="n"/>
      <c r="N138" s="100" t="n"/>
      <c r="O138" s="98" t="n"/>
      <c r="P138" s="98" t="n"/>
    </row>
    <row r="139" ht="15.5" customHeight="1">
      <c r="A139" s="54" t="n"/>
      <c r="B139" s="54" t="n"/>
      <c r="C139" s="104" t="n"/>
      <c r="D139" s="105" t="n"/>
      <c r="E139" s="98" t="n"/>
      <c r="F139" s="99" t="n"/>
      <c r="G139" s="98" t="n"/>
      <c r="H139" s="99" t="n"/>
      <c r="I139" s="100" t="n"/>
      <c r="J139" s="100" t="n"/>
      <c r="K139" s="101" t="n"/>
      <c r="L139" s="98" t="n"/>
      <c r="M139" s="100" t="n"/>
      <c r="N139" s="100" t="n"/>
      <c r="O139" s="98" t="n"/>
      <c r="P139" s="98" t="n"/>
    </row>
    <row r="140" ht="15.5" customHeight="1">
      <c r="A140" s="54" t="n"/>
      <c r="B140" s="54" t="n"/>
      <c r="C140" s="104" t="n"/>
      <c r="D140" s="105" t="n"/>
      <c r="E140" s="98" t="n"/>
      <c r="F140" s="99" t="n"/>
      <c r="G140" s="98" t="n"/>
      <c r="H140" s="99" t="n"/>
      <c r="I140" s="100" t="n"/>
      <c r="J140" s="100" t="n"/>
      <c r="K140" s="101" t="n"/>
      <c r="L140" s="98" t="n"/>
      <c r="M140" s="100" t="n"/>
      <c r="N140" s="100" t="n"/>
      <c r="O140" s="98" t="n"/>
      <c r="P140" s="98" t="n"/>
    </row>
    <row r="141" ht="15.5" customHeight="1">
      <c r="A141" s="54" t="n"/>
      <c r="B141" s="54" t="n"/>
      <c r="C141" s="104" t="n"/>
      <c r="D141" s="105" t="n"/>
      <c r="E141" s="98" t="n"/>
      <c r="F141" s="99" t="n"/>
      <c r="G141" s="98" t="n"/>
      <c r="H141" s="99" t="n"/>
      <c r="I141" s="100" t="n"/>
      <c r="J141" s="100" t="n"/>
      <c r="K141" s="101" t="n"/>
      <c r="L141" s="98" t="n"/>
      <c r="M141" s="100" t="n"/>
      <c r="N141" s="100" t="n"/>
      <c r="O141" s="98" t="n"/>
      <c r="P141" s="98" t="n"/>
    </row>
    <row r="142" ht="15.5" customHeight="1">
      <c r="A142" s="54" t="n"/>
      <c r="B142" s="54" t="n"/>
      <c r="C142" s="104" t="n"/>
      <c r="D142" s="105" t="n"/>
      <c r="E142" s="98" t="n"/>
      <c r="F142" s="99" t="n"/>
      <c r="G142" s="98" t="n"/>
      <c r="H142" s="99" t="n"/>
      <c r="I142" s="100" t="n"/>
      <c r="J142" s="100" t="n"/>
      <c r="K142" s="101" t="n"/>
      <c r="L142" s="98" t="n"/>
      <c r="M142" s="100" t="n"/>
      <c r="N142" s="100" t="n"/>
      <c r="O142" s="98" t="n"/>
      <c r="P142" s="98" t="n"/>
    </row>
    <row r="143" ht="15.5" customHeight="1">
      <c r="A143" s="54" t="n"/>
      <c r="B143" s="54" t="n"/>
      <c r="C143" s="104" t="n"/>
      <c r="D143" s="105" t="n"/>
      <c r="E143" s="98" t="n"/>
      <c r="F143" s="99" t="n"/>
      <c r="G143" s="98" t="n"/>
      <c r="H143" s="99" t="n"/>
      <c r="I143" s="100" t="n"/>
      <c r="J143" s="100" t="n"/>
      <c r="K143" s="101" t="n"/>
      <c r="L143" s="98" t="n"/>
      <c r="M143" s="100" t="n"/>
      <c r="N143" s="100" t="n"/>
      <c r="O143" s="98" t="n"/>
      <c r="P143" s="98" t="n"/>
    </row>
    <row r="144" ht="15.5" customHeight="1">
      <c r="A144" s="54" t="n"/>
      <c r="B144" s="54" t="n"/>
      <c r="C144" s="104" t="n"/>
      <c r="D144" s="105" t="n"/>
      <c r="E144" s="98" t="n"/>
      <c r="F144" s="99" t="n"/>
      <c r="G144" s="98" t="n"/>
      <c r="H144" s="99" t="n"/>
      <c r="I144" s="100" t="n"/>
      <c r="J144" s="100" t="n"/>
      <c r="K144" s="101" t="n"/>
      <c r="L144" s="98" t="n"/>
      <c r="M144" s="100" t="n"/>
      <c r="N144" s="100" t="n"/>
      <c r="O144" s="98" t="n"/>
      <c r="P144" s="98" t="n"/>
    </row>
    <row r="145" ht="15.5" customHeight="1">
      <c r="A145" s="54" t="n"/>
      <c r="B145" s="54" t="n"/>
      <c r="C145" s="104" t="n"/>
      <c r="D145" s="105" t="n"/>
      <c r="E145" s="98" t="n"/>
      <c r="F145" s="99" t="n"/>
      <c r="G145" s="98" t="n"/>
      <c r="H145" s="99" t="n"/>
      <c r="I145" s="100" t="n"/>
      <c r="J145" s="100" t="n"/>
      <c r="K145" s="101" t="n"/>
      <c r="L145" s="98" t="n"/>
      <c r="M145" s="100" t="n"/>
      <c r="N145" s="100" t="n"/>
      <c r="O145" s="98" t="n"/>
      <c r="P145" s="98" t="n"/>
    </row>
    <row r="146" ht="15.5" customHeight="1">
      <c r="A146" s="54" t="n"/>
      <c r="B146" s="54" t="n"/>
      <c r="C146" s="104" t="n"/>
      <c r="D146" s="105" t="n"/>
      <c r="E146" s="98" t="n"/>
      <c r="F146" s="99" t="n"/>
      <c r="G146" s="98" t="n"/>
      <c r="H146" s="99" t="n"/>
      <c r="I146" s="100" t="n"/>
      <c r="J146" s="100" t="n"/>
      <c r="K146" s="101" t="n"/>
      <c r="L146" s="98" t="n"/>
      <c r="M146" s="100" t="n"/>
      <c r="N146" s="100" t="n"/>
      <c r="O146" s="98" t="n"/>
      <c r="P146" s="98" t="n"/>
    </row>
    <row r="147" ht="15.5" customHeight="1">
      <c r="A147" s="54" t="n"/>
      <c r="B147" s="54" t="n"/>
      <c r="C147" s="104" t="n"/>
      <c r="D147" s="105" t="n"/>
      <c r="E147" s="98" t="n"/>
      <c r="F147" s="99" t="n"/>
      <c r="G147" s="98" t="n"/>
      <c r="H147" s="99" t="n"/>
      <c r="I147" s="100" t="n"/>
      <c r="J147" s="100" t="n"/>
      <c r="K147" s="101" t="n"/>
      <c r="L147" s="98" t="n"/>
      <c r="M147" s="100" t="n"/>
      <c r="N147" s="100" t="n"/>
      <c r="O147" s="98" t="n"/>
      <c r="P147" s="98" t="n"/>
    </row>
    <row r="148" ht="15.5" customHeight="1">
      <c r="A148" s="54" t="n"/>
      <c r="B148" s="54" t="n"/>
      <c r="C148" s="104" t="n"/>
      <c r="D148" s="105" t="n"/>
      <c r="E148" s="98" t="n"/>
      <c r="F148" s="99" t="n"/>
      <c r="G148" s="98" t="n"/>
      <c r="H148" s="99" t="n"/>
      <c r="I148" s="100" t="n"/>
      <c r="J148" s="100" t="n"/>
      <c r="K148" s="101" t="n"/>
      <c r="L148" s="98" t="n"/>
      <c r="M148" s="100" t="n"/>
      <c r="N148" s="100" t="n"/>
      <c r="O148" s="98" t="n"/>
      <c r="P148" s="98" t="n"/>
    </row>
    <row r="149" ht="15.5" customHeight="1">
      <c r="A149" s="54" t="n"/>
      <c r="B149" s="54" t="n"/>
      <c r="C149" s="104" t="n"/>
      <c r="D149" s="105" t="n"/>
      <c r="E149" s="98" t="n"/>
      <c r="F149" s="99" t="n"/>
      <c r="G149" s="98" t="n"/>
      <c r="H149" s="99" t="n"/>
      <c r="I149" s="100" t="n"/>
      <c r="J149" s="100" t="n"/>
      <c r="K149" s="101" t="n"/>
      <c r="L149" s="98" t="n"/>
      <c r="M149" s="100" t="n"/>
      <c r="N149" s="100" t="n"/>
      <c r="O149" s="98" t="n"/>
      <c r="P149" s="98" t="n"/>
    </row>
    <row r="150" ht="15.5" customHeight="1">
      <c r="A150" s="54" t="n"/>
      <c r="B150" s="54" t="n"/>
      <c r="C150" s="104" t="n"/>
      <c r="D150" s="105" t="n"/>
      <c r="E150" s="98" t="n"/>
      <c r="F150" s="99" t="n"/>
      <c r="G150" s="98" t="n"/>
      <c r="H150" s="99" t="n"/>
      <c r="I150" s="100" t="n"/>
      <c r="J150" s="100" t="n"/>
      <c r="K150" s="101" t="n"/>
      <c r="L150" s="98" t="n"/>
      <c r="M150" s="100" t="n"/>
      <c r="N150" s="100" t="n"/>
      <c r="O150" s="98" t="n"/>
      <c r="P150" s="98" t="n"/>
    </row>
    <row r="151" ht="15.5" customHeight="1">
      <c r="A151" s="54" t="n"/>
      <c r="B151" s="54" t="n"/>
      <c r="C151" s="104" t="n"/>
      <c r="D151" s="105" t="n"/>
      <c r="E151" s="98" t="n"/>
      <c r="F151" s="99" t="n"/>
      <c r="G151" s="98" t="n"/>
      <c r="H151" s="99" t="n"/>
      <c r="I151" s="100" t="n"/>
      <c r="J151" s="100" t="n"/>
      <c r="K151" s="101" t="n"/>
      <c r="L151" s="98" t="n"/>
      <c r="M151" s="100" t="n"/>
      <c r="N151" s="100" t="n"/>
      <c r="O151" s="98" t="n"/>
      <c r="P151" s="98" t="n"/>
    </row>
    <row r="152" ht="15.5" customHeight="1">
      <c r="A152" s="54" t="n"/>
      <c r="B152" s="54" t="n"/>
      <c r="C152" s="104" t="n"/>
      <c r="D152" s="105" t="n"/>
      <c r="E152" s="98" t="n"/>
      <c r="F152" s="99" t="n"/>
      <c r="G152" s="98" t="n"/>
      <c r="H152" s="99" t="n"/>
      <c r="I152" s="100" t="n"/>
      <c r="J152" s="100" t="n"/>
      <c r="K152" s="101" t="n"/>
      <c r="L152" s="98" t="n"/>
      <c r="M152" s="100" t="n"/>
      <c r="N152" s="100" t="n"/>
      <c r="O152" s="98" t="n"/>
      <c r="P152" s="98" t="n"/>
    </row>
    <row r="153" ht="15.5" customHeight="1">
      <c r="A153" s="54" t="n"/>
      <c r="B153" s="54" t="n"/>
      <c r="C153" s="104" t="n"/>
      <c r="D153" s="105" t="n"/>
      <c r="E153" s="98" t="n"/>
      <c r="F153" s="99" t="n"/>
      <c r="G153" s="98" t="n"/>
      <c r="H153" s="99" t="n"/>
      <c r="I153" s="100" t="n"/>
      <c r="J153" s="100" t="n"/>
      <c r="K153" s="101" t="n"/>
      <c r="L153" s="98" t="n"/>
      <c r="M153" s="100" t="n"/>
      <c r="N153" s="100" t="n"/>
      <c r="O153" s="98" t="n"/>
      <c r="P153" s="98" t="n"/>
    </row>
    <row r="154" ht="15.5" customHeight="1">
      <c r="A154" s="54" t="n"/>
      <c r="B154" s="54" t="n"/>
      <c r="C154" s="104" t="n"/>
      <c r="D154" s="105" t="n"/>
      <c r="E154" s="98" t="n"/>
      <c r="F154" s="99" t="n"/>
      <c r="G154" s="98" t="n"/>
      <c r="H154" s="99" t="n"/>
      <c r="I154" s="100" t="n"/>
      <c r="J154" s="100" t="n"/>
      <c r="K154" s="101" t="n"/>
      <c r="L154" s="98" t="n"/>
      <c r="M154" s="100" t="n"/>
      <c r="N154" s="100" t="n"/>
      <c r="O154" s="98" t="n"/>
      <c r="P154" s="98" t="n"/>
    </row>
    <row r="155" ht="15.5" customHeight="1">
      <c r="A155" s="54" t="n"/>
      <c r="B155" s="54" t="n"/>
      <c r="C155" s="104" t="n"/>
      <c r="D155" s="105" t="n"/>
      <c r="E155" s="98" t="n"/>
      <c r="F155" s="99" t="n"/>
      <c r="G155" s="98" t="n"/>
      <c r="H155" s="99" t="n"/>
      <c r="I155" s="100" t="n"/>
      <c r="J155" s="100" t="n"/>
      <c r="K155" s="101" t="n"/>
      <c r="L155" s="98" t="n"/>
      <c r="M155" s="100" t="n"/>
      <c r="N155" s="100" t="n"/>
      <c r="O155" s="98" t="n"/>
      <c r="P155" s="98" t="n"/>
    </row>
    <row r="156" ht="15.5" customHeight="1">
      <c r="A156" s="54" t="n"/>
      <c r="B156" s="54" t="n"/>
      <c r="C156" s="104" t="n"/>
      <c r="D156" s="105" t="n"/>
      <c r="E156" s="98" t="n"/>
      <c r="F156" s="99" t="n"/>
      <c r="G156" s="98" t="n"/>
      <c r="H156" s="99" t="n"/>
      <c r="I156" s="100" t="n"/>
      <c r="J156" s="100" t="n"/>
      <c r="K156" s="101" t="n"/>
      <c r="L156" s="98" t="n"/>
      <c r="M156" s="100" t="n"/>
      <c r="N156" s="100" t="n"/>
      <c r="O156" s="98" t="n"/>
      <c r="P156" s="98" t="n"/>
    </row>
    <row r="157" ht="15.5" customHeight="1">
      <c r="A157" s="54" t="n"/>
      <c r="B157" s="54" t="n"/>
      <c r="C157" s="104" t="n"/>
      <c r="D157" s="105" t="n"/>
      <c r="E157" s="98" t="n"/>
      <c r="F157" s="99" t="n"/>
      <c r="G157" s="98" t="n"/>
      <c r="H157" s="99" t="n"/>
      <c r="I157" s="100" t="n"/>
      <c r="J157" s="100" t="n"/>
      <c r="K157" s="101" t="n"/>
      <c r="L157" s="98" t="n"/>
      <c r="M157" s="100" t="n"/>
      <c r="N157" s="100" t="n"/>
      <c r="O157" s="98" t="n"/>
      <c r="P157" s="98" t="n"/>
    </row>
    <row r="158" ht="15.5" customHeight="1">
      <c r="A158" s="54" t="n"/>
      <c r="B158" s="54" t="n"/>
      <c r="C158" s="104" t="n"/>
      <c r="D158" s="105" t="n"/>
      <c r="E158" s="98" t="n"/>
      <c r="F158" s="99" t="n"/>
      <c r="G158" s="98" t="n"/>
      <c r="H158" s="99" t="n"/>
      <c r="I158" s="100" t="n"/>
      <c r="J158" s="100" t="n"/>
      <c r="K158" s="101" t="n"/>
      <c r="L158" s="98" t="n"/>
      <c r="M158" s="100" t="n"/>
      <c r="N158" s="100" t="n"/>
      <c r="O158" s="98" t="n"/>
      <c r="P158" s="98" t="n"/>
    </row>
    <row r="159" ht="15.5" customHeight="1">
      <c r="A159" s="54" t="n"/>
      <c r="B159" s="54" t="n"/>
      <c r="C159" s="104" t="n"/>
      <c r="D159" s="105" t="n"/>
      <c r="E159" s="98" t="n"/>
      <c r="F159" s="99" t="n"/>
      <c r="G159" s="98" t="n"/>
      <c r="H159" s="99" t="n"/>
      <c r="I159" s="100" t="n"/>
      <c r="J159" s="100" t="n"/>
      <c r="K159" s="101" t="n"/>
      <c r="L159" s="98" t="n"/>
      <c r="M159" s="100" t="n"/>
      <c r="N159" s="100" t="n"/>
      <c r="O159" s="98" t="n"/>
      <c r="P159" s="98" t="n"/>
    </row>
    <row r="160" ht="15.5" customHeight="1">
      <c r="A160" s="54" t="n"/>
      <c r="B160" s="54" t="n"/>
      <c r="C160" s="104" t="n"/>
      <c r="D160" s="105" t="n"/>
      <c r="E160" s="98" t="n"/>
      <c r="F160" s="99" t="n"/>
      <c r="G160" s="98" t="n"/>
      <c r="H160" s="99" t="n"/>
      <c r="I160" s="100" t="n"/>
      <c r="J160" s="100" t="n"/>
      <c r="K160" s="101" t="n"/>
      <c r="L160" s="98" t="n"/>
      <c r="M160" s="100" t="n"/>
      <c r="N160" s="100" t="n"/>
      <c r="O160" s="98" t="n"/>
      <c r="P160" s="98" t="n"/>
    </row>
    <row r="161" ht="15.5" customHeight="1">
      <c r="A161" s="54" t="n"/>
      <c r="B161" s="54" t="n"/>
      <c r="C161" s="104" t="n"/>
      <c r="D161" s="105" t="n"/>
      <c r="E161" s="98" t="n"/>
      <c r="F161" s="99" t="n"/>
      <c r="G161" s="98" t="n"/>
      <c r="H161" s="99" t="n"/>
      <c r="I161" s="100" t="n"/>
      <c r="J161" s="100" t="n"/>
      <c r="K161" s="101" t="n"/>
      <c r="L161" s="98" t="n"/>
      <c r="M161" s="100" t="n"/>
      <c r="N161" s="100" t="n"/>
      <c r="O161" s="98" t="n"/>
      <c r="P161" s="98" t="n"/>
    </row>
    <row r="162" ht="15.5" customHeight="1">
      <c r="A162" s="54" t="n"/>
      <c r="B162" s="54" t="n"/>
      <c r="C162" s="104" t="n"/>
      <c r="D162" s="105" t="n"/>
      <c r="E162" s="98" t="n"/>
      <c r="F162" s="99" t="n"/>
      <c r="G162" s="98" t="n"/>
      <c r="H162" s="99" t="n"/>
      <c r="I162" s="100" t="n"/>
      <c r="J162" s="100" t="n"/>
      <c r="K162" s="101" t="n"/>
      <c r="L162" s="98" t="n"/>
      <c r="M162" s="100" t="n"/>
      <c r="N162" s="100" t="n"/>
      <c r="O162" s="98" t="n"/>
      <c r="P162" s="98" t="n"/>
    </row>
    <row r="163" ht="15.5" customHeight="1">
      <c r="A163" s="54" t="n"/>
      <c r="B163" s="54" t="n"/>
      <c r="C163" s="104" t="n"/>
      <c r="D163" s="105" t="n"/>
      <c r="E163" s="98" t="n"/>
      <c r="F163" s="99" t="n"/>
      <c r="G163" s="98" t="n"/>
      <c r="H163" s="99" t="n"/>
      <c r="I163" s="100" t="n"/>
      <c r="J163" s="100" t="n"/>
      <c r="K163" s="101" t="n"/>
      <c r="L163" s="98" t="n"/>
      <c r="M163" s="100" t="n"/>
      <c r="N163" s="100" t="n"/>
      <c r="O163" s="98" t="n"/>
      <c r="P163" s="98" t="n"/>
    </row>
    <row r="164" ht="15.5" customHeight="1">
      <c r="A164" s="54" t="n"/>
      <c r="B164" s="54" t="n"/>
      <c r="C164" s="104" t="n"/>
      <c r="D164" s="105" t="n"/>
      <c r="E164" s="98" t="n"/>
      <c r="F164" s="99" t="n"/>
      <c r="G164" s="98" t="n"/>
      <c r="H164" s="99" t="n"/>
      <c r="I164" s="100" t="n"/>
      <c r="J164" s="100" t="n"/>
      <c r="K164" s="101" t="n"/>
      <c r="L164" s="98" t="n"/>
      <c r="M164" s="100" t="n"/>
      <c r="N164" s="100" t="n"/>
      <c r="O164" s="98" t="n"/>
      <c r="P164" s="98" t="n"/>
    </row>
    <row r="165" ht="15.5" customHeight="1">
      <c r="A165" s="54" t="n"/>
      <c r="B165" s="54" t="n"/>
      <c r="C165" s="104" t="n"/>
      <c r="D165" s="105" t="n"/>
      <c r="E165" s="98" t="n"/>
      <c r="F165" s="99" t="n"/>
      <c r="G165" s="98" t="n"/>
      <c r="H165" s="99" t="n"/>
      <c r="I165" s="100" t="n"/>
      <c r="J165" s="100" t="n"/>
      <c r="K165" s="101" t="n"/>
      <c r="L165" s="98" t="n"/>
      <c r="M165" s="100" t="n"/>
      <c r="N165" s="100" t="n"/>
      <c r="O165" s="98" t="n"/>
      <c r="P165" s="98" t="n"/>
    </row>
    <row r="166" ht="15.5" customHeight="1">
      <c r="A166" s="54" t="n"/>
      <c r="B166" s="54" t="n"/>
      <c r="C166" s="104" t="n"/>
      <c r="D166" s="105" t="n"/>
      <c r="E166" s="98" t="n"/>
      <c r="F166" s="99" t="n"/>
      <c r="G166" s="98" t="n"/>
      <c r="H166" s="99" t="n"/>
      <c r="I166" s="100" t="n"/>
      <c r="J166" s="100" t="n"/>
      <c r="K166" s="101" t="n"/>
      <c r="L166" s="98" t="n"/>
      <c r="M166" s="100" t="n"/>
      <c r="N166" s="100" t="n"/>
      <c r="O166" s="98" t="n"/>
      <c r="P166" s="98" t="n"/>
    </row>
    <row r="167" ht="15.5" customHeight="1">
      <c r="A167" s="54" t="n"/>
      <c r="B167" s="54" t="n"/>
      <c r="C167" s="104" t="n"/>
      <c r="D167" s="105" t="n"/>
      <c r="E167" s="98" t="n"/>
      <c r="F167" s="99" t="n"/>
      <c r="G167" s="98" t="n"/>
      <c r="H167" s="99" t="n"/>
      <c r="I167" s="100" t="n"/>
      <c r="J167" s="100" t="n"/>
      <c r="K167" s="101" t="n"/>
      <c r="L167" s="98" t="n"/>
      <c r="M167" s="100" t="n"/>
      <c r="N167" s="100" t="n"/>
      <c r="O167" s="98" t="n"/>
      <c r="P167" s="98" t="n"/>
    </row>
    <row r="168" ht="15.5" customHeight="1">
      <c r="A168" s="54" t="n"/>
      <c r="B168" s="54" t="n"/>
      <c r="C168" s="104" t="n"/>
      <c r="D168" s="105" t="n"/>
      <c r="E168" s="98" t="n"/>
      <c r="F168" s="99" t="n"/>
      <c r="G168" s="98" t="n"/>
      <c r="H168" s="99" t="n"/>
      <c r="I168" s="100" t="n"/>
      <c r="J168" s="100" t="n"/>
      <c r="K168" s="101" t="n"/>
      <c r="L168" s="98" t="n"/>
      <c r="M168" s="100" t="n"/>
      <c r="N168" s="100" t="n"/>
      <c r="O168" s="98" t="n"/>
      <c r="P168" s="98" t="n"/>
    </row>
    <row r="169" ht="15.5" customHeight="1">
      <c r="A169" s="54" t="n"/>
      <c r="B169" s="54" t="n"/>
      <c r="C169" s="104" t="n"/>
      <c r="D169" s="105" t="n"/>
      <c r="E169" s="98" t="n"/>
      <c r="F169" s="99" t="n"/>
      <c r="G169" s="98" t="n"/>
      <c r="H169" s="99" t="n"/>
      <c r="I169" s="100" t="n"/>
      <c r="J169" s="100" t="n"/>
      <c r="K169" s="101" t="n"/>
      <c r="L169" s="98" t="n"/>
      <c r="M169" s="100" t="n"/>
      <c r="N169" s="100" t="n"/>
      <c r="O169" s="98" t="n"/>
      <c r="P169" s="98" t="n"/>
    </row>
    <row r="170" ht="15.5" customHeight="1">
      <c r="A170" s="54" t="n"/>
      <c r="B170" s="54" t="n"/>
      <c r="C170" s="104" t="n"/>
      <c r="D170" s="105" t="n"/>
      <c r="E170" s="98" t="n"/>
      <c r="F170" s="99" t="n"/>
      <c r="G170" s="98" t="n"/>
      <c r="H170" s="99" t="n"/>
      <c r="I170" s="100" t="n"/>
      <c r="J170" s="100" t="n"/>
      <c r="K170" s="101" t="n"/>
      <c r="L170" s="98" t="n"/>
      <c r="M170" s="100" t="n"/>
      <c r="N170" s="100" t="n"/>
      <c r="O170" s="98" t="n"/>
      <c r="P170" s="98" t="n"/>
    </row>
    <row r="171" ht="15.5" customHeight="1">
      <c r="A171" s="54" t="n"/>
      <c r="B171" s="54" t="n"/>
      <c r="C171" s="104" t="n"/>
      <c r="D171" s="105" t="n"/>
      <c r="E171" s="98" t="n"/>
      <c r="F171" s="99" t="n"/>
      <c r="G171" s="98" t="n"/>
      <c r="H171" s="99" t="n"/>
      <c r="I171" s="100" t="n"/>
      <c r="J171" s="100" t="n"/>
      <c r="K171" s="101" t="n"/>
      <c r="L171" s="98" t="n"/>
      <c r="M171" s="100" t="n"/>
      <c r="N171" s="100" t="n"/>
      <c r="O171" s="98" t="n"/>
      <c r="P171" s="98" t="n"/>
    </row>
    <row r="172" ht="15.5" customHeight="1">
      <c r="A172" s="54" t="n"/>
      <c r="B172" s="54" t="n"/>
      <c r="C172" s="104" t="n"/>
      <c r="D172" s="105" t="n"/>
      <c r="E172" s="98" t="n"/>
      <c r="F172" s="99" t="n"/>
      <c r="G172" s="98" t="n"/>
      <c r="H172" s="99" t="n"/>
      <c r="I172" s="100" t="n"/>
      <c r="J172" s="100" t="n"/>
      <c r="K172" s="101" t="n"/>
      <c r="L172" s="98" t="n"/>
      <c r="M172" s="100" t="n"/>
      <c r="N172" s="100" t="n"/>
      <c r="O172" s="98" t="n"/>
      <c r="P172" s="98" t="n"/>
    </row>
    <row r="173" ht="15.5" customHeight="1">
      <c r="A173" s="54" t="n"/>
      <c r="B173" s="54" t="n"/>
      <c r="C173" s="104" t="n"/>
      <c r="D173" s="105" t="n"/>
      <c r="E173" s="98" t="n"/>
      <c r="F173" s="99" t="n"/>
      <c r="G173" s="98" t="n"/>
      <c r="H173" s="99" t="n"/>
      <c r="I173" s="100" t="n"/>
      <c r="J173" s="100" t="n"/>
      <c r="K173" s="101" t="n"/>
      <c r="L173" s="98" t="n"/>
      <c r="M173" s="100" t="n"/>
      <c r="N173" s="100" t="n"/>
      <c r="O173" s="98" t="n"/>
      <c r="P173" s="98" t="n"/>
    </row>
    <row r="174" ht="15.5" customHeight="1">
      <c r="A174" s="54" t="n"/>
      <c r="B174" s="54" t="n"/>
      <c r="C174" s="104" t="n"/>
      <c r="D174" s="105" t="n"/>
      <c r="E174" s="98" t="n"/>
      <c r="F174" s="99" t="n"/>
      <c r="G174" s="98" t="n"/>
      <c r="H174" s="99" t="n"/>
      <c r="I174" s="100" t="n"/>
      <c r="J174" s="100" t="n"/>
      <c r="K174" s="101" t="n"/>
      <c r="L174" s="98" t="n"/>
      <c r="M174" s="100" t="n"/>
      <c r="N174" s="100" t="n"/>
      <c r="O174" s="98" t="n"/>
      <c r="P174" s="98" t="n"/>
    </row>
    <row r="175" ht="15.5" customHeight="1">
      <c r="A175" s="54" t="n"/>
      <c r="B175" s="54" t="n"/>
      <c r="C175" s="104" t="n"/>
      <c r="D175" s="105" t="n"/>
      <c r="E175" s="98" t="n"/>
      <c r="F175" s="99" t="n"/>
      <c r="G175" s="98" t="n"/>
      <c r="H175" s="99" t="n"/>
      <c r="I175" s="100" t="n"/>
      <c r="J175" s="100" t="n"/>
      <c r="K175" s="101" t="n"/>
      <c r="L175" s="98" t="n"/>
      <c r="M175" s="100" t="n"/>
      <c r="N175" s="100" t="n"/>
      <c r="O175" s="98" t="n"/>
      <c r="P175" s="98" t="n"/>
    </row>
    <row r="176" ht="15.5" customHeight="1">
      <c r="A176" s="54" t="n"/>
      <c r="B176" s="54" t="n"/>
      <c r="C176" s="104" t="n"/>
      <c r="D176" s="105" t="n"/>
      <c r="E176" s="98" t="n"/>
      <c r="F176" s="99" t="n"/>
      <c r="G176" s="98" t="n"/>
      <c r="H176" s="99" t="n"/>
      <c r="I176" s="100" t="n"/>
      <c r="J176" s="100" t="n"/>
      <c r="K176" s="101" t="n"/>
      <c r="L176" s="98" t="n"/>
      <c r="M176" s="100" t="n"/>
      <c r="N176" s="100" t="n"/>
      <c r="O176" s="98" t="n"/>
      <c r="P176" s="98" t="n"/>
    </row>
    <row r="177" ht="15.5" customHeight="1">
      <c r="A177" s="54" t="n"/>
      <c r="B177" s="54" t="n"/>
      <c r="C177" s="104" t="n"/>
      <c r="D177" s="105" t="n"/>
      <c r="E177" s="98" t="n"/>
      <c r="F177" s="99" t="n"/>
      <c r="G177" s="98" t="n"/>
      <c r="H177" s="99" t="n"/>
      <c r="I177" s="100" t="n"/>
      <c r="J177" s="100" t="n"/>
      <c r="K177" s="101" t="n"/>
      <c r="L177" s="98" t="n"/>
      <c r="M177" s="100" t="n"/>
      <c r="N177" s="100" t="n"/>
      <c r="O177" s="98" t="n"/>
      <c r="P177" s="98" t="n"/>
    </row>
    <row r="178" ht="15.5" customHeight="1">
      <c r="A178" s="54" t="n"/>
      <c r="B178" s="54" t="n"/>
      <c r="C178" s="104" t="n"/>
      <c r="D178" s="105" t="n"/>
      <c r="E178" s="98" t="n"/>
      <c r="F178" s="99" t="n"/>
      <c r="G178" s="98" t="n"/>
      <c r="H178" s="99" t="n"/>
      <c r="I178" s="100" t="n"/>
      <c r="J178" s="100" t="n"/>
      <c r="K178" s="101" t="n"/>
      <c r="L178" s="98" t="n"/>
      <c r="M178" s="100" t="n"/>
      <c r="N178" s="100" t="n"/>
      <c r="O178" s="98" t="n"/>
      <c r="P178" s="98" t="n"/>
    </row>
    <row r="179" ht="15.5" customHeight="1">
      <c r="A179" s="54" t="n"/>
      <c r="B179" s="54" t="n"/>
      <c r="C179" s="104" t="n"/>
      <c r="D179" s="105" t="n"/>
      <c r="E179" s="98" t="n"/>
      <c r="F179" s="99" t="n"/>
      <c r="G179" s="98" t="n"/>
      <c r="H179" s="99" t="n"/>
      <c r="I179" s="100" t="n"/>
      <c r="J179" s="100" t="n"/>
      <c r="K179" s="101" t="n"/>
      <c r="L179" s="98" t="n"/>
      <c r="M179" s="100" t="n"/>
      <c r="N179" s="100" t="n"/>
      <c r="O179" s="98" t="n"/>
      <c r="P179" s="98" t="n"/>
    </row>
    <row r="180" ht="15.5" customHeight="1">
      <c r="A180" s="54" t="n"/>
      <c r="B180" s="54" t="n"/>
      <c r="C180" s="104" t="n"/>
      <c r="D180" s="105" t="n"/>
      <c r="E180" s="98" t="n"/>
      <c r="F180" s="99" t="n"/>
      <c r="G180" s="98" t="n"/>
      <c r="H180" s="99" t="n"/>
      <c r="I180" s="100" t="n"/>
      <c r="J180" s="100" t="n"/>
      <c r="K180" s="101" t="n"/>
      <c r="L180" s="98" t="n"/>
      <c r="M180" s="100" t="n"/>
      <c r="N180" s="100" t="n"/>
      <c r="O180" s="98" t="n"/>
      <c r="P180" s="98" t="n"/>
    </row>
    <row r="181" ht="15.5" customHeight="1">
      <c r="A181" s="54" t="n"/>
      <c r="B181" s="54" t="n"/>
      <c r="C181" s="104" t="n"/>
      <c r="D181" s="105" t="n"/>
      <c r="E181" s="98" t="n"/>
      <c r="F181" s="99" t="n"/>
      <c r="G181" s="98" t="n"/>
      <c r="H181" s="99" t="n"/>
      <c r="I181" s="100" t="n"/>
      <c r="J181" s="100" t="n"/>
      <c r="K181" s="101" t="n"/>
      <c r="L181" s="98" t="n"/>
      <c r="M181" s="100" t="n"/>
      <c r="N181" s="100" t="n"/>
      <c r="O181" s="98" t="n"/>
      <c r="P181" s="98" t="n"/>
    </row>
    <row r="182" ht="15.5" customHeight="1">
      <c r="A182" s="54" t="n"/>
      <c r="B182" s="54" t="n"/>
      <c r="C182" s="104" t="n"/>
      <c r="D182" s="105" t="n"/>
      <c r="E182" s="98" t="n"/>
      <c r="F182" s="99" t="n"/>
      <c r="G182" s="98" t="n"/>
      <c r="H182" s="99" t="n"/>
      <c r="I182" s="100" t="n"/>
      <c r="J182" s="100" t="n"/>
      <c r="K182" s="101" t="n"/>
      <c r="L182" s="98" t="n"/>
      <c r="M182" s="100" t="n"/>
      <c r="N182" s="100" t="n"/>
      <c r="O182" s="98" t="n"/>
      <c r="P182" s="98" t="n"/>
    </row>
    <row r="183" ht="15.5" customHeight="1">
      <c r="A183" s="54" t="n"/>
      <c r="B183" s="54" t="n"/>
      <c r="C183" s="104" t="n"/>
      <c r="D183" s="105" t="n"/>
      <c r="E183" s="98" t="n"/>
      <c r="F183" s="99" t="n"/>
      <c r="G183" s="98" t="n"/>
      <c r="H183" s="99" t="n"/>
      <c r="I183" s="100" t="n"/>
      <c r="J183" s="100" t="n"/>
      <c r="K183" s="101" t="n"/>
      <c r="L183" s="98" t="n"/>
      <c r="M183" s="100" t="n"/>
      <c r="N183" s="100" t="n"/>
      <c r="O183" s="98" t="n"/>
      <c r="P183" s="98" t="n"/>
    </row>
    <row r="184" ht="15.5" customHeight="1">
      <c r="A184" s="54" t="n"/>
      <c r="B184" s="54" t="n"/>
      <c r="C184" s="104" t="n"/>
      <c r="D184" s="105" t="n"/>
      <c r="E184" s="98" t="n"/>
      <c r="F184" s="99" t="n"/>
      <c r="G184" s="98" t="n"/>
      <c r="H184" s="99" t="n"/>
      <c r="I184" s="100" t="n"/>
      <c r="J184" s="100" t="n"/>
      <c r="K184" s="101" t="n"/>
      <c r="L184" s="98" t="n"/>
      <c r="M184" s="100" t="n"/>
      <c r="N184" s="100" t="n"/>
      <c r="O184" s="98" t="n"/>
      <c r="P184" s="98" t="n"/>
    </row>
    <row r="185" ht="15.5" customHeight="1">
      <c r="A185" s="54" t="n"/>
      <c r="B185" s="54" t="n"/>
      <c r="C185" s="104" t="n"/>
      <c r="D185" s="105" t="n"/>
      <c r="E185" s="98" t="n"/>
      <c r="F185" s="99" t="n"/>
      <c r="G185" s="98" t="n"/>
      <c r="H185" s="99" t="n"/>
      <c r="I185" s="100" t="n"/>
      <c r="J185" s="100" t="n"/>
      <c r="K185" s="101" t="n"/>
      <c r="L185" s="98" t="n"/>
      <c r="M185" s="100" t="n"/>
      <c r="N185" s="100" t="n"/>
      <c r="O185" s="98" t="n"/>
      <c r="P185" s="98" t="n"/>
    </row>
    <row r="186" ht="15.5" customHeight="1">
      <c r="A186" s="54" t="n"/>
      <c r="B186" s="54" t="n"/>
      <c r="C186" s="104" t="n"/>
      <c r="D186" s="105" t="n"/>
      <c r="E186" s="98" t="n"/>
      <c r="F186" s="99" t="n"/>
      <c r="G186" s="98" t="n"/>
      <c r="H186" s="99" t="n"/>
      <c r="I186" s="100" t="n"/>
      <c r="J186" s="100" t="n"/>
      <c r="K186" s="101" t="n"/>
      <c r="L186" s="98" t="n"/>
      <c r="M186" s="100" t="n"/>
      <c r="N186" s="100" t="n"/>
      <c r="O186" s="98" t="n"/>
      <c r="P186" s="98" t="n"/>
    </row>
    <row r="187" ht="15.5" customHeight="1">
      <c r="A187" s="54" t="n"/>
      <c r="B187" s="54" t="n"/>
      <c r="C187" s="104" t="n"/>
      <c r="D187" s="105" t="n"/>
      <c r="E187" s="98" t="n"/>
      <c r="F187" s="99" t="n"/>
      <c r="G187" s="98" t="n"/>
      <c r="H187" s="99" t="n"/>
      <c r="I187" s="100" t="n"/>
      <c r="J187" s="100" t="n"/>
      <c r="K187" s="101" t="n"/>
      <c r="L187" s="98" t="n"/>
      <c r="M187" s="100" t="n"/>
      <c r="N187" s="100" t="n"/>
      <c r="O187" s="98" t="n"/>
      <c r="P187" s="98" t="n"/>
    </row>
    <row r="188" ht="15.5" customHeight="1">
      <c r="A188" s="54" t="n"/>
      <c r="B188" s="54" t="n"/>
      <c r="C188" s="104" t="n"/>
      <c r="D188" s="105" t="n"/>
      <c r="E188" s="98" t="n"/>
      <c r="F188" s="99" t="n"/>
      <c r="G188" s="98" t="n"/>
      <c r="H188" s="99" t="n"/>
      <c r="I188" s="100" t="n"/>
      <c r="J188" s="100" t="n"/>
      <c r="K188" s="101" t="n"/>
      <c r="L188" s="98" t="n"/>
      <c r="M188" s="100" t="n"/>
      <c r="N188" s="100" t="n"/>
      <c r="O188" s="98" t="n"/>
      <c r="P188" s="98" t="n"/>
    </row>
    <row r="189" ht="15.5" customHeight="1">
      <c r="A189" s="54" t="n"/>
      <c r="B189" s="54" t="n"/>
      <c r="C189" s="104" t="n"/>
      <c r="D189" s="105" t="n"/>
      <c r="E189" s="98" t="n"/>
      <c r="F189" s="99" t="n"/>
      <c r="G189" s="98" t="n"/>
      <c r="H189" s="99" t="n"/>
      <c r="I189" s="100" t="n"/>
      <c r="J189" s="100" t="n"/>
      <c r="K189" s="101" t="n"/>
      <c r="L189" s="98" t="n"/>
      <c r="M189" s="100" t="n"/>
      <c r="N189" s="100" t="n"/>
      <c r="O189" s="98" t="n"/>
      <c r="P189" s="98" t="n"/>
    </row>
    <row r="190" ht="15.5" customHeight="1">
      <c r="A190" s="54" t="n"/>
      <c r="B190" s="54" t="n"/>
      <c r="C190" s="104" t="n"/>
      <c r="D190" s="105" t="n"/>
      <c r="E190" s="98" t="n"/>
      <c r="F190" s="99" t="n"/>
      <c r="G190" s="98" t="n"/>
      <c r="H190" s="99" t="n"/>
      <c r="I190" s="100" t="n"/>
      <c r="J190" s="100" t="n"/>
      <c r="K190" s="101" t="n"/>
      <c r="L190" s="98" t="n"/>
      <c r="M190" s="100" t="n"/>
      <c r="N190" s="100" t="n"/>
      <c r="O190" s="98" t="n"/>
      <c r="P190" s="98" t="n"/>
    </row>
    <row r="191" ht="15.5" customHeight="1">
      <c r="A191" s="54" t="n"/>
      <c r="B191" s="54" t="n"/>
      <c r="C191" s="104" t="n"/>
      <c r="D191" s="105" t="n"/>
      <c r="E191" s="98" t="n"/>
      <c r="F191" s="99" t="n"/>
      <c r="G191" s="98" t="n"/>
      <c r="H191" s="99" t="n"/>
      <c r="I191" s="100" t="n"/>
      <c r="J191" s="100" t="n"/>
      <c r="K191" s="101" t="n"/>
      <c r="L191" s="98" t="n"/>
      <c r="M191" s="100" t="n"/>
      <c r="N191" s="100" t="n"/>
      <c r="O191" s="98" t="n"/>
      <c r="P191" s="98" t="n"/>
    </row>
    <row r="192" ht="15.5" customHeight="1">
      <c r="A192" s="54" t="n"/>
      <c r="B192" s="54" t="n"/>
      <c r="C192" s="104" t="n"/>
      <c r="D192" s="105" t="n"/>
      <c r="E192" s="98" t="n"/>
      <c r="F192" s="99" t="n"/>
      <c r="G192" s="98" t="n"/>
      <c r="H192" s="99" t="n"/>
      <c r="I192" s="100" t="n"/>
      <c r="J192" s="100" t="n"/>
      <c r="K192" s="101" t="n"/>
      <c r="L192" s="98" t="n"/>
      <c r="M192" s="100" t="n"/>
      <c r="N192" s="100" t="n"/>
      <c r="O192" s="98" t="n"/>
      <c r="P192" s="98" t="n"/>
    </row>
    <row r="193" ht="15.5" customHeight="1">
      <c r="A193" s="54" t="n"/>
      <c r="B193" s="54" t="n"/>
      <c r="C193" s="104" t="n"/>
      <c r="D193" s="105" t="n"/>
      <c r="E193" s="98" t="n"/>
      <c r="F193" s="99" t="n"/>
      <c r="G193" s="98" t="n"/>
      <c r="H193" s="99" t="n"/>
      <c r="I193" s="100" t="n"/>
      <c r="J193" s="100" t="n"/>
      <c r="K193" s="101" t="n"/>
      <c r="L193" s="98" t="n"/>
      <c r="M193" s="100" t="n"/>
      <c r="N193" s="100" t="n"/>
      <c r="O193" s="98" t="n"/>
      <c r="P193" s="98" t="n"/>
    </row>
    <row r="194" ht="15.5" customHeight="1">
      <c r="A194" s="54" t="n"/>
      <c r="B194" s="54" t="n"/>
      <c r="C194" s="104" t="n"/>
      <c r="D194" s="105" t="n"/>
      <c r="E194" s="98" t="n"/>
      <c r="F194" s="99" t="n"/>
      <c r="G194" s="98" t="n"/>
      <c r="H194" s="99" t="n"/>
      <c r="I194" s="100" t="n"/>
      <c r="J194" s="100" t="n"/>
      <c r="K194" s="101" t="n"/>
      <c r="L194" s="98" t="n"/>
      <c r="M194" s="100" t="n"/>
      <c r="N194" s="100" t="n"/>
      <c r="O194" s="98" t="n"/>
      <c r="P194" s="98" t="n"/>
    </row>
    <row r="195" ht="15.5" customHeight="1">
      <c r="A195" s="54" t="n"/>
      <c r="B195" s="54" t="n"/>
      <c r="C195" s="104" t="n"/>
      <c r="D195" s="105" t="n"/>
      <c r="E195" s="98" t="n"/>
      <c r="F195" s="99" t="n"/>
      <c r="G195" s="98" t="n"/>
      <c r="H195" s="99" t="n"/>
      <c r="I195" s="100" t="n"/>
      <c r="J195" s="100" t="n"/>
      <c r="K195" s="101" t="n"/>
      <c r="L195" s="98" t="n"/>
      <c r="M195" s="100" t="n"/>
      <c r="N195" s="100" t="n"/>
      <c r="O195" s="98" t="n"/>
      <c r="P195" s="98" t="n"/>
    </row>
    <row r="196" ht="15.5" customHeight="1">
      <c r="A196" s="54" t="n"/>
      <c r="B196" s="54" t="n"/>
      <c r="C196" s="104" t="n"/>
      <c r="D196" s="105" t="n"/>
      <c r="E196" s="98" t="n"/>
      <c r="F196" s="99" t="n"/>
      <c r="G196" s="98" t="n"/>
      <c r="H196" s="99" t="n"/>
      <c r="I196" s="100" t="n"/>
      <c r="J196" s="100" t="n"/>
      <c r="K196" s="101" t="n"/>
      <c r="L196" s="98" t="n"/>
      <c r="M196" s="100" t="n"/>
      <c r="N196" s="100" t="n"/>
      <c r="O196" s="98" t="n"/>
      <c r="P196" s="98" t="n"/>
    </row>
    <row r="197" ht="15.5" customHeight="1">
      <c r="A197" s="54" t="n"/>
      <c r="B197" s="54" t="n"/>
      <c r="C197" s="104" t="n"/>
      <c r="D197" s="105" t="n"/>
      <c r="E197" s="98" t="n"/>
      <c r="F197" s="99" t="n"/>
      <c r="G197" s="98" t="n"/>
      <c r="H197" s="99" t="n"/>
      <c r="I197" s="100" t="n"/>
      <c r="J197" s="100" t="n"/>
      <c r="K197" s="101" t="n"/>
      <c r="L197" s="98" t="n"/>
      <c r="M197" s="100" t="n"/>
      <c r="N197" s="100" t="n"/>
      <c r="O197" s="98" t="n"/>
      <c r="P197" s="98" t="n"/>
    </row>
    <row r="198" ht="15.5" customHeight="1">
      <c r="A198" s="54" t="n"/>
      <c r="B198" s="54" t="n"/>
      <c r="C198" s="104" t="n"/>
      <c r="D198" s="105" t="n"/>
      <c r="E198" s="98" t="n"/>
      <c r="F198" s="99" t="n"/>
      <c r="G198" s="98" t="n"/>
      <c r="H198" s="99" t="n"/>
      <c r="I198" s="100" t="n"/>
      <c r="J198" s="100" t="n"/>
      <c r="K198" s="101" t="n"/>
      <c r="L198" s="98" t="n"/>
      <c r="M198" s="100" t="n"/>
      <c r="N198" s="100" t="n"/>
      <c r="O198" s="98" t="n"/>
      <c r="P198" s="98" t="n"/>
    </row>
    <row r="199" ht="15.5" customHeight="1">
      <c r="A199" s="54" t="n"/>
      <c r="B199" s="54" t="n"/>
      <c r="C199" s="104" t="n"/>
      <c r="D199" s="105" t="n"/>
      <c r="E199" s="98" t="n"/>
      <c r="F199" s="99" t="n"/>
      <c r="G199" s="98" t="n"/>
      <c r="H199" s="99" t="n"/>
      <c r="I199" s="100" t="n"/>
      <c r="J199" s="100" t="n"/>
      <c r="K199" s="101" t="n"/>
      <c r="L199" s="98" t="n"/>
      <c r="M199" s="100" t="n"/>
      <c r="N199" s="100" t="n"/>
      <c r="O199" s="98" t="n"/>
      <c r="P199" s="98" t="n"/>
    </row>
    <row r="200" ht="15.5" customHeight="1">
      <c r="A200" s="54" t="n"/>
      <c r="B200" s="54" t="n"/>
      <c r="C200" s="104" t="n"/>
      <c r="D200" s="105" t="n"/>
      <c r="E200" s="98" t="n"/>
      <c r="F200" s="99" t="n"/>
      <c r="G200" s="98" t="n"/>
      <c r="H200" s="99" t="n"/>
      <c r="I200" s="100" t="n"/>
      <c r="J200" s="100" t="n"/>
      <c r="K200" s="101" t="n"/>
      <c r="L200" s="98" t="n"/>
      <c r="M200" s="100" t="n"/>
      <c r="N200" s="100" t="n"/>
      <c r="O200" s="98" t="n"/>
      <c r="P200" s="98" t="n"/>
    </row>
    <row r="202">
      <c r="C202" s="106" t="inlineStr">
        <is>
          <t>Source : V_ALLOCATION et AW_002_000002_000001, scénario et version repris du bandeau de filtres. Marges et indices divisés après somme, jamais moyennés.</t>
        </is>
      </c>
    </row>
  </sheetData>
  <conditionalFormatting sqref="F33:F200">
    <cfRule type="cellIs" priority="1" operator="greaterThan" dxfId="18">
      <formula>0</formula>
    </cfRule>
    <cfRule type="cellIs" priority="2" operator="lessThan" dxfId="19">
      <formula>0</formula>
    </cfRule>
  </conditionalFormatting>
  <conditionalFormatting sqref="H33:H200">
    <cfRule type="cellIs" priority="3" operator="greaterThan" dxfId="18">
      <formula>0</formula>
    </cfRule>
    <cfRule type="cellIs" priority="4" operator="lessThan" dxfId="19">
      <formula>0</formula>
    </cfRule>
  </conditionalFormatting>
  <conditionalFormatting sqref="K33:K200">
    <cfRule type="cellIs" priority="5" operator="greaterThan" dxfId="18">
      <formula>0</formula>
    </cfRule>
    <cfRule type="cellIs" priority="6" operator="lessThan" dxfId="19">
      <formula>0</formula>
    </cfRule>
  </conditionalFormatting>
  <conditionalFormatting sqref="J33:J200">
    <cfRule type="dataBar" priority="7">
      <dataBar showValue="1">
        <cfvo type="num" val="0"/>
        <cfvo type="num" val="0.25"/>
        <color rgb="FFB8CFEC"/>
      </dataBar>
    </cfRule>
  </conditionalFormatting>
  <conditionalFormatting sqref="M33:M200">
    <cfRule type="cellIs" priority="8" operator="lessThan" dxfId="20">
      <formula>0.7</formula>
    </cfRule>
  </conditionalFormatting>
  <conditionalFormatting sqref="C33:P200">
    <cfRule type="expression" priority="9" dxfId="21">
      <formula>$C33=2</formula>
    </cfRule>
    <cfRule type="expression" priority="10" dxfId="22">
      <formula>$C33=3</formula>
    </cfRule>
    <cfRule type="expression" priority="11" dxfId="23">
      <formula>$C33=4</formula>
    </cfRule>
    <cfRule type="expression" priority="14" dxfId="24">
      <formula>$C33=2</formula>
    </cfRule>
  </conditionalFormatting>
  <conditionalFormatting sqref="D33:D200">
    <cfRule type="expression" priority="12" dxfId="25">
      <formula>$C33=3</formula>
    </cfRule>
    <cfRule type="expression" priority="13" dxfId="26">
      <formula>$C33=4</formula>
    </cfRule>
  </conditionalFormatting>
  <conditionalFormatting sqref="E10">
    <cfRule type="cellIs" priority="15" operator="greaterThan" dxfId="27">
      <formula>0</formula>
    </cfRule>
    <cfRule type="cellIs" priority="16" operator="lessThan" dxfId="28">
      <formula>0</formula>
    </cfRule>
  </conditionalFormatting>
  <conditionalFormatting sqref="G10">
    <cfRule type="cellIs" priority="17" operator="greaterThan" dxfId="27">
      <formula>0</formula>
    </cfRule>
    <cfRule type="cellIs" priority="18" operator="lessThan" dxfId="28">
      <formula>0</formula>
    </cfRule>
  </conditionalFormatting>
  <conditionalFormatting sqref="I10">
    <cfRule type="cellIs" priority="19" operator="greaterThan" dxfId="27">
      <formula>0</formula>
    </cfRule>
    <cfRule type="cellIs" priority="20" operator="lessThan" dxfId="28">
      <formula>0</formula>
    </cfRule>
  </conditionalFormatting>
  <conditionalFormatting sqref="K10">
    <cfRule type="cellIs" priority="21" operator="greaterThan" dxfId="27">
      <formula>0</formula>
    </cfRule>
    <cfRule type="cellIs" priority="22" operator="lessThan" dxfId="28">
      <formula>0</formula>
    </cfRule>
  </conditionalFormatting>
  <conditionalFormatting sqref="M10">
    <cfRule type="cellIs" priority="23" operator="greaterThan" dxfId="28">
      <formula>0</formula>
    </cfRule>
    <cfRule type="cellIs" priority="24" operator="lessThan" dxfId="27">
      <formula>0</formula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Saad El meziati</dc:creator>
  <dcterms:created xsi:type="dcterms:W3CDTF">2026-09-04T14:45:38Z</dcterms:created>
  <dcterms:modified xsi:type="dcterms:W3CDTF">2026-09-06T01:55:44Z</dcterms:modified>
  <cp:lastModifiedBy>Saad El meziati</cp:lastModifiedBy>
</cp:coreProperties>
</file>