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(matrice)" sheetId="1" state="visible" r:id="rId1"/>
    <sheet name="Bridge CAC (masqu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€&quot;"/>
    <numFmt numFmtId="165" formatCode="#,##0.0&quot; €&quot;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52230"/>
      <sz val="10"/>
    </font>
    <font>
      <name val="Arial"/>
      <color rgb="0051606D"/>
      <sz val="8.5"/>
    </font>
    <font>
      <name val="Arial"/>
      <b val="1"/>
      <color rgb="00FFFFFF"/>
      <sz val="12"/>
    </font>
    <font>
      <name val="Arial"/>
      <b val="1"/>
      <color rgb="00152230"/>
      <sz val="9.5"/>
    </font>
    <font>
      <name val="Arial"/>
      <color rgb="007D8B98"/>
      <sz val="8"/>
    </font>
    <font>
      <name val="Arial"/>
      <color rgb="00152230"/>
      <sz val="9.5"/>
    </font>
    <font>
      <name val="Arial"/>
      <b val="1"/>
      <color rgb="001E7A55"/>
      <sz val="9.5"/>
    </font>
    <font>
      <name val="Arial"/>
      <b val="1"/>
      <color rgb="00C0392B"/>
      <sz val="9.5"/>
    </font>
    <font>
      <name val="Arial"/>
      <b val="1"/>
      <color rgb="007D8B98"/>
      <sz val="8"/>
    </font>
  </fonts>
  <fills count="5">
    <fill>
      <patternFill/>
    </fill>
    <fill>
      <patternFill patternType="gray125"/>
    </fill>
    <fill>
      <patternFill patternType="solid">
        <fgColor rgb="000A5A48"/>
      </patternFill>
    </fill>
    <fill>
      <patternFill patternType="solid">
        <fgColor rgb="000D7A62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8D2DA"/>
      </left>
      <right style="thin">
        <color rgb="00C8D2DA"/>
      </right>
      <top style="thin">
        <color rgb="00C8D2DA"/>
      </top>
      <bottom style="thin">
        <color rgb="00C8D2D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 wrapText="1"/>
    </xf>
    <xf numFmtId="0" fontId="5" fillId="4" borderId="0" pivotButton="0" quotePrefix="0" xfId="0"/>
    <xf numFmtId="0" fontId="6" fillId="0" borderId="1" applyAlignment="1" pivotButton="0" quotePrefix="0" xfId="0">
      <alignment horizontal="left" vertical="center"/>
    </xf>
    <xf numFmtId="165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165" fontId="9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1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du CAC 2025 → 2026 (€/inscrit)</a:t>
            </a:r>
          </a:p>
        </rich>
      </tx>
    </title>
    <plotArea>
      <barChart>
        <barDir val="col"/>
        <grouping val="stacked"/>
        <ser>
          <idx val="0"/>
          <order val="0"/>
          <spPr>
            <a:noFill/>
            <a:ln>
              <a:noFill/>
              <a:prstDash val="solid"/>
            </a:ln>
          </spPr>
          <cat>
            <numRef>
              <f>'Bridge CAC (masque)'!$A$11:$A$14</f>
            </numRef>
          </cat>
          <val>
            <numRef>
              <f>'Bridge CAC (masque)'!$B$11:$B$14</f>
            </numRef>
          </val>
        </ser>
        <ser>
          <idx val="1"/>
          <order val="1"/>
          <spPr>
            <a:solidFill>
              <a:srgbClr val="0A5A48"/>
            </a:solidFill>
            <a:ln>
              <a:solidFill>
                <a:srgbClr val="0A5A48"/>
              </a:solidFill>
              <a:prstDash val="solid"/>
            </a:ln>
          </spPr>
          <dLbls>
            <numFmt formatCode="#,##0&quot; €&quot;"/>
            <dLblPos val="ctr"/>
            <showLegendKey val="0"/>
            <showVal val="1"/>
            <showCatName val="0"/>
            <showSerName val="0"/>
          </dLbls>
          <cat>
            <numRef>
              <f>'Bridge CAC (masque)'!$A$11:$A$14</f>
            </numRef>
          </cat>
          <val>
            <numRef>
              <f>'Bridge CAC (masque)'!$C$11:$C$14</f>
            </numRef>
          </val>
        </ser>
        <ser>
          <idx val="2"/>
          <order val="2"/>
          <spPr>
            <a:solidFill>
              <a:srgbClr val="1E7A55"/>
            </a:solidFill>
            <a:ln>
              <a:solidFill>
                <a:srgbClr val="1E7A55"/>
              </a:solidFill>
              <a:prstDash val="solid"/>
            </a:ln>
          </spPr>
          <dLbls>
            <numFmt formatCode="&quot;+ &quot;#,##0&quot; €&quot;"/>
            <dLblPos val="ctr"/>
            <showLegendKey val="0"/>
            <showVal val="1"/>
            <showCatName val="0"/>
            <showSerName val="0"/>
          </dLbls>
          <cat>
            <numRef>
              <f>'Bridge CAC (masque)'!$A$11:$A$14</f>
            </numRef>
          </cat>
          <val>
            <numRef>
              <f>'Bridge CAC (masque)'!$D$11:$D$14</f>
            </numRef>
          </val>
        </ser>
        <ser>
          <idx val="3"/>
          <order val="3"/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dLbls>
            <numFmt formatCode="&quot;− &quot;#,##0&quot; €&quot;"/>
            <dLblPos val="ctr"/>
            <showLegendKey val="0"/>
            <showVal val="1"/>
            <showCatName val="0"/>
            <showSerName val="0"/>
          </dLbls>
          <cat>
            <numRef>
              <f>'Bridge CAC (masque)'!$A$11:$A$14</f>
            </numRef>
          </cat>
          <val>
            <numRef>
              <f>'Bridge CAC (masque)'!$E$11:$E$14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 &quot;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 ht="22" customHeight="1">
      <c r="A1" s="1" t="inlineStr">
        <is>
          <t xml:space="preserve">  DONNÉES — matrice Tagetik (2 mesures × 2 exercices)</t>
        </is>
      </c>
    </row>
    <row r="3">
      <c r="A3" s="2" t="inlineStr">
        <is>
          <t>Mesure</t>
        </is>
      </c>
      <c r="B3" s="2" t="inlineStr">
        <is>
          <t>2025</t>
        </is>
      </c>
      <c r="C3" s="2" t="inlineStr">
        <is>
          <t>2026</t>
        </is>
      </c>
    </row>
    <row r="4">
      <c r="A4" s="3" t="inlineStr">
        <is>
          <t>Dépenses acquisition (€)</t>
        </is>
      </c>
      <c r="B4" s="4" t="n">
        <v>394702</v>
      </c>
      <c r="C4" s="4" t="n">
        <v>434174</v>
      </c>
    </row>
    <row r="5">
      <c r="A5" s="3" t="inlineStr">
        <is>
          <t>Inscrits (nouveaux)</t>
        </is>
      </c>
      <c r="B5" s="5" t="n">
        <v>1159</v>
      </c>
      <c r="C5" s="5" t="n">
        <v>1229</v>
      </c>
    </row>
    <row r="7">
      <c r="A7" s="6" t="inlineStr">
        <is>
          <t>Source des 2 mesures (au grain groupe, filtre EXERCICE = 2025 / 2026) :
• Dépenses acquisition = compte 6231  (ou DEPENSE_ACQ / V_MOTEUR_CAL.SPEND_ACQ)
• Inscrits (nouveaux)   = VOL_NEW      (ou V_MOTEUR_CAL.INSCRITS)
→ Sous Tagetik : matrice 2 lignes × 2 colonnes. Rien d'autre à charger.</t>
        </is>
      </c>
    </row>
    <row r="8"/>
    <row r="9"/>
    <row r="10"/>
  </sheetData>
  <mergeCells count="2">
    <mergeCell ref="A1:C1"/>
    <mergeCell ref="A7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3" customWidth="1" min="6" max="6"/>
  </cols>
  <sheetData>
    <row r="1" ht="24" customHeight="1">
      <c r="A1" s="7" t="inlineStr">
        <is>
          <t xml:space="preserve">  BRIDGE DU CAC — d'où vient la hausse 2025 → 2026</t>
        </is>
      </c>
    </row>
    <row r="3">
      <c r="A3" s="2" t="inlineStr">
        <is>
          <t>Calcul</t>
        </is>
      </c>
      <c r="B3" s="2" t="inlineStr">
        <is>
          <t>Valeur</t>
        </is>
      </c>
      <c r="C3" s="2" t="inlineStr">
        <is>
          <t>Formule</t>
        </is>
      </c>
    </row>
    <row r="4">
      <c r="A4" s="8" t="inlineStr">
        <is>
          <t>CAC 2025</t>
        </is>
      </c>
      <c r="B4" s="9">
        <f>'Données (matrice)'!$B$4/'Données (matrice)'!$B$5</f>
        <v/>
      </c>
      <c r="C4" s="10" t="inlineStr">
        <is>
          <t>Dép.2025 / Inscrits 2025</t>
        </is>
      </c>
    </row>
    <row r="5">
      <c r="A5" s="8" t="inlineStr">
        <is>
          <t>CAC 2026</t>
        </is>
      </c>
      <c r="B5" s="9">
        <f>'Données (matrice)'!$C$4/'Données (matrice)'!$C$5</f>
        <v/>
      </c>
      <c r="C5" s="10" t="inlineStr">
        <is>
          <t>Dép.2026 / Inscrits 2026</t>
        </is>
      </c>
    </row>
    <row r="6">
      <c r="A6" s="11" t="inlineStr">
        <is>
          <t>+ Effet dépenses</t>
        </is>
      </c>
      <c r="B6" s="12">
        <f>('Données (matrice)'!$C$4-'Données (matrice)'!$B$4)/'Données (matrice)'!$B$5</f>
        <v/>
      </c>
      <c r="C6" s="10" t="inlineStr">
        <is>
          <t>(Dép.2026 − Dép.2025) / Inscrits 2025</t>
        </is>
      </c>
    </row>
    <row r="7">
      <c r="A7" s="11" t="inlineStr">
        <is>
          <t>− Effet volume</t>
        </is>
      </c>
      <c r="B7" s="13">
        <f>'Données (matrice)'!$C$4/'Données (matrice)'!$C$5-'Données (matrice)'!$C$4/'Données (matrice)'!$B$5</f>
        <v/>
      </c>
      <c r="C7" s="10" t="inlineStr">
        <is>
          <t>Dép.2026/Ins.2026 − Dép.2026/Ins.2025</t>
        </is>
      </c>
    </row>
    <row r="10">
      <c r="A10" s="14" t="inlineStr">
        <is>
          <t>Étape</t>
        </is>
      </c>
      <c r="B10" s="14" t="inlineStr">
        <is>
          <t>Socle</t>
        </is>
      </c>
      <c r="C10" s="14" t="inlineStr">
        <is>
          <t>Ancre</t>
        </is>
      </c>
      <c r="D10" s="14" t="inlineStr">
        <is>
          <t>Hausse</t>
        </is>
      </c>
      <c r="E10" s="14" t="inlineStr">
        <is>
          <t>Baisse</t>
        </is>
      </c>
    </row>
    <row r="11">
      <c r="A11" s="15" t="inlineStr">
        <is>
          <t>CAC 2025</t>
        </is>
      </c>
      <c r="B11" t="inlineStr">
        <is>
          <t>0</t>
        </is>
      </c>
      <c r="C11">
        <f>$B$4</f>
        <v/>
      </c>
      <c r="D11" t="inlineStr">
        <is>
          <t>0</t>
        </is>
      </c>
      <c r="E11" t="inlineStr">
        <is>
          <t>0</t>
        </is>
      </c>
    </row>
    <row r="12">
      <c r="A12" s="15" t="inlineStr">
        <is>
          <t>+ Effet dépenses</t>
        </is>
      </c>
      <c r="B12">
        <f>$B$4</f>
        <v/>
      </c>
      <c r="C12" t="inlineStr">
        <is>
          <t>0</t>
        </is>
      </c>
      <c r="D12">
        <f>$B$6</f>
        <v/>
      </c>
      <c r="E12" t="inlineStr">
        <is>
          <t>0</t>
        </is>
      </c>
    </row>
    <row r="13">
      <c r="A13" s="15" t="inlineStr">
        <is>
          <t>− Effet volume</t>
        </is>
      </c>
      <c r="B13">
        <f>$B$5</f>
        <v/>
      </c>
      <c r="C13" t="inlineStr">
        <is>
          <t>0</t>
        </is>
      </c>
      <c r="D13" t="inlineStr">
        <is>
          <t>0</t>
        </is>
      </c>
      <c r="E13">
        <f>$B$4+$B$6-$B$5</f>
        <v/>
      </c>
    </row>
    <row r="14">
      <c r="A14" s="15" t="inlineStr">
        <is>
          <t>CAC 2026</t>
        </is>
      </c>
      <c r="B14" t="inlineStr">
        <is>
          <t>0</t>
        </is>
      </c>
      <c r="C14">
        <f>$B$5</f>
        <v/>
      </c>
      <c r="D14" t="inlineStr">
        <is>
          <t>0</t>
        </is>
      </c>
      <c r="E14" t="inlineStr">
        <is>
          <t>0</t>
        </is>
      </c>
    </row>
    <row r="16">
      <c r="A16" s="6" t="inlineStr">
        <is>
          <t>Réalisable sur Tagetik : la MATRICE ne charge que les 4 chiffres (onglet Données). Le CAC, les 2 effets et les colonnes du waterfall (Socle/Ancre/Hausse/Baisse) sont des CELLULES CALCULÉES à côté — comme tes SUMIFS. Le graphe lit ces 4 colonnes. Change une dépense ou un nb d'inscrits → tout se recale.</t>
        </is>
      </c>
    </row>
    <row r="17"/>
    <row r="18"/>
    <row r="19"/>
  </sheetData>
  <mergeCells count="2">
    <mergeCell ref="A16:E19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2026-09-02T11:41:32Z</dcterms:created>
  <dcterms:modified xsi:type="dcterms:W3CDTF">2026-09-02T11:41:32Z</dcterms:modified>
</cp:coreProperties>
</file>