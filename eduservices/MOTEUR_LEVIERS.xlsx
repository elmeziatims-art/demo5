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 levier payant" sheetId="1" state="visible" r:id="rId1"/>
    <sheet name="Le levier organ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+0.0%;-0.0%;&quot;—&quot;"/>
    <numFmt numFmtId="165" formatCode="#,##0&quot; €&quot;"/>
    <numFmt numFmtId="166" formatCode="+#,##0&quot; €&quot;;-#,##0&quot; €&quot;"/>
    <numFmt numFmtId="167" formatCode="0.000"/>
    <numFmt numFmtId="168" formatCode="+#,##0;-#,##0"/>
    <numFmt numFmtId="169" formatCode="0.0%"/>
    <numFmt numFmtId="170" formatCode="#,##0.0"/>
    <numFmt numFmtId="171" formatCode="+#,##0.0;-#,##0.0"/>
    <numFmt numFmtId="172" formatCode="0.00&quot; €&quot;"/>
  </numFmts>
  <fonts count="27">
    <font>
      <name val="Calibri"/>
      <family val="2"/>
      <color theme="1"/>
      <sz val="11"/>
      <scheme val="minor"/>
    </font>
    <font>
      <name val="Arial"/>
      <color rgb="00A6D0EA"/>
      <sz val="7.5"/>
    </font>
    <font>
      <name val="Arial"/>
      <b val="1"/>
      <color rgb="00FFFFFF"/>
      <sz val="14"/>
    </font>
    <font>
      <name val="Arial"/>
      <b val="1"/>
      <color rgb="00262626"/>
      <sz val="12"/>
    </font>
    <font>
      <name val="Arial"/>
      <i val="1"/>
      <color rgb="006B7075"/>
      <sz val="8"/>
    </font>
    <font>
      <name val="Arial"/>
      <b val="1"/>
      <color rgb="00262626"/>
      <sz val="9"/>
    </font>
    <font>
      <name val="Arial"/>
      <b val="1"/>
      <color rgb="00007AC3"/>
      <sz val="18"/>
    </font>
    <font>
      <name val="Arial"/>
      <i val="1"/>
      <color rgb="006B7075"/>
      <sz val="7.5"/>
    </font>
    <font>
      <name val="Arial"/>
      <b val="1"/>
      <color rgb="00007AC3"/>
      <sz val="10"/>
    </font>
    <font>
      <name val="Arial"/>
      <b val="1"/>
      <color rgb="00262626"/>
      <sz val="8"/>
    </font>
    <font>
      <name val="Arial"/>
      <b val="1"/>
      <color rgb="00262626"/>
      <sz val="8.5"/>
    </font>
    <font>
      <name val="Arial"/>
      <b val="1"/>
      <color rgb="00B26B00"/>
      <sz val="9"/>
    </font>
    <font>
      <name val="Arial"/>
      <b val="1"/>
      <color rgb="00007AC3"/>
      <sz val="9"/>
    </font>
    <font>
      <name val="Arial"/>
      <color rgb="006B7075"/>
      <sz val="8"/>
    </font>
    <font>
      <name val="Arial"/>
      <color rgb="00262626"/>
      <sz val="8"/>
    </font>
    <font>
      <name val="Arial"/>
      <b val="1"/>
      <color rgb="00007AC3"/>
      <sz val="8"/>
    </font>
    <font>
      <name val="Arial"/>
      <color rgb="00262626"/>
      <sz val="8.5"/>
    </font>
    <font>
      <name val="Arial"/>
      <color rgb="00262626"/>
      <sz val="9"/>
    </font>
    <font>
      <name val="Arial"/>
      <color rgb="00C41822"/>
      <sz val="9"/>
    </font>
    <font>
      <name val="Arial"/>
      <b val="1"/>
      <color rgb="00262626"/>
      <sz val="10"/>
    </font>
    <font>
      <name val="Arial"/>
      <b val="1"/>
      <color rgb="005F8A17"/>
      <sz val="13"/>
    </font>
    <font>
      <name val="Arial"/>
      <b val="1"/>
      <color rgb="00007AC3"/>
      <sz val="13"/>
    </font>
    <font>
      <name val="Arial"/>
      <b val="1"/>
      <color rgb="006B7075"/>
      <sz val="7.5"/>
    </font>
    <font>
      <name val="Arial"/>
      <b val="1"/>
      <color rgb="00B26B00"/>
      <sz val="18"/>
    </font>
    <font>
      <name val="Arial"/>
      <b val="1"/>
      <color rgb="00B26B00"/>
      <sz val="8"/>
    </font>
    <font>
      <name val="Arial"/>
      <b val="1"/>
      <color rgb="00B26B00"/>
      <sz val="10"/>
    </font>
    <font>
      <name val="Arial"/>
      <b val="1"/>
      <color rgb="00B26B00"/>
      <sz val="13"/>
    </font>
  </fonts>
  <fills count="11">
    <fill>
      <patternFill/>
    </fill>
    <fill>
      <patternFill patternType="gray125"/>
    </fill>
    <fill>
      <patternFill patternType="solid">
        <fgColor rgb="00F5F6F7"/>
      </patternFill>
    </fill>
    <fill>
      <patternFill patternType="solid">
        <fgColor rgb="00262626"/>
      </patternFill>
    </fill>
    <fill>
      <patternFill patternType="solid">
        <fgColor rgb="00007AC3"/>
      </patternFill>
    </fill>
    <fill>
      <patternFill patternType="solid">
        <fgColor rgb="00FFFFFF"/>
      </patternFill>
    </fill>
    <fill>
      <patternFill patternType="solid">
        <fgColor rgb="00F0EDE4"/>
      </patternFill>
    </fill>
    <fill>
      <patternFill patternType="solid">
        <fgColor rgb="00E8F1F9"/>
      </patternFill>
    </fill>
    <fill>
      <patternFill patternType="solid">
        <fgColor rgb="00FDF3E7"/>
      </patternFill>
    </fill>
    <fill>
      <patternFill patternType="solid">
        <fgColor rgb="00E7E6E6"/>
      </patternFill>
    </fill>
    <fill>
      <patternFill patternType="solid">
        <fgColor rgb="00B26B00"/>
      </patternFill>
    </fill>
  </fills>
  <borders count="10">
    <border>
      <left/>
      <right/>
      <top/>
      <bottom/>
      <diagonal/>
    </border>
    <border>
      <bottom style="thin">
        <color rgb="00D5D7DA"/>
      </bottom>
    </border>
    <border>
      <left style="thin">
        <color rgb="00007AC3"/>
      </left>
      <right style="thin">
        <color rgb="00007AC3"/>
      </right>
      <top style="thin">
        <color rgb="00007AC3"/>
      </top>
      <bottom style="thin">
        <color rgb="00007AC3"/>
      </bottom>
    </border>
    <border>
      <top style="thin">
        <color rgb="00D5D7DA"/>
      </top>
      <bottom style="thin">
        <color rgb="00262626"/>
      </bottom>
    </border>
    <border>
      <bottom style="thin">
        <color rgb="00EDEEF0"/>
      </bottom>
    </border>
    <border>
      <left style="thin">
        <color rgb="00D8D2C0"/>
      </left>
      <right style="thin">
        <color rgb="00D8D2C0"/>
      </right>
      <top style="thin">
        <color rgb="00D8D2C0"/>
      </top>
      <bottom style="thin">
        <color rgb="00D8D2C0"/>
      </bottom>
    </border>
    <border>
      <bottom style="thin">
        <color rgb="00262626"/>
      </bottom>
    </border>
    <border>
      <top style="thin">
        <color rgb="00007AC3"/>
      </top>
    </border>
    <border>
      <bottom style="thin">
        <color rgb="00007AC3"/>
      </bottom>
    </border>
    <border>
      <left style="thin">
        <color rgb="00B26B00"/>
      </left>
      <right style="thin">
        <color rgb="00B26B00"/>
      </right>
      <top style="thin">
        <color rgb="00B26B00"/>
      </top>
      <bottom style="thin">
        <color rgb="00B26B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indent="1"/>
    </xf>
    <xf numFmtId="164" fontId="6" fillId="6" borderId="2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8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9" fillId="2" borderId="3" applyAlignment="1" pivotButton="0" quotePrefix="0" xfId="0">
      <alignment horizontal="left" vertical="center"/>
    </xf>
    <xf numFmtId="0" fontId="9" fillId="2" borderId="3" applyAlignment="1" pivotButton="0" quotePrefix="0" xfId="0">
      <alignment horizontal="center" vertical="bottom" wrapText="1"/>
    </xf>
    <xf numFmtId="0" fontId="10" fillId="7" borderId="4" applyAlignment="1" pivotButton="0" quotePrefix="0" xfId="0">
      <alignment horizontal="left" vertical="center"/>
    </xf>
    <xf numFmtId="165" fontId="5" fillId="7" borderId="4" applyAlignment="1" pivotButton="0" quotePrefix="0" xfId="0">
      <alignment horizontal="right" vertical="center"/>
    </xf>
    <xf numFmtId="164" fontId="11" fillId="6" borderId="5" applyAlignment="1" pivotButton="0" quotePrefix="0" xfId="0">
      <alignment horizontal="center" vertical="center"/>
    </xf>
    <xf numFmtId="166" fontId="12" fillId="7" borderId="4" applyAlignment="1" pivotButton="0" quotePrefix="0" xfId="0">
      <alignment horizontal="right" vertical="center"/>
    </xf>
    <xf numFmtId="0" fontId="7" fillId="7" borderId="4" applyAlignment="1" pivotButton="0" quotePrefix="0" xfId="0">
      <alignment horizontal="left" vertical="center"/>
    </xf>
    <xf numFmtId="0" fontId="13" fillId="5" borderId="4" applyAlignment="1" pivotButton="0" quotePrefix="0" xfId="0">
      <alignment horizontal="left" vertical="center"/>
    </xf>
    <xf numFmtId="0" fontId="0" fillId="5" borderId="4" pivotButton="0" quotePrefix="0" xfId="0"/>
    <xf numFmtId="167" fontId="11" fillId="6" borderId="5" applyAlignment="1" pivotButton="0" quotePrefix="0" xfId="0">
      <alignment horizontal="center" vertical="center"/>
    </xf>
    <xf numFmtId="0" fontId="7" fillId="5" borderId="4" applyAlignment="1" pivotButton="0" quotePrefix="0" xfId="0">
      <alignment horizontal="left" vertical="center"/>
    </xf>
    <xf numFmtId="3" fontId="5" fillId="7" borderId="4" applyAlignment="1" pivotButton="0" quotePrefix="0" xfId="0">
      <alignment horizontal="right" vertical="center"/>
    </xf>
    <xf numFmtId="0" fontId="0" fillId="7" borderId="4" pivotButton="0" quotePrefix="0" xfId="0"/>
    <xf numFmtId="168" fontId="12" fillId="7" borderId="4" applyAlignment="1" pivotButton="0" quotePrefix="0" xfId="0">
      <alignment horizontal="right" vertical="center"/>
    </xf>
    <xf numFmtId="169" fontId="11" fillId="6" borderId="5" applyAlignment="1" pivotButton="0" quotePrefix="0" xfId="0">
      <alignment horizontal="center" vertical="center"/>
    </xf>
    <xf numFmtId="0" fontId="14" fillId="8" borderId="4" applyAlignment="1" pivotButton="0" quotePrefix="0" xfId="0">
      <alignment horizontal="left" vertical="center"/>
    </xf>
    <xf numFmtId="3" fontId="14" fillId="8" borderId="4" applyAlignment="1" pivotButton="0" quotePrefix="0" xfId="0">
      <alignment horizontal="right" vertical="center"/>
    </xf>
    <xf numFmtId="0" fontId="0" fillId="8" borderId="4" pivotButton="0" quotePrefix="0" xfId="0"/>
    <xf numFmtId="168" fontId="15" fillId="8" borderId="4" applyAlignment="1" pivotButton="0" quotePrefix="0" xfId="0">
      <alignment horizontal="right" vertical="center"/>
    </xf>
    <xf numFmtId="0" fontId="7" fillId="8" borderId="4" applyAlignment="1" pivotButton="0" quotePrefix="0" xfId="0">
      <alignment horizontal="left" vertical="center"/>
    </xf>
    <xf numFmtId="170" fontId="5" fillId="7" borderId="4" applyAlignment="1" pivotButton="0" quotePrefix="0" xfId="0">
      <alignment horizontal="right" vertical="center"/>
    </xf>
    <xf numFmtId="171" fontId="12" fillId="7" borderId="4" applyAlignment="1" pivotButton="0" quotePrefix="0" xfId="0">
      <alignment horizontal="right" vertical="center"/>
    </xf>
    <xf numFmtId="165" fontId="11" fillId="6" borderId="5" applyAlignment="1" pivotButton="0" quotePrefix="0" xfId="0">
      <alignment horizontal="center" vertical="center"/>
    </xf>
    <xf numFmtId="0" fontId="16" fillId="5" borderId="4" applyAlignment="1" pivotButton="0" quotePrefix="0" xfId="0">
      <alignment horizontal="left" vertical="center"/>
    </xf>
    <xf numFmtId="165" fontId="17" fillId="5" borderId="4" applyAlignment="1" pivotButton="0" quotePrefix="0" xfId="0">
      <alignment horizontal="right" vertical="center"/>
    </xf>
    <xf numFmtId="165" fontId="18" fillId="5" borderId="4" applyAlignment="1" pivotButton="0" quotePrefix="0" xfId="0">
      <alignment horizontal="right" vertical="center"/>
    </xf>
    <xf numFmtId="0" fontId="19" fillId="9" borderId="6" applyAlignment="1" pivotButton="0" quotePrefix="0" xfId="0">
      <alignment horizontal="left" vertical="center"/>
    </xf>
    <xf numFmtId="0" fontId="0" fillId="9" borderId="6" pivotButton="0" quotePrefix="0" xfId="0"/>
    <xf numFmtId="165" fontId="20" fillId="9" borderId="6" applyAlignment="1" pivotButton="0" quotePrefix="0" xfId="0">
      <alignment horizontal="right" vertical="center"/>
    </xf>
    <xf numFmtId="0" fontId="7" fillId="9" borderId="6" applyAlignment="1" pivotButton="0" quotePrefix="0" xfId="0">
      <alignment horizontal="left" vertical="center"/>
    </xf>
    <xf numFmtId="172" fontId="21" fillId="9" borderId="6" applyAlignment="1" pivotButton="0" quotePrefix="0" xfId="0">
      <alignment horizontal="right" vertical="center"/>
    </xf>
    <xf numFmtId="0" fontId="10" fillId="5" borderId="7" applyAlignment="1" pivotButton="0" quotePrefix="0" xfId="0">
      <alignment horizontal="left" vertical="center"/>
    </xf>
    <xf numFmtId="0" fontId="0" fillId="5" borderId="7" pivotButton="0" quotePrefix="0" xfId="0"/>
    <xf numFmtId="0" fontId="22" fillId="5" borderId="0" applyAlignment="1" pivotButton="0" quotePrefix="0" xfId="0">
      <alignment horizontal="left" vertical="center"/>
    </xf>
    <xf numFmtId="0" fontId="7" fillId="5" borderId="8" applyAlignment="1" pivotButton="0" quotePrefix="0" xfId="0">
      <alignment horizontal="left" vertical="center"/>
    </xf>
    <xf numFmtId="0" fontId="0" fillId="5" borderId="8" pivotButton="0" quotePrefix="0" xfId="0"/>
    <xf numFmtId="0" fontId="0" fillId="10" borderId="0" pivotButton="0" quotePrefix="0" xfId="0"/>
    <xf numFmtId="164" fontId="23" fillId="6" borderId="9" applyAlignment="1" pivotButton="0" quotePrefix="0" xfId="0">
      <alignment horizontal="center" vertical="center"/>
    </xf>
    <xf numFmtId="166" fontId="11" fillId="7" borderId="4" applyAlignment="1" pivotButton="0" quotePrefix="0" xfId="0">
      <alignment horizontal="right" vertical="center"/>
    </xf>
    <xf numFmtId="168" fontId="11" fillId="7" borderId="4" applyAlignment="1" pivotButton="0" quotePrefix="0" xfId="0">
      <alignment horizontal="right" vertical="center"/>
    </xf>
    <xf numFmtId="168" fontId="24" fillId="8" borderId="4" applyAlignment="1" pivotButton="0" quotePrefix="0" xfId="0">
      <alignment horizontal="right" vertical="center"/>
    </xf>
    <xf numFmtId="171" fontId="11" fillId="7" borderId="4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/>
    </xf>
    <xf numFmtId="172" fontId="26" fillId="9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AC3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8" customWidth="1" min="2" max="2"/>
    <col width="16" customWidth="1" min="3" max="3"/>
    <col width="14" customWidth="1" min="4" max="4"/>
    <col width="16" customWidth="1" min="5" max="5"/>
    <col width="15" customWidth="1" min="6" max="6"/>
    <col width="52" customWidth="1" min="7" max="7"/>
  </cols>
  <sheetData>
    <row r="1" ht="14" customHeight="1">
      <c r="A1" s="1" t="n"/>
      <c r="B1" s="2" t="inlineStr">
        <is>
          <t>EDUSERVICES · comment le budget marketing devient de l'EBITDA</t>
        </is>
      </c>
      <c r="C1" s="1" t="n"/>
      <c r="D1" s="1" t="n"/>
      <c r="E1" s="1" t="n"/>
      <c r="F1" s="1" t="n"/>
      <c r="G1" s="1" t="n"/>
    </row>
    <row r="2" ht="24" customHeight="1">
      <c r="A2" s="1" t="n"/>
      <c r="B2" s="3" t="inlineStr">
        <is>
          <t>LE LEVIER PAYANT  —  du budget à l'EBITDA, étape par étape</t>
        </is>
      </c>
      <c r="C2" s="1" t="n"/>
      <c r="D2" s="1" t="n"/>
      <c r="E2" s="1" t="n"/>
      <c r="F2" s="1" t="n"/>
      <c r="G2" s="1" t="n"/>
    </row>
    <row r="3" ht="3" customHeight="1">
      <c r="A3" s="4" t="n"/>
      <c r="B3" s="4" t="n"/>
      <c r="C3" s="4" t="n"/>
      <c r="D3" s="4" t="n"/>
      <c r="E3" s="4" t="n"/>
      <c r="F3" s="4" t="n"/>
      <c r="G3" s="4" t="n"/>
    </row>
    <row r="4">
      <c r="A4" s="5" t="n"/>
      <c r="B4" s="5" t="n"/>
      <c r="C4" s="5" t="n"/>
      <c r="D4" s="5" t="n"/>
      <c r="E4" s="5" t="n"/>
      <c r="F4" s="5" t="n"/>
      <c r="G4" s="5" t="n"/>
    </row>
    <row r="5" ht="22" customHeight="1">
      <c r="A5" s="5" t="n"/>
      <c r="B5" s="6" t="inlineStr">
        <is>
          <t>Je mets un euro de plus en acquisition. Qu'est-ce qu'il devient ?</t>
        </is>
      </c>
      <c r="C5" s="5" t="n"/>
      <c r="D5" s="5" t="n"/>
      <c r="E5" s="5" t="n"/>
      <c r="F5" s="5" t="n"/>
      <c r="G5" s="5" t="n"/>
    </row>
    <row r="6" ht="16" customHeight="1">
      <c r="A6" s="5" t="n"/>
      <c r="B6" s="7" t="inlineStr">
        <is>
          <t>Chaque ligne dit d'où elle vient. Rien n'est posé : les huit chiffres en bleu sont constatés dans la base, tout le reste est une formule qui part de la seule cellule que vous changez.</t>
        </is>
      </c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 ht="3" customHeight="1">
      <c r="A8" s="5" t="n"/>
      <c r="B8" s="4" t="n"/>
      <c r="C8" s="4" t="n"/>
      <c r="D8" s="4" t="n"/>
      <c r="E8" s="4" t="n"/>
      <c r="F8" s="4" t="n"/>
      <c r="G8" s="4" t="n"/>
    </row>
    <row r="9" ht="30" customHeight="1">
      <c r="A9" s="5" t="n"/>
      <c r="B9" s="8" t="inlineStr">
        <is>
          <t>BUDGET D'ACQUISITION</t>
        </is>
      </c>
      <c r="C9" s="9" t="n">
        <v>0.08</v>
      </c>
      <c r="D9" s="10" t="n"/>
      <c r="E9" s="11" t="inlineStr">
        <is>
          <t>la seule cellule à saisir</t>
        </is>
      </c>
      <c r="F9" s="10" t="n"/>
      <c r="G9" s="10" t="n"/>
    </row>
    <row r="10" ht="14" customHeight="1">
      <c r="A10" s="5" t="n"/>
      <c r="B10" s="12" t="inlineStr">
        <is>
          <t>Tournez ce curseur et regardez les quinze lignes du dessous bouger ensemble.</t>
        </is>
      </c>
      <c r="C10" s="13" t="n"/>
      <c r="D10" s="13" t="n"/>
      <c r="E10" s="13" t="n"/>
      <c r="F10" s="13" t="n"/>
      <c r="G10" s="13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 ht="20" customHeight="1">
      <c r="A12" s="5" t="n"/>
      <c r="B12" s="14" t="inlineStr">
        <is>
          <t>LA CHAÎNE, ÉTAPE PAR ÉTAPE</t>
        </is>
      </c>
      <c r="C12" s="5" t="n"/>
      <c r="D12" s="5" t="n"/>
      <c r="E12" s="5" t="n"/>
      <c r="F12" s="5" t="n"/>
      <c r="G12" s="5" t="n"/>
    </row>
    <row r="13" ht="14" customHeight="1">
      <c r="A13" s="5" t="n"/>
      <c r="B13" s="15" t="inlineStr">
        <is>
          <t>Un étage sur deux est un TAUX : c'est là que le modèle fait une hypothèse, et c'est là qu'on peut le contredire. Les étages entre les deux ne sont que des multiplications.</t>
        </is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 ht="28" customHeight="1">
      <c r="A15" s="5" t="n"/>
      <c r="B15" s="16" t="inlineStr">
        <is>
          <t>Étape</t>
        </is>
      </c>
      <c r="C15" s="17" t="inlineStr">
        <is>
          <t>2026 constaté</t>
        </is>
      </c>
      <c r="D15" s="17" t="inlineStr">
        <is>
          <t>Taux appliqué</t>
        </is>
      </c>
      <c r="E15" s="17" t="inlineStr">
        <is>
          <t>2027 simulé</t>
        </is>
      </c>
      <c r="F15" s="17" t="inlineStr">
        <is>
          <t>Écart</t>
        </is>
      </c>
      <c r="G15" s="16" t="inlineStr">
        <is>
          <t>D'où vient ce chiffre</t>
        </is>
      </c>
    </row>
    <row r="16">
      <c r="A16" s="5" t="n"/>
      <c r="B16" s="18" t="inlineStr">
        <is>
          <t>Budget d'acquisition</t>
        </is>
      </c>
      <c r="C16" s="19" t="n">
        <v>434174</v>
      </c>
      <c r="D16" s="20">
        <f>$C$9</f>
        <v/>
      </c>
      <c r="E16" s="19">
        <f>C16*(1+D16)</f>
        <v/>
      </c>
      <c r="F16" s="21">
        <f>E16-C16</f>
        <v/>
      </c>
      <c r="G16" s="22" t="inlineStr">
        <is>
          <t>comptabilité, compte 6231  ·  votre décision, c'est le taux</t>
        </is>
      </c>
    </row>
    <row r="17">
      <c r="A17" s="5" t="n"/>
      <c r="B17" s="23" t="inlineStr">
        <is>
          <t xml:space="preserve">      × élasticité</t>
        </is>
      </c>
      <c r="C17" s="24" t="n"/>
      <c r="D17" s="25" t="n">
        <v>0.4940204478895786</v>
      </c>
      <c r="E17" s="24" t="n"/>
      <c r="F17" s="24" t="n"/>
      <c r="G17" s="26" t="inlineStr">
        <is>
          <t>régression log-log sur trois exercices, faite campus par campus (0.42 à 0.59) puis ramenée au réseau</t>
        </is>
      </c>
    </row>
    <row r="18">
      <c r="A18" s="5" t="n"/>
      <c r="B18" s="18" t="inlineStr">
        <is>
          <t>Leads payants</t>
        </is>
      </c>
      <c r="C18" s="27" t="n">
        <v>9775</v>
      </c>
      <c r="D18" s="28" t="n"/>
      <c r="E18" s="27">
        <f>C18*(1+D16)^D17</f>
        <v/>
      </c>
      <c r="F18" s="29">
        <f>E18-C18</f>
        <v/>
      </c>
      <c r="G18" s="22" t="inlineStr">
        <is>
          <t>socle CRM  ·  ce que le budget achète</t>
        </is>
      </c>
    </row>
    <row r="19">
      <c r="A19" s="5" t="n"/>
      <c r="B19" s="23" t="inlineStr">
        <is>
          <t xml:space="preserve">      × taux lead → candidature</t>
        </is>
      </c>
      <c r="C19" s="24" t="n"/>
      <c r="D19" s="30" t="n">
        <v>0.2163293789253315</v>
      </c>
      <c r="E19" s="24" t="n"/>
      <c r="F19" s="24" t="n"/>
      <c r="G19" s="26" t="inlineStr">
        <is>
          <t>constaté  21,2 %  ·  21,4 %  ·  21,6 %  ·  stable</t>
        </is>
      </c>
    </row>
    <row r="20">
      <c r="A20" s="5" t="n"/>
      <c r="B20" s="31" t="inlineStr">
        <is>
          <t>Candidatures</t>
        </is>
      </c>
      <c r="C20" s="32">
        <f>C18*D19</f>
        <v/>
      </c>
      <c r="D20" s="33" t="n"/>
      <c r="E20" s="32">
        <f>E18*D19</f>
        <v/>
      </c>
      <c r="F20" s="34">
        <f>E20-C20</f>
        <v/>
      </c>
      <c r="G20" s="35" t="inlineStr"/>
    </row>
    <row r="21">
      <c r="A21" s="5" t="n"/>
      <c r="B21" s="23" t="inlineStr">
        <is>
          <t xml:space="preserve">      × taux candidature → admis</t>
        </is>
      </c>
      <c r="C21" s="24" t="n"/>
      <c r="D21" s="30" t="n">
        <v>0.7051075268817204</v>
      </c>
      <c r="E21" s="24" t="n"/>
      <c r="F21" s="24" t="n"/>
      <c r="G21" s="26" t="inlineStr">
        <is>
          <t>constaté  70,7 %  ·  70,6 %  ·  70,5 %  ·  la sélection ne bouge pas</t>
        </is>
      </c>
    </row>
    <row r="22">
      <c r="A22" s="5" t="n"/>
      <c r="B22" s="31" t="inlineStr">
        <is>
          <t>Admis</t>
        </is>
      </c>
      <c r="C22" s="32">
        <f>C20*D21</f>
        <v/>
      </c>
      <c r="D22" s="33" t="n"/>
      <c r="E22" s="32">
        <f>E20*D21</f>
        <v/>
      </c>
      <c r="F22" s="34">
        <f>E22-C22</f>
        <v/>
      </c>
      <c r="G22" s="35" t="inlineStr"/>
    </row>
    <row r="23">
      <c r="A23" s="5" t="n"/>
      <c r="B23" s="23" t="inlineStr">
        <is>
          <t xml:space="preserve">      × taux admis → inscrit</t>
        </is>
      </c>
      <c r="C23" s="24" t="n"/>
      <c r="D23" s="30" t="n">
        <v>0.4685474647350362</v>
      </c>
      <c r="E23" s="24" t="n"/>
      <c r="F23" s="24" t="n"/>
      <c r="G23" s="26" t="inlineStr">
        <is>
          <t>constaté  46,7 %  ·  46,8 %  ·  46,9 %  ·  le levier le plus contestable</t>
        </is>
      </c>
    </row>
    <row r="24">
      <c r="A24" s="5" t="n"/>
      <c r="B24" s="18" t="inlineStr">
        <is>
          <t>Nouveaux inscrits</t>
        </is>
      </c>
      <c r="C24" s="36">
        <f>C22*D23</f>
        <v/>
      </c>
      <c r="D24" s="28" t="n"/>
      <c r="E24" s="36">
        <f>E22*D23</f>
        <v/>
      </c>
      <c r="F24" s="37">
        <f>E24-C24</f>
        <v/>
      </c>
      <c r="G24" s="22" t="inlineStr"/>
    </row>
    <row r="25">
      <c r="A25" s="5" t="n"/>
      <c r="B25" s="23" t="inlineStr">
        <is>
          <t xml:space="preserve">      × chiffre d'affaires par inscrit</t>
        </is>
      </c>
      <c r="C25" s="24" t="n"/>
      <c r="D25" s="38" t="n">
        <v>7608.055329536208</v>
      </c>
      <c r="E25" s="24" t="n"/>
      <c r="F25" s="24" t="n"/>
      <c r="G25" s="26" t="inlineStr">
        <is>
          <t>scolarité + frais de dossier, constaté 2026</t>
        </is>
      </c>
    </row>
    <row r="26">
      <c r="A26" s="5" t="n"/>
      <c r="B26" s="18" t="inlineStr">
        <is>
          <t>Chiffre d'affaires</t>
        </is>
      </c>
      <c r="C26" s="19">
        <f>C24*D25</f>
        <v/>
      </c>
      <c r="D26" s="28" t="n"/>
      <c r="E26" s="19">
        <f>E24*D25</f>
        <v/>
      </c>
      <c r="F26" s="21">
        <f>E26-C26</f>
        <v/>
      </c>
      <c r="G26" s="22" t="inlineStr"/>
    </row>
    <row r="27">
      <c r="A27" s="5" t="n"/>
      <c r="B27" s="5" t="n"/>
      <c r="C27" s="5" t="n"/>
      <c r="D27" s="5" t="n"/>
      <c r="E27" s="5" t="n"/>
      <c r="F27" s="5" t="n"/>
      <c r="G27" s="5" t="n"/>
    </row>
    <row r="28" ht="20" customHeight="1">
      <c r="A28" s="5" t="n"/>
      <c r="B28" s="14" t="inlineStr">
        <is>
          <t>CE QUE LE GESTE RAPPORTE, UNE FOIS TOUT PAYÉ</t>
        </is>
      </c>
      <c r="C28" s="5" t="n"/>
      <c r="D28" s="5" t="n"/>
      <c r="E28" s="5" t="n"/>
      <c r="F28" s="5" t="n"/>
      <c r="G28" s="5" t="n"/>
    </row>
    <row r="29">
      <c r="A29" s="5" t="n"/>
      <c r="B29" s="39" t="inlineStr">
        <is>
          <t>Chiffre d'affaires gagné</t>
        </is>
      </c>
      <c r="C29" s="24" t="n"/>
      <c r="D29" s="24" t="n"/>
      <c r="E29" s="24" t="n"/>
      <c r="F29" s="40">
        <f>F26</f>
        <v/>
      </c>
      <c r="G29" s="26" t="inlineStr">
        <is>
          <t>les inscrits gagnés × le CA par inscrit</t>
        </is>
      </c>
    </row>
    <row r="30">
      <c r="A30" s="5" t="n"/>
      <c r="B30" s="39" t="inlineStr">
        <is>
          <t>−  coût variable de les servir</t>
        </is>
      </c>
      <c r="C30" s="24" t="n"/>
      <c r="D30" s="38" t="n">
        <v>362.7752087347463</v>
      </c>
      <c r="E30" s="24" t="n"/>
      <c r="F30" s="41">
        <f>-F24*D30</f>
        <v/>
      </c>
      <c r="G30" s="26" t="inlineStr">
        <is>
          <t>comptes 604 + 6063 : licences, fournitures, supports — par élève</t>
        </is>
      </c>
    </row>
    <row r="31">
      <c r="A31" s="5" t="n"/>
      <c r="B31" s="39" t="inlineStr">
        <is>
          <t>−  budget supplémentaire</t>
        </is>
      </c>
      <c r="C31" s="24" t="n"/>
      <c r="D31" s="24" t="n"/>
      <c r="E31" s="24" t="n"/>
      <c r="F31" s="41">
        <f>-F16</f>
        <v/>
      </c>
      <c r="G31" s="26" t="inlineStr">
        <is>
          <t>le compte 6231, augmenté du taux saisi</t>
        </is>
      </c>
    </row>
    <row r="32">
      <c r="A32" s="5" t="n"/>
      <c r="B32" s="42">
        <f>  EBITDA GAGNÉ</f>
        <v/>
      </c>
      <c r="C32" s="43" t="n"/>
      <c r="D32" s="43" t="n"/>
      <c r="E32" s="43" t="n"/>
      <c r="F32" s="44">
        <f>SUM(F29:F31)</f>
        <v/>
      </c>
      <c r="G32" s="45" t="inlineStr">
        <is>
          <t>première année, à capacité constante</t>
        </is>
      </c>
    </row>
    <row r="33">
      <c r="A33" s="5" t="n"/>
      <c r="B33" s="42" t="inlineStr">
        <is>
          <t>PAR EURO INVESTI</t>
        </is>
      </c>
      <c r="C33" s="43" t="n"/>
      <c r="D33" s="43" t="n"/>
      <c r="E33" s="43" t="n"/>
      <c r="F33" s="46">
        <f>IFERROR(F32/-F31,0)</f>
        <v/>
      </c>
      <c r="G33" s="45" t="inlineStr">
        <is>
          <t>d'EBITDA pour un euro mis dans ce levier</t>
        </is>
      </c>
    </row>
    <row r="34" ht="18" customHeight="1">
      <c r="A34" s="5" t="n"/>
      <c r="B34" s="47" t="inlineStr">
        <is>
          <t>L'euro d'acquisition est le levier COURT : il achète un lead aujourd'hui, qui devient un inscrit cette année.</t>
        </is>
      </c>
      <c r="C34" s="48" t="n"/>
      <c r="D34" s="48" t="n"/>
      <c r="E34" s="48" t="n"/>
      <c r="F34" s="48" t="n"/>
      <c r="G34" s="48" t="n"/>
    </row>
    <row r="35">
      <c r="A35" s="5" t="n"/>
      <c r="B35" s="49" t="inlineStr">
        <is>
          <t>Ce qui n'est pas dans cette feuille, et il faut le dire soi-même : la CAPACITÉ.</t>
        </is>
      </c>
      <c r="C35" s="10" t="n"/>
      <c r="D35" s="10" t="n"/>
      <c r="E35" s="10" t="n"/>
      <c r="F35" s="10" t="n"/>
      <c r="G35" s="10" t="n"/>
    </row>
    <row r="36">
      <c r="A36" s="5" t="n"/>
      <c r="B36" s="50" t="inlineStr">
        <is>
          <t>Le réseau a 351 places libres dans ses cohortes d'entrée — pas 974 — et MBway Paris Mastère M1 est déjà plein. Au-delà d'un certain geste il faut ouvrir une classe, et un vacataire avec. Raccourci de démonstration, assumé.</t>
        </is>
      </c>
      <c r="C36" s="51" t="n"/>
      <c r="D36" s="51" t="n"/>
      <c r="E36" s="51" t="n"/>
      <c r="F36" s="51" t="n"/>
      <c r="G36" s="51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</sheetData>
  <printOptions horizontalCentered="1"/>
  <pageMargins left="0.4" right="0.4" top="1" bottom="1" header="0.5" footer="0.5"/>
  <pageSetup orientation="landscape" paperSize="9" fitToHeight="0" fitToWidth="1"/>
  <headerFooter>
    <oddHeader/>
    <oddFooter>&amp;L&amp;"Arial"&amp;8 EDUSERVICES · Le levier payant&amp;R&amp;"Arial"&amp;8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26B0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8" customWidth="1" min="2" max="2"/>
    <col width="16" customWidth="1" min="3" max="3"/>
    <col width="14" customWidth="1" min="4" max="4"/>
    <col width="16" customWidth="1" min="5" max="5"/>
    <col width="15" customWidth="1" min="6" max="6"/>
    <col width="52" customWidth="1" min="7" max="7"/>
  </cols>
  <sheetData>
    <row r="1" ht="14" customHeight="1">
      <c r="A1" s="1" t="n"/>
      <c r="B1" s="2" t="inlineStr">
        <is>
          <t>EDUSERVICES · comment le budget marketing devient de l'EBITDA</t>
        </is>
      </c>
      <c r="C1" s="1" t="n"/>
      <c r="D1" s="1" t="n"/>
      <c r="E1" s="1" t="n"/>
      <c r="F1" s="1" t="n"/>
      <c r="G1" s="1" t="n"/>
    </row>
    <row r="2" ht="24" customHeight="1">
      <c r="A2" s="1" t="n"/>
      <c r="B2" s="3" t="inlineStr">
        <is>
          <t>LE LEVIER ORGANIQUE  —  du budget à l'EBITDA, étape par étape</t>
        </is>
      </c>
      <c r="C2" s="1" t="n"/>
      <c r="D2" s="1" t="n"/>
      <c r="E2" s="1" t="n"/>
      <c r="F2" s="1" t="n"/>
      <c r="G2" s="1" t="n"/>
    </row>
    <row r="3" ht="3" customHeight="1">
      <c r="A3" s="4" t="n"/>
      <c r="B3" s="4" t="n"/>
      <c r="C3" s="4" t="n"/>
      <c r="D3" s="4" t="n"/>
      <c r="E3" s="4" t="n"/>
      <c r="F3" s="4" t="n"/>
      <c r="G3" s="4" t="n"/>
    </row>
    <row r="4">
      <c r="A4" s="5" t="n"/>
      <c r="B4" s="5" t="n"/>
      <c r="C4" s="5" t="n"/>
      <c r="D4" s="5" t="n"/>
      <c r="E4" s="5" t="n"/>
      <c r="F4" s="5" t="n"/>
      <c r="G4" s="5" t="n"/>
    </row>
    <row r="5" ht="22" customHeight="1">
      <c r="A5" s="5" t="n"/>
      <c r="B5" s="6" t="inlineStr">
        <is>
          <t>Je mets un euro de plus en marque. Qu'est-ce qu'il devient ?</t>
        </is>
      </c>
      <c r="C5" s="5" t="n"/>
      <c r="D5" s="5" t="n"/>
      <c r="E5" s="5" t="n"/>
      <c r="F5" s="5" t="n"/>
      <c r="G5" s="5" t="n"/>
    </row>
    <row r="6" ht="16" customHeight="1">
      <c r="A6" s="5" t="n"/>
      <c r="B6" s="7" t="inlineStr">
        <is>
          <t>Chaque ligne dit d'où elle vient. Rien n'est posé : les huit chiffres en bleu sont constatés dans la base, tout le reste est une formule qui part de la seule cellule que vous changez.</t>
        </is>
      </c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 ht="3" customHeight="1">
      <c r="A8" s="5" t="n"/>
      <c r="B8" s="52" t="n"/>
      <c r="C8" s="52" t="n"/>
      <c r="D8" s="52" t="n"/>
      <c r="E8" s="52" t="n"/>
      <c r="F8" s="52" t="n"/>
      <c r="G8" s="52" t="n"/>
    </row>
    <row r="9" ht="30" customHeight="1">
      <c r="A9" s="5" t="n"/>
      <c r="B9" s="8" t="inlineStr">
        <is>
          <t>BUDGET DE MARQUE</t>
        </is>
      </c>
      <c r="C9" s="53" t="n">
        <v>0.08</v>
      </c>
      <c r="D9" s="10" t="n"/>
      <c r="E9" s="11" t="inlineStr">
        <is>
          <t>la seule cellule à saisir</t>
        </is>
      </c>
      <c r="F9" s="10" t="n"/>
      <c r="G9" s="10" t="n"/>
    </row>
    <row r="10" ht="14" customHeight="1">
      <c r="A10" s="5" t="n"/>
      <c r="B10" s="12" t="inlineStr">
        <is>
          <t>Tournez ce curseur et regardez les quinze lignes du dessous bouger ensemble.</t>
        </is>
      </c>
      <c r="C10" s="13" t="n"/>
      <c r="D10" s="13" t="n"/>
      <c r="E10" s="13" t="n"/>
      <c r="F10" s="13" t="n"/>
      <c r="G10" s="13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 ht="20" customHeight="1">
      <c r="A12" s="5" t="n"/>
      <c r="B12" s="14" t="inlineStr">
        <is>
          <t>LA CHAÎNE, ÉTAPE PAR ÉTAPE</t>
        </is>
      </c>
      <c r="C12" s="5" t="n"/>
      <c r="D12" s="5" t="n"/>
      <c r="E12" s="5" t="n"/>
      <c r="F12" s="5" t="n"/>
      <c r="G12" s="5" t="n"/>
    </row>
    <row r="13" ht="14" customHeight="1">
      <c r="A13" s="5" t="n"/>
      <c r="B13" s="15" t="inlineStr">
        <is>
          <t>Un étage sur deux est un TAUX : c'est là que le modèle fait une hypothèse, et c'est là qu'on peut le contredire. Les étages entre les deux ne sont que des multiplications.</t>
        </is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 ht="28" customHeight="1">
      <c r="A15" s="5" t="n"/>
      <c r="B15" s="16" t="inlineStr">
        <is>
          <t>Étape</t>
        </is>
      </c>
      <c r="C15" s="17" t="inlineStr">
        <is>
          <t>2026 constaté</t>
        </is>
      </c>
      <c r="D15" s="17" t="inlineStr">
        <is>
          <t>Taux appliqué</t>
        </is>
      </c>
      <c r="E15" s="17" t="inlineStr">
        <is>
          <t>2027 simulé</t>
        </is>
      </c>
      <c r="F15" s="17" t="inlineStr">
        <is>
          <t>Écart</t>
        </is>
      </c>
      <c r="G15" s="16" t="inlineStr">
        <is>
          <t>D'où vient ce chiffre</t>
        </is>
      </c>
    </row>
    <row r="16">
      <c r="A16" s="5" t="n"/>
      <c r="B16" s="18" t="inlineStr">
        <is>
          <t>Budget de marque</t>
        </is>
      </c>
      <c r="C16" s="19" t="n">
        <v>676344</v>
      </c>
      <c r="D16" s="20">
        <f>$C$9</f>
        <v/>
      </c>
      <c r="E16" s="19">
        <f>C16*(1+D16)</f>
        <v/>
      </c>
      <c r="F16" s="54">
        <f>E16-C16</f>
        <v/>
      </c>
      <c r="G16" s="22" t="inlineStr">
        <is>
          <t>comptabilité, compte 6236  ·  votre décision, c'est le taux</t>
        </is>
      </c>
    </row>
    <row r="17">
      <c r="A17" s="5" t="n"/>
      <c r="B17" s="23" t="inlineStr">
        <is>
          <t xml:space="preserve">      × élasticité</t>
        </is>
      </c>
      <c r="C17" s="24" t="n"/>
      <c r="D17" s="25" t="n">
        <v>0.3326233337096323</v>
      </c>
      <c r="E17" s="24" t="n"/>
      <c r="F17" s="24" t="n"/>
      <c r="G17" s="26" t="inlineStr">
        <is>
          <t>même régression, côté marque, campus par campus (0.28 à 0.36) puis ramenée au réseau</t>
        </is>
      </c>
    </row>
    <row r="18">
      <c r="A18" s="5" t="n"/>
      <c r="B18" s="18" t="inlineStr">
        <is>
          <t>Leads organiques</t>
        </is>
      </c>
      <c r="C18" s="27" t="n">
        <v>7421</v>
      </c>
      <c r="D18" s="28" t="n"/>
      <c r="E18" s="27">
        <f>C18*(1+D16)^D17</f>
        <v/>
      </c>
      <c r="F18" s="55">
        <f>E18-C18</f>
        <v/>
      </c>
      <c r="G18" s="22" t="inlineStr">
        <is>
          <t>socle CRM  ·  ce que le budget achète</t>
        </is>
      </c>
    </row>
    <row r="19">
      <c r="A19" s="5" t="n"/>
      <c r="B19" s="23" t="inlineStr">
        <is>
          <t xml:space="preserve">      × taux lead → candidature</t>
        </is>
      </c>
      <c r="C19" s="24" t="n"/>
      <c r="D19" s="30" t="n">
        <v>0.2163293789253315</v>
      </c>
      <c r="E19" s="24" t="n"/>
      <c r="F19" s="24" t="n"/>
      <c r="G19" s="26" t="inlineStr">
        <is>
          <t>constaté  21,2 %  ·  21,4 %  ·  21,6 %  ·  stable</t>
        </is>
      </c>
    </row>
    <row r="20">
      <c r="A20" s="5" t="n"/>
      <c r="B20" s="31" t="inlineStr">
        <is>
          <t>Candidatures</t>
        </is>
      </c>
      <c r="C20" s="32">
        <f>C18*D19</f>
        <v/>
      </c>
      <c r="D20" s="33" t="n"/>
      <c r="E20" s="32">
        <f>E18*D19</f>
        <v/>
      </c>
      <c r="F20" s="56">
        <f>E20-C20</f>
        <v/>
      </c>
      <c r="G20" s="35" t="inlineStr"/>
    </row>
    <row r="21">
      <c r="A21" s="5" t="n"/>
      <c r="B21" s="23" t="inlineStr">
        <is>
          <t xml:space="preserve">      × taux candidature → admis</t>
        </is>
      </c>
      <c r="C21" s="24" t="n"/>
      <c r="D21" s="30" t="n">
        <v>0.7051075268817204</v>
      </c>
      <c r="E21" s="24" t="n"/>
      <c r="F21" s="24" t="n"/>
      <c r="G21" s="26" t="inlineStr">
        <is>
          <t>constaté  70,7 %  ·  70,6 %  ·  70,5 %  ·  la sélection ne bouge pas</t>
        </is>
      </c>
    </row>
    <row r="22">
      <c r="A22" s="5" t="n"/>
      <c r="B22" s="31" t="inlineStr">
        <is>
          <t>Admis</t>
        </is>
      </c>
      <c r="C22" s="32">
        <f>C20*D21</f>
        <v/>
      </c>
      <c r="D22" s="33" t="n"/>
      <c r="E22" s="32">
        <f>E20*D21</f>
        <v/>
      </c>
      <c r="F22" s="56">
        <f>E22-C22</f>
        <v/>
      </c>
      <c r="G22" s="35" t="inlineStr"/>
    </row>
    <row r="23">
      <c r="A23" s="5" t="n"/>
      <c r="B23" s="23" t="inlineStr">
        <is>
          <t xml:space="preserve">      × taux admis → inscrit</t>
        </is>
      </c>
      <c r="C23" s="24" t="n"/>
      <c r="D23" s="30" t="n">
        <v>0.4685474647350362</v>
      </c>
      <c r="E23" s="24" t="n"/>
      <c r="F23" s="24" t="n"/>
      <c r="G23" s="26" t="inlineStr">
        <is>
          <t>constaté  46,7 %  ·  46,8 %  ·  46,9 %  ·  le levier le plus contestable</t>
        </is>
      </c>
    </row>
    <row r="24">
      <c r="A24" s="5" t="n"/>
      <c r="B24" s="18" t="inlineStr">
        <is>
          <t>Nouveaux inscrits</t>
        </is>
      </c>
      <c r="C24" s="36">
        <f>C22*D23</f>
        <v/>
      </c>
      <c r="D24" s="28" t="n"/>
      <c r="E24" s="36">
        <f>E22*D23</f>
        <v/>
      </c>
      <c r="F24" s="57">
        <f>E24-C24</f>
        <v/>
      </c>
      <c r="G24" s="22" t="inlineStr"/>
    </row>
    <row r="25">
      <c r="A25" s="5" t="n"/>
      <c r="B25" s="23" t="inlineStr">
        <is>
          <t xml:space="preserve">      × chiffre d'affaires par inscrit</t>
        </is>
      </c>
      <c r="C25" s="24" t="n"/>
      <c r="D25" s="38" t="n">
        <v>7608.055329536208</v>
      </c>
      <c r="E25" s="24" t="n"/>
      <c r="F25" s="24" t="n"/>
      <c r="G25" s="26" t="inlineStr">
        <is>
          <t>scolarité + frais de dossier, constaté 2026</t>
        </is>
      </c>
    </row>
    <row r="26">
      <c r="A26" s="5" t="n"/>
      <c r="B26" s="18" t="inlineStr">
        <is>
          <t>Chiffre d'affaires</t>
        </is>
      </c>
      <c r="C26" s="19">
        <f>C24*D25</f>
        <v/>
      </c>
      <c r="D26" s="28" t="n"/>
      <c r="E26" s="19">
        <f>E24*D25</f>
        <v/>
      </c>
      <c r="F26" s="54">
        <f>E26-C26</f>
        <v/>
      </c>
      <c r="G26" s="22" t="inlineStr"/>
    </row>
    <row r="27">
      <c r="A27" s="5" t="n"/>
      <c r="B27" s="5" t="n"/>
      <c r="C27" s="5" t="n"/>
      <c r="D27" s="5" t="n"/>
      <c r="E27" s="5" t="n"/>
      <c r="F27" s="5" t="n"/>
      <c r="G27" s="5" t="n"/>
    </row>
    <row r="28" ht="20" customHeight="1">
      <c r="A28" s="5" t="n"/>
      <c r="B28" s="58" t="inlineStr">
        <is>
          <t>CE QUE LE GESTE RAPPORTE, UNE FOIS TOUT PAYÉ</t>
        </is>
      </c>
      <c r="C28" s="5" t="n"/>
      <c r="D28" s="5" t="n"/>
      <c r="E28" s="5" t="n"/>
      <c r="F28" s="5" t="n"/>
      <c r="G28" s="5" t="n"/>
    </row>
    <row r="29">
      <c r="A29" s="5" t="n"/>
      <c r="B29" s="39" t="inlineStr">
        <is>
          <t>Chiffre d'affaires gagné</t>
        </is>
      </c>
      <c r="C29" s="24" t="n"/>
      <c r="D29" s="24" t="n"/>
      <c r="E29" s="24" t="n"/>
      <c r="F29" s="40">
        <f>F26</f>
        <v/>
      </c>
      <c r="G29" s="26" t="inlineStr">
        <is>
          <t>les inscrits gagnés × le CA par inscrit</t>
        </is>
      </c>
    </row>
    <row r="30">
      <c r="A30" s="5" t="n"/>
      <c r="B30" s="39" t="inlineStr">
        <is>
          <t>−  coût variable de les servir</t>
        </is>
      </c>
      <c r="C30" s="24" t="n"/>
      <c r="D30" s="38" t="n">
        <v>362.7752087347463</v>
      </c>
      <c r="E30" s="24" t="n"/>
      <c r="F30" s="41">
        <f>-F24*D30</f>
        <v/>
      </c>
      <c r="G30" s="26" t="inlineStr">
        <is>
          <t>comptes 604 + 6063 : licences, fournitures, supports — par élève</t>
        </is>
      </c>
    </row>
    <row r="31">
      <c r="A31" s="5" t="n"/>
      <c r="B31" s="39" t="inlineStr">
        <is>
          <t>−  budget supplémentaire</t>
        </is>
      </c>
      <c r="C31" s="24" t="n"/>
      <c r="D31" s="24" t="n"/>
      <c r="E31" s="24" t="n"/>
      <c r="F31" s="41">
        <f>-F16</f>
        <v/>
      </c>
      <c r="G31" s="26" t="inlineStr">
        <is>
          <t>le compte 6236, augmenté du taux saisi</t>
        </is>
      </c>
    </row>
    <row r="32">
      <c r="A32" s="5" t="n"/>
      <c r="B32" s="42">
        <f>  EBITDA GAGNÉ</f>
        <v/>
      </c>
      <c r="C32" s="43" t="n"/>
      <c r="D32" s="43" t="n"/>
      <c r="E32" s="43" t="n"/>
      <c r="F32" s="44">
        <f>SUM(F29:F31)</f>
        <v/>
      </c>
      <c r="G32" s="45" t="inlineStr">
        <is>
          <t>première année, à capacité constante</t>
        </is>
      </c>
    </row>
    <row r="33">
      <c r="A33" s="5" t="n"/>
      <c r="B33" s="42" t="inlineStr">
        <is>
          <t>PAR EURO INVESTI</t>
        </is>
      </c>
      <c r="C33" s="43" t="n"/>
      <c r="D33" s="43" t="n"/>
      <c r="E33" s="43" t="n"/>
      <c r="F33" s="59">
        <f>IFERROR(F32/-F31,0)</f>
        <v/>
      </c>
      <c r="G33" s="45" t="inlineStr">
        <is>
          <t>d'EBITDA pour un euro mis dans ce levier</t>
        </is>
      </c>
    </row>
    <row r="34" ht="18" customHeight="1">
      <c r="A34" s="5" t="n"/>
      <c r="B34" s="47" t="inlineStr">
        <is>
          <t>ATTENTION : ce chiffre dit ce que l'euro de marque rapporte EN 2027. Une régression sur trois ans ne capte que l'effet de l'année.</t>
        </is>
      </c>
      <c r="C34" s="48" t="n"/>
      <c r="D34" s="48" t="n"/>
      <c r="E34" s="48" t="n"/>
      <c r="F34" s="48" t="n"/>
      <c r="G34" s="48" t="n"/>
    </row>
    <row r="35">
      <c r="A35" s="5" t="n"/>
      <c r="B35" s="49" t="inlineStr">
        <is>
          <t>Ce qui n'est pas dans cette feuille, et il faut le dire soi-même : la CAPACITÉ.</t>
        </is>
      </c>
      <c r="C35" s="10" t="n"/>
      <c r="D35" s="10" t="n"/>
      <c r="E35" s="10" t="n"/>
      <c r="F35" s="10" t="n"/>
      <c r="G35" s="10" t="n"/>
    </row>
    <row r="36">
      <c r="A36" s="5" t="n"/>
      <c r="B36" s="50" t="inlineStr">
        <is>
          <t>Le réseau a 351 places libres dans ses cohortes d'entrée — pas 974 — et MBway Paris Mastère M1 est déjà plein. Au-delà d'un certain geste il faut ouvrir une classe, et un vacataire avec. Raccourci de démonstration, assumé.</t>
        </is>
      </c>
      <c r="C36" s="51" t="n"/>
      <c r="D36" s="51" t="n"/>
      <c r="E36" s="51" t="n"/>
      <c r="F36" s="51" t="n"/>
      <c r="G36" s="51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</sheetData>
  <printOptions horizontalCentered="1"/>
  <pageMargins left="0.4" right="0.4" top="1" bottom="1" header="0.5" footer="0.5"/>
  <pageSetup orientation="landscape" paperSize="9" fitToHeight="0" fitToWidth="1"/>
  <headerFooter>
    <oddHeader/>
    <oddFooter>&amp;L&amp;"Arial"&amp;8 EDUSERVICES · Le levier organique&amp;R&amp;"Arial"&amp;8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2026-09-07T23:04:25Z</dcterms:created>
  <dcterms:modified xsi:type="dcterms:W3CDTF">2026-09-07T23:04:25Z</dcterms:modified>
</cp:coreProperties>
</file>