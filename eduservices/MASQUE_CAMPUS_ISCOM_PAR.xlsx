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(V_CAMPUS_CLASSE)" sheetId="1" state="visible" r:id="rId1"/>
    <sheet name="Mas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;-#,##0 &quot;€&quot;;&quot;—&quot;"/>
    <numFmt numFmtId="165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8.5"/>
    </font>
    <font>
      <name val="Arial"/>
      <color rgb="00152230"/>
      <sz val="9"/>
    </font>
    <font>
      <name val="Arial"/>
      <color rgb="00B23A3A"/>
      <sz val="9"/>
    </font>
    <font>
      <name val="Arial"/>
      <b val="1"/>
      <color rgb="00FFFFFF"/>
      <sz val="13"/>
    </font>
    <font>
      <name val="Arial"/>
      <color rgb="0051606D"/>
      <sz val="9"/>
    </font>
    <font>
      <name val="Arial"/>
      <b val="1"/>
      <color rgb="0051606D"/>
      <sz val="8.5"/>
    </font>
    <font>
      <name val="Arial"/>
      <b val="1"/>
      <color rgb="00152230"/>
      <sz val="14"/>
    </font>
    <font>
      <name val="Arial"/>
      <b val="1"/>
      <color rgb="000A5A48"/>
      <sz val="14"/>
    </font>
    <font>
      <name val="Arial"/>
      <b val="1"/>
      <color rgb="00FFFFFF"/>
      <sz val="9"/>
    </font>
    <font>
      <name val="Arial"/>
      <color rgb="00152230"/>
      <sz val="9.5"/>
    </font>
    <font>
      <name val="Arial"/>
      <color rgb="001E7A55"/>
      <sz val="9.5"/>
    </font>
    <font>
      <name val="Arial"/>
      <b val="1"/>
      <color rgb="00152230"/>
      <sz val="9"/>
    </font>
    <font>
      <name val="Arial"/>
      <color rgb="007D8B98"/>
      <sz val="8.5"/>
    </font>
  </fonts>
  <fills count="5">
    <fill>
      <patternFill/>
    </fill>
    <fill>
      <patternFill patternType="gray125"/>
    </fill>
    <fill>
      <patternFill patternType="solid">
        <fgColor rgb="000A5A48"/>
      </patternFill>
    </fill>
    <fill>
      <patternFill patternType="solid">
        <fgColor rgb="000D7A62"/>
      </patternFill>
    </fill>
    <fill>
      <patternFill patternType="solid">
        <fgColor rgb="003D4F8F"/>
      </patternFill>
    </fill>
  </fills>
  <borders count="2">
    <border>
      <left/>
      <right/>
      <top/>
      <bottom/>
      <diagonal/>
    </border>
    <border>
      <left style="thin">
        <color rgb="00C8D2DA"/>
      </left>
      <right style="thin">
        <color rgb="00C8D2DA"/>
      </right>
      <top style="thin">
        <color rgb="00C8D2DA"/>
      </top>
      <bottom style="thin">
        <color rgb="00C8D2D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7" fillId="0" borderId="0" pivotButton="0" quotePrefix="0" xfId="0"/>
    <xf numFmtId="3" fontId="8" fillId="0" borderId="0" pivotButton="0" quotePrefix="0" xfId="0"/>
    <xf numFmtId="9" fontId="8" fillId="0" borderId="0" pivotButton="0" quotePrefix="0" xfId="0"/>
    <xf numFmtId="164" fontId="8" fillId="0" borderId="0" pivotButton="0" quotePrefix="0" xfId="0"/>
    <xf numFmtId="164" fontId="9" fillId="0" borderId="0" pivotButton="0" quotePrefix="0" xfId="0"/>
    <xf numFmtId="0" fontId="10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11" fillId="0" borderId="1" pivotButton="0" quotePrefix="0" xfId="0"/>
    <xf numFmtId="164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22" customHeight="1">
      <c r="A1" s="1" t="inlineStr">
        <is>
          <t xml:space="preserve">  DONNÉES SOURCE — vue  V_CAMPUS_CLASSE  (wrapper sur V_ALLOCATION)  ·  filtrer ENTITY = campos</t>
        </is>
      </c>
    </row>
    <row r="2">
      <c r="A2" s="2" t="inlineStr">
        <is>
          <t>EXERCICE</t>
        </is>
      </c>
      <c r="B2" s="2" t="inlineStr">
        <is>
          <t>ENTITY</t>
        </is>
      </c>
      <c r="C2" s="2" t="inlineStr">
        <is>
          <t>MARQUE</t>
        </is>
      </c>
      <c r="D2" s="2" t="inlineStr">
        <is>
          <t>PROGRAMME</t>
        </is>
      </c>
      <c r="E2" s="2" t="inlineStr">
        <is>
          <t>AN_ETUDE</t>
        </is>
      </c>
      <c r="F2" s="2" t="inlineStr">
        <is>
          <t>MODALITE</t>
        </is>
      </c>
      <c r="G2" s="2" t="inlineStr">
        <is>
          <t>VOL_EFF</t>
        </is>
      </c>
      <c r="H2" s="2" t="inlineStr">
        <is>
          <t>VOL_CLASS</t>
        </is>
      </c>
      <c r="I2" s="2" t="inlineStr">
        <is>
          <t>VOL_NEW</t>
        </is>
      </c>
      <c r="J2" s="2" t="inlineStr">
        <is>
          <t>CA</t>
        </is>
      </c>
      <c r="K2" s="2" t="inlineStr">
        <is>
          <t>CAPACITE</t>
        </is>
      </c>
      <c r="L2" s="2" t="inlineStr">
        <is>
          <t>PLACES</t>
        </is>
      </c>
      <c r="M2" s="2" t="inlineStr">
        <is>
          <t>COST_VARIABLE</t>
        </is>
      </c>
      <c r="N2" s="2" t="inlineStr">
        <is>
          <t>CONTRIBUTION</t>
        </is>
      </c>
      <c r="O2" s="2" t="inlineStr">
        <is>
          <t>COST_COMPLET</t>
        </is>
      </c>
      <c r="P2" s="2" t="inlineStr">
        <is>
          <t>MARGE_COMPLETE</t>
        </is>
      </c>
      <c r="Q2" s="2" t="inlineStr">
        <is>
          <t>COST_SIEGE</t>
        </is>
      </c>
      <c r="R2" s="2" t="inlineStr">
        <is>
          <t>POINT_MORT</t>
        </is>
      </c>
    </row>
    <row r="3">
      <c r="A3" s="3" t="n">
        <v>2024</v>
      </c>
      <c r="B3" s="3" t="inlineStr">
        <is>
          <t>ISCOM_PAR</t>
        </is>
      </c>
      <c r="C3" s="3" t="inlineStr">
        <is>
          <t>ISCOM</t>
        </is>
      </c>
      <c r="D3" s="3" t="inlineStr">
        <is>
          <t>BAC_COM</t>
        </is>
      </c>
      <c r="E3" s="3" t="inlineStr">
        <is>
          <t>B1</t>
        </is>
      </c>
      <c r="F3" s="3" t="inlineStr">
        <is>
          <t>INIT</t>
        </is>
      </c>
      <c r="G3" s="4" t="n">
        <v>64</v>
      </c>
      <c r="H3" s="4" t="n">
        <v>3</v>
      </c>
      <c r="I3" s="4" t="n">
        <v>64</v>
      </c>
      <c r="J3" s="5" t="n">
        <v>543360</v>
      </c>
      <c r="K3" s="4" t="n">
        <v>32</v>
      </c>
      <c r="L3" s="4" t="n">
        <v>96</v>
      </c>
      <c r="M3" s="5" t="n">
        <v>90944</v>
      </c>
      <c r="N3" s="5" t="n">
        <v>452416</v>
      </c>
      <c r="O3" s="5" t="n">
        <v>564207</v>
      </c>
      <c r="P3" s="6" t="n">
        <v>-20847</v>
      </c>
      <c r="Q3" s="5" t="n">
        <v>78447</v>
      </c>
      <c r="R3" s="7" t="n">
        <v>26.6</v>
      </c>
    </row>
    <row r="4">
      <c r="A4" s="3" t="n">
        <v>2024</v>
      </c>
      <c r="B4" s="3" t="inlineStr">
        <is>
          <t>ISCOM_PAR</t>
        </is>
      </c>
      <c r="C4" s="3" t="inlineStr">
        <is>
          <t>ISCOM</t>
        </is>
      </c>
      <c r="D4" s="3" t="inlineStr">
        <is>
          <t>BAC_COM</t>
        </is>
      </c>
      <c r="E4" s="3" t="inlineStr">
        <is>
          <t>B2</t>
        </is>
      </c>
      <c r="F4" s="3" t="inlineStr">
        <is>
          <t>ALT</t>
        </is>
      </c>
      <c r="G4" s="4" t="n">
        <v>62</v>
      </c>
      <c r="H4" s="4" t="n">
        <v>3</v>
      </c>
      <c r="I4" s="4" t="n">
        <v>0</v>
      </c>
      <c r="J4" s="5" t="n">
        <v>486080</v>
      </c>
      <c r="K4" s="4" t="n">
        <v>32</v>
      </c>
      <c r="L4" s="4" t="n">
        <v>96</v>
      </c>
      <c r="M4" s="5" t="n">
        <v>56790</v>
      </c>
      <c r="N4" s="5" t="n">
        <v>429290</v>
      </c>
      <c r="O4" s="5" t="n">
        <v>491964</v>
      </c>
      <c r="P4" s="6" t="n">
        <v>-5884</v>
      </c>
      <c r="Q4" s="5" t="n">
        <v>75996</v>
      </c>
      <c r="R4" s="7" t="n">
        <v>23.7</v>
      </c>
    </row>
    <row r="5">
      <c r="A5" s="3" t="n">
        <v>2024</v>
      </c>
      <c r="B5" s="3" t="inlineStr">
        <is>
          <t>ISCOM_PAR</t>
        </is>
      </c>
      <c r="C5" s="3" t="inlineStr">
        <is>
          <t>ISCOM</t>
        </is>
      </c>
      <c r="D5" s="3" t="inlineStr">
        <is>
          <t>BAC_COM</t>
        </is>
      </c>
      <c r="E5" s="3" t="inlineStr">
        <is>
          <t>B3</t>
        </is>
      </c>
      <c r="F5" s="3" t="inlineStr">
        <is>
          <t>ALT</t>
        </is>
      </c>
      <c r="G5" s="4" t="n">
        <v>61</v>
      </c>
      <c r="H5" s="4" t="n">
        <v>3</v>
      </c>
      <c r="I5" s="4" t="n">
        <v>0</v>
      </c>
      <c r="J5" s="5" t="n">
        <v>478240</v>
      </c>
      <c r="K5" s="4" t="n">
        <v>32</v>
      </c>
      <c r="L5" s="4" t="n">
        <v>96</v>
      </c>
      <c r="M5" s="5" t="n">
        <v>56407</v>
      </c>
      <c r="N5" s="5" t="n">
        <v>421833</v>
      </c>
      <c r="O5" s="5" t="n">
        <v>486344</v>
      </c>
      <c r="P5" s="6" t="n">
        <v>-8104</v>
      </c>
      <c r="Q5" s="5" t="n">
        <v>74770</v>
      </c>
      <c r="R5" s="7" t="n">
        <v>23.4</v>
      </c>
    </row>
    <row r="6">
      <c r="A6" s="3" t="n">
        <v>2024</v>
      </c>
      <c r="B6" s="3" t="inlineStr">
        <is>
          <t>ISCOM_PAR</t>
        </is>
      </c>
      <c r="C6" s="3" t="inlineStr">
        <is>
          <t>ISCOM</t>
        </is>
      </c>
      <c r="D6" s="3" t="inlineStr">
        <is>
          <t>MAS_COM</t>
        </is>
      </c>
      <c r="E6" s="3" t="inlineStr">
        <is>
          <t>M1</t>
        </is>
      </c>
      <c r="F6" s="3" t="inlineStr">
        <is>
          <t>ALT</t>
        </is>
      </c>
      <c r="G6" s="4" t="n">
        <v>64</v>
      </c>
      <c r="H6" s="4" t="n">
        <v>3</v>
      </c>
      <c r="I6" s="4" t="n">
        <v>64</v>
      </c>
      <c r="J6" s="5" t="n">
        <v>543360</v>
      </c>
      <c r="K6" s="4" t="n">
        <v>26</v>
      </c>
      <c r="L6" s="4" t="n">
        <v>78</v>
      </c>
      <c r="M6" s="5" t="n">
        <v>78548</v>
      </c>
      <c r="N6" s="5" t="n">
        <v>464812</v>
      </c>
      <c r="O6" s="5" t="n">
        <v>510388</v>
      </c>
      <c r="P6" s="5" t="n">
        <v>32972</v>
      </c>
      <c r="Q6" s="5" t="n">
        <v>78447</v>
      </c>
      <c r="R6" s="7" t="n">
        <v>23.4</v>
      </c>
    </row>
    <row r="7">
      <c r="A7" s="3" t="n">
        <v>2024</v>
      </c>
      <c r="B7" s="3" t="inlineStr">
        <is>
          <t>ISCOM_PAR</t>
        </is>
      </c>
      <c r="C7" s="3" t="inlineStr">
        <is>
          <t>ISCOM</t>
        </is>
      </c>
      <c r="D7" s="3" t="inlineStr">
        <is>
          <t>MAS_COM</t>
        </is>
      </c>
      <c r="E7" s="3" t="inlineStr">
        <is>
          <t>M2</t>
        </is>
      </c>
      <c r="F7" s="3" t="inlineStr">
        <is>
          <t>ALT</t>
        </is>
      </c>
      <c r="G7" s="4" t="n">
        <v>63</v>
      </c>
      <c r="H7" s="4" t="n">
        <v>3</v>
      </c>
      <c r="I7" s="4" t="n">
        <v>0</v>
      </c>
      <c r="J7" s="5" t="n">
        <v>529200</v>
      </c>
      <c r="K7" s="4" t="n">
        <v>26</v>
      </c>
      <c r="L7" s="4" t="n">
        <v>78</v>
      </c>
      <c r="M7" s="5" t="n">
        <v>53041</v>
      </c>
      <c r="N7" s="5" t="n">
        <v>476159</v>
      </c>
      <c r="O7" s="5" t="n">
        <v>479644</v>
      </c>
      <c r="P7" s="5" t="n">
        <v>49556</v>
      </c>
      <c r="Q7" s="5" t="n">
        <v>77222</v>
      </c>
      <c r="R7" s="7" t="n">
        <v>21.2</v>
      </c>
    </row>
    <row r="8">
      <c r="A8" s="3" t="n">
        <v>2025</v>
      </c>
      <c r="B8" s="3" t="inlineStr">
        <is>
          <t>ISCOM_PAR</t>
        </is>
      </c>
      <c r="C8" s="3" t="inlineStr">
        <is>
          <t>ISCOM</t>
        </is>
      </c>
      <c r="D8" s="3" t="inlineStr">
        <is>
          <t>BAC_COM</t>
        </is>
      </c>
      <c r="E8" s="3" t="inlineStr">
        <is>
          <t>B1</t>
        </is>
      </c>
      <c r="F8" s="3" t="inlineStr">
        <is>
          <t>INIT</t>
        </is>
      </c>
      <c r="G8" s="4" t="n">
        <v>68</v>
      </c>
      <c r="H8" s="4" t="n">
        <v>3</v>
      </c>
      <c r="I8" s="4" t="n">
        <v>68</v>
      </c>
      <c r="J8" s="5" t="n">
        <v>577320</v>
      </c>
      <c r="K8" s="4" t="n">
        <v>32</v>
      </c>
      <c r="L8" s="4" t="n">
        <v>96</v>
      </c>
      <c r="M8" s="5" t="n">
        <v>96443</v>
      </c>
      <c r="N8" s="5" t="n">
        <v>480877</v>
      </c>
      <c r="O8" s="5" t="n">
        <v>592861</v>
      </c>
      <c r="P8" s="6" t="n">
        <v>-15541</v>
      </c>
      <c r="Q8" s="5" t="n">
        <v>83812</v>
      </c>
      <c r="R8" s="7" t="n">
        <v>27.9</v>
      </c>
    </row>
    <row r="9">
      <c r="A9" s="3" t="n">
        <v>2025</v>
      </c>
      <c r="B9" s="3" t="inlineStr">
        <is>
          <t>ISCOM_PAR</t>
        </is>
      </c>
      <c r="C9" s="3" t="inlineStr">
        <is>
          <t>ISCOM</t>
        </is>
      </c>
      <c r="D9" s="3" t="inlineStr">
        <is>
          <t>BAC_COM</t>
        </is>
      </c>
      <c r="E9" s="3" t="inlineStr">
        <is>
          <t>B2</t>
        </is>
      </c>
      <c r="F9" s="3" t="inlineStr">
        <is>
          <t>ALT</t>
        </is>
      </c>
      <c r="G9" s="4" t="n">
        <v>66</v>
      </c>
      <c r="H9" s="4" t="n">
        <v>3</v>
      </c>
      <c r="I9" s="4" t="n">
        <v>0</v>
      </c>
      <c r="J9" s="5" t="n">
        <v>517440</v>
      </c>
      <c r="K9" s="4" t="n">
        <v>32</v>
      </c>
      <c r="L9" s="4" t="n">
        <v>96</v>
      </c>
      <c r="M9" s="5" t="n">
        <v>59412</v>
      </c>
      <c r="N9" s="5" t="n">
        <v>458028</v>
      </c>
      <c r="O9" s="5" t="n">
        <v>516595</v>
      </c>
      <c r="P9" s="5" t="n">
        <v>845</v>
      </c>
      <c r="Q9" s="5" t="n">
        <v>81347</v>
      </c>
      <c r="R9" s="7" t="n">
        <v>24.8</v>
      </c>
    </row>
    <row r="10">
      <c r="A10" s="3" t="n">
        <v>2025</v>
      </c>
      <c r="B10" s="3" t="inlineStr">
        <is>
          <t>ISCOM_PAR</t>
        </is>
      </c>
      <c r="C10" s="3" t="inlineStr">
        <is>
          <t>ISCOM</t>
        </is>
      </c>
      <c r="D10" s="3" t="inlineStr">
        <is>
          <t>BAC_COM</t>
        </is>
      </c>
      <c r="E10" s="3" t="inlineStr">
        <is>
          <t>B3</t>
        </is>
      </c>
      <c r="F10" s="3" t="inlineStr">
        <is>
          <t>ALT</t>
        </is>
      </c>
      <c r="G10" s="4" t="n">
        <v>65</v>
      </c>
      <c r="H10" s="4" t="n">
        <v>3</v>
      </c>
      <c r="I10" s="4" t="n">
        <v>0</v>
      </c>
      <c r="J10" s="5" t="n">
        <v>509600</v>
      </c>
      <c r="K10" s="4" t="n">
        <v>32</v>
      </c>
      <c r="L10" s="4" t="n">
        <v>96</v>
      </c>
      <c r="M10" s="5" t="n">
        <v>59035</v>
      </c>
      <c r="N10" s="5" t="n">
        <v>450565</v>
      </c>
      <c r="O10" s="5" t="n">
        <v>511042</v>
      </c>
      <c r="P10" s="6" t="n">
        <v>-1442</v>
      </c>
      <c r="Q10" s="5" t="n">
        <v>80114</v>
      </c>
      <c r="R10" s="7" t="n">
        <v>24.6</v>
      </c>
    </row>
    <row r="11">
      <c r="A11" s="3" t="n">
        <v>2025</v>
      </c>
      <c r="B11" s="3" t="inlineStr">
        <is>
          <t>ISCOM_PAR</t>
        </is>
      </c>
      <c r="C11" s="3" t="inlineStr">
        <is>
          <t>ISCOM</t>
        </is>
      </c>
      <c r="D11" s="3" t="inlineStr">
        <is>
          <t>MAS_COM</t>
        </is>
      </c>
      <c r="E11" s="3" t="inlineStr">
        <is>
          <t>M1</t>
        </is>
      </c>
      <c r="F11" s="3" t="inlineStr">
        <is>
          <t>ALT</t>
        </is>
      </c>
      <c r="G11" s="4" t="n">
        <v>68</v>
      </c>
      <c r="H11" s="4" t="n">
        <v>3</v>
      </c>
      <c r="I11" s="4" t="n">
        <v>68</v>
      </c>
      <c r="J11" s="5" t="n">
        <v>577320</v>
      </c>
      <c r="K11" s="4" t="n">
        <v>26</v>
      </c>
      <c r="L11" s="4" t="n">
        <v>78</v>
      </c>
      <c r="M11" s="5" t="n">
        <v>83479</v>
      </c>
      <c r="N11" s="5" t="n">
        <v>493841</v>
      </c>
      <c r="O11" s="5" t="n">
        <v>536575</v>
      </c>
      <c r="P11" s="5" t="n">
        <v>40745</v>
      </c>
      <c r="Q11" s="5" t="n">
        <v>83812</v>
      </c>
      <c r="R11" s="7" t="n">
        <v>24.6</v>
      </c>
    </row>
    <row r="12">
      <c r="A12" s="3" t="n">
        <v>2025</v>
      </c>
      <c r="B12" s="3" t="inlineStr">
        <is>
          <t>ISCOM_PAR</t>
        </is>
      </c>
      <c r="C12" s="3" t="inlineStr">
        <is>
          <t>ISCOM</t>
        </is>
      </c>
      <c r="D12" s="3" t="inlineStr">
        <is>
          <t>MAS_COM</t>
        </is>
      </c>
      <c r="E12" s="3" t="inlineStr">
        <is>
          <t>M2</t>
        </is>
      </c>
      <c r="F12" s="3" t="inlineStr">
        <is>
          <t>ALT</t>
        </is>
      </c>
      <c r="G12" s="4" t="n">
        <v>67</v>
      </c>
      <c r="H12" s="4" t="n">
        <v>3</v>
      </c>
      <c r="I12" s="4" t="n">
        <v>0</v>
      </c>
      <c r="J12" s="5" t="n">
        <v>562800</v>
      </c>
      <c r="K12" s="4" t="n">
        <v>26</v>
      </c>
      <c r="L12" s="4" t="n">
        <v>78</v>
      </c>
      <c r="M12" s="5" t="n">
        <v>55467</v>
      </c>
      <c r="N12" s="5" t="n">
        <v>507333</v>
      </c>
      <c r="O12" s="5" t="n">
        <v>503386</v>
      </c>
      <c r="P12" s="5" t="n">
        <v>59414</v>
      </c>
      <c r="Q12" s="5" t="n">
        <v>82579</v>
      </c>
      <c r="R12" s="7" t="n">
        <v>22.2</v>
      </c>
    </row>
    <row r="13">
      <c r="A13" s="3" t="n">
        <v>2026</v>
      </c>
      <c r="B13" s="3" t="inlineStr">
        <is>
          <t>ISCOM_PAR</t>
        </is>
      </c>
      <c r="C13" s="3" t="inlineStr">
        <is>
          <t>ISCOM</t>
        </is>
      </c>
      <c r="D13" s="3" t="inlineStr">
        <is>
          <t>BAC_COM</t>
        </is>
      </c>
      <c r="E13" s="3" t="inlineStr">
        <is>
          <t>B1</t>
        </is>
      </c>
      <c r="F13" s="3" t="inlineStr">
        <is>
          <t>INIT</t>
        </is>
      </c>
      <c r="G13" s="4" t="n">
        <v>72</v>
      </c>
      <c r="H13" s="4" t="n">
        <v>3</v>
      </c>
      <c r="I13" s="4" t="n">
        <v>72</v>
      </c>
      <c r="J13" s="5" t="n">
        <v>611280</v>
      </c>
      <c r="K13" s="4" t="n">
        <v>32</v>
      </c>
      <c r="L13" s="4" t="n">
        <v>96</v>
      </c>
      <c r="M13" s="5" t="n">
        <v>102464</v>
      </c>
      <c r="N13" s="5" t="n">
        <v>508816</v>
      </c>
      <c r="O13" s="5" t="n">
        <v>623796</v>
      </c>
      <c r="P13" s="6" t="n">
        <v>-12516</v>
      </c>
      <c r="Q13" s="5" t="n">
        <v>89311</v>
      </c>
      <c r="R13" s="7" t="n">
        <v>29.4</v>
      </c>
    </row>
    <row r="14">
      <c r="A14" s="3" t="n">
        <v>2026</v>
      </c>
      <c r="B14" s="3" t="inlineStr">
        <is>
          <t>ISCOM_PAR</t>
        </is>
      </c>
      <c r="C14" s="3" t="inlineStr">
        <is>
          <t>ISCOM</t>
        </is>
      </c>
      <c r="D14" s="3" t="inlineStr">
        <is>
          <t>BAC_COM</t>
        </is>
      </c>
      <c r="E14" s="3" t="inlineStr">
        <is>
          <t>B2</t>
        </is>
      </c>
      <c r="F14" s="3" t="inlineStr">
        <is>
          <t>ALT</t>
        </is>
      </c>
      <c r="G14" s="4" t="n">
        <v>70</v>
      </c>
      <c r="H14" s="4" t="n">
        <v>3</v>
      </c>
      <c r="I14" s="4" t="n">
        <v>0</v>
      </c>
      <c r="J14" s="5" t="n">
        <v>548800</v>
      </c>
      <c r="K14" s="4" t="n">
        <v>32</v>
      </c>
      <c r="L14" s="4" t="n">
        <v>96</v>
      </c>
      <c r="M14" s="5" t="n">
        <v>62266</v>
      </c>
      <c r="N14" s="5" t="n">
        <v>486534</v>
      </c>
      <c r="O14" s="5" t="n">
        <v>543059</v>
      </c>
      <c r="P14" s="5" t="n">
        <v>5741</v>
      </c>
      <c r="Q14" s="5" t="n">
        <v>86830</v>
      </c>
      <c r="R14" s="7" t="n">
        <v>26</v>
      </c>
    </row>
    <row r="15">
      <c r="A15" s="3" t="n">
        <v>2026</v>
      </c>
      <c r="B15" s="3" t="inlineStr">
        <is>
          <t>ISCOM_PAR</t>
        </is>
      </c>
      <c r="C15" s="3" t="inlineStr">
        <is>
          <t>ISCOM</t>
        </is>
      </c>
      <c r="D15" s="3" t="inlineStr">
        <is>
          <t>BAC_COM</t>
        </is>
      </c>
      <c r="E15" s="3" t="inlineStr">
        <is>
          <t>B3</t>
        </is>
      </c>
      <c r="F15" s="3" t="inlineStr">
        <is>
          <t>ALT</t>
        </is>
      </c>
      <c r="G15" s="4" t="n">
        <v>69</v>
      </c>
      <c r="H15" s="4" t="n">
        <v>3</v>
      </c>
      <c r="I15" s="4" t="n">
        <v>0</v>
      </c>
      <c r="J15" s="5" t="n">
        <v>540960</v>
      </c>
      <c r="K15" s="4" t="n">
        <v>32</v>
      </c>
      <c r="L15" s="4" t="n">
        <v>96</v>
      </c>
      <c r="M15" s="5" t="n">
        <v>61893</v>
      </c>
      <c r="N15" s="5" t="n">
        <v>479067</v>
      </c>
      <c r="O15" s="5" t="n">
        <v>537547</v>
      </c>
      <c r="P15" s="5" t="n">
        <v>3413</v>
      </c>
      <c r="Q15" s="5" t="n">
        <v>85590</v>
      </c>
      <c r="R15" s="7" t="n">
        <v>25.8</v>
      </c>
    </row>
    <row r="16">
      <c r="A16" s="3" t="n">
        <v>2026</v>
      </c>
      <c r="B16" s="3" t="inlineStr">
        <is>
          <t>ISCOM_PAR</t>
        </is>
      </c>
      <c r="C16" s="3" t="inlineStr">
        <is>
          <t>ISCOM</t>
        </is>
      </c>
      <c r="D16" s="3" t="inlineStr">
        <is>
          <t>MAS_COM</t>
        </is>
      </c>
      <c r="E16" s="3" t="inlineStr">
        <is>
          <t>M1</t>
        </is>
      </c>
      <c r="F16" s="3" t="inlineStr">
        <is>
          <t>ALT</t>
        </is>
      </c>
      <c r="G16" s="4" t="n">
        <v>72</v>
      </c>
      <c r="H16" s="4" t="n">
        <v>3</v>
      </c>
      <c r="I16" s="4" t="n">
        <v>72</v>
      </c>
      <c r="J16" s="5" t="n">
        <v>611280</v>
      </c>
      <c r="K16" s="4" t="n">
        <v>26</v>
      </c>
      <c r="L16" s="4" t="n">
        <v>78</v>
      </c>
      <c r="M16" s="5" t="n">
        <v>88882</v>
      </c>
      <c r="N16" s="5" t="n">
        <v>522398</v>
      </c>
      <c r="O16" s="5" t="n">
        <v>564824</v>
      </c>
      <c r="P16" s="5" t="n">
        <v>46456</v>
      </c>
      <c r="Q16" s="5" t="n">
        <v>89311</v>
      </c>
      <c r="R16" s="7" t="n">
        <v>25.9</v>
      </c>
    </row>
    <row r="17">
      <c r="A17" s="3" t="n">
        <v>2026</v>
      </c>
      <c r="B17" s="3" t="inlineStr">
        <is>
          <t>ISCOM_PAR</t>
        </is>
      </c>
      <c r="C17" s="3" t="inlineStr">
        <is>
          <t>ISCOM</t>
        </is>
      </c>
      <c r="D17" s="3" t="inlineStr">
        <is>
          <t>MAS_COM</t>
        </is>
      </c>
      <c r="E17" s="3" t="inlineStr">
        <is>
          <t>M2</t>
        </is>
      </c>
      <c r="F17" s="3" t="inlineStr">
        <is>
          <t>ALT</t>
        </is>
      </c>
      <c r="G17" s="4" t="n">
        <v>71</v>
      </c>
      <c r="H17" s="4" t="n">
        <v>3</v>
      </c>
      <c r="I17" s="4" t="n">
        <v>0</v>
      </c>
      <c r="J17" s="5" t="n">
        <v>596400</v>
      </c>
      <c r="K17" s="4" t="n">
        <v>26</v>
      </c>
      <c r="L17" s="4" t="n">
        <v>78</v>
      </c>
      <c r="M17" s="5" t="n">
        <v>58110</v>
      </c>
      <c r="N17" s="5" t="n">
        <v>538290</v>
      </c>
      <c r="O17" s="5" t="n">
        <v>528913</v>
      </c>
      <c r="P17" s="5" t="n">
        <v>67487</v>
      </c>
      <c r="Q17" s="5" t="n">
        <v>88071</v>
      </c>
      <c r="R17" s="7" t="n">
        <v>23.3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5" customWidth="1" min="9" max="9"/>
  </cols>
  <sheetData>
    <row r="1" ht="28" customHeight="1">
      <c r="A1" s="8" t="inlineStr">
        <is>
          <t xml:space="preserve">  COCKPIT DIRECTEUR — Iscom Paris   ·   MASQUE (formules → onglet Données)</t>
        </is>
      </c>
    </row>
    <row r="2" ht="18" customHeight="1">
      <c r="A2" s="9" t="inlineStr">
        <is>
          <t xml:space="preserve">  Tout est en SUMIFS sur la vue V_CAMPUS_CLASSE. Change le filtre campus/exercice → tout se recalcule.</t>
        </is>
      </c>
    </row>
    <row r="4" ht="24" customHeight="1">
      <c r="A4" s="10" t="inlineStr">
        <is>
          <t>①  Mes chiffres clés 2026</t>
        </is>
      </c>
    </row>
    <row r="5">
      <c r="A5" s="11" t="inlineStr">
        <is>
          <t>Effectif</t>
        </is>
      </c>
      <c r="D5" s="11" t="inlineStr">
        <is>
          <t>Remplissage moyen</t>
        </is>
      </c>
      <c r="G5" s="11" t="inlineStr">
        <is>
          <t>Chiffre d'affaires</t>
        </is>
      </c>
    </row>
    <row r="6" ht="20" customHeight="1">
      <c r="A6" s="12">
        <f>SUMIFS('Données (V_CAMPUS_CLASSE)'!$G$3:$G$17,'Données (V_CAMPUS_CLASSE)'!$A$3:$A$17,2026,'Données (V_CAMPUS_CLASSE)'!$B$3:$B$17,"ISCOM_PAR")</f>
        <v/>
      </c>
      <c r="D6" s="13">
        <f>SUMIFS('Données (V_CAMPUS_CLASSE)'!$G$3:$G$17,'Données (V_CAMPUS_CLASSE)'!$A$3:$A$17,2026,'Données (V_CAMPUS_CLASSE)'!$B$3:$B$17,"ISCOM_PAR")/SUMIFS('Données (V_CAMPUS_CLASSE)'!$L$3:$L$17,'Données (V_CAMPUS_CLASSE)'!$A$3:$A$17,2026,'Données (V_CAMPUS_CLASSE)'!$B$3:$B$17,"ISCOM_PAR")</f>
        <v/>
      </c>
      <c r="G6" s="14">
        <f>SUMIFS('Données (V_CAMPUS_CLASSE)'!$J$3:$J$17,'Données (V_CAMPUS_CLASSE)'!$A$3:$A$17,2026,'Données (V_CAMPUS_CLASSE)'!$B$3:$B$17,"ISCOM_PAR")</f>
        <v/>
      </c>
    </row>
    <row r="7">
      <c r="A7" s="11" t="inlineStr">
        <is>
          <t>Contribution</t>
        </is>
      </c>
      <c r="D7" s="11" t="inlineStr">
        <is>
          <t>Quote-part siège</t>
        </is>
      </c>
      <c r="G7" s="11" t="inlineStr">
        <is>
          <t>EBITDA net</t>
        </is>
      </c>
    </row>
    <row r="8" ht="20" customHeight="1">
      <c r="A8" s="15">
        <f>SUMIFS('Données (V_CAMPUS_CLASSE)'!$N$3:$N$17,'Données (V_CAMPUS_CLASSE)'!$A$3:$A$17,2026,'Données (V_CAMPUS_CLASSE)'!$B$3:$B$17,"ISCOM_PAR")</f>
        <v/>
      </c>
      <c r="D8" s="14">
        <f>-1*SUMIFS('Données (V_CAMPUS_CLASSE)'!$Q$3:$Q$17,'Données (V_CAMPUS_CLASSE)'!$A$3:$A$17,2026,'Données (V_CAMPUS_CLASSE)'!$B$3:$B$17,"ISCOM_PAR")</f>
        <v/>
      </c>
      <c r="G8" s="15">
        <f>SUMIFS('Données (V_CAMPUS_CLASSE)'!$P$3:$P$17,'Données (V_CAMPUS_CLASSE)'!$A$3:$A$17,2026,'Données (V_CAMPUS_CLASSE)'!$B$3:$B$17,"ISCOM_PAR")</f>
        <v/>
      </c>
    </row>
    <row r="10" ht="24" customHeight="1">
      <c r="A10" s="10" t="inlineStr">
        <is>
          <t>②  Ma trajectoire 2024 → 2026</t>
        </is>
      </c>
    </row>
    <row r="11">
      <c r="A11" s="16" t="inlineStr"/>
      <c r="B11" s="17" t="inlineStr">
        <is>
          <t>2024</t>
        </is>
      </c>
      <c r="C11" s="17" t="inlineStr">
        <is>
          <t>2025</t>
        </is>
      </c>
      <c r="D11" s="17" t="inlineStr">
        <is>
          <t>2026</t>
        </is>
      </c>
    </row>
    <row r="12">
      <c r="A12" s="18" t="inlineStr">
        <is>
          <t>Chiffre d'affaires</t>
        </is>
      </c>
      <c r="B12" s="19">
        <f>SUMIFS('Données (V_CAMPUS_CLASSE)'!$J$3:$J$17,'Données (V_CAMPUS_CLASSE)'!$A$3:$A$17,2024,'Données (V_CAMPUS_CLASSE)'!$B$3:$B$17,"ISCOM_PAR")</f>
        <v/>
      </c>
      <c r="C12" s="19">
        <f>SUMIFS('Données (V_CAMPUS_CLASSE)'!$J$3:$J$17,'Données (V_CAMPUS_CLASSE)'!$A$3:$A$17,2025,'Données (V_CAMPUS_CLASSE)'!$B$3:$B$17,"ISCOM_PAR")</f>
        <v/>
      </c>
      <c r="D12" s="19">
        <f>SUMIFS('Données (V_CAMPUS_CLASSE)'!$J$3:$J$17,'Données (V_CAMPUS_CLASSE)'!$A$3:$A$17,2026,'Données (V_CAMPUS_CLASSE)'!$B$3:$B$17,"ISCOM_PAR")</f>
        <v/>
      </c>
    </row>
    <row r="13">
      <c r="A13" s="18" t="inlineStr">
        <is>
          <t>Effectif</t>
        </is>
      </c>
      <c r="B13" s="20">
        <f>SUMIFS('Données (V_CAMPUS_CLASSE)'!$G$3:$G$17,'Données (V_CAMPUS_CLASSE)'!$A$3:$A$17,2024,'Données (V_CAMPUS_CLASSE)'!$B$3:$B$17,"ISCOM_PAR")</f>
        <v/>
      </c>
      <c r="C13" s="20">
        <f>SUMIFS('Données (V_CAMPUS_CLASSE)'!$G$3:$G$17,'Données (V_CAMPUS_CLASSE)'!$A$3:$A$17,2025,'Données (V_CAMPUS_CLASSE)'!$B$3:$B$17,"ISCOM_PAR")</f>
        <v/>
      </c>
      <c r="D13" s="20">
        <f>SUMIFS('Données (V_CAMPUS_CLASSE)'!$G$3:$G$17,'Données (V_CAMPUS_CLASSE)'!$A$3:$A$17,2026,'Données (V_CAMPUS_CLASSE)'!$B$3:$B$17,"ISCOM_PAR")</f>
        <v/>
      </c>
    </row>
    <row r="14">
      <c r="A14" s="18" t="inlineStr">
        <is>
          <t>Contribution</t>
        </is>
      </c>
      <c r="B14" s="19">
        <f>SUMIFS('Données (V_CAMPUS_CLASSE)'!$N$3:$N$17,'Données (V_CAMPUS_CLASSE)'!$A$3:$A$17,2024,'Données (V_CAMPUS_CLASSE)'!$B$3:$B$17,"ISCOM_PAR")</f>
        <v/>
      </c>
      <c r="C14" s="19">
        <f>SUMIFS('Données (V_CAMPUS_CLASSE)'!$N$3:$N$17,'Données (V_CAMPUS_CLASSE)'!$A$3:$A$17,2025,'Données (V_CAMPUS_CLASSE)'!$B$3:$B$17,"ISCOM_PAR")</f>
        <v/>
      </c>
      <c r="D14" s="19">
        <f>SUMIFS('Données (V_CAMPUS_CLASSE)'!$N$3:$N$17,'Données (V_CAMPUS_CLASSE)'!$A$3:$A$17,2026,'Données (V_CAMPUS_CLASSE)'!$B$3:$B$17,"ISCOM_PAR")</f>
        <v/>
      </c>
    </row>
    <row r="15">
      <c r="A15" s="18" t="inlineStr">
        <is>
          <t>EBITDA net</t>
        </is>
      </c>
      <c r="B15" s="19">
        <f>SUMIFS('Données (V_CAMPUS_CLASSE)'!$P$3:$P$17,'Données (V_CAMPUS_CLASSE)'!$A$3:$A$17,2024,'Données (V_CAMPUS_CLASSE)'!$B$3:$B$17,"ISCOM_PAR")</f>
        <v/>
      </c>
      <c r="C15" s="19">
        <f>SUMIFS('Données (V_CAMPUS_CLASSE)'!$P$3:$P$17,'Données (V_CAMPUS_CLASSE)'!$A$3:$A$17,2025,'Données (V_CAMPUS_CLASSE)'!$B$3:$B$17,"ISCOM_PAR")</f>
        <v/>
      </c>
      <c r="D15" s="19">
        <f>SUMIFS('Données (V_CAMPUS_CLASSE)'!$P$3:$P$17,'Données (V_CAMPUS_CLASSE)'!$A$3:$A$17,2026,'Données (V_CAMPUS_CLASSE)'!$B$3:$B$17,"ISCOM_PAR")</f>
        <v/>
      </c>
    </row>
    <row r="17" ht="24" customHeight="1">
      <c r="A17" s="21" t="inlineStr">
        <is>
          <t>③  Mon P&amp;L par classe 2026  (SUMIFS par programme × année)</t>
        </is>
      </c>
    </row>
    <row r="18">
      <c r="A18" s="22" t="inlineStr">
        <is>
          <t>Programme ▸ Année</t>
        </is>
      </c>
      <c r="B18" s="23" t="inlineStr">
        <is>
          <t>Rempl.</t>
        </is>
      </c>
      <c r="C18" s="23" t="inlineStr">
        <is>
          <t>Eff.</t>
        </is>
      </c>
      <c r="D18" s="23" t="inlineStr">
        <is>
          <t>CA</t>
        </is>
      </c>
      <c r="E18" s="23" t="inlineStr">
        <is>
          <t>Contribution</t>
        </is>
      </c>
      <c r="F18" s="23" t="inlineStr">
        <is>
          <t>Coût complet</t>
        </is>
      </c>
      <c r="G18" s="23" t="inlineStr">
        <is>
          <t>Marge complète</t>
        </is>
      </c>
      <c r="H18" s="23" t="inlineStr">
        <is>
          <t>Pt mort</t>
        </is>
      </c>
      <c r="I18" s="23" t="inlineStr">
        <is>
          <t>Signal</t>
        </is>
      </c>
    </row>
    <row r="19">
      <c r="A19" s="24" t="inlineStr">
        <is>
          <t>BAC_COM B1</t>
        </is>
      </c>
      <c r="B19" s="25">
        <f>SUMIFS('Données (V_CAMPUS_CLASSE)'!$G$3:$G$17,'Données (V_CAMPUS_CLASSE)'!$A$3:$A$17,2026,'Données (V_CAMPUS_CLASSE)'!$B$3:$B$17,"ISCOM_PAR",'Données (V_CAMPUS_CLASSE)'!$D$3:$D$17,"BAC_COM",'Données (V_CAMPUS_CLASSE)'!$E$3:$E$17,"B1")/SUMIFS('Données (V_CAMPUS_CLASSE)'!$L$3:$L$17,'Données (V_CAMPUS_CLASSE)'!$A$3:$A$17,2026,'Données (V_CAMPUS_CLASSE)'!$B$3:$B$17,"ISCOM_PAR",'Données (V_CAMPUS_CLASSE)'!$D$3:$D$17,"BAC_COM",'Données (V_CAMPUS_CLASSE)'!$E$3:$E$17,"B1")</f>
        <v/>
      </c>
      <c r="C19" s="26">
        <f>SUMIFS('Données (V_CAMPUS_CLASSE)'!$G$3:$G$17,'Données (V_CAMPUS_CLASSE)'!$A$3:$A$17,2026,'Données (V_CAMPUS_CLASSE)'!$B$3:$B$17,"ISCOM_PAR",'Données (V_CAMPUS_CLASSE)'!$D$3:$D$17,"BAC_COM",'Données (V_CAMPUS_CLASSE)'!$E$3:$E$17,"B1")</f>
        <v/>
      </c>
      <c r="D19" s="27">
        <f>SUMIFS('Données (V_CAMPUS_CLASSE)'!$J$3:$J$17,'Données (V_CAMPUS_CLASSE)'!$A$3:$A$17,2026,'Données (V_CAMPUS_CLASSE)'!$B$3:$B$17,"ISCOM_PAR",'Données (V_CAMPUS_CLASSE)'!$D$3:$D$17,"BAC_COM",'Données (V_CAMPUS_CLASSE)'!$E$3:$E$17,"B1")</f>
        <v/>
      </c>
      <c r="E19" s="28">
        <f>SUMIFS('Données (V_CAMPUS_CLASSE)'!$N$3:$N$17,'Données (V_CAMPUS_CLASSE)'!$A$3:$A$17,2026,'Données (V_CAMPUS_CLASSE)'!$B$3:$B$17,"ISCOM_PAR",'Données (V_CAMPUS_CLASSE)'!$D$3:$D$17,"BAC_COM",'Données (V_CAMPUS_CLASSE)'!$E$3:$E$17,"B1")</f>
        <v/>
      </c>
      <c r="F19" s="27">
        <f>SUMIFS('Données (V_CAMPUS_CLASSE)'!$O$3:$O$17,'Données (V_CAMPUS_CLASSE)'!$A$3:$A$17,2026,'Données (V_CAMPUS_CLASSE)'!$B$3:$B$17,"ISCOM_PAR",'Données (V_CAMPUS_CLASSE)'!$D$3:$D$17,"BAC_COM",'Données (V_CAMPUS_CLASSE)'!$E$3:$E$17,"B1")</f>
        <v/>
      </c>
      <c r="G19" s="27">
        <f>SUMIFS('Données (V_CAMPUS_CLASSE)'!$P$3:$P$17,'Données (V_CAMPUS_CLASSE)'!$A$3:$A$17,2026,'Données (V_CAMPUS_CLASSE)'!$B$3:$B$17,"ISCOM_PAR",'Données (V_CAMPUS_CLASSE)'!$D$3:$D$17,"BAC_COM",'Données (V_CAMPUS_CLASSE)'!$E$3:$E$17,"B1")</f>
        <v/>
      </c>
      <c r="H19" s="29">
        <f>SUMIFS('Données (V_CAMPUS_CLASSE)'!$R$3:$R$17,'Données (V_CAMPUS_CLASSE)'!$A$3:$A$17,2026,'Données (V_CAMPUS_CLASSE)'!$B$3:$B$17,"ISCOM_PAR",'Données (V_CAMPUS_CLASSE)'!$D$3:$D$17,"BAC_COM",'Données (V_CAMPUS_CLASSE)'!$E$3:$E$17,"B1")</f>
        <v/>
      </c>
      <c r="I19" s="30">
        <f>IF(G19&lt;0,"🔴 piège",IF(B19&gt;0.9,"⚠️ saturé","🟢 sain"))</f>
        <v/>
      </c>
    </row>
    <row r="20">
      <c r="A20" s="24" t="inlineStr">
        <is>
          <t>BAC_COM B2</t>
        </is>
      </c>
      <c r="B20" s="25">
        <f>SUMIFS('Données (V_CAMPUS_CLASSE)'!$G$3:$G$17,'Données (V_CAMPUS_CLASSE)'!$A$3:$A$17,2026,'Données (V_CAMPUS_CLASSE)'!$B$3:$B$17,"ISCOM_PAR",'Données (V_CAMPUS_CLASSE)'!$D$3:$D$17,"BAC_COM",'Données (V_CAMPUS_CLASSE)'!$E$3:$E$17,"B2")/SUMIFS('Données (V_CAMPUS_CLASSE)'!$L$3:$L$17,'Données (V_CAMPUS_CLASSE)'!$A$3:$A$17,2026,'Données (V_CAMPUS_CLASSE)'!$B$3:$B$17,"ISCOM_PAR",'Données (V_CAMPUS_CLASSE)'!$D$3:$D$17,"BAC_COM",'Données (V_CAMPUS_CLASSE)'!$E$3:$E$17,"B2")</f>
        <v/>
      </c>
      <c r="C20" s="26">
        <f>SUMIFS('Données (V_CAMPUS_CLASSE)'!$G$3:$G$17,'Données (V_CAMPUS_CLASSE)'!$A$3:$A$17,2026,'Données (V_CAMPUS_CLASSE)'!$B$3:$B$17,"ISCOM_PAR",'Données (V_CAMPUS_CLASSE)'!$D$3:$D$17,"BAC_COM",'Données (V_CAMPUS_CLASSE)'!$E$3:$E$17,"B2")</f>
        <v/>
      </c>
      <c r="D20" s="27">
        <f>SUMIFS('Données (V_CAMPUS_CLASSE)'!$J$3:$J$17,'Données (V_CAMPUS_CLASSE)'!$A$3:$A$17,2026,'Données (V_CAMPUS_CLASSE)'!$B$3:$B$17,"ISCOM_PAR",'Données (V_CAMPUS_CLASSE)'!$D$3:$D$17,"BAC_COM",'Données (V_CAMPUS_CLASSE)'!$E$3:$E$17,"B2")</f>
        <v/>
      </c>
      <c r="E20" s="28">
        <f>SUMIFS('Données (V_CAMPUS_CLASSE)'!$N$3:$N$17,'Données (V_CAMPUS_CLASSE)'!$A$3:$A$17,2026,'Données (V_CAMPUS_CLASSE)'!$B$3:$B$17,"ISCOM_PAR",'Données (V_CAMPUS_CLASSE)'!$D$3:$D$17,"BAC_COM",'Données (V_CAMPUS_CLASSE)'!$E$3:$E$17,"B2")</f>
        <v/>
      </c>
      <c r="F20" s="27">
        <f>SUMIFS('Données (V_CAMPUS_CLASSE)'!$O$3:$O$17,'Données (V_CAMPUS_CLASSE)'!$A$3:$A$17,2026,'Données (V_CAMPUS_CLASSE)'!$B$3:$B$17,"ISCOM_PAR",'Données (V_CAMPUS_CLASSE)'!$D$3:$D$17,"BAC_COM",'Données (V_CAMPUS_CLASSE)'!$E$3:$E$17,"B2")</f>
        <v/>
      </c>
      <c r="G20" s="27">
        <f>SUMIFS('Données (V_CAMPUS_CLASSE)'!$P$3:$P$17,'Données (V_CAMPUS_CLASSE)'!$A$3:$A$17,2026,'Données (V_CAMPUS_CLASSE)'!$B$3:$B$17,"ISCOM_PAR",'Données (V_CAMPUS_CLASSE)'!$D$3:$D$17,"BAC_COM",'Données (V_CAMPUS_CLASSE)'!$E$3:$E$17,"B2")</f>
        <v/>
      </c>
      <c r="H20" s="29">
        <f>SUMIFS('Données (V_CAMPUS_CLASSE)'!$R$3:$R$17,'Données (V_CAMPUS_CLASSE)'!$A$3:$A$17,2026,'Données (V_CAMPUS_CLASSE)'!$B$3:$B$17,"ISCOM_PAR",'Données (V_CAMPUS_CLASSE)'!$D$3:$D$17,"BAC_COM",'Données (V_CAMPUS_CLASSE)'!$E$3:$E$17,"B2")</f>
        <v/>
      </c>
      <c r="I20" s="30">
        <f>IF(G20&lt;0,"🔴 piège",IF(B20&gt;0.9,"⚠️ saturé","🟢 sain"))</f>
        <v/>
      </c>
    </row>
    <row r="21">
      <c r="A21" s="24" t="inlineStr">
        <is>
          <t>BAC_COM B3</t>
        </is>
      </c>
      <c r="B21" s="25">
        <f>SUMIFS('Données (V_CAMPUS_CLASSE)'!$G$3:$G$17,'Données (V_CAMPUS_CLASSE)'!$A$3:$A$17,2026,'Données (V_CAMPUS_CLASSE)'!$B$3:$B$17,"ISCOM_PAR",'Données (V_CAMPUS_CLASSE)'!$D$3:$D$17,"BAC_COM",'Données (V_CAMPUS_CLASSE)'!$E$3:$E$17,"B3")/SUMIFS('Données (V_CAMPUS_CLASSE)'!$L$3:$L$17,'Données (V_CAMPUS_CLASSE)'!$A$3:$A$17,2026,'Données (V_CAMPUS_CLASSE)'!$B$3:$B$17,"ISCOM_PAR",'Données (V_CAMPUS_CLASSE)'!$D$3:$D$17,"BAC_COM",'Données (V_CAMPUS_CLASSE)'!$E$3:$E$17,"B3")</f>
        <v/>
      </c>
      <c r="C21" s="26">
        <f>SUMIFS('Données (V_CAMPUS_CLASSE)'!$G$3:$G$17,'Données (V_CAMPUS_CLASSE)'!$A$3:$A$17,2026,'Données (V_CAMPUS_CLASSE)'!$B$3:$B$17,"ISCOM_PAR",'Données (V_CAMPUS_CLASSE)'!$D$3:$D$17,"BAC_COM",'Données (V_CAMPUS_CLASSE)'!$E$3:$E$17,"B3")</f>
        <v/>
      </c>
      <c r="D21" s="27">
        <f>SUMIFS('Données (V_CAMPUS_CLASSE)'!$J$3:$J$17,'Données (V_CAMPUS_CLASSE)'!$A$3:$A$17,2026,'Données (V_CAMPUS_CLASSE)'!$B$3:$B$17,"ISCOM_PAR",'Données (V_CAMPUS_CLASSE)'!$D$3:$D$17,"BAC_COM",'Données (V_CAMPUS_CLASSE)'!$E$3:$E$17,"B3")</f>
        <v/>
      </c>
      <c r="E21" s="28">
        <f>SUMIFS('Données (V_CAMPUS_CLASSE)'!$N$3:$N$17,'Données (V_CAMPUS_CLASSE)'!$A$3:$A$17,2026,'Données (V_CAMPUS_CLASSE)'!$B$3:$B$17,"ISCOM_PAR",'Données (V_CAMPUS_CLASSE)'!$D$3:$D$17,"BAC_COM",'Données (V_CAMPUS_CLASSE)'!$E$3:$E$17,"B3")</f>
        <v/>
      </c>
      <c r="F21" s="27">
        <f>SUMIFS('Données (V_CAMPUS_CLASSE)'!$O$3:$O$17,'Données (V_CAMPUS_CLASSE)'!$A$3:$A$17,2026,'Données (V_CAMPUS_CLASSE)'!$B$3:$B$17,"ISCOM_PAR",'Données (V_CAMPUS_CLASSE)'!$D$3:$D$17,"BAC_COM",'Données (V_CAMPUS_CLASSE)'!$E$3:$E$17,"B3")</f>
        <v/>
      </c>
      <c r="G21" s="27">
        <f>SUMIFS('Données (V_CAMPUS_CLASSE)'!$P$3:$P$17,'Données (V_CAMPUS_CLASSE)'!$A$3:$A$17,2026,'Données (V_CAMPUS_CLASSE)'!$B$3:$B$17,"ISCOM_PAR",'Données (V_CAMPUS_CLASSE)'!$D$3:$D$17,"BAC_COM",'Données (V_CAMPUS_CLASSE)'!$E$3:$E$17,"B3")</f>
        <v/>
      </c>
      <c r="H21" s="29">
        <f>SUMIFS('Données (V_CAMPUS_CLASSE)'!$R$3:$R$17,'Données (V_CAMPUS_CLASSE)'!$A$3:$A$17,2026,'Données (V_CAMPUS_CLASSE)'!$B$3:$B$17,"ISCOM_PAR",'Données (V_CAMPUS_CLASSE)'!$D$3:$D$17,"BAC_COM",'Données (V_CAMPUS_CLASSE)'!$E$3:$E$17,"B3")</f>
        <v/>
      </c>
      <c r="I21" s="30">
        <f>IF(G21&lt;0,"🔴 piège",IF(B21&gt;0.9,"⚠️ saturé","🟢 sain"))</f>
        <v/>
      </c>
    </row>
    <row r="22">
      <c r="A22" s="24" t="inlineStr">
        <is>
          <t>MAS_COM M1</t>
        </is>
      </c>
      <c r="B22" s="25">
        <f>SUMIFS('Données (V_CAMPUS_CLASSE)'!$G$3:$G$17,'Données (V_CAMPUS_CLASSE)'!$A$3:$A$17,2026,'Données (V_CAMPUS_CLASSE)'!$B$3:$B$17,"ISCOM_PAR",'Données (V_CAMPUS_CLASSE)'!$D$3:$D$17,"MAS_COM",'Données (V_CAMPUS_CLASSE)'!$E$3:$E$17,"M1")/SUMIFS('Données (V_CAMPUS_CLASSE)'!$L$3:$L$17,'Données (V_CAMPUS_CLASSE)'!$A$3:$A$17,2026,'Données (V_CAMPUS_CLASSE)'!$B$3:$B$17,"ISCOM_PAR",'Données (V_CAMPUS_CLASSE)'!$D$3:$D$17,"MAS_COM",'Données (V_CAMPUS_CLASSE)'!$E$3:$E$17,"M1")</f>
        <v/>
      </c>
      <c r="C22" s="26">
        <f>SUMIFS('Données (V_CAMPUS_CLASSE)'!$G$3:$G$17,'Données (V_CAMPUS_CLASSE)'!$A$3:$A$17,2026,'Données (V_CAMPUS_CLASSE)'!$B$3:$B$17,"ISCOM_PAR",'Données (V_CAMPUS_CLASSE)'!$D$3:$D$17,"MAS_COM",'Données (V_CAMPUS_CLASSE)'!$E$3:$E$17,"M1")</f>
        <v/>
      </c>
      <c r="D22" s="27">
        <f>SUMIFS('Données (V_CAMPUS_CLASSE)'!$J$3:$J$17,'Données (V_CAMPUS_CLASSE)'!$A$3:$A$17,2026,'Données (V_CAMPUS_CLASSE)'!$B$3:$B$17,"ISCOM_PAR",'Données (V_CAMPUS_CLASSE)'!$D$3:$D$17,"MAS_COM",'Données (V_CAMPUS_CLASSE)'!$E$3:$E$17,"M1")</f>
        <v/>
      </c>
      <c r="E22" s="28">
        <f>SUMIFS('Données (V_CAMPUS_CLASSE)'!$N$3:$N$17,'Données (V_CAMPUS_CLASSE)'!$A$3:$A$17,2026,'Données (V_CAMPUS_CLASSE)'!$B$3:$B$17,"ISCOM_PAR",'Données (V_CAMPUS_CLASSE)'!$D$3:$D$17,"MAS_COM",'Données (V_CAMPUS_CLASSE)'!$E$3:$E$17,"M1")</f>
        <v/>
      </c>
      <c r="F22" s="27">
        <f>SUMIFS('Données (V_CAMPUS_CLASSE)'!$O$3:$O$17,'Données (V_CAMPUS_CLASSE)'!$A$3:$A$17,2026,'Données (V_CAMPUS_CLASSE)'!$B$3:$B$17,"ISCOM_PAR",'Données (V_CAMPUS_CLASSE)'!$D$3:$D$17,"MAS_COM",'Données (V_CAMPUS_CLASSE)'!$E$3:$E$17,"M1")</f>
        <v/>
      </c>
      <c r="G22" s="27">
        <f>SUMIFS('Données (V_CAMPUS_CLASSE)'!$P$3:$P$17,'Données (V_CAMPUS_CLASSE)'!$A$3:$A$17,2026,'Données (V_CAMPUS_CLASSE)'!$B$3:$B$17,"ISCOM_PAR",'Données (V_CAMPUS_CLASSE)'!$D$3:$D$17,"MAS_COM",'Données (V_CAMPUS_CLASSE)'!$E$3:$E$17,"M1")</f>
        <v/>
      </c>
      <c r="H22" s="29">
        <f>SUMIFS('Données (V_CAMPUS_CLASSE)'!$R$3:$R$17,'Données (V_CAMPUS_CLASSE)'!$A$3:$A$17,2026,'Données (V_CAMPUS_CLASSE)'!$B$3:$B$17,"ISCOM_PAR",'Données (V_CAMPUS_CLASSE)'!$D$3:$D$17,"MAS_COM",'Données (V_CAMPUS_CLASSE)'!$E$3:$E$17,"M1")</f>
        <v/>
      </c>
      <c r="I22" s="30">
        <f>IF(G22&lt;0,"🔴 piège",IF(B22&gt;0.9,"⚠️ saturé","🟢 sain"))</f>
        <v/>
      </c>
    </row>
    <row r="23">
      <c r="A23" s="24" t="inlineStr">
        <is>
          <t>MAS_COM M2</t>
        </is>
      </c>
      <c r="B23" s="25">
        <f>SUMIFS('Données (V_CAMPUS_CLASSE)'!$G$3:$G$17,'Données (V_CAMPUS_CLASSE)'!$A$3:$A$17,2026,'Données (V_CAMPUS_CLASSE)'!$B$3:$B$17,"ISCOM_PAR",'Données (V_CAMPUS_CLASSE)'!$D$3:$D$17,"MAS_COM",'Données (V_CAMPUS_CLASSE)'!$E$3:$E$17,"M2")/SUMIFS('Données (V_CAMPUS_CLASSE)'!$L$3:$L$17,'Données (V_CAMPUS_CLASSE)'!$A$3:$A$17,2026,'Données (V_CAMPUS_CLASSE)'!$B$3:$B$17,"ISCOM_PAR",'Données (V_CAMPUS_CLASSE)'!$D$3:$D$17,"MAS_COM",'Données (V_CAMPUS_CLASSE)'!$E$3:$E$17,"M2")</f>
        <v/>
      </c>
      <c r="C23" s="26">
        <f>SUMIFS('Données (V_CAMPUS_CLASSE)'!$G$3:$G$17,'Données (V_CAMPUS_CLASSE)'!$A$3:$A$17,2026,'Données (V_CAMPUS_CLASSE)'!$B$3:$B$17,"ISCOM_PAR",'Données (V_CAMPUS_CLASSE)'!$D$3:$D$17,"MAS_COM",'Données (V_CAMPUS_CLASSE)'!$E$3:$E$17,"M2")</f>
        <v/>
      </c>
      <c r="D23" s="27">
        <f>SUMIFS('Données (V_CAMPUS_CLASSE)'!$J$3:$J$17,'Données (V_CAMPUS_CLASSE)'!$A$3:$A$17,2026,'Données (V_CAMPUS_CLASSE)'!$B$3:$B$17,"ISCOM_PAR",'Données (V_CAMPUS_CLASSE)'!$D$3:$D$17,"MAS_COM",'Données (V_CAMPUS_CLASSE)'!$E$3:$E$17,"M2")</f>
        <v/>
      </c>
      <c r="E23" s="28">
        <f>SUMIFS('Données (V_CAMPUS_CLASSE)'!$N$3:$N$17,'Données (V_CAMPUS_CLASSE)'!$A$3:$A$17,2026,'Données (V_CAMPUS_CLASSE)'!$B$3:$B$17,"ISCOM_PAR",'Données (V_CAMPUS_CLASSE)'!$D$3:$D$17,"MAS_COM",'Données (V_CAMPUS_CLASSE)'!$E$3:$E$17,"M2")</f>
        <v/>
      </c>
      <c r="F23" s="27">
        <f>SUMIFS('Données (V_CAMPUS_CLASSE)'!$O$3:$O$17,'Données (V_CAMPUS_CLASSE)'!$A$3:$A$17,2026,'Données (V_CAMPUS_CLASSE)'!$B$3:$B$17,"ISCOM_PAR",'Données (V_CAMPUS_CLASSE)'!$D$3:$D$17,"MAS_COM",'Données (V_CAMPUS_CLASSE)'!$E$3:$E$17,"M2")</f>
        <v/>
      </c>
      <c r="G23" s="27">
        <f>SUMIFS('Données (V_CAMPUS_CLASSE)'!$P$3:$P$17,'Données (V_CAMPUS_CLASSE)'!$A$3:$A$17,2026,'Données (V_CAMPUS_CLASSE)'!$B$3:$B$17,"ISCOM_PAR",'Données (V_CAMPUS_CLASSE)'!$D$3:$D$17,"MAS_COM",'Données (V_CAMPUS_CLASSE)'!$E$3:$E$17,"M2")</f>
        <v/>
      </c>
      <c r="H23" s="29">
        <f>SUMIFS('Données (V_CAMPUS_CLASSE)'!$R$3:$R$17,'Données (V_CAMPUS_CLASSE)'!$A$3:$A$17,2026,'Données (V_CAMPUS_CLASSE)'!$B$3:$B$17,"ISCOM_PAR",'Données (V_CAMPUS_CLASSE)'!$D$3:$D$17,"MAS_COM",'Données (V_CAMPUS_CLASSE)'!$E$3:$E$17,"M2")</f>
        <v/>
      </c>
      <c r="I23" s="30">
        <f>IF(G23&lt;0,"🔴 piège",IF(B23&gt;0.9,"⚠️ saturé","🟢 sain"))</f>
        <v/>
      </c>
    </row>
    <row r="25" ht="30" customHeight="1">
      <c r="A25" s="31" t="inlineStr">
        <is>
          <t>Le masque ne contient AUCUNE valeur en dur : tout est SUMIFS sur la vue V_CAMPUS_CLASSE (onglet Données). Sous Tagetik : la matrice pointe la vue, mêmes axes (ENTITY, EXERCICE, PROGRAMME, AN_ETUDE), mêmes mesures.</t>
        </is>
      </c>
    </row>
    <row r="26"/>
  </sheetData>
  <mergeCells count="18">
    <mergeCell ref="A2:I2"/>
    <mergeCell ref="D5:F5"/>
    <mergeCell ref="A5:C5"/>
    <mergeCell ref="G5:I5"/>
    <mergeCell ref="G6:I6"/>
    <mergeCell ref="D8:F8"/>
    <mergeCell ref="A8:C8"/>
    <mergeCell ref="A10:I10"/>
    <mergeCell ref="A6:C6"/>
    <mergeCell ref="D6:F6"/>
    <mergeCell ref="A1:I1"/>
    <mergeCell ref="G7:I7"/>
    <mergeCell ref="G8:I8"/>
    <mergeCell ref="A17:I17"/>
    <mergeCell ref="A25:I26"/>
    <mergeCell ref="D7:F7"/>
    <mergeCell ref="A7:C7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2026-09-02T08:27:30Z</dcterms:created>
  <dcterms:modified xsi:type="dcterms:W3CDTF">2026-09-02T08:27:30Z</dcterms:modified>
</cp:coreProperties>
</file>